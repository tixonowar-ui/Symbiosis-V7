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Сводка" sheetId="1" state="visible" r:id="rId3"/>
    <sheet name="Реестр правил" sheetId="2" state="visible" r:id="rId4"/>
    <sheet name="Параметры" sheetId="3" state="visible" r:id="rId5"/>
    <sheet name="Связи" sheetId="4" state="visible" r:id="rId6"/>
    <sheet name="Источники" sheetId="5" state="visible" r:id="rId7"/>
    <sheet name="Решения QA" sheetId="6" state="visible" r:id="rId8"/>
    <sheet name="Изменения v1.1" sheetId="7" state="visible" r:id="rId9"/>
    <sheet name="Справочники" sheetId="8" state="visible" r:id="rId10"/>
    <sheet name="Контроль" sheetId="9" state="visible" r:id="rId11"/>
    <sheet name="Изменения v1.2" sheetId="10" state="visible" r:id="rId12"/>
    <sheet name="Изменения v1.3" sheetId="11" state="visible" r:id="rId13"/>
    <sheet name="Изменения v1.4" sheetId="12" state="visible" r:id="rId14"/>
    <sheet name="Изменения v1.5" sheetId="13" state="visible" r:id="rId15"/>
    <sheet name="Изменения v1.6" sheetId="14" state="visible" r:id="rId16"/>
    <sheet name="Изменения v1.7" sheetId="15" state="visible" r:id="rId1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<sst xmlns="http://schemas.openxmlformats.org/spreadsheetml/2006/main" count="64819" uniqueCount="18265">
  <si>
    <t xml:space="preserve">СИМБИОЗ V7 — итоговый исполняемый реестр правил</t>
  </si>
  <si>
    <t xml:space="preserve">Версия 1.7 — неизменяемое мастерское XP, восстановленный генератор групп и исправленный формульный контроль</t>
  </si>
  <si>
    <t xml:space="preserve">Показатель</t>
  </si>
  <si>
    <t xml:space="preserve">Значение</t>
  </si>
  <si>
    <t xml:space="preserve">Назначение</t>
  </si>
  <si>
    <t xml:space="preserve">Модель применения правил</t>
  </si>
  <si>
    <t xml:space="preserve">Всего runtime-правил</t>
  </si>
  <si>
    <t xml:space="preserve">Уникальные карточки игрового реестра</t>
  </si>
  <si>
    <t xml:space="preserve">1. META-001: базовые поля остаются нормативными в непротиворечащей части.</t>
  </si>
  <si>
    <t xml:space="preserve">Активно</t>
  </si>
  <si>
    <t xml:space="preserve">Включить в игровое ядро</t>
  </si>
  <si>
    <t xml:space="preserve">v1.7=110 &gt; v1.6=100 &gt; v1.5=90 &gt; v1.4=80 &gt; v1.3=70 &gt; v1.2=60 &gt; v1.1=50 &gt; QA 2.0=40 &gt; QA 1.0=30 &gt; база=10</t>
  </si>
  <si>
    <t xml:space="preserve">Не автоматизируется</t>
  </si>
  <si>
    <t xml:space="preserve">Tombstone: хранить для трассировки, не реализовывать</t>
  </si>
  <si>
    <t xml:space="preserve">3. Локальное исключение сильнее общего порядка.</t>
  </si>
  <si>
    <t xml:space="preserve">Базовые правила</t>
  </si>
  <si>
    <t xml:space="preserve">CORE / SYM / MON</t>
  </si>
  <si>
    <t xml:space="preserve">4. Полное исключение возможно только при явном статусе «Не автоматизируется».</t>
  </si>
  <si>
    <t xml:space="preserve">QA-решения</t>
  </si>
  <si>
    <t xml:space="preserve">CQA / AQA / AQ2 / AQ3</t>
  </si>
  <si>
    <t xml:space="preserve">5. В листе «Реестр правил» уже записана итоговая композиция; повторно накладывать ответы не нужно.</t>
  </si>
  <si>
    <t xml:space="preserve">Новые согласованные карточки</t>
  </si>
  <si>
    <t xml:space="preserve">CORE-230..234 и синхронизированные карточки; generator patch v1.7</t>
  </si>
  <si>
    <t xml:space="preserve">6. Устаревший набор QA-тестов не использовался как источник правил.</t>
  </si>
  <si>
    <t xml:space="preserve">Новые предразработочные решения</t>
  </si>
  <si>
    <t xml:space="preserve">Закрытый пакет Pre-development QA v1.4</t>
  </si>
  <si>
    <t xml:space="preserve">Нормализованные QA-карточки</t>
  </si>
  <si>
    <t xml:space="preserve">Конкретные runtime-поля</t>
  </si>
  <si>
    <t xml:space="preserve">Как использовать книгу при разработке Windows-приложения</t>
  </si>
  <si>
    <t xml:space="preserve">Ответы пользователя</t>
  </si>
  <si>
    <t xml:space="preserve">Q-GM-XP-001 и Q-SOUND-NIGHT-001 закрыты; Q&amp;A v1.2 восстановлен до полного состава</t>
  </si>
  <si>
    <t xml:space="preserve">«Реестр правил» — нормативная строка на каждый Rule ID.</t>
  </si>
  <si>
    <t xml:space="preserve">Открытые вопросы</t>
  </si>
  <si>
    <t xml:space="preserve">Должно оставаться 0</t>
  </si>
  <si>
    <t xml:space="preserve">«Параметры» — нормализованные вычисления, ресурсы, сроки и ручные решения.</t>
  </si>
  <si>
    <t xml:space="preserve">Проверка</t>
  </si>
  <si>
    <t xml:space="preserve">Формула</t>
  </si>
  <si>
    <t xml:space="preserve">Ожидаемо</t>
  </si>
  <si>
    <t xml:space="preserve">«Связи» — зависимости и приоритетные уточнения для графа правил.</t>
  </si>
  <si>
    <t xml:space="preserve">Строк правил</t>
  </si>
  <si>
    <t xml:space="preserve">«Источники» и «Решения QA» — трассировка к утверждённым ответам.</t>
  </si>
  <si>
    <t xml:space="preserve">Активных правил</t>
  </si>
  <si>
    <t xml:space="preserve">Листы изменений сохраняют историю; v1.7 фиксирует GM_DIRECT, генератор 80–150% и честные проверки выпуска.</t>
  </si>
  <si>
    <t xml:space="preserve">Исключённых правил</t>
  </si>
  <si>
    <t xml:space="preserve">«Контроль» — формулы целостности перед импортом в кодовую базу.</t>
  </si>
  <si>
    <t xml:space="preserve">Дубликатов ID</t>
  </si>
  <si>
    <t xml:space="preserve">Открытых вопросов</t>
  </si>
  <si>
    <t xml:space="preserve">Контексты runtime-правил</t>
  </si>
  <si>
    <t xml:space="preserve">Контекст</t>
  </si>
  <si>
    <t xml:space="preserve">Правил</t>
  </si>
  <si>
    <t xml:space="preserve">Боевая ситуация</t>
  </si>
  <si>
    <t xml:space="preserve">Болезни и состояния</t>
  </si>
  <si>
    <t xml:space="preserve">Инвентарь и предметы</t>
  </si>
  <si>
    <t xml:space="preserve">Кампания</t>
  </si>
  <si>
    <t xml:space="preserve">Мастер и НПС</t>
  </si>
  <si>
    <t xml:space="preserve">Отдых и дозор</t>
  </si>
  <si>
    <t xml:space="preserve">Перемещение и карта</t>
  </si>
  <si>
    <t xml:space="preserve">Симбионты</t>
  </si>
  <si>
    <t xml:space="preserve">Смерть и мародерство</t>
  </si>
  <si>
    <t xml:space="preserve">Создание персонажа</t>
  </si>
  <si>
    <t xml:space="preserve">№</t>
  </si>
  <si>
    <t xml:space="preserve">Rule ID</t>
  </si>
  <si>
    <t xml:space="preserve">Статус</t>
  </si>
  <si>
    <t xml:space="preserve">Режим реализации</t>
  </si>
  <si>
    <t xml:space="preserve">Тип правила</t>
  </si>
  <si>
    <t xml:space="preserve">Функциональный контекст</t>
  </si>
  <si>
    <t xml:space="preserve">Компонент приложения</t>
  </si>
  <si>
    <t xml:space="preserve">Нормативный раздел</t>
  </si>
  <si>
    <t xml:space="preserve">Подраздел</t>
  </si>
  <si>
    <t xml:space="preserve">Название</t>
  </si>
  <si>
    <t xml:space="preserve">Категория</t>
  </si>
  <si>
    <t xml:space="preserve">Логический актор</t>
  </si>
  <si>
    <t xml:space="preserve">Субъект</t>
  </si>
  <si>
    <t xml:space="preserve">Объект / цель</t>
  </si>
  <si>
    <t xml:space="preserve">Runtime-триггер</t>
  </si>
  <si>
    <t xml:space="preserve">Предусловия</t>
  </si>
  <si>
    <t xml:space="preserve">Входы / параметры</t>
  </si>
  <si>
    <t xml:space="preserve">Итоговый алгоритм</t>
  </si>
  <si>
    <t xml:space="preserve">Изменения состояния / результат</t>
  </si>
  <si>
    <t xml:space="preserve">Исключения / приоритет</t>
  </si>
  <si>
    <t xml:space="preserve">Стоимость действия / времени</t>
  </si>
  <si>
    <t xml:space="preserve">Стоимость ресурсов</t>
  </si>
  <si>
    <t xml:space="preserve">Броски / формулы</t>
  </si>
  <si>
    <t xml:space="preserve">Недопустимый исход</t>
  </si>
  <si>
    <t xml:space="preserve">Длительность / кулдаун</t>
  </si>
  <si>
    <t xml:space="preserve">Ручной выбор мастера</t>
  </si>
  <si>
    <t xml:space="preserve">Атомарность / аудит</t>
  </si>
  <si>
    <t xml:space="preserve">Приоритет источника</t>
  </si>
  <si>
    <t xml:space="preserve">Источник карточки</t>
  </si>
  <si>
    <t xml:space="preserve">ID вопросов</t>
  </si>
  <si>
    <t xml:space="preserve">Связанные правила</t>
  </si>
  <si>
    <t xml:space="preserve">База + поздние дельты</t>
  </si>
  <si>
    <t xml:space="preserve">QA-поля нормализованы</t>
  </si>
  <si>
    <t xml:space="preserve">Финальная правка</t>
  </si>
  <si>
    <t xml:space="preserve">Контроль уникальности ID</t>
  </si>
  <si>
    <t xml:space="preserve">CORE-001</t>
  </si>
  <si>
    <t xml:space="preserve">Реализовать в игровом ядре</t>
  </si>
  <si>
    <t xml:space="preserve">Базовое правило</t>
  </si>
  <si>
    <t xml:space="preserve">Персонажи</t>
  </si>
  <si>
    <t xml:space="preserve">2. Персонаж, предметы и базовая механика</t>
  </si>
  <si>
    <t xml:space="preserve">Раса и класс</t>
  </si>
  <si>
    <t xml:space="preserve">Поправки Единого при создании</t>
  </si>
  <si>
    <t xml:space="preserve">раса / создание персонажа.</t>
  </si>
  <si>
    <t xml:space="preserve">Игрок / персонаж</t>
  </si>
  <si>
    <t xml:space="preserve">создаваемый персонаж расы Единый</t>
  </si>
  <si>
    <t xml:space="preserve">S, M, Z, C.</t>
  </si>
  <si>
    <t xml:space="preserve">выбор расы и способа выбора симбионтов.</t>
  </si>
  <si>
    <t xml:space="preserve">раса = Единый.</t>
  </si>
  <si>
    <t xml:space="preserve">selectionMode ∈ {random, manual}, раса собеседника для C.</t>
  </si>
  <si>
    <t xml:space="preserve">random: S−=3, M−=6, Z−=6; manual: S−=7, M−=10, Z−=10; при проверке общения C_eff=C+5 против Единого, C_eff=C−15 против Чистого.</t>
  </si>
  <si>
    <t xml:space="preserve">постоянные расовые поправки; контекстный модификатор C.</t>
  </si>
  <si>
    <t xml:space="preserve">итоговые постоянные характеристики не ниже 1 по CORE-164; социальное разрешение проверки вне охвата.</t>
  </si>
  <si>
    <t xml:space="preserve">раса = Единый.
random: S−=3, M−=6, Z−=6; manual: S−=7, M−=10, Z−=10; при проверке общения C_eff=C+5 против Единого, C_eff=C−15 против Чистого.</t>
  </si>
  <si>
    <t xml:space="preserve">§3.2.6.1, стр. 48.</t>
  </si>
  <si>
    <t xml:space="preserve">CORE-164</t>
  </si>
  <si>
    <t xml:space="preserve">Нет</t>
  </si>
  <si>
    <t xml:space="preserve">CORE-004</t>
  </si>
  <si>
    <t xml:space="preserve">Навык Единого «Идущий вслед за болью»</t>
  </si>
  <si>
    <t xml:space="preserve">раса / пассивный навык.</t>
  </si>
  <si>
    <t xml:space="preserve">Система / игровая сущность</t>
  </si>
  <si>
    <t xml:space="preserve">Единый</t>
  </si>
  <si>
    <t xml:space="preserve">проверки сопротивления пыткам и самообладания при горении.</t>
  </si>
  <si>
    <t xml:space="preserve">создание Единого; соответствующая проверка.</t>
  </si>
  <si>
    <t xml:space="preserve">раса = Единый, пассивный источник активен.</t>
  </si>
  <si>
    <t xml:space="preserve">базовый результат проверки.</t>
  </si>
  <si>
    <t xml:space="preserve">навык добавляется автоматически, не занимает слот; к указанным проверкам +15.</t>
  </si>
  <si>
    <t xml:space="preserve">постоянный навык и модификатор.</t>
  </si>
  <si>
    <t xml:space="preserve">социальная механика пыток вне охвата; бонус к самообладанию при пожаре применяется по CORE-114.</t>
  </si>
  <si>
    <t xml:space="preserve">§3.2.6.1.1, стр. 48.</t>
  </si>
  <si>
    <t xml:space="preserve">CORE-114</t>
  </si>
  <si>
    <t xml:space="preserve">CORE-005</t>
  </si>
  <si>
    <t xml:space="preserve">Слоты симбионтов Единого</t>
  </si>
  <si>
    <t xml:space="preserve">раса / симбионты.</t>
  </si>
  <si>
    <t xml:space="preserve">контейнер симбионтов.</t>
  </si>
  <si>
    <t xml:space="preserve">создание или изменение состава симбионтов.</t>
  </si>
  <si>
    <t xml:space="preserve">виды добавляемых симбионтов.</t>
  </si>
  <si>
    <t xml:space="preserve">вместимость = 4 слота; обычный симбионт занимает установленное его каталогом число слотов; «Симбиотическое чудовище» занимает все 4 и доступно только Единому.</t>
  </si>
  <si>
    <t xml:space="preserve">валидированный состав симбионтов.</t>
  </si>
  <si>
    <t xml:space="preserve">случайное получение чудовища — CORE-170.</t>
  </si>
  <si>
    <t xml:space="preserve">раса = Единый.
вместимость = 4 слота; обычный симбионт занимает установленное его каталогом число слотов; «Симбиотическое чудовище» занимает все 4 и доступно только Единому.</t>
  </si>
  <si>
    <t xml:space="preserve">§3.2.6.2, стр. 48.</t>
  </si>
  <si>
    <t xml:space="preserve">CORE-170</t>
  </si>
  <si>
    <t xml:space="preserve">CORE-006</t>
  </si>
  <si>
    <t xml:space="preserve">Поправки Вольного при создании</t>
  </si>
  <si>
    <t xml:space="preserve">создаваемый Вольный</t>
  </si>
  <si>
    <t xml:space="preserve">S, M, Z.</t>
  </si>
  <si>
    <t xml:space="preserve">выбор способа выбора симбионта.</t>
  </si>
  <si>
    <t xml:space="preserve">раса = Вольный.</t>
  </si>
  <si>
    <t xml:space="preserve">selectionMode.</t>
  </si>
  <si>
    <t xml:space="preserve">random: без расовой поправки; manual: S−=2, M−=2, Z−=2.</t>
  </si>
  <si>
    <t xml:space="preserve">постоянные расовые поправки.</t>
  </si>
  <si>
    <t xml:space="preserve">минимумы создания CORE-164.</t>
  </si>
  <si>
    <t xml:space="preserve">раса = Вольный.
random: без расовой поправки; manual: S−=2, M−=2, Z−=2.</t>
  </si>
  <si>
    <t xml:space="preserve">§3.3.6.1, стр. 55.</t>
  </si>
  <si>
    <t xml:space="preserve">CORE-007</t>
  </si>
  <si>
    <t xml:space="preserve">Симбионт и опыт Вольного</t>
  </si>
  <si>
    <t xml:space="preserve">Вольный</t>
  </si>
  <si>
    <t xml:space="preserve">симбионт и начисление его XP.</t>
  </si>
  <si>
    <t xml:space="preserve">создание; любое начисление XP симбионту.</t>
  </si>
  <si>
    <t xml:space="preserve">awardSource=DIRECT_SYMBIONT|ALLOCATED_UNASSIGNED|PASSIVE_RULE|GM_DIRECT; baseXP; multiplierAlreadyApplied=false.</t>
  </si>
  <si>
    <t xml:space="preserve">Если XP фактически начисляется симбионту Вольного, применить multiplier=2 ровно один раз. Это включает прямое неизменяемое начисление мастером GM_DIRECT. Баллы symbiontXpProgressPoints и конвертация 3→1 не удваиваются и в GM_DIRECT не участвуют.</t>
  </si>
  <si>
    <t xml:space="preserve">directAward=baseXP×2; allocatedAward=allocatedUnits×2; gmDirectAward=baseXP×2; counterPoints и unallocatedSymbiontXp создаются только обычным игровым маршрутом в базовом размере.</t>
  </si>
  <si>
    <t xml:space="preserve">Не удваивать eventPoints до маршрутизации и не применять ×2 повторно после записи XP.</t>
  </si>
  <si>
    <t xml:space="preserve">effectiveSymbiontXP=baseXP×2; progressPointsMultiplier=1; conversionRate=3:1.</t>
  </si>
  <si>
    <t xml:space="preserve">Записывать baseXP, awardSource, применённый multiplier и итог XP; один award — один множитель. GM_DIRECT дополнительно хранит мастера, обязательную причину и неизменяемый awardId.</t>
  </si>
  <si>
    <t xml:space="preserve">§3.3.6.2, стр. 55.
Прямое авторское решение Q-SYMBIONT-XP-001 — опыт симбионтов за natural 20/1, 2026-07-30
Q-GM-XP-001 — мастерское начисление XP, 2026-08-01</t>
  </si>
  <si>
    <t xml:space="preserve">Q-SYMBIONT-XP-001
Q-GM-XP-001</t>
  </si>
  <si>
    <t xml:space="preserve">CORE-171
CORE-230
CORE-231
CORE-232
SYM-021
SYM-055</t>
  </si>
  <si>
    <t xml:space="preserve">Да</t>
  </si>
  <si>
    <t xml:space="preserve">Патч v1.7 (GM_DIRECT)</t>
  </si>
  <si>
    <t xml:space="preserve">CORE-009</t>
  </si>
  <si>
    <t xml:space="preserve">Чистый Искатель</t>
  </si>
  <si>
    <t xml:space="preserve">класс / характеристики и пассив.</t>
  </si>
  <si>
    <t xml:space="preserve">Игрок / система</t>
  </si>
  <si>
    <t xml:space="preserve">характеристики и проверки.</t>
  </si>
  <si>
    <t xml:space="preserve">выбор класса; соответствующая проверка.</t>
  </si>
  <si>
    <t xml:space="preserve">раса Чистый, класс Искатель.</t>
  </si>
  <si>
    <t xml:space="preserve">базовые характеристики/проверка.</t>
  </si>
  <si>
    <t xml:space="preserve">Нормативная база (действует во всей непротиворечащей части):
S+2, D+2, I+7, Z+5; контекстно C+5 с Чистыми, C−15 с Едиными; автоматически навык «Искатель Последнего Рассвета» (1 слот); +5 к изучению, поиску закономерности, крафту, ремонту, изобретательству, первой помощи, медицинским манипуляциям, выживанию в дикой природе и упреждающему удару.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Бонус к «Крафту» хранится в листе персонажа, но приложение не предоставляет runtime-действие создания предмета по Q-CORE-059.</t>
  </si>
  <si>
    <t xml:space="preserve">постоянные поправки и навык.</t>
  </si>
  <si>
    <t xml:space="preserve">разрешение небоевых/социальных действий вне охвата; боевые модификаторы применяются.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</si>
  <si>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Бонус к «Крафту» хранится в листе персонажа, но приложение не предоставляет runtime-действие создания предмета по Q-CORE-059.
разрешение небоевых/социальных действий вне охвата; боевые модификаторы применяются.</t>
  </si>
  <si>
    <t xml:space="preserve">[Обязательная правка] Эта формулировка имеет приоритет над исходным текстом карточки.</t>
  </si>
  <si>
    <t xml:space="preserve">Нормативная база (действует во всей непротиворечащей части):</t>
  </si>
  <si>
    <t xml:space="preserve">§3.4.7.1, стр. 65.</t>
  </si>
  <si>
    <t xml:space="preserve">CORE-059</t>
  </si>
  <si>
    <t xml:space="preserve">CORE-010</t>
  </si>
  <si>
    <t xml:space="preserve">Чистый Сталкер: характеристики и пассив</t>
  </si>
  <si>
    <t xml:space="preserve">Чистый Сталкер.</t>
  </si>
  <si>
    <t xml:space="preserve">выбор класса; соответствующая проверка/экипировка.</t>
  </si>
  <si>
    <t xml:space="preserve">раса Чистый, класс Сталкер.</t>
  </si>
  <si>
    <t xml:space="preserve">проверка, тип оружия/доспеха.</t>
  </si>
  <si>
    <t xml:space="preserve">S+2, D+5, M+5, Z+5; C+5 с Чистыми, C−10 с Едиными; навык «Сталкер Последнего Рассвета» занимает 1 слот и даёт +4 к прокладыванию маршрута, выслеживанию, обнаружению, скрытности, выживанию, осмотру, молниеносной реакции, уклонению, освобождению из пут; бесштрафное владение Кенси/Эривел/Эстрефорд/Айнцберн и Цесмором.</t>
  </si>
  <si>
    <t xml:space="preserve">постоянные поправки, бонусы и исключение штрафов владения.</t>
  </si>
  <si>
    <t xml:space="preserve">небоевые проверки хранятся как параметры, их разрешение вне охвата.</t>
  </si>
  <si>
    <t xml:space="preserve">C+5 с Чистыми, C−10 с Едиными; навык «Сталкер Последнего Рассвета» занимает 1 слот и даёт +4 к прокладыванию маршрута, выслеживанию, обнаружению, скрытности, выживанию, осмотру, молниеносной реакции, уклонению, освобождению из пут; бесштрафное владение Кенси/Эривел/Эстрефорд/Айнцберн и Цесмором.</t>
  </si>
  <si>
    <t xml:space="preserve">§3.4.7.2.1–3.4.7.2.2, стр. 65.</t>
  </si>
  <si>
    <t xml:space="preserve">CORE-013</t>
  </si>
  <si>
    <t xml:space="preserve">Чистый Солдат</t>
  </si>
  <si>
    <t xml:space="preserve">Чистый Солдат.</t>
  </si>
  <si>
    <t xml:space="preserve">выбор класса; соответствующее боевое действие.</t>
  </si>
  <si>
    <t xml:space="preserve">раса Чистый, класс Солдат.</t>
  </si>
  <si>
    <t xml:space="preserve">проверка, оружие/броня, смена цели.</t>
  </si>
  <si>
    <t xml:space="preserve">S+5, D+2, M+5, Z+5; C+5 с Чистыми, C−20 с Едиными; навык «Солдат Последнего Рассвета» занимает 1 слот и даёт +3 к точности ударов руками/ногами, борьбе, точности одноручного/полуторного меча, блокированию и точности ударов щитом; бесштрафны Кастелькросс/Цесмор/Гленхейм, Корнадора/Бларадэ, Кенси/Эривел/Эстрефорд/Айнцберн; смена цели ближней атаки не расходует действие.</t>
  </si>
  <si>
    <t xml:space="preserve">постоянные поправки и боевые исключения.</t>
  </si>
  <si>
    <t xml:space="preserve">необходимое перемещение к новой цели оплачивается обычными действиями.</t>
  </si>
  <si>
    <t xml:space="preserve">выбор класса; соответствующее боевое действие.
C+5 с Чистыми, C−20 с Едиными; навык «Солдат Последнего Рассвета» занимает 1 слот и даёт +3 к точности ударов руками/ногами, борьбе, точности одноручного/полуторного меча, блокированию и точности ударов щитом; бесштрафны Кастелькросс/Цесмор/Гленхейм, Корнадора/Бларадэ, Кенси/Эривел/Эстрефорд/Айнцберн; смена цели ближней атаки не расходует действие.
необходимое перемещение к новой цели оплачивается обычными действиями.</t>
  </si>
  <si>
    <t xml:space="preserve">§3.4.7.3, стр. 65–66.</t>
  </si>
  <si>
    <t xml:space="preserve">CORE-015</t>
  </si>
  <si>
    <t xml:space="preserve">Не реализовывать в Windows-приложении</t>
  </si>
  <si>
    <t xml:space="preserve">Общие правила предметов и крафта</t>
  </si>
  <si>
    <t xml:space="preserve">Время, ресурсы и успех крафта</t>
  </si>
  <si>
    <t xml:space="preserve">предмет / крафт.</t>
  </si>
  <si>
    <t xml:space="preserve">изготовитель</t>
  </si>
  <si>
    <t xml:space="preserve">материалы и время.</t>
  </si>
  <si>
    <t xml:space="preserve">подтверждение начала работы.</t>
  </si>
  <si>
    <t xml:space="preserve">требуемые материалы и инструменты доступны.</t>
  </si>
  <si>
    <t xml:space="preserve">W изготовителя, отдельный срок из описания (если есть).</t>
  </si>
  <si>
    <t xml:space="preserve">Нормативная база (действует во всей непротиворечащей части):
по умолчанию craftHours=max(1,50−W); материалы списать атомарно в начале; отдельной проверки успешности нет; по окончании создать предмет с параметрами CORE-014.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крафт как игровое действие исключён Q-CORE-059</t>
  </si>
  <si>
    <t xml:space="preserve">материалы потрачены, таймер, затем предмет.</t>
  </si>
  <si>
    <t xml:space="preserve">иной явно заданный срок имеет приоритет.
Поздние дельты применяются по приоритету AQ3 &gt; AQ2 &gt; AQA/CQA &gt; базовая карточка; локальное исключение сильнее общего.
Прямое уточнение 2026-07-28 не восстанавливает изготовление, время, материалы или проверку Крафта.</t>
  </si>
  <si>
    <t xml:space="preserve">Нормативная база (действует во всей непротиворечащей части):
крафт как игровое действие исключён Q-CORE-059</t>
  </si>
  <si>
    <t xml:space="preserve">требуемые материалы и инструменты доступны.
по умолчанию craftHours=max(1,50−W); материалы списать атомарно в начале; отдельной проверки успешности нет; по окончании создать предмет с параметрами CORE-014.
материалы потрачены, таймер, затем предмет.</t>
  </si>
  <si>
    <t xml:space="preserve">по умолчанию craftHours=max(1,50−W); материалы списать атомарно в начале; отдельной проверки успешности нет; по окончании создать предмет с параметрами CORE-014.</t>
  </si>
  <si>
    <t xml:space="preserve">W изготовителя, отдельный срок из описания (если есть).
Нормативная база (действует во всей непротиворечащей части):
иной явно заданный срок имеет приоритет.</t>
  </si>
  <si>
    <t xml:space="preserve">§4.1, стр. 67.
Прямое уточнение пользователя 2026-07-28</t>
  </si>
  <si>
    <t xml:space="preserve">Q-CORE-059</t>
  </si>
  <si>
    <t xml:space="preserve">CORE-014
CORE-183
CORE-185</t>
  </si>
  <si>
    <t xml:space="preserve">Патч v1.2</t>
  </si>
  <si>
    <t xml:space="preserve">CORE-017</t>
  </si>
  <si>
    <t xml:space="preserve">Специальные серии ударов оружием</t>
  </si>
  <si>
    <t xml:space="preserve">оружие / стоимость действия.</t>
  </si>
  <si>
    <t xml:space="preserve">атакующий</t>
  </si>
  <si>
    <t xml:space="preserve">оружие с двумя или тремя ударами.</t>
  </si>
  <si>
    <t xml:space="preserve">заявление специальной атаки.</t>
  </si>
  <si>
    <t xml:space="preserve">выполнен требуемый уровень навыка.</t>
  </si>
  <si>
    <t xml:space="preserve">число ударов свойства, доступные действия, цели.</t>
  </si>
  <si>
    <t xml:space="preserve">формулировка «два/три удара за один ход» = одна особая атака за 1 боевое действие, не чаще 1 раза за личный ход; каждый удар полностью разрешается отдельно. Формулировка «за одно боевое действие» без «раз за ход» доступна за каждое имеющееся действие.</t>
  </si>
  <si>
    <t xml:space="preserve">списано действие, отдельно списаны боеприпасы/разрешены попадания.</t>
  </si>
  <si>
    <t xml:space="preserve">Кенси и парные кинжалы/кастеты используют лимит раз за ход.</t>
  </si>
  <si>
    <t xml:space="preserve">число ударов свойства, доступные действия, цели.
формулировка «два/три удара за один ход» = одна особая атака за 1 боевое действие, не чаще 1 раза за личный ход; каждый удар полностью разрешается отдельно.
Формулировка «за одно боевое действие» без «раз за ход» доступна за каждое имеющееся действие.
списано действие, отдельно списаны боеприпасы/разрешены попадания.</t>
  </si>
  <si>
    <t xml:space="preserve">формулировка «два/три удара за один ход» = одна особая атака за 1 боевое действие, не чаще 1 раза за личный ход; каждый удар полностью разрешается отдельно.
Формулировка «за одно боевое действие» без «раз за ход» доступна за каждое имеющееся действие.</t>
  </si>
  <si>
    <t xml:space="preserve">формулировка «два/три удара за один ход» = одна особая атака за 1 боевое действие, не чаще 1 раза за личный ход; каждый удар полностью разрешается отдельно.
Формулировка «за одно боевое действие» без «раз за ход» доступна за каждое имеющееся действие.
Кенси и парные кинжалы/кастеты используют лимит раз за ход.</t>
  </si>
  <si>
    <t xml:space="preserve">таблицы §4.2 и §4.4, стр. 69, 74, 76.</t>
  </si>
  <si>
    <t xml:space="preserve">CORE-018</t>
  </si>
  <si>
    <t xml:space="preserve">Общая работа щита</t>
  </si>
  <si>
    <t xml:space="preserve">щит / защита и прочность.</t>
  </si>
  <si>
    <t xml:space="preserve">владелец щита</t>
  </si>
  <si>
    <t xml:space="preserve">щит.</t>
  </si>
  <si>
    <t xml:space="preserve">успешный блок щитом.</t>
  </si>
  <si>
    <t xml:space="preserve">щит в руках, HP щита &gt;0.</t>
  </si>
  <si>
    <t xml:space="preserve">обычный урон остановленной атаки, текущий HP щита.</t>
  </si>
  <si>
    <t xml:space="preserve">атака не достигает носителя; определить обычный урон атаки без отдельного спасброска брони щита; shieldHP=max(0,shieldHP−damage); избыточный урон при разрушении не переносить на носителя; при 0 HP щит уничтожен и не даёт бонусов до ремонта.</t>
  </si>
  <si>
    <t xml:space="preserve">изменена прочность/состояние щита.</t>
  </si>
  <si>
    <t xml:space="preserve">пассивная броня носителя не проверяется, поскольку атака его не достигает.</t>
  </si>
  <si>
    <t xml:space="preserve">щит в руках, HP щита &gt;0.
обычный урон остановленной атаки, текущий HP щита.
атака не достигает носителя; определить обычный урон атаки без отдельного спасброска брони щита; shieldHP=max(0,shieldHP−damage); избыточный урон при разрушении не переносить на носителя; при 0 HP щит уничтожен и не даёт бонусов до ремонта.</t>
  </si>
  <si>
    <t xml:space="preserve">§4.4, стр. 77–80.</t>
  </si>
  <si>
    <t xml:space="preserve">CORE-019</t>
  </si>
  <si>
    <t xml:space="preserve">Владение щитом</t>
  </si>
  <si>
    <t xml:space="preserve">щит / модификаторы.</t>
  </si>
  <si>
    <t xml:space="preserve">пользователь щита</t>
  </si>
  <si>
    <t xml:space="preserve">атака и блок.</t>
  </si>
  <si>
    <t xml:space="preserve">удар щитом или блок.</t>
  </si>
  <si>
    <t xml:space="preserve">щит в руках.</t>
  </si>
  <si>
    <t xml:space="preserve">наличие/бонус навыка «Владение щитом», бонус щита.</t>
  </si>
  <si>
    <t xml:space="preserve">при навыке прибавить его бонус к атаке/блоку; без навыка применить −5 к атаке и один общий −5 к проверке блока; постоянный +3 самого щита сохраняется, отдельный −3 не добавлять.</t>
  </si>
  <si>
    <t xml:space="preserve">итоговая проверка.</t>
  </si>
  <si>
    <t xml:space="preserve">«Солдат Последнего Рассвета» добавляется там, где прямо указан.</t>
  </si>
  <si>
    <t xml:space="preserve">§4.4, стр. 77–80; §6.2, стр. 106.</t>
  </si>
  <si>
    <t xml:space="preserve">CORE-021</t>
  </si>
  <si>
    <t xml:space="preserve">Каталог оружия</t>
  </si>
  <si>
    <t xml:space="preserve">Лёгкий арбалет</t>
  </si>
  <si>
    <t xml:space="preserve">оружие / арбалет.</t>
  </si>
  <si>
    <t xml:space="preserve">изготовитель и стрелок</t>
  </si>
  <si>
    <t xml:space="preserve">экземпляр лёгкого арбалета.</t>
  </si>
  <si>
    <t xml:space="preserve">создание; выстрел; перезарядка.</t>
  </si>
  <si>
    <t xml:space="preserve">для бесштрафной точности — «Стрельба» либо классовый навык Сталкера/Солдата.</t>
  </si>
  <si>
    <t xml:space="preserve">независимые дайсы, L,Lw; параметры пользователя.</t>
  </si>
  <si>
    <t xml:space="preserve">при создании: Dm=R12+L; затем Rn=R12+Dm+L; затем Rs=ceil(Dm×Rn/(R20+3×Lw)), минимум 1; затем Rd=ceil(2×Rn/Lw), минимум 1. На каждом выстреле Pr=R12, урон = созданный Dm, предел дальности = Rn; перезарядка = 1 боевое действие. Без указанного владения −5 к точности.</t>
  </si>
  <si>
    <t xml:space="preserve">созданные параметры; при выстреле разряжен, после действия снова заряжен.</t>
  </si>
  <si>
    <t xml:space="preserve">общие требования/стрельба/броня CORE-016, CORE-126, CORE-150.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</si>
  <si>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На каждом выстреле Pr=R12, урон = созданный Dm, предел дальности = Rn; перезарядка = 1 боевое действие.
созданные параметры; при выстреле разряжен, после действия снова заряжен.</t>
  </si>
  <si>
    <t xml:space="preserve">при создании: Dm=R12+L; затем Rn=R12+Dm+L; затем Rs=ceil(Dm×Rn/(R20+3×Lw)), минимум 1; затем Rd=ceil(2×Rn/Lw), минимум 1.
На каждом выстреле Pr=R12, урон = созданный Dm, предел дальности = Rn; перезарядка = 1 боевое действие.
FORMULA_MODE=VALIDATION_ONLY; generationEnabled=false. Производственные дайсы не бросаются.</t>
  </si>
  <si>
    <t xml:space="preserve">§4.2, таблица 1, стр. 68.
Прямое уточнение пользователя 2026-07-28</t>
  </si>
  <si>
    <t xml:space="preserve">CORE-016
CORE-126
CORE-150
CORE-183
CORE-184
CORE-185
CORE-189</t>
  </si>
  <si>
    <t xml:space="preserve">CORE-022</t>
  </si>
  <si>
    <t xml:space="preserve">Тяжёлый арбалет</t>
  </si>
  <si>
    <t xml:space="preserve">тяжёлый арбалет.</t>
  </si>
  <si>
    <t xml:space="preserve">«Стрельба» или классовый навык Сталкера/Солдата для отсутствия штрафа.</t>
  </si>
  <si>
    <t xml:space="preserve">независимые дайсы, L,Lw.</t>
  </si>
  <si>
    <t xml:space="preserve">Dm=R20+L; Rn=R12+Dm+L; Rs=ceil(Dm×Rn/(R20+2×Lw)), минимум 1; Rd=ceil(2×Rn/Lw), минимум 1; на выстреле Pr=R20, урон = Dm; перезарядка 1 действие; без владения −5 к точности.</t>
  </si>
  <si>
    <t xml:space="preserve">фиксированные Dm/Rn/Rs/Rd, динамическое пробитие и заряженность.</t>
  </si>
  <si>
    <t xml:space="preserve">общие правила стрельбы.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</si>
  <si>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Rd=ceil(2×Rn/Lw), минимум 1; на выстреле Pr=R20, урон = Dm; перезарядка 1 действие; без владения −5 к точности.</t>
  </si>
  <si>
    <t xml:space="preserve">Dm=R20+L
Rn=R12+Dm+L
Rs=ceil(Dm×Rn/(R20+2×Lw)), минимум 1
Rd=ceil(2×Rn/Lw), минимум 1; на выстреле Pr=R20, урон = Dm; перезарядка 1 действие; без владения −5 к точности.
FORMULA_MODE=VALIDATION_ONLY; generationEnabled=false. Производственные дайсы не бросаются.</t>
  </si>
  <si>
    <t xml:space="preserve">§4.2, таблица 1, стр. 69.
Прямое уточнение пользователя 2026-07-28</t>
  </si>
  <si>
    <t xml:space="preserve">CORE-183
CORE-184
CORE-185
CORE-189</t>
  </si>
  <si>
    <t xml:space="preserve">CORE-023</t>
  </si>
  <si>
    <t xml:space="preserve">Кенси</t>
  </si>
  <si>
    <t xml:space="preserve">оружие / заводской арбалет.</t>
  </si>
  <si>
    <t xml:space="preserve">стрелок</t>
  </si>
  <si>
    <t xml:space="preserve">Кенси.</t>
  </si>
  <si>
    <t xml:space="preserve">экипировка; выстрел; замена магазина.</t>
  </si>
  <si>
    <t xml:space="preserve">S≥8,D≥19; для отсутствия специального штрафа — навык Сталкера/Солдата.</t>
  </si>
  <si>
    <t xml:space="preserve">магазин, цель, навык «Стрельба».</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</si>
  <si>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Кенси: магазин 8 болтов, дальность 20 м, урон 10, Pr=R12 на выстрел; замена магазина = 1 действие; без классового навыка −15 к точности. При «Стрельбе» высокого уровня можно один раз за личный ход за 1 действие выстрелить из двух Кенси (каждый выстрел отдельно); с совершенного уровня каждому назначается собственная цель.</t>
  </si>
  <si>
    <t xml:space="preserve">расход по 1 болту с каждого использованного арбалета; попадания разрешены независимо.</t>
  </si>
  <si>
    <t xml:space="preserve">особая серия CORE-017.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</si>
  <si>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всегда имеет фиксированные параметры и создаётся только на конвейерной линии оружейного завода Кенси: магазин 8 болтов, дальность 20 м, урон 10, Pr=R12 на выстрел; замена магазина = 1 действие; без классового навыка −15 к точности.
При «Стрельбе» высокого уровня можно один раз за личный ход за 1 действие выстрелить из двух Кенси (каждый выстрел отдельно); с совершенного уровня каждому назначается собственная цель.</t>
  </si>
  <si>
    <t xml:space="preserve">всегда имеет фиксированные параметры и создаётся только на конвейерной линии оружейного завода Кенси: магазин 8 болтов, дальность 20 м, урон 10, Pr=R12 на выстрел; замена магазина = 1 действие; без классового навыка −15 к точности.</t>
  </si>
  <si>
    <t xml:space="preserve">При «Стрельбе» высокого уровня можно один раз за личный ход за 1 действие выстрелить из двух Кенси (каждый выстрел отдельно); с совершенного уровня каждому назначается собственная цель.</t>
  </si>
  <si>
    <t xml:space="preserve">CORE-017
CORE-186
CORE-187
CORE-188
CORE-189
CORE-190</t>
  </si>
  <si>
    <t xml:space="preserve">CORE-024</t>
  </si>
  <si>
    <t xml:space="preserve">Эривел</t>
  </si>
  <si>
    <t xml:space="preserve">Эривел.</t>
  </si>
  <si>
    <t xml:space="preserve">выстрел или замена магазина.</t>
  </si>
  <si>
    <t xml:space="preserve">S≥16,D≥12; классовый навык Сталкера/Солдата для отсутствия −15.</t>
  </si>
  <si>
    <t xml:space="preserve">магазин, отдельные R20 пробития и урона.</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</si>
  <si>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Эривела: магазин 4 болта; замена = 1 действие; дальность 30 м; на каждом выстреле Pr=R20, damage=2×R20; без классового навыка −15 к точности.</t>
  </si>
  <si>
    <t xml:space="preserve">расход 1 болта; динамические Pr/damage.</t>
  </si>
  <si>
    <t xml:space="preserve">каждый символ дайса независим.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</si>
  <si>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всегда имеет фиксированные параметры и создаётся только на конвейерной линии оружейного завода Эривела: магазин 4 болта; замена = 1 действие; дальность 30 м; на каждом выстреле Pr=R20, damage=2×R20; без классового навыка −15 к точности.</t>
  </si>
  <si>
    <t xml:space="preserve">магазин, отдельные R20 пробития и урона.
всегда имеет фиксированные параметры и создаётся только на конвейерной линии оружейного завода Эривела: магазин 4 болта; замена = 1 действие; дальность 30 м; на каждом выстреле Pr=R20, damage=2×R20; без классового навыка −15 к точности.</t>
  </si>
  <si>
    <t xml:space="preserve">CORE-186
CORE-187
CORE-188
CORE-189
CORE-190</t>
  </si>
  <si>
    <t xml:space="preserve">CORE-025</t>
  </si>
  <si>
    <t xml:space="preserve">Эстрефорд</t>
  </si>
  <si>
    <t xml:space="preserve">Эстрефорд.</t>
  </si>
  <si>
    <t xml:space="preserve">выстрел/перезарядка.</t>
  </si>
  <si>
    <t xml:space="preserve">S≥19,D≥14; классовый навык Сталкера/Солдата для отсутствия −15.</t>
  </si>
  <si>
    <t xml:space="preserve">заряженность, цель.</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</si>
  <si>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Эстрефорда: дальность 30 м, Pr=16, damage=30, перезарядка 1 действие; без классового навыка −15 к точности.</t>
  </si>
  <si>
    <t xml:space="preserve">после выстрела разряжен.</t>
  </si>
  <si>
    <t xml:space="preserve">общие правила.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</si>
  <si>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всегда имеет фиксированные параметры и создаётся только на конвейерной линии оружейного завода Эстрефорда: дальность 30 м, Pr=16, damage=30, перезарядка 1 действие; без классового навыка −15 к точности.</t>
  </si>
  <si>
    <t xml:space="preserve">§4.2, таблица 1, стр. 70.
Прямое уточнение пользователя 2026-07-28</t>
  </si>
  <si>
    <t xml:space="preserve">CORE-032</t>
  </si>
  <si>
    <t xml:space="preserve">Одноручный меч</t>
  </si>
  <si>
    <t xml:space="preserve">оружие / ближний бой.</t>
  </si>
  <si>
    <t xml:space="preserve">изготовитель и атакующий</t>
  </si>
  <si>
    <t xml:space="preserve">одноручный меч.</t>
  </si>
  <si>
    <t xml:space="preserve">создание; атака.</t>
  </si>
  <si>
    <t xml:space="preserve">«Фехтование» либо −5.</t>
  </si>
  <si>
    <t xml:space="preserve">L,Lw,Ls, S,D, дайсы атаки.</t>
  </si>
  <si>
    <t xml:space="preserve">Rs=max(9,ceil((80−(Lw+Ls)/2)/(R6+L))); Rd по той же формуле и минимуму; точность D, урон S, навык «Фехтование»; Pr=R12, базовый damage=R20.</t>
  </si>
  <si>
    <t xml:space="preserve">обычная оружейная атака.</t>
  </si>
  <si>
    <t xml:space="preserve">CORE-020.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</si>
  <si>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Rs=max(9,ceil((80−(Lw+Ls)/2)/(R6+L)))
Rd по той же формуле и минимуму; точность D, урон S, навык «Фехтование»
Pr=R12, базовый damage=R20.
FORMULA_MODE=VALIDATION_ONLY; generationEnabled=false. Производственные дайсы не бросаются.</t>
  </si>
  <si>
    <t xml:space="preserve">§4.4, таблица 3, стр. 73.
Прямое уточнение пользователя 2026-07-28</t>
  </si>
  <si>
    <t xml:space="preserve">CORE-020
CORE-183
CORE-184
CORE-185
CORE-189</t>
  </si>
  <si>
    <t xml:space="preserve">CORE-034</t>
  </si>
  <si>
    <t xml:space="preserve">Двуручный меч</t>
  </si>
  <si>
    <t xml:space="preserve">двуручный меч.</t>
  </si>
  <si>
    <t xml:space="preserve">создание; атака/метание.</t>
  </si>
  <si>
    <t xml:space="preserve">L,Lw,Ls.</t>
  </si>
  <si>
    <t xml:space="preserve">Rs=max(12,ceil((100−(Lw+Ls)/2)/(R4+L))); Rd=max(9,ceil((80−(Lw+Ls)/2)/(R6+L))); Pr=R20+5, базовый damage=R20+5; S — урон, D — точность; при метании дополнительный −10 к проверкам метания.</t>
  </si>
  <si>
    <t xml:space="preserve">обычная атака.</t>
  </si>
  <si>
    <t xml:space="preserve">штрафы метания CORE-128/CORE-129 складываются.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</si>
  <si>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Rs=max(12,ceil((100−(Lw+Ls)/2)/(R4+L)))
Rd=max(9,ceil((80−(Lw+Ls)/2)/(R6+L)))
Pr=R20+5, базовый damage=R20+5
FORMULA_MODE=VALIDATION_ONLY; generationEnabled=false. Производственные дайсы не бросаются.</t>
  </si>
  <si>
    <t xml:space="preserve">§4.4, таблица 3, стр. 74.
Прямое уточнение пользователя 2026-07-28</t>
  </si>
  <si>
    <t xml:space="preserve">CORE-128
CORE-129
CORE-183
CORE-184
CORE-185
CORE-189</t>
  </si>
  <si>
    <t xml:space="preserve">CORE-035</t>
  </si>
  <si>
    <t xml:space="preserve">Шпага</t>
  </si>
  <si>
    <t xml:space="preserve">шпага.</t>
  </si>
  <si>
    <t xml:space="preserve">создание; атака/парирование/метание.</t>
  </si>
  <si>
    <t xml:space="preserve">L,Lw,Ls, D.</t>
  </si>
  <si>
    <t xml:space="preserve">Rs=max(5,ceil((50−(Lw+Ls)/2)/(R6+L))); Rd=max(12,ceil((100−(Lw+Ls)/2)/(R4+L))); +5 к парированию; Pr=R12, базовый damage=R12; D модифицирует точность и урон; метание получает −10.</t>
  </si>
  <si>
    <t xml:space="preserve">атака или защитный бонус.</t>
  </si>
  <si>
    <t xml:space="preserve">парирование CORE-147.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</si>
  <si>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Rs=max(5,ceil((50−(Lw+Ls)/2)/(R6+L)))
Rd=max(12,ceil((100−(Lw+Ls)/2)/(R4+L))); +5 к парированию
Pr=R12, базовый damage=R12
FORMULA_MODE=VALIDATION_ONLY; generationEnabled=false. Производственные дайсы не бросаются.</t>
  </si>
  <si>
    <t xml:space="preserve">CORE-147
CORE-183
CORE-184
CORE-185
CORE-189</t>
  </si>
  <si>
    <t xml:space="preserve">CORE-036</t>
  </si>
  <si>
    <t xml:space="preserve">Копьё</t>
  </si>
  <si>
    <t xml:space="preserve">копьё.</t>
  </si>
  <si>
    <t xml:space="preserve">создание; атака/упреждение.</t>
  </si>
  <si>
    <t xml:space="preserve">«Владение копьём» либо −2.</t>
  </si>
  <si>
    <t xml:space="preserve">L,Lw,Ls, S,D.</t>
  </si>
  <si>
    <t xml:space="preserve">Rs=max(7,ceil((70−(Lw+Ls)/2)/(R6+L))); Rd=max(6,ceil((70−(Lw+Ls)/2)/(R6+L))); +3 к проверке упреждающего удара; Pr=R12, базовый damage=R12; D точность, S урон.</t>
  </si>
  <si>
    <t xml:space="preserve">атака/защитный бонус.</t>
  </si>
  <si>
    <t xml:space="preserve">упреждающий удар CORE-148.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</si>
  <si>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Rs=max(7,ceil((70−(Lw+Ls)/2)/(R6+L)))
Rd=max(6,ceil((70−(Lw+Ls)/2)/(R6+L))); +3 к проверке упреждающего удара
Pr=R12, базовый damage=R12
FORMULA_MODE=VALIDATION_ONLY; generationEnabled=false. Производственные дайсы не бросаются.</t>
  </si>
  <si>
    <t xml:space="preserve">CORE-148
CORE-183
CORE-184
CORE-185
CORE-189</t>
  </si>
  <si>
    <t xml:space="preserve">CORE-042</t>
  </si>
  <si>
    <t xml:space="preserve">Кастет</t>
  </si>
  <si>
    <t xml:space="preserve">оружие / рукопашный бой.</t>
  </si>
  <si>
    <t xml:space="preserve">кастет.</t>
  </si>
  <si>
    <t xml:space="preserve">навык «Рукопашный бой» для специальной серии; без навыка применяется общий штраф рукопашного боя.</t>
  </si>
  <si>
    <t xml:space="preserve">L,Lw,Ls, S,D, уровень навыка.</t>
  </si>
  <si>
    <t xml:space="preserve">Rs=max(9,ceil((60−(Lw+Ls)/2)/(R4+L))); Rd=max(12,ceil((80−(Lw+Ls)/2)/(R4+L))); Pr=R6, базовый damage=R6; S урон, D точность; высокий навык — два удара за одно действие не чаще раза за ход, абсолютный — добавить удар ногой без пробития; метание −10.</t>
  </si>
  <si>
    <t xml:space="preserve">до трёх независимо разрешаемых ударов.</t>
  </si>
  <si>
    <t xml:space="preserve">специальная серия CORE-017; обычные удары рукой/ногой CORE-136.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</si>
  <si>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S урон, D точность; высокий навык — два удара за одно действие не чаще раза за ход, абсолютный — добавить удар ногой без пробития; метание −10.</t>
  </si>
  <si>
    <t xml:space="preserve">Rs=max(9,ceil((60−(Lw+Ls)/2)/(R4+L)))
Rd=max(12,ceil((80−(Lw+Ls)/2)/(R4+L)))
Pr=R6, базовый damage=R6
FORMULA_MODE=VALIDATION_ONLY; generationEnabled=false. Производственные дайсы не бросаются.</t>
  </si>
  <si>
    <t xml:space="preserve">§4.4, таблица 3, стр. 76.
Прямое уточнение пользователя 2026-07-28</t>
  </si>
  <si>
    <t xml:space="preserve">CORE-017
CORE-136
CORE-183
CORE-184
CORE-185
CORE-189</t>
  </si>
  <si>
    <t xml:space="preserve">CORE-049</t>
  </si>
  <si>
    <t xml:space="preserve">Доспехи</t>
  </si>
  <si>
    <t xml:space="preserve">Кожаный доспех</t>
  </si>
  <si>
    <t xml:space="preserve">броня / элемент.</t>
  </si>
  <si>
    <t xml:space="preserve">носитель</t>
  </si>
  <si>
    <t xml:space="preserve">элемент кожаного доспеха.</t>
  </si>
  <si>
    <t xml:space="preserve">экипировка; попадание в закрытую зону.</t>
  </si>
  <si>
    <t xml:space="preserve">на каждый элемент требуется S=2.</t>
  </si>
  <si>
    <t xml:space="preserve">закрытая зона, R6 брони.</t>
  </si>
  <si>
    <t xml:space="preserve">Нормативная база (действует во всей непротиворечащей части):
каждый слой/элемент даёт R6 к общей броне зоны; шлем не закрывает лицо и не даёт иммунитет к болевым приёмам на лице/выдавливанию глаз.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неисполняемую оговорку о выдавливании глаз; оставить защиту лица/болевых приёмов</t>
  </si>
  <si>
    <t xml:space="preserve">слой брони зоны.</t>
  </si>
  <si>
    <t xml:space="preserve">наслаивание CORE-151.
Поздние дельты применяются по приоритету AQ3 &gt; AQ2 &gt; AQA/CQA &gt; базовая карточка; локальное исключение сильнее общего.</t>
  </si>
  <si>
    <t xml:space="preserve">на каждый элемент требуется S=2.
закрытая зона, R6 брони.
каждый слой/элемент даёт R6 к общей броне зоны; шлем не закрывает лицо и не даёт иммунитет к болевым приёмам на лице/выдавливанию глаз.
[Обязательная правка] Эта формулировка имеет приоритет над исходным текстом карточки.</t>
  </si>
  <si>
    <t xml:space="preserve">§4.5, таблица 4, стр. 81.</t>
  </si>
  <si>
    <t xml:space="preserve">CORE-151</t>
  </si>
  <si>
    <t xml:space="preserve">CORE-052</t>
  </si>
  <si>
    <t xml:space="preserve">Латы</t>
  </si>
  <si>
    <t xml:space="preserve">броня / элементы.</t>
  </si>
  <si>
    <t xml:space="preserve">латы.</t>
  </si>
  <si>
    <t xml:space="preserve">экипировка, попадание, удушение, бег/акробатика.</t>
  </si>
  <si>
    <t xml:space="preserve">S=4 за элемент.</t>
  </si>
  <si>
    <t xml:space="preserve">зоны и число элементов.</t>
  </si>
  <si>
    <t xml:space="preserve">каждый слой зоны armor+=R20; голова+корпус дают иммунитет к удушающему приёму; −2 к бегу/акробатике за элемент; если элементов &gt;2, M−=5 один раз.</t>
  </si>
  <si>
    <t xml:space="preserve">броня, штрафы, иммунитет.</t>
  </si>
  <si>
    <t xml:space="preserve">наслаивание CORE-151.</t>
  </si>
  <si>
    <t xml:space="preserve">S=4 за элемент.
каждый слой зоны armor+=R20; голова+корпус дают иммунитет к удушающему приёму; −2 к бегу/акробатике за элемент; если элементов &gt;2, M−=5 один раз.</t>
  </si>
  <si>
    <t xml:space="preserve">§4.5, таблица 4, стр. 82.</t>
  </si>
  <si>
    <t xml:space="preserve">CORE-054</t>
  </si>
  <si>
    <t xml:space="preserve">Кастелькросс</t>
  </si>
  <si>
    <t xml:space="preserve">броня / цельный костюм.</t>
  </si>
  <si>
    <t xml:space="preserve">Кастелькросс.</t>
  </si>
  <si>
    <t xml:space="preserve">экипировка, попадание, псионика, перемещение.</t>
  </si>
  <si>
    <t xml:space="preserve">S≥20; цельный; без «Солдата Последнего Рассвета» −15 к перемещениям.</t>
  </si>
  <si>
    <t xml:space="preserve">R20 брони, вид воздействия.</t>
  </si>
  <si>
    <t xml:space="preserve">armor=R20; псионический урон уменьшить на 5 и к встречным проверкам против псионического контроля/чтения/иллюзий +5; иммунитет к удушающему приёму; −6 к бегу/акробатике; M−=3; псионическая защита не защищает от химических феромонов.</t>
  </si>
  <si>
    <t xml:space="preserve">броня/сопротивление/штрафы.</t>
  </si>
  <si>
    <t xml:space="preserve">конкретная способность может устанавливать иммунитет или не действовать при любой защите.</t>
  </si>
  <si>
    <t xml:space="preserve">R20 брони, вид воздействия.
armor=R20; псионический урон уменьшить на 5 и к встречным проверкам против псионического контроля/чтения/иллюзий +5; иммунитет к удушающему приёму; −6 к бегу/акробатике
M−=3; псионическая защита не защищает от химических феромонов.</t>
  </si>
  <si>
    <t xml:space="preserve">§4.5, таблица 4, стр. 82; §5.4.3.6, стр. 97–98.</t>
  </si>
  <si>
    <t xml:space="preserve">CORE-055</t>
  </si>
  <si>
    <t xml:space="preserve">Цесмор</t>
  </si>
  <si>
    <t xml:space="preserve">Цесмор.</t>
  </si>
  <si>
    <t xml:space="preserve">экипировка, попадание, перемещение.</t>
  </si>
  <si>
    <t xml:space="preserve">S≥14; цельный; без навыка Сталкера/Солдата −15 к перемещениям.</t>
  </si>
  <si>
    <t xml:space="preserve">R20 брони.</t>
  </si>
  <si>
    <t xml:space="preserve">закрытые зоны получают armor=R20; применить специальный штраф при отсутствии класса.</t>
  </si>
  <si>
    <t xml:space="preserve">броня и модификатор движения.</t>
  </si>
  <si>
    <t xml:space="preserve">классы CORE-010/013 отменяют специальный штраф.</t>
  </si>
  <si>
    <t xml:space="preserve">R20 брони.
закрытые зоны получают armor=R20; применить специальный штраф при отсутствии класса.</t>
  </si>
  <si>
    <t xml:space="preserve">CORE-056</t>
  </si>
  <si>
    <t xml:space="preserve">Гленхейм</t>
  </si>
  <si>
    <t xml:space="preserve">Гленхейм.</t>
  </si>
  <si>
    <t xml:space="preserve">экипировка, попадание, движение, попытка борьбы.</t>
  </si>
  <si>
    <t xml:space="preserve">S≥24; цельный; без «Солдата Последнего Рассвета» −15 к перемещениям.</t>
  </si>
  <si>
    <t xml:space="preserve">один R20 брони.</t>
  </si>
  <si>
    <t xml:space="preserve">armor=2×R20+5; −12 к бегу/акробатике, −6 к уклонению, M−=5; «фиксированный ход суставов» даёт иммунитет к попыткам травмирующего и удушающего приёма.</t>
  </si>
  <si>
    <t xml:space="preserve">высокая броня, штрафы, иммунитеты.</t>
  </si>
  <si>
    <t xml:space="preserve">обычная травма от пробившей атаки не отменяется.</t>
  </si>
  <si>
    <t xml:space="preserve">один R20 брони.
armor=2×R20+5; −12 к бегу/акробатике, −6 к уклонению, M−=5; «фиксированный ход суставов» даёт иммунитет к попыткам травмирующего и удушающего приёма.</t>
  </si>
  <si>
    <t xml:space="preserve">§4.5, таблица 4, стр. 83.</t>
  </si>
  <si>
    <t xml:space="preserve">CORE-060</t>
  </si>
  <si>
    <t xml:space="preserve">Фармацевтика</t>
  </si>
  <si>
    <t xml:space="preserve">Отвар, приводящий в сознание</t>
  </si>
  <si>
    <t xml:space="preserve">фармацевтика / реанимация.</t>
  </si>
  <si>
    <t xml:space="preserve">цель</t>
  </si>
  <si>
    <t xml:space="preserve">тяжёлое ранение, сон, паралич.</t>
  </si>
  <si>
    <t xml:space="preserve">допустимый приём дозы.</t>
  </si>
  <si>
    <t xml:space="preserve">не более 3 доз за скользящие 24 часа.</t>
  </si>
  <si>
    <t xml:space="preserve">состояния цели.</t>
  </si>
  <si>
    <t xml:space="preserve">снять тяжёлое ранение и установить HP=1; прекратить снотворное и паралитик без проверок; остановить таймер смерти.</t>
  </si>
  <si>
    <t xml:space="preserve">цель в сознании, HP 1 при реанимации.</t>
  </si>
  <si>
    <t xml:space="preserve">окончательную смерть не отменяет.</t>
  </si>
  <si>
    <t xml:space="preserve">допустимый приём дозы.
не более 3 доз за скользящие 24 часа.
снять тяжёлое ранение и установить HP=1; прекратить снотворное и паралитик без проверок; остановить таймер смерти.
цель в сознании, HP 1 при реанимации.</t>
  </si>
  <si>
    <t xml:space="preserve">§4.6, таблица 5, стр. 83–84; §5.5, стр. 104.</t>
  </si>
  <si>
    <t xml:space="preserve">CORE-064</t>
  </si>
  <si>
    <t xml:space="preserve">Восстанавливающий отвар</t>
  </si>
  <si>
    <t xml:space="preserve">фармацевтика / лечение.</t>
  </si>
  <si>
    <t xml:space="preserve">HP.</t>
  </si>
  <si>
    <t xml:space="preserve">допустимый приём.</t>
  </si>
  <si>
    <t xml:space="preserve">≤2 доз/24ч; цель не в тяжёлом ранении либо эффект прямо выводит — здесь не выводит.</t>
  </si>
  <si>
    <t xml:space="preserve">текущие/максимальные HP.</t>
  </si>
  <si>
    <t xml:space="preserve">HP=min(maxHP,HP+25).</t>
  </si>
  <si>
    <t xml:space="preserve">восстановление HP.</t>
  </si>
  <si>
    <t xml:space="preserve">не реанимирует CORE-156.</t>
  </si>
  <si>
    <t xml:space="preserve">≤2 доз/24ч; цель не в тяжёлом ранении либо эффект прямо выводит — здесь не выводит.
текущие/максимальные HP.
HP=min(maxHP,HP+25).
восстановление HP.</t>
  </si>
  <si>
    <t xml:space="preserve">§4.6, таблица 5, стр. 84.</t>
  </si>
  <si>
    <t xml:space="preserve">CORE-156</t>
  </si>
  <si>
    <t xml:space="preserve">CORE-066</t>
  </si>
  <si>
    <t xml:space="preserve">Таблетка ночного зрения</t>
  </si>
  <si>
    <t xml:space="preserve">фармацевтика / восприятие.</t>
  </si>
  <si>
    <t xml:space="preserve">Чистый</t>
  </si>
  <si>
    <t xml:space="preserve">зрение.</t>
  </si>
  <si>
    <t xml:space="preserve">приём.</t>
  </si>
  <si>
    <t xml:space="preserve">раса Чистый; ≤2 доз/24ч.</t>
  </si>
  <si>
    <t xml:space="preserve">время.</t>
  </si>
  <si>
    <t xml:space="preserve">на 2 часа видеть в темноте как днём; повтор обновляет 2 часа.</t>
  </si>
  <si>
    <t xml:space="preserve">временный флаг зрения.</t>
  </si>
  <si>
    <t xml:space="preserve">числовые штрафы темноты в анализируемых разделах не заданы.</t>
  </si>
  <si>
    <t xml:space="preserve">CORE-067</t>
  </si>
  <si>
    <t xml:space="preserve">Таблетка бритвенных рефлексов</t>
  </si>
  <si>
    <t xml:space="preserve">фармацевтика / бой.</t>
  </si>
  <si>
    <t xml:space="preserve">уклонение и парирование.</t>
  </si>
  <si>
    <t xml:space="preserve">раса Чистый; ≤3 доз/24ч.</t>
  </si>
  <si>
    <t xml:space="preserve">независимый R20 длительности.</t>
  </si>
  <si>
    <t xml:space="preserve">длительность max(1,round_math(R20/3)) личных ходов; на срок +3 к уклонению и парированию; повтор не складывает, обновляет срок.</t>
  </si>
  <si>
    <t xml:space="preserve">временный эффект.</t>
  </si>
  <si>
    <t xml:space="preserve">общая длительность CORE-101.</t>
  </si>
  <si>
    <t xml:space="preserve">независимый R20 длительности.
длительность max(1,round_math(R20/3)) личных ходов; на срок +3 к уклонению и парированию; повтор не складывает, обновляет срок.</t>
  </si>
  <si>
    <t xml:space="preserve">CORE-101</t>
  </si>
  <si>
    <t xml:space="preserve">CORE-070</t>
  </si>
  <si>
    <t xml:space="preserve">Таблетка куража</t>
  </si>
  <si>
    <t xml:space="preserve">фармацевтика / серия.</t>
  </si>
  <si>
    <t xml:space="preserve">серия приёмов.</t>
  </si>
  <si>
    <t xml:space="preserve">приём в существующей боевой ситуации.</t>
  </si>
  <si>
    <t xml:space="preserve">раса Чистый; ≤4 доз/24ч.</t>
  </si>
  <si>
    <t xml:space="preserve">текущий бой.</t>
  </si>
  <si>
    <t xml:space="preserve">seriesBonus=+1 до конца боя; если первая доза принята в собственный текущий ход после расчёта серии, немедленно увеличить combatActionsRemaining на 1; повтор не увеличивает бонус/остаток, лишь обновляет эффект (практически до того же конца боя).</t>
  </si>
  <si>
    <t xml:space="preserve">+1 боевое действие в текущем и каждом следующем личном ходу этого боя.</t>
  </si>
  <si>
    <t xml:space="preserve">может увеличить серию выше 5.</t>
  </si>
  <si>
    <t xml:space="preserve">раса Чистый; ≤4 доз/24ч.
seriesBonus=+1 до конца боя; если первая доза принята в собственный текущий ход после расчёта серии, немедленно увеличить combatActionsRemaining на 1; повтор не увеличивает бонус/остаток, лишь обновляет эффект (практически до того же конца боя).</t>
  </si>
  <si>
    <t xml:space="preserve">seriesBonus=+1 до конца боя; если первая доза принята в собственный текущий ход после расчёта серии, немедленно увеличить combatActionsRemaining на 1; повтор не увеличивает бонус/остаток, лишь обновляет эффект (практически до того же конца боя).
+1 боевое действие в текущем и каждом следующем личном ходу этого боя.</t>
  </si>
  <si>
    <t xml:space="preserve">CORE-071</t>
  </si>
  <si>
    <t xml:space="preserve">Восстанавливающая таблетка</t>
  </si>
  <si>
    <t xml:space="preserve">фармацевтика / периодическое лечение.</t>
  </si>
  <si>
    <t xml:space="preserve">приём; конец каждого личного хода цели.</t>
  </si>
  <si>
    <t xml:space="preserve">раса Чистый; ≤5 доз/24ч; существующий бой.</t>
  </si>
  <si>
    <t xml:space="preserve">HP/maxHP.</t>
  </si>
  <si>
    <t xml:space="preserve">до конца боя в конце каждого хода HP=min(maxHP,HP+5); повтор не складывает.</t>
  </si>
  <si>
    <t xml:space="preserve">периодический эффект.</t>
  </si>
  <si>
    <t xml:space="preserve">обычное лечение не действует в тяжёлом ранении.</t>
  </si>
  <si>
    <t xml:space="preserve">раса Чистый; ≤5 доз/24ч; существующий бой.
HP/maxHP.
до конца боя в конце каждого хода HP=min(maxHP,HP+5); повтор не складывает.</t>
  </si>
  <si>
    <t xml:space="preserve">приём; конец каждого личного хода цели.
до конца боя в конце каждого хода HP=min(maxHP,HP+5); повтор не складывает.</t>
  </si>
  <si>
    <t xml:space="preserve">§4.6, таблица 5, стр. 84; §5.4.2.5, стр. 95.</t>
  </si>
  <si>
    <t xml:space="preserve">CORE-073</t>
  </si>
  <si>
    <t xml:space="preserve">Базовые проверки, значения и критичность</t>
  </si>
  <si>
    <t xml:space="preserve">Проверка характеристики</t>
  </si>
  <si>
    <t xml:space="preserve">базовая механика / проверка.</t>
  </si>
  <si>
    <t xml:space="preserve">Мастер / игрок / система</t>
  </si>
  <si>
    <t xml:space="preserve">действующий персонаж</t>
  </si>
  <si>
    <t xml:space="preserve">заявленное действие.</t>
  </si>
  <si>
    <t xml:space="preserve">мастер назначил проверку.</t>
  </si>
  <si>
    <t xml:space="preserve">игрок до броска заявил намерение и способ; мастер назвал характеристику, навык, сложность и очевидные последствия провала.</t>
  </si>
  <si>
    <t xml:space="preserve">R20, значение характеристики, применимые навыки/эффекты.
[Боевой override] combat.active, allowCritical, rawFace, criticalPolarity, criticalGrade и снимок разрешённых модификаторов.
originRollId, rollSource, dieType, rawFace, rollKind, actorType.</t>
  </si>
  <si>
    <t xml:space="preserve">Сначала зафиксировать ordinaryTotal=R20+characteristic+allowedModifiers. Если combat.active=true и проверка допускает критичность, сырая грань R20 проходит CORE-082–084 и CORE-229 до сравнения с difficulty: подтверждённый критический успех автоматически успешно разрешает текущую проверку независимо от ordinaryTotal; подтверждённый критический провал автоматически проваливает её. При grade=0 применяется обычное result≥difficulty. Вне боевой ситуации действует прежнее математическое сравнение; критическая градация сама по себе не меняет обычный исход.
После фиксации исходной натуральной грани передать оригинальный D20 в CORE-230; итог формулы 1/20 без rawFace не является событием прогрессии.</t>
  </si>
  <si>
    <t xml:space="preserve">finalCheckSuccess, ordinaryTotal, criticalPolarity, criticalGrade и причина разрешения.
Создаётся не более одного symbiontXpEvent на originRollId.</t>
  </si>
  <si>
    <t xml:space="preserve">чистые проверки CORE-074; критическая процедура CORE-082–CORE-085.
Боевой override применяется только к допускающей критичность проверке по CORE-229; исключённые виды бросков CORE-074/082 остаются исключёнными.
Manual и Auto используют одну серверную ветвь; броски подтверждения и подстановки исключены.</t>
  </si>
  <si>
    <t xml:space="preserve">R20, значение характеристики, применимые навыки/эффекты.
result=R20+characteristic+allowedModifiers; против фиксированной сложности result≥difficulty = успех.</t>
  </si>
  <si>
    <t xml:space="preserve">Шкала по умолчанию: 10 простое, 15 обычное, 20 трудное, 25 очень трудное, 30 исключительное, 35 почти невозможное; мастер может назначить иное.
В бою сначала сравнить ordinaryTotal с difficulty и из-за этого не запустить подтверждение натуральной 20/1.</t>
  </si>
  <si>
    <t xml:space="preserve">§5.1, стр. 85–86.
Прямое уточнение пользователя 2026-07-29 — боевой приоритет критов
Прямое авторское решение Q-SYMBIONT-XP-001 — опыт симбионтов за natural 20/1, 2026-07-30</t>
  </si>
  <si>
    <t xml:space="preserve">Q-COMBAT-CRIT-001
Q-SYMBIONT-XP-001</t>
  </si>
  <si>
    <t xml:space="preserve">CORE-074
CORE-082
CORE-085
CORE-229
CORE-083
CORE-084
CORE-230</t>
  </si>
  <si>
    <t xml:space="preserve">Патч v1.6 (опыт симбионтов)</t>
  </si>
  <si>
    <t xml:space="preserve">CORE-074</t>
  </si>
  <si>
    <t xml:space="preserve">Чистый результат и чистая проверка</t>
  </si>
  <si>
    <t xml:space="preserve">базовая механика / тип броска.</t>
  </si>
  <si>
    <t xml:space="preserve">любой бросающий</t>
  </si>
  <si>
    <t xml:space="preserve">результат.</t>
  </si>
  <si>
    <t xml:space="preserve">правило требует «чистый» бросок/результат.</t>
  </si>
  <si>
    <t xml:space="preserve">нет.</t>
  </si>
  <si>
    <t xml:space="preserve">дайс, явно записанные фиксированные числа/множители.</t>
  </si>
  <si>
    <t xml:space="preserve">чистый результат = грань дайса до модификаторов; чистая проверка не прибавляет характеристику/навык, но сохраняет числа и множители формулы (R20+5 остаётся чистой).
Чистый математический итог не создаёт прогрессию; только rawFace оригинального D20 передаётся CORE-230.</t>
  </si>
  <si>
    <t xml:space="preserve">числовой результат.</t>
  </si>
  <si>
    <t xml:space="preserve">броски урона/пробития/брони/длительности/зоны/таблиц не являются проверками действия без прямого указания.
Формульное значение 1 или 20 не заменяет натуральную грань.</t>
  </si>
  <si>
    <t xml:space="preserve">броски урона/пробития/брони/длительности/зоны/таблиц не являются проверками действия без прямого указания.</t>
  </si>
  <si>
    <t xml:space="preserve">чистый результат = грань дайса до модификаторов; чистая проверка не прибавляет характеристику/навык, но сохраняет числа и множители формулы (R20+5 остаётся чистой).</t>
  </si>
  <si>
    <t xml:space="preserve">Сохранять rawFace отдельно от ordinaryTotal.</t>
  </si>
  <si>
    <t xml:space="preserve">§5.1, стр. 86.
Прямое авторское решение Q-SYMBIONT-XP-001 — опыт симбионтов за natural 20/1, 2026-07-30</t>
  </si>
  <si>
    <t xml:space="preserve">Q-SYMBIONT-XP-001</t>
  </si>
  <si>
    <t xml:space="preserve">CORE-230</t>
  </si>
  <si>
    <t xml:space="preserve">CORE-075</t>
  </si>
  <si>
    <t xml:space="preserve">Встречная проверка и равенство</t>
  </si>
  <si>
    <t xml:space="preserve">базовая механика / сравнение.</t>
  </si>
  <si>
    <t xml:space="preserve">инициатор и противодействующая цель.</t>
  </si>
  <si>
    <t xml:space="preserve">действие требует превысить результат цели.</t>
  </si>
  <si>
    <t xml:space="preserve">цель может и желает выполнять встречную проверку.</t>
  </si>
  <si>
    <t xml:space="preserve">ordinaryTotal и снимок модификаторов каждой стороны; rawFace, criticalPolarity и criticalGrade каждой стороны; DefenseChoice.
originRollId и собственная rawFace каждого участника.</t>
  </si>
  <si>
    <t xml:space="preserve">Вне боевой ситуации изменение по-прежнему происходит только при строгом initiatorTotal&gt;opponentTotal; равенство сохраняет положение. В боевой встречной проверке сначала применить CORE-229. Порядок: (1) единственный подтверждённый критический успех выигрывает текущую проверку независимо от итогов и критического провала другой стороны; (2) при двух критических успехах сравниваются только градации; (3) при равных положительных градациях без нового броска пересчитать оба ordinaryTotal из исходных снимков так, как если бы rawFace каждой стороны был равен 20, criticalGrade=0 и подтверждения не было, затем применить строгое сравнение, причём равенство сохраняет защиту/status quo; (4) если положительных критов нет, проверка с подтверждённым критическим провалом автоматически провалена; при критическом провале обеих сторон обе проверки провалены и инициирующее изменение не происходит; (5) если подтверждённых критов нет, применяется обычное строгое сравнение. DefenseChoice=NONE разрешается по CORE-217.
Прогрессия определяется отдельно по собственной грани участника до выбора победителя; проигрыш встречной проверки событие не отменяет.</t>
  </si>
  <si>
    <t xml:space="preserve">winner=INITIATOR|OPPONENT|STATUS_QUO, resolutionMode, ordinaryTotals, criticalGrades.</t>
  </si>
  <si>
    <t xml:space="preserve">конкретное правило может задать фиксированную сложность/автоматический успех.
Локальный прямой автоматический исход конкретной способности сильнее общего порядка; SYM-066 отражает допустимую атаку независимо от её критичности.</t>
  </si>
  <si>
    <t xml:space="preserve">equalPositiveGrade: replayRoll=false; comparisonFaceInitiator=20; comparisonFaceOpponent=20; затем initiatorTotal&gt;opponentTotal.</t>
  </si>
  <si>
    <t xml:space="preserve">Если цель не выполняет встречную проверку, её броска нет; атака попадает после остальных условий, пассивная броня остаётся.
Сравнить обычные суммы раньше критических градаций; выполнить новый бросок при равных градациях; объявить успешной проверку с подтверждённым критическим провалом.</t>
  </si>
  <si>
    <t xml:space="preserve">Не объединять originRollId противостоящих сторон.</t>
  </si>
  <si>
    <t xml:space="preserve">§5.1, стр. 86; §5.4.6, стр. 102.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</si>
  <si>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Q-PREDEV-002
Q-COMBAT-CRIT-001
Q-SYMBIONT-XP-001</t>
  </si>
  <si>
    <t xml:space="preserve">CORE-217
CORE-229
SYM-066
CORE-230</t>
  </si>
  <si>
    <t xml:space="preserve">CORE-076</t>
  </si>
  <si>
    <t xml:space="preserve">Общие правила округления и нижних границ</t>
  </si>
  <si>
    <t xml:space="preserve">вычисления.</t>
  </si>
  <si>
    <t xml:space="preserve">любая формула.</t>
  </si>
  <si>
    <t xml:space="preserve">формула даёт дробный/отрицательный результат.</t>
  </si>
  <si>
    <t xml:space="preserve">свой способ округления не указан.</t>
  </si>
  <si>
    <t xml:space="preserve">конечный результат формулы.</t>
  </si>
  <si>
    <t xml:space="preserve">округлять только конечный результат математически (&lt;.5 вниз, ≥.5 вверх); положительная длительность/число ходов/действий/целей/объектов после деления минимум 1; явно рассчитанные ≤0 расстояние, урон, штраф или бонус =0; проценты числа существ округлять вверх.</t>
  </si>
  <si>
    <t xml:space="preserve">нормализованное число.</t>
  </si>
  <si>
    <t xml:space="preserve">требования предметов всегда округляются вверх; формула, где эффект при ≤0 «не возникает», имеет приоритет.</t>
  </si>
  <si>
    <t xml:space="preserve">формула даёт дробный/отрицательный результат.
конечный результат формулы.
округлять только конечный результат математически (&lt;.5 вниз, ≥.5 вверх); положительная длительность/число ходов/действий/целей/объектов после деления минимум 1; явно рассчитанные ≤0 расстояние, урон, штраф или бонус =0; проценты числа существ округлять вверх.
требования предметов всегда округляются вверх; формула, где эффект при ≤0 «не возникает», имеет приоритет.</t>
  </si>
  <si>
    <t xml:space="preserve">§5.1, стр. 86.</t>
  </si>
  <si>
    <t xml:space="preserve">CORE-077</t>
  </si>
  <si>
    <t xml:space="preserve">Границы HP и ОЭ</t>
  </si>
  <si>
    <t xml:space="preserve">ресурс.</t>
  </si>
  <si>
    <t xml:space="preserve">персонаж/симбионт</t>
  </si>
  <si>
    <t xml:space="preserve">HP, ОЭ.</t>
  </si>
  <si>
    <t xml:space="preserve">любое изменение текущего или максимального запаса.</t>
  </si>
  <si>
    <t xml:space="preserve">delta/set, текущий максимум.</t>
  </si>
  <si>
    <t xml:space="preserve">clamp текущего в [0,currentMax]; избыточное восстановление пропадает; при временном снижении max текущий снизить до нового max, если выше; увеличение max само не восстанавливает текущий запас.</t>
  </si>
  <si>
    <t xml:space="preserve">валидный ресурс.</t>
  </si>
  <si>
    <t xml:space="preserve">тяжёлое ранение срабатывает при HP=0.</t>
  </si>
  <si>
    <t xml:space="preserve">валидный ресурс.
тяжёлое ранение срабатывает при HP=0.</t>
  </si>
  <si>
    <t xml:space="preserve">CORE-078</t>
  </si>
  <si>
    <t xml:space="preserve">Постоянные характеристики и пределы</t>
  </si>
  <si>
    <t xml:space="preserve">характеристика / значение.</t>
  </si>
  <si>
    <t xml:space="preserve">персонаж</t>
  </si>
  <si>
    <t xml:space="preserve">S,D,M,C,W,I,Z.</t>
  </si>
  <si>
    <t xml:space="preserve">создание или изменение характеристики.</t>
  </si>
  <si>
    <t xml:space="preserve">базовое значение, постоянные/временные эффекты.</t>
  </si>
  <si>
    <t xml:space="preserve">постоянное значение не ниже 1; ручное распределение до расовых/симбиотических поправок — не более 20 в одну характеристику; случайные значения, криты, раса, симбионты и развитие могут дать &gt;20; временный штраф может сделать итог проверки отрицательным, но не саму характеристику, если эффект не говорит иное.</t>
  </si>
  <si>
    <t xml:space="preserve">валидная характеристика.</t>
  </si>
  <si>
    <t xml:space="preserve">специальное последствие снижения ниже 1 сначала срабатывает, затем для расчётов значение 1.</t>
  </si>
  <si>
    <t xml:space="preserve">§5.1, стр. 86–87; §6.1, стр. 105.</t>
  </si>
  <si>
    <t xml:space="preserve">CORE-079</t>
  </si>
  <si>
    <t xml:space="preserve">Порядок применения модификаторов характеристики</t>
  </si>
  <si>
    <t xml:space="preserve">характеристика / вычисление.</t>
  </si>
  <si>
    <t xml:space="preserve">итоговое значение характеристики.</t>
  </si>
  <si>
    <t xml:space="preserve">пересчёт.</t>
  </si>
  <si>
    <t xml:space="preserve">имеются эффекты.</t>
  </si>
  <si>
    <t xml:space="preserve">база, раса, постоянное развитие/симбионты, временные ±, ×/÷, установки/min/max.</t>
  </si>
  <si>
    <t xml:space="preserve">1) постоянное значение; 2) временные прибавки/штрафы; 3) умножение/деление; 4) точная установка и явно названные min/max. «Становится равной/до» применяется после обычных модификаторов.</t>
  </si>
  <si>
    <t xml:space="preserve">итоговая характеристика.</t>
  </si>
  <si>
    <t xml:space="preserve">при несовместимых установках — более конкретная, при равной конкретности более ограничительная.</t>
  </si>
  <si>
    <t xml:space="preserve">§5.1, стр. 87.</t>
  </si>
  <si>
    <t xml:space="preserve">CORE-082</t>
  </si>
  <si>
    <t xml:space="preserve">Инициация критической проверки</t>
  </si>
  <si>
    <t xml:space="preserve">крит / триггер.</t>
  </si>
  <si>
    <t xml:space="preserve">значимая проверка</t>
  </si>
  <si>
    <t xml:space="preserve">натуральная 1 или 20.</t>
  </si>
  <si>
    <t xml:space="preserve">В бою: натуральная 20 или натуральная 1 на допускающей критичность проверке — до математического определения успеха. Вне боя: натуральная 20 при обычном успехе либо натуральная 1 при обычном провале.</t>
  </si>
  <si>
    <t xml:space="preserve">Это заранее назначенная значимая проверка действия, атаки, защиты или сопротивления с allowCritical=true. Для боевого override дополнительно combat.active=true.</t>
  </si>
  <si>
    <t xml:space="preserve">combat.active, checkKind, allowCritical, rawFace, ordinaryTotal и снимок модификаторов.</t>
  </si>
  <si>
    <t xml:space="preserve">Если combat.active=true, allowCritical=true и rawFace=20, запустить положительную цепочку CORE-083 до математического сравнения; если rawFace=1 — отрицательную цепочку CORE-084. Предварительный ordinaryTotal не блокирует подтверждение. Если первая проверка подтверждения не прошла, criticalGrade=0 и натуральная 20/1 разрешается обычной математикой. Вне боевой ситуации сохраняется прежний порядок: подтверждение запускается только для натуральной 20 на уже успешной обычной проверке или натуральной 1 на уже проваленной. Безопасное бессмысленное повторение не считается проверкой. В базовой MONSTER_ATTACK критичность относится только к accuracy-R20.
Натуральная 20 и натуральная 1 оригинального D20 передаются в CORE-230 независимо от подтверждения; подтверждение только определяет eventPoints исходного броска.</t>
  </si>
  <si>
    <t xml:space="preserve">criticalPolarity=SUCCESS|FAILURE|NONE, criticalGrade=0..5, confirmed=true|false либо обычный исход.
confirmationRoll не создаёт самостоятельного symbiontXpEvent.</t>
  </si>
  <si>
    <t xml:space="preserve">Не применяется к урону, пробитию, броне, лечению, длительности, количеству, зоне, инициативе и случайным таблицам; специальный эффект способности на чистой 1/20 действует независимо; создание характеристик имеет исключение CORE-163, случайное получение симбиотического чудовища — CORE-170. SYM-082 является локальным ability override.
NO_DIRECT_BUT_POOL не запускает цепочку критичности и при rawFace 1/20 создаёт 1 балл.</t>
  </si>
  <si>
    <t xml:space="preserve">это проверка действия, атаки, защиты или сопротивления, назначенная мастером до броска и имеющая риск/последствия.</t>
  </si>
  <si>
    <t xml:space="preserve">combat.active: rawFace=20 → confirmSuccessChain; rawFace=1 → confirmFailureChain; trigger не зависит от ordinaryTotal. grade=0 → ordinary resolution.</t>
  </si>
  <si>
    <t xml:space="preserve">натуральные 1/20 сами не меняют обычный исход; только соответствующий обычный исход запускает подтверждение CORE-083/084.
В бою не запускать подтверждение только потому, что natural 20 математически не достигла сложности, либо natural 1 математически достигла её.</t>
  </si>
  <si>
    <t xml:space="preserve">§5.2, стр. 87–88.
Прямое уточнение пользователя 2026-07-28 — шаблоны врагов v1.3
Прямое уточнение пользователя 2026-07-29 — боевой приоритет критов
Прямое авторское решение Q-SYMBIONT-XP-001 — опыт симбионтов за natural 20/1, 2026-07-30</t>
  </si>
  <si>
    <t xml:space="preserve">Q-ENEMY-B7
Q-COMBAT-CRIT-001
Q-SYMBIONT-XP-001</t>
  </si>
  <si>
    <t xml:space="preserve">CORE-083
CORE-163
CORE-170
CORE-208
CORE-210
CORE-229
CORE-074
CORE-084
SYM-082
CORE-230</t>
  </si>
  <si>
    <t xml:space="preserve">CORE-083</t>
  </si>
  <si>
    <t xml:space="preserve">Критический успех</t>
  </si>
  <si>
    <t xml:space="preserve">крит / успех.</t>
  </si>
  <si>
    <t xml:space="preserve">успешная проверка с натуральной 20.</t>
  </si>
  <si>
    <t xml:space="preserve">CORE-082.</t>
  </si>
  <si>
    <t xml:space="preserve">В бою — допускающая критичность проверка с natural 20 независимо от ordinaryTotal; вне боя — ordinary outcome уже успешен.</t>
  </si>
  <si>
    <t xml:space="preserve">последовательность независимых R20 подтверждения.
originRollId исходного броска; isConfirmationRoll=true для подтверждающих D20.</t>
  </si>
  <si>
    <t xml:space="preserve">Первый независимый R20 подтверждения 15–20 даёт Crit; каждый следующий подряд 15–20 повышает градацию: Double, Triple, Ultra, максимум Rampage; первый результат вне 15–20 завершает цепь. Неподтверждённая 20 получает grade=0 и остаётся обычным результатом. В бою подтверждённый positive grade передаётся CORE-229 и автоматически успешно разрешает только текущую проверку, если ему не противостоит подтверждённый критический успех другой стороны.
Градация 1..5 назначает eventPoints исходному originRollId; сами подтверждающие броски маршрутизируются NEVER_PROGRESSION.</t>
  </si>
  <si>
    <t xml:space="preserve">confirmed=true, criticalPolarity=SUCCESS, grade=1..5; в бою finalCheckSuccess определяется CORE-229.
Один progression event на исходный D20.</t>
  </si>
  <si>
    <t xml:space="preserve">Автоматический успех относится только к текущей проверке: он не отменяет законность цели, дистанцию, оплату действия/ОЭ/боеприпаса, пробитие, броню, урон и иные независимые этапы. Локальное прямое исключение способности сильнее.</t>
  </si>
  <si>
    <t xml:space="preserve">последовательность независимых R20 подтверждения.</t>
  </si>
  <si>
    <t xml:space="preserve">В бою потребовать предварительный математический успех либо перенести автоматический успех на последующие независимые этапы.</t>
  </si>
  <si>
    <t xml:space="preserve">Цепочку подтверждения хранить как дочерние rollId без отдельной прогрессии.</t>
  </si>
  <si>
    <t xml:space="preserve">§5.2–5.2.1, стр. 87–88.
Прямое уточнение пользователя 2026-07-29 — боевой приоритет критов
Прямое авторское решение Q-SYMBIONT-XP-001 — опыт симбионтов за natural 20/1, 2026-07-30</t>
  </si>
  <si>
    <t xml:space="preserve">CORE-082
CORE-229
CORE-075
CORE-125
SYM-066
CORE-230</t>
  </si>
  <si>
    <t xml:space="preserve">CORE-084</t>
  </si>
  <si>
    <t xml:space="preserve">Критический провал</t>
  </si>
  <si>
    <t xml:space="preserve">крит / провал.</t>
  </si>
  <si>
    <t xml:space="preserve">проваленная проверка с натуральной 1.</t>
  </si>
  <si>
    <t xml:space="preserve">В бою — допускающая критичность проверка с natural 1 независимо от ordinaryTotal; вне боя — ordinary outcome уже провален.</t>
  </si>
  <si>
    <t xml:space="preserve">последовательность R20.
originRollId исходного броска; isConfirmationRoll=true для подтверждающих D20.</t>
  </si>
  <si>
    <t xml:space="preserve">Первый независимый R20 подтверждения 1–5 даёт Crit; каждый следующий подряд 1–5 повышает градацию до Rampage; первый выход из диапазона завершает цепь. Неподтверждённая 1 получает grade=0 и остаётся обычным результатом. В бою подтверждённый negative grade передаётся CORE-229 и автоматически проваливает только текущую проверку независимо от ordinaryTotal. Если обе стороны встречной проверки получили подтверждённый критический провал, обе проверки провалены и инициирующее изменение не происходит.
Градация 1..5 назначает eventPoints исходному originRollId; сами подтверждающие броски маршрутизируются NEVER_PROGRESSION.</t>
  </si>
  <si>
    <t xml:space="preserve">confirmed=true, criticalPolarity=FAILURE, grade=1..5; в бою finalCheckSuccess=false.
Один progression event на исходный D20.</t>
  </si>
  <si>
    <t xml:space="preserve">Автоматический провал не возвращает уже списанные ресурсы и не отменяет специальные последствия natural 1. SYM-082 может локально заменить свою natural 1 на положительный Crit первой градации.</t>
  </si>
  <si>
    <t xml:space="preserve">последовательность R20.</t>
  </si>
  <si>
    <t xml:space="preserve">В бою потребовать предварительный математический провал либо спасти подтверждённый критический провал модификаторами.</t>
  </si>
  <si>
    <t xml:space="preserve">CORE-082
CORE-083
CORE-229
CORE-075
CORE-125
SYM-082
CORE-230</t>
  </si>
  <si>
    <t xml:space="preserve">CORE-086</t>
  </si>
  <si>
    <t xml:space="preserve">Боевая ситуация, инициатива и действия</t>
  </si>
  <si>
    <t xml:space="preserve">Начало и окончание боя</t>
  </si>
  <si>
    <t xml:space="preserve">бой / жизненный цикл.</t>
  </si>
  <si>
    <t xml:space="preserve">все стороны</t>
  </si>
  <si>
    <t xml:space="preserve">боевая ситуация.</t>
  </si>
  <si>
    <t xml:space="preserve">объявление нападения или непосредственные враждебные действия.</t>
  </si>
  <si>
    <t xml:space="preserve">минимум две противостоящие стороны.</t>
  </si>
  <si>
    <t xml:space="preserve">действия круга, возможность/намерение сторон.</t>
  </si>
  <si>
    <t xml:space="preserve">открыть бой; завершить, если полный круг никто не совершал и не готовил враждебных действий либо одна сторона утратила возможность или намерение продолжать.</t>
  </si>
  <si>
    <t xml:space="preserve">combat.active и границы эффектов «до конца боя».</t>
  </si>
  <si>
    <t xml:space="preserve">решение о завершении сцены принимает мастер.</t>
  </si>
  <si>
    <t xml:space="preserve">объявление нападения или непосредственные враждебные действия.
действия круга, возможность/намерение сторон.
открыть бой; завершить, если полный круг никто не совершал и не готовил враждебных действий либо одна сторона утратила возможность или намерение продолжать.</t>
  </si>
  <si>
    <t xml:space="preserve">действия круга, возможность/намерение сторон.
открыть бой; завершить, если полный круг никто не совершал и не готовил враждебных действий либо одна сторона утратила возможность или намерение продолжать.
combat.active и границы эффектов «до конца боя».</t>
  </si>
  <si>
    <t xml:space="preserve">§5.4.1, стр. 92–93.</t>
  </si>
  <si>
    <t xml:space="preserve">CORE-087</t>
  </si>
  <si>
    <t xml:space="preserve">Обычная инициатива</t>
  </si>
  <si>
    <t xml:space="preserve">бой / инициатива.</t>
  </si>
  <si>
    <t xml:space="preserve">каждый участник</t>
  </si>
  <si>
    <t xml:space="preserve">порядок ходов.</t>
  </si>
  <si>
    <t xml:space="preserve">обычное начало боя либо конец сцены нападения; вход нового участника.</t>
  </si>
  <si>
    <t xml:space="preserve">участник вступил в бой.</t>
  </si>
  <si>
    <t xml:space="preserve">чистый R20 каждого.
originRollId, rawFace.</t>
  </si>
  <si>
    <t xml:space="preserve">сортировать по убыванию; ничью перебрасывают только связанные участники до развязки; порядок сохраняется до конца боя. Инициатива чистая, если способность прямо не модифицирует.
INITIATIVE относится к NO_DIRECT_BUT_POOL: rawFace 1/20 даёт ровно 1 балл, прямой XP запрещён.</t>
  </si>
  <si>
    <t xml:space="preserve">фиксированная очередь.
progressionRoute=CHARACTER_PROGRESS_COUNTER или NEVER.</t>
  </si>
  <si>
    <t xml:space="preserve">сцена нападения CORE-088.</t>
  </si>
  <si>
    <t xml:space="preserve">чистый R20 каждого.</t>
  </si>
  <si>
    <t xml:space="preserve">сортировать по убыванию; ничью перебрасывают только связанные участники до развязки; порядок сохраняется до конца боя.</t>
  </si>
  <si>
    <t xml:space="preserve">§5.4.1, стр. 93.
Прямое авторское решение Q-SYMBIONT-XP-001 — опыт симбионтов за natural 20/1, 2026-07-30</t>
  </si>
  <si>
    <t xml:space="preserve">CORE-088
CORE-230</t>
  </si>
  <si>
    <t xml:space="preserve">CORE-089</t>
  </si>
  <si>
    <t xml:space="preserve">Упреждение неожиданного нападения</t>
  </si>
  <si>
    <t xml:space="preserve">бой / реакция.</t>
  </si>
  <si>
    <t xml:space="preserve">персонаж с разрешающим навыком/способностью.</t>
  </si>
  <si>
    <t xml:space="preserve">начало сцены нападения.</t>
  </si>
  <si>
    <t xml:space="preserve">источник прямо разрешает среагировать.</t>
  </si>
  <si>
    <t xml:space="preserve">R20+все бонусы реакции.</t>
  </si>
  <si>
    <t xml:space="preserve">итог ≥18 даёт одно упреждающее боевое действие до нападающих; несколько успешных действуют по убыванию результата, ничья — чистый R20. Чумной доктор с «Распределением сил» автоматически успешен; порядок с другими — чистый R20.</t>
  </si>
  <si>
    <t xml:space="preserve">одно действие вне очереди.</t>
  </si>
  <si>
    <t xml:space="preserve">это не упреждающий удар как защита CORE-148.</t>
  </si>
  <si>
    <t xml:space="preserve">R20+все бонусы реакции.
итог ≥18 даёт одно упреждающее боевое действие до нападающих; несколько успешных действуют по убыванию результата, ничья — чистый R20.
одно действие вне очереди.</t>
  </si>
  <si>
    <t xml:space="preserve">R20+все бонусы реакции.
итог ≥18 даёт одно упреждающее боевое действие до нападающих; несколько успешных действуют по убыванию результата, ничья — чистый R20.
Чумной доктор с «Распределением сил» автоматически успешен; порядок с другими — чистый R20.</t>
  </si>
  <si>
    <t xml:space="preserve">§5.4.1, стр. 93–94.</t>
  </si>
  <si>
    <t xml:space="preserve">CORE-148</t>
  </si>
  <si>
    <t xml:space="preserve">CORE-092</t>
  </si>
  <si>
    <t xml:space="preserve">Режим одновременных D20/D12/D6</t>
  </si>
  <si>
    <t xml:space="preserve">бой / режим бросков.</t>
  </si>
  <si>
    <t xml:space="preserve">группа</t>
  </si>
  <si>
    <t xml:space="preserve">боевое действие.</t>
  </si>
  <si>
    <t xml:space="preserve">до начала игры выбран ускоренный режим; начинается действие.</t>
  </si>
  <si>
    <t xml:space="preserve">договорённость группы сохранена в настройках кампании.</t>
  </si>
  <si>
    <t xml:space="preserve">один D20, D12, D6.</t>
  </si>
  <si>
    <t xml:space="preserve">каждый результат назначается только первому по порядку этапу текущего действия, которому нужен такой дайс; второй дайс того же вида бросить отдельно; один результат нельзя переиспользовать; порядок и вероятности этапов не меняются.
Если предбросок затем потреблён как оригинальный D20 проверки, именно в момент потребления ему назначается originRollId и выполняется CORE-230; при хранении предброска события нет.</t>
  </si>
  <si>
    <t xml:space="preserve">пул предварительных результатов действия.
Повторное потребление того же предброска блокируется CORE-233.</t>
  </si>
  <si>
    <t xml:space="preserve">не объединяет независимые проверки.</t>
  </si>
  <si>
    <t xml:space="preserve">до начала игры выбран ускоренный режим; начинается действие.
каждый результат назначается только первому по порядку этапу текущего действия, которому нужен такой дайс; второй дайс того же вида бросить отдельно; один результат нельзя переиспользовать; порядок и вероятности этапов не меняются.
пул предварительных результатов действия.</t>
  </si>
  <si>
    <t xml:space="preserve">каждый результат назначается только первому по порядку этапу текущего действия, которому нужен такой дайс; второй дайс того же вида бросить отдельно; один результат нельзя переиспользовать; порядок и вероятности этапов не меняются.</t>
  </si>
  <si>
    <t xml:space="preserve">§5.4.2, стр. 94.
Прямое авторское решение Q-SYMBIONT-XP-001 — опыт симбионтов за natural 20/1, 2026-07-30</t>
  </si>
  <si>
    <t xml:space="preserve">CORE-094</t>
  </si>
  <si>
    <t xml:space="preserve">Бег «несмотря ни на что»</t>
  </si>
  <si>
    <t xml:space="preserve">бой / действие и реакции.</t>
  </si>
  <si>
    <t xml:space="preserve">бегущий</t>
  </si>
  <si>
    <t xml:space="preserve">соседние враги.</t>
  </si>
  <si>
    <t xml:space="preserve">заявление специального бега.</t>
  </si>
  <si>
    <t xml:space="preserve">расход 1 боевого действия; En&gt;0 допустим.</t>
  </si>
  <si>
    <t xml:space="preserve">R20,D, список соседних врагов.</t>
  </si>
  <si>
    <t xml:space="preserve">дистанция max(0,R20+D) (с дальнейшим делением местности); до движения каждый соседний враг получает ровно одну немедленную рукопашную атаку без расхода действий; активная защита от них запрещена, броня/пассивы работают; затем движение, если бегущий жив/способен.</t>
  </si>
  <si>
    <t xml:space="preserve">реакции, затем позиция.</t>
  </si>
  <si>
    <t xml:space="preserve">реакция не порождает реакцию без прямого разрешения CORE-102.</t>
  </si>
  <si>
    <t xml:space="preserve">расход 1 боевого действия
дистанция max(0,R20+D) (с дальнейшим делением местности); до движения каждый соседний враг получает ровно одну немедленную рукопашную атаку без расхода действий; активная защита от них запрещена, броня/пассивы работают; затем движение, если бегущий жив/способен.
реакции, затем позиция.
реакция не порождает реакцию без прямого разрешения CORE-102.</t>
  </si>
  <si>
    <t xml:space="preserve">R20,D, список соседних врагов.
дистанция max(0,R20+D) (с дальнейшим делением местности); до движения каждый соседний враг получает ровно одну немедленную рукопашную атаку без расхода действий; активная защита от них запрещена, броня/пассивы работают; затем движение, если бегущий жив/способен.</t>
  </si>
  <si>
    <t xml:space="preserve">§5.4.2.1, стр. 94.</t>
  </si>
  <si>
    <t xml:space="preserve">CORE-102</t>
  </si>
  <si>
    <t xml:space="preserve">CORE-095</t>
  </si>
  <si>
    <t xml:space="preserve">Базовая серия приёмов</t>
  </si>
  <si>
    <t xml:space="preserve">бой / действия хода.</t>
  </si>
  <si>
    <t xml:space="preserve">участник</t>
  </si>
  <si>
    <t xml:space="preserve">боевые и небоевое действия.</t>
  </si>
  <si>
    <t xml:space="preserve">начало личного хода.</t>
  </si>
  <si>
    <t xml:space="preserve">это обычный ход, не сцена нападения/полный пропуск.</t>
  </si>
  <si>
    <t xml:space="preserve">чистый R20 серии, бонусы/штрафы.</t>
  </si>
  <si>
    <t xml:space="preserve">Нормативная база (действует во всей непротиворечащей части):
чистая грань 1–7→1, 8–12→2, 13–17→3, 18–19→4, 20→5 базовых боевых действий; затем бонусы/штрафы, итог может быть 0 или &gt;5; дополнительно 1 небоевое действие.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ссылку на исключённую усталость CORE-002</t>
  </si>
  <si>
    <t xml:space="preserve">combatActionsRemaining, nonCombatActionsRemaining=1.</t>
  </si>
  <si>
    <t xml:space="preserve">усталость CORE-002, Кураж CORE-070; крит серии не проверяется.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</si>
  <si>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чистая грань 1–7→1, 8–12→2, 13–17→3, 18–19→4, 20→5 базовых боевых действий; затем бонусы/штрафы, итог может быть 0 или &gt;5; дополнительно 1 небоевое действие.</t>
  </si>
  <si>
    <t xml:space="preserve">чистый R20 серии, бонусы/штрафы.
[Обязательная правка] Эта формулировка имеет приоритет над исходным текстом карточки.
combatActionsRemaining, nonCombatActionsRemaining=1.</t>
  </si>
  <si>
    <t xml:space="preserve">начало личного хода.
это обычный ход, не сцена нападения/полный пропуск.
Нормативная база (действует во всей непротиворечащей части):</t>
  </si>
  <si>
    <t xml:space="preserve">§5.4.2.2, стр. 94–95.</t>
  </si>
  <si>
    <t xml:space="preserve">CORE-002
CORE-070</t>
  </si>
  <si>
    <t xml:space="preserve">CORE-096</t>
  </si>
  <si>
    <t xml:space="preserve">Стоимость обычных боевых действий</t>
  </si>
  <si>
    <t xml:space="preserve">бой / стоимость.</t>
  </si>
  <si>
    <t xml:space="preserve">действующий</t>
  </si>
  <si>
    <t xml:space="preserve">действие.</t>
  </si>
  <si>
    <t xml:space="preserve">заявление действия, непосредственно влияющего на бой.</t>
  </si>
  <si>
    <t xml:space="preserve">доступно действие.</t>
  </si>
  <si>
    <t xml:space="preserve">тип.</t>
  </si>
  <si>
    <t xml:space="preserve">если не указано иное, 1 боевое действие стоят: обычная атака, одно перемещение, активная способность симбионта, смена оружия в руках, вставание, освобождение из захвата и иное прямое боевое действие.</t>
  </si>
  <si>
    <t xml:space="preserve">combatActionsRemaining−=1.</t>
  </si>
  <si>
    <t xml:space="preserve">специальная цена/бесплатная реакция имеет приоритет.</t>
  </si>
  <si>
    <t xml:space="preserve">заявление действия, непосредственно влияющего на бой.
доступно действие.
если не указано иное, 1 боевое действие стоят: обычная атака, одно перемещение, активная способность симбионта, смена оружия в руках, вставание, освобождение из захвата и иное прямое боевое действие.
специальная цена/бесплатная реакция имеет приоритет.</t>
  </si>
  <si>
    <t xml:space="preserve">CORE-097</t>
  </si>
  <si>
    <t xml:space="preserve">Небоевое действие в бою</t>
  </si>
  <si>
    <t xml:space="preserve">бой / действие.</t>
  </si>
  <si>
    <t xml:space="preserve">небоевое действие.</t>
  </si>
  <si>
    <t xml:space="preserve">короткая фраза, самоприём препарата, доступный мелкий предмет, простое окружение.</t>
  </si>
  <si>
    <t xml:space="preserve">действие не заменяет атаку, лечение, перемещение или иную непосредственную процедуру.</t>
  </si>
  <si>
    <t xml:space="preserve">заявка.</t>
  </si>
  <si>
    <t xml:space="preserve">расходовать единственное небоевое действие; не разрешать им лечение, движение или атаку.</t>
  </si>
  <si>
    <t xml:space="preserve">nonCombatActionsRemaining=0 и косвенное изменение.</t>
  </si>
  <si>
    <t xml:space="preserve">передача/принудительное введение препарата — боевое действие.</t>
  </si>
  <si>
    <t xml:space="preserve">действие не заменяет атаку, лечение, перемещение или иную непосредственную процедуру.
расходовать единственное небоевое действие; не разрешать им лечение, движение или атаку.
передача/принудительное введение препарата — боевое действие.</t>
  </si>
  <si>
    <t xml:space="preserve">CORE-098</t>
  </si>
  <si>
    <t xml:space="preserve">Подготовленное действие</t>
  </si>
  <si>
    <t xml:space="preserve">готовящийся персонаж</t>
  </si>
  <si>
    <t xml:space="preserve">резерв действий.</t>
  </si>
  <si>
    <t xml:space="preserve">в свой ход заявлен наблюдаемый триггер и конкретное действие.</t>
  </si>
  <si>
    <t xml:space="preserve">хватает действий на полную цену.</t>
  </si>
  <si>
    <t xml:space="preserve">trigger predicate, command, actionCost, initiative.</t>
  </si>
  <si>
    <t xml:space="preserve">сразу зарезервировать действия; при наступлении триггера выполнить до завершения вызвавшего действия; несколько подготовок — по более высокой инициативе; потратить резерв один раз; неиспользованный сгорает в конце текущего круга.</t>
  </si>
  <si>
    <t xml:space="preserve">подготовка/выполненная команда/сгоревший резерв.</t>
  </si>
  <si>
    <t xml:space="preserve">наблюдаемость и точность триггера валидирует мастер.</t>
  </si>
  <si>
    <t xml:space="preserve">в свой ход заявлен наблюдаемый триггер и конкретное действие.
хватает действий на полную цену.
сразу зарезервировать действия; при наступлении триггера выполнить до завершения вызвавшего действия; несколько подготовок — по более высокой инициативе; потратить резерв один раз; неиспользованный сгорает в конце текущего круга.</t>
  </si>
  <si>
    <t xml:space="preserve">в свой ход заявлен наблюдаемый триггер и конкретное действие.
сразу зарезервировать действия; при наступлении триггера выполнить до завершения вызвавшего действия; несколько подготовок — по более высокой инициативе; потратить резерв один раз; неиспользованный сгорает в конце текущего круга.</t>
  </si>
  <si>
    <t xml:space="preserve">§5.4.2.3, стр. 95.</t>
  </si>
  <si>
    <t xml:space="preserve">CORE-099</t>
  </si>
  <si>
    <t xml:space="preserve">Лимиты защит и дополнительных атак</t>
  </si>
  <si>
    <t xml:space="preserve">бой / лимиты реакций.</t>
  </si>
  <si>
    <t xml:space="preserve">защищающийся</t>
  </si>
  <si>
    <t xml:space="preserve">круг.</t>
  </si>
  <si>
    <t xml:space="preserve">защита/ответная атака.</t>
  </si>
  <si>
    <t xml:space="preserve">защита доступна.</t>
  </si>
  <si>
    <t xml:space="preserve">вид защиты и круговые счётчики.</t>
  </si>
  <si>
    <t xml:space="preserve">уклонение/блок не требуют подготовки и доступны в пределах их описаний; парирование и упреждающий удар не расходуют боевые действия, но максимум по одной попытке каждого за круг; на одну атаку выбрать одну защиту; все немедленные дополнительные атаки от защит одного персонажа вместе срабатывают максимум один раз за круг.</t>
  </si>
  <si>
    <t xml:space="preserve">обновить счётчики.</t>
  </si>
  <si>
    <t xml:space="preserve">конкретная способность может задать иной предел.</t>
  </si>
  <si>
    <t xml:space="preserve">вид защиты и круговые счётчики.
уклонение/блок не требуют подготовки и доступны в пределах их описаний; парирование и упреждающий удар не расходуют боевые действия, но максимум по одной попытке каждого за круг; на одну атаку выбрать одну защиту; все немедленные дополнительные атаки от защит одного персонажа вместе срабатывают максимум один раз за круг.</t>
  </si>
  <si>
    <t xml:space="preserve">CORE-100</t>
  </si>
  <si>
    <t xml:space="preserve">Смена цели ближнего боя</t>
  </si>
  <si>
    <t xml:space="preserve">текущая цель.</t>
  </si>
  <si>
    <t xml:space="preserve">выбор иной цели ближних атак.</t>
  </si>
  <si>
    <t xml:space="preserve">текущая цель сохраняется и нет исключения.</t>
  </si>
  <si>
    <t xml:space="preserve">причины смены, класс.</t>
  </si>
  <si>
    <t xml:space="preserve">по умолчанию списать 1 боевое действие. Бесплатно, если старая цель тяжело ранена, убегает, исчезла из поля зрения, вышла из боя либо атакующий — Солдат Последнего Рассвета.</t>
  </si>
  <si>
    <t xml:space="preserve">новая текущая цель.</t>
  </si>
  <si>
    <t xml:space="preserve">перемещение к ней оплачивается всегда.</t>
  </si>
  <si>
    <t xml:space="preserve">по умолчанию списать 1 боевое действие.</t>
  </si>
  <si>
    <t xml:space="preserve">§5.4.2.4, стр. 95; §3.4.7.3.2, стр. 66.</t>
  </si>
  <si>
    <t xml:space="preserve">Типы действий вне хода и запрет цепочки</t>
  </si>
  <si>
    <t xml:space="preserve">атака или событие.</t>
  </si>
  <si>
    <t xml:space="preserve">разрешённый ответ вне собственного хода.</t>
  </si>
  <si>
    <t xml:space="preserve">правило прямо разрешает.</t>
  </si>
  <si>
    <t xml:space="preserve">вид реакции.</t>
  </si>
  <si>
    <t xml:space="preserve">защитное действие отвечает на конкретную атаку и не расходует боевые действия; реакция охватывает упреждение, парирование, подготовку и немедленные ответы; один эффект не порождает реакцию на другую реакцию без прямого разрешения.</t>
  </si>
  <si>
    <t xml:space="preserve">разрешённая/запрещённая команда.</t>
  </si>
  <si>
    <t xml:space="preserve">подготовка расходует заранее зарезервированные действия.</t>
  </si>
  <si>
    <t xml:space="preserve">вид реакции.
защитное действие отвечает на конкретную атаку и не расходует боевые действия; реакция охватывает упреждение, парирование, подготовку и немедленные ответы; один эффект не порождает реакцию на другую реакцию без прямого разрешения.
подготовка расходует заранее зарезервированные действия.</t>
  </si>
  <si>
    <t xml:space="preserve">§5.4.2.5, стр. 95.</t>
  </si>
  <si>
    <t xml:space="preserve">CORE-103</t>
  </si>
  <si>
    <t xml:space="preserve">Состояния без сознания, паралич, оглушение, пропуск</t>
  </si>
  <si>
    <t xml:space="preserve">бой / состояние.</t>
  </si>
  <si>
    <t xml:space="preserve">поражённый персонаж</t>
  </si>
  <si>
    <t xml:space="preserve">доступные действия.</t>
  </si>
  <si>
    <t xml:space="preserve">наложение состояния.</t>
  </si>
  <si>
    <t xml:space="preserve">состояние активно.</t>
  </si>
  <si>
    <t xml:space="preserve">тип и срок.</t>
  </si>
  <si>
    <t xml:space="preserve">без сознания — нет действий, реакций, активных защит, броня работает; парализован — нет физических действий/активных защит, ментальные возможны только без речи/движения/управления телом; оглушён — пропускает указанные собственные ходы и реакции, если эффект не разрешил защиты; «пропускает ход» — не получает боевых/небоевых, защиты вне хода только при прямом разрешении.</t>
  </si>
  <si>
    <t xml:space="preserve">фильтр допустимых команд и таймер.</t>
  </si>
  <si>
    <t xml:space="preserve">конкретный эффект может сохранить дееспособность.</t>
  </si>
  <si>
    <t xml:space="preserve">тип и срок.
без сознания — нет действий, реакций, активных защит, броня работает; парализован — нет физических действий/активных защит, ментальные возможны только без речи/движения/управления телом; оглушён — пропускает указанные собственные ходы и реакции, если эффект не разрешил защиты; «пропускает ход» — не получает боевых/небоевых, защиты вне хода только при прямом разрешении.</t>
  </si>
  <si>
    <t xml:space="preserve">§5.4.2.5, стр. 95–96.</t>
  </si>
  <si>
    <t xml:space="preserve">CORE-104</t>
  </si>
  <si>
    <t xml:space="preserve">Отключённый симбионт</t>
  </si>
  <si>
    <t xml:space="preserve">симбионт / состояние.</t>
  </si>
  <si>
    <t xml:space="preserve">симбионт и носитель.</t>
  </si>
  <si>
    <t xml:space="preserve">эффект отключения.</t>
  </si>
  <si>
    <t xml:space="preserve">симбионт активен до события.</t>
  </si>
  <si>
    <t xml:space="preserve">длительность/условие восстановления.</t>
  </si>
  <si>
    <t xml:space="preserve">запретить активные способности, пассивные механические эффекты и получение XP; анатомические изменения сохраняются физически, но не дают бонусов.
Для DIRECT_SYMBIONT и распределения неактивный/отключённый экземпляр обычно не является кандидатом.</t>
  </si>
  <si>
    <t xml:space="preserve">symbiont.disabled=true.</t>
  </si>
  <si>
    <t xml:space="preserve">условия включения задаёт источник.
Локальные исключения: SYM-055 остаётся самостоятельным пассивным источником; Penguin под подавлением Trogr сохраняет прогрессию по SYM-075/SYM-130.</t>
  </si>
  <si>
    <t xml:space="preserve">§5.4.2.5, стр. 96.
Прямое авторское решение Q-SYMBIONT-XP-001 — опыт симбионтов за natural 20/1, 2026-07-30</t>
  </si>
  <si>
    <t xml:space="preserve">CORE-230
CORE-232
SYM-055
SYM-075
SYM-130</t>
  </si>
  <si>
    <t xml:space="preserve">CORE-105</t>
  </si>
  <si>
    <t xml:space="preserve">Виды урона, раны и травмы</t>
  </si>
  <si>
    <t xml:space="preserve">Ударный физический урон</t>
  </si>
  <si>
    <t xml:space="preserve">урон / физический.</t>
  </si>
  <si>
    <t xml:space="preserve">источник физической атаки</t>
  </si>
  <si>
    <t xml:space="preserve">цель.</t>
  </si>
  <si>
    <t xml:space="preserve">попадание оружием, рукой/ногой, обычной физической способностью или физическим объектом без иного типа.</t>
  </si>
  <si>
    <t xml:space="preserve">попадание и, для защищённой зоны, пробитие.</t>
  </si>
  <si>
    <t xml:space="preserve">конечный урон, броня, зона.</t>
  </si>
  <si>
    <t xml:space="preserve">Нормативная база (действует во всей непротиворечащей части):
неуказанный физический урон считать ударным; его блокирует любая физическая броня кроме Нэйта; после фактического урона запустить одну проверку травмы CORE-117.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создание/результат шрама; оставить ударный урон и травму</t>
  </si>
  <si>
    <t xml:space="preserve">уменьшение HP, возможная травма/шрам.</t>
  </si>
  <si>
    <t xml:space="preserve">прямой/чистый урон игнорирует броню и сам не травмирует; конкретный тип сильнее.
Поздние дельты применяются по приоритету AQ3 &gt; AQ2 &gt; AQA/CQA &gt; базовая карточка; локальное исключение сильнее общего.</t>
  </si>
  <si>
    <t xml:space="preserve">§5.4.3.1, стр. 96; уточнение §5.4.3.6, стр. 98.</t>
  </si>
  <si>
    <t xml:space="preserve">CORE-117</t>
  </si>
  <si>
    <t xml:space="preserve">CORE-107</t>
  </si>
  <si>
    <t xml:space="preserve">Физический урон борьбы</t>
  </si>
  <si>
    <t xml:space="preserve">урон / борьба.</t>
  </si>
  <si>
    <t xml:space="preserve">борец</t>
  </si>
  <si>
    <t xml:space="preserve">цель приёма.</t>
  </si>
  <si>
    <t xml:space="preserve">успешная опция борьбы наносит урон.</t>
  </si>
  <si>
    <t xml:space="preserve">урон прямо указан опцией.</t>
  </si>
  <si>
    <t xml:space="preserve">значение опции.</t>
  </si>
  <si>
    <t xml:space="preserve">уменьшить HP, полностью игнорируя броню; не запускать обычную проверку травмы, кроме опции, которая её прямо требует.</t>
  </si>
  <si>
    <t xml:space="preserve">потеря HP и, возможно, специальная травма.</t>
  </si>
  <si>
    <t xml:space="preserve">травмирующий приём CORE-142 прямо требует травму.</t>
  </si>
  <si>
    <t xml:space="preserve">уменьшить HP, полностью игнорируя броню; не запускать обычную проверку травмы, кроме опции, которая её прямо требует.
потеря HP и, возможно, специальная травма.</t>
  </si>
  <si>
    <t xml:space="preserve">§5.4.3.2, стр. 96.</t>
  </si>
  <si>
    <t xml:space="preserve">CORE-142</t>
  </si>
  <si>
    <t xml:space="preserve">CORE-108</t>
  </si>
  <si>
    <t xml:space="preserve">Прямой/чистый урон и отсутствие пробития</t>
  </si>
  <si>
    <t xml:space="preserve">урон / общая семантика.</t>
  </si>
  <si>
    <t xml:space="preserve">источник</t>
  </si>
  <si>
    <t xml:space="preserve">описание называет урон прямым/чистым или физическая атака не имеет Pr.</t>
  </si>
  <si>
    <t xml:space="preserve">попадание/условие эффекта выполнено.</t>
  </si>
  <si>
    <t xml:space="preserve">damage, броня.</t>
  </si>
  <si>
    <t xml:space="preserve">прямой/чистый урон уменьшает HP, игнорирует броню и не травмирует без прямого указания; физическая атака без Pr получает Pr=0: ранит незащищённую зону, но не пробивает положительную броню; урон clamp ≥0 и не лечит.</t>
  </si>
  <si>
    <t xml:space="preserve">дополнительный урон применяется лишь после попадания и пробития, если не сказано, что игнорирует броню.</t>
  </si>
  <si>
    <t xml:space="preserve">уточнение §5.4.3.6, стр. 98.</t>
  </si>
  <si>
    <t xml:space="preserve">CORE-109</t>
  </si>
  <si>
    <t xml:space="preserve">Периодический и прямой яд</t>
  </si>
  <si>
    <t xml:space="preserve">урон / яд.</t>
  </si>
  <si>
    <t xml:space="preserve">яд</t>
  </si>
  <si>
    <t xml:space="preserve">отравленная цель.</t>
  </si>
  <si>
    <t xml:space="preserve">контакт или периодический тик.</t>
  </si>
  <si>
    <t xml:space="preserve">эффект активен.</t>
  </si>
  <si>
    <t xml:space="preserve">параметры источника.</t>
  </si>
  <si>
    <t xml:space="preserve">прямой яд наносится в момент контакта; периодический в бою — в конце хода цели; броню игнорирует, травму не запускает; параметры способности/болезни берутся из её описания; яд болезни действует, пока болезнь не вылечена.</t>
  </si>
  <si>
    <t xml:space="preserve">HP/эффект отравления.</t>
  </si>
  <si>
    <t xml:space="preserve">Нэйт может защищать от ядовитых испарений, но не определённо от уже попавшего яда.</t>
  </si>
  <si>
    <t xml:space="preserve">§5.4.3.3, стр. 96.</t>
  </si>
  <si>
    <t xml:space="preserve">CORE-113</t>
  </si>
  <si>
    <t xml:space="preserve">Сброс горящего элемента</t>
  </si>
  <si>
    <t xml:space="preserve">огонь / действие.</t>
  </si>
  <si>
    <t xml:space="preserve">горящий персонаж</t>
  </si>
  <si>
    <t xml:space="preserve">отдельный элемент экипировки.</t>
  </si>
  <si>
    <t xml:space="preserve">персонаж пытается сбросить до распространения.</t>
  </si>
  <si>
    <t xml:space="preserve">горит не вся экипировка; доступно действие.</t>
  </si>
  <si>
    <t xml:space="preserve">R20+D+mods персонажа, R20+10 мастера.</t>
  </si>
  <si>
    <t xml:space="preserve">Нормативная база (действует во всей непротиворечащей части):
за каждый элемент отдельное действие и встречная проверка; при строгом превышении мастера элемент сброшен.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покомпонентное горение/сброс предмета заменены Q-CORE-030</t>
  </si>
  <si>
    <t xml:space="preserve">элемент больше не на носителе; его собственное горение может продолжаться.</t>
  </si>
  <si>
    <t xml:space="preserve">цена «действия» в бою принимается боевой по CORE-096.
Поздние дельты применяются по приоритету AQ3 &gt; AQ2 &gt; AQA/CQA &gt; базовая карточка; локальное исключение сильнее общего.</t>
  </si>
  <si>
    <t xml:space="preserve">горит не вся экипировка; доступно действие.
Нормативная база (действует во всей непротиворечащей части):
за каждый элемент отдельное действие и встречная проверка; при строгом превышении мастера элемент сброшен.
цена «действия» в бою принимается боевой по CORE-096.</t>
  </si>
  <si>
    <t xml:space="preserve">цена «действия» в бою принимается боевой по CORE-096.</t>
  </si>
  <si>
    <t xml:space="preserve">§5.4.3.5, стр. 97.</t>
  </si>
  <si>
    <t xml:space="preserve">Q-CORE-030</t>
  </si>
  <si>
    <t xml:space="preserve">CORE-116</t>
  </si>
  <si>
    <t xml:space="preserve">Ментальный урон и защита</t>
  </si>
  <si>
    <t xml:space="preserve">урон / псионика.</t>
  </si>
  <si>
    <t xml:space="preserve">ментальный источник</t>
  </si>
  <si>
    <t xml:space="preserve">порция ментального урона или встречная псионическая проверка.</t>
  </si>
  <si>
    <t xml:space="preserve">эффект действует на цель.</t>
  </si>
  <si>
    <t xml:space="preserve">damage, защита Нэйт 20/Кастелькросс 5.</t>
  </si>
  <si>
    <t xml:space="preserve">игнорировать остальную броню; каждую порцию уменьшить на сумму применимой защиты (не ниже 0); травму не проверять; то же значение прибавить к встречной проверке против контроля, чтения мыслей, иллюзии и сходного эффекта.</t>
  </si>
  <si>
    <t xml:space="preserve">уменьшенный урон/бонус сопротивления.</t>
  </si>
  <si>
    <t xml:space="preserve">«не действует при любой защите» полностью запрещает только конкретную способность; конкретный иммунитет сильнее.</t>
  </si>
  <si>
    <t xml:space="preserve">§5.4.3.6, стр. 97–98.</t>
  </si>
  <si>
    <t xml:space="preserve">Проверка получения травмы</t>
  </si>
  <si>
    <t xml:space="preserve">травма / триггер.</t>
  </si>
  <si>
    <t xml:space="preserve">получившая травмирующий урон цель</t>
  </si>
  <si>
    <t xml:space="preserve">поражённая зона.</t>
  </si>
  <si>
    <t xml:space="preserve">фактически получен урон типа, способного травмировать.</t>
  </si>
  <si>
    <t xml:space="preserve">damage&gt;0.</t>
  </si>
  <si>
    <t xml:space="preserve">R20+Z+mods, фактический урон.</t>
  </si>
  <si>
    <t xml:space="preserve">Нормативная база (действует во всей непротиворечащей части):
если проверка Z строго ниже урона, создать травму зоны и применить CORE-119–124; равенство травму не даёт.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после исключения сложной анатомии ссылаться только на травмы классической анатомии; generic flee вынести отдельно
[v1.3] Для EntityKind=CUSTOM_MONSTER targetZone всегда TORSO; травма маршрутизируется как травма корпуса без таблицы зон. Канонические зональные механики не меняются.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</si>
  <si>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новая травма/эффект.</t>
  </si>
  <si>
    <t xml:space="preserve">дополнительный урон травмы не запускает новую травму/шрам/повтор.
Поздние дельты применяются по приоритету AQ3 &gt; AQ2 &gt; AQA/CQA &gt; базовая карточка; локальное исключение сильнее общего.</t>
  </si>
  <si>
    <t xml:space="preserve">R20+Z+mods, фактический урон.
[Обязательная правка] Эта формулировка имеет приоритет над исходным текстом карточки.</t>
  </si>
  <si>
    <t xml:space="preserve">§5.4.4, стр. 98–99.
Прямое уточнение пользователя 2026-07-28 — шаблоны врагов v1.3
Предразработочный QA и прямые ответы пользователя 2026-07-29</t>
  </si>
  <si>
    <t xml:space="preserve">Q-ENEMY-B12
Q-PREDEV-004</t>
  </si>
  <si>
    <t xml:space="preserve">CORE-119
CORE-211
CORE-220</t>
  </si>
  <si>
    <t xml:space="preserve">Патч v1.4</t>
  </si>
  <si>
    <t xml:space="preserve">CORE-118</t>
  </si>
  <si>
    <t xml:space="preserve">Зоны гуманоидов и четвероногих</t>
  </si>
  <si>
    <t xml:space="preserve">анатомия / зона.</t>
  </si>
  <si>
    <t xml:space="preserve">гуманоид/персонаж/четвероногое</t>
  </si>
  <si>
    <t xml:space="preserve">зона попадания.</t>
  </si>
  <si>
    <t xml:space="preserve">случайная зона стрельбы или другого правила D6.</t>
  </si>
  <si>
    <t xml:space="preserve">оружие не задаёт иное.</t>
  </si>
  <si>
    <t xml:space="preserve">чистый D6.</t>
  </si>
  <si>
    <t xml:space="preserve">Нормативная база (действует во всей непротиворечащей части):
1 корпус; 2 левая нога/задняя лапа; 3 правая; 4 левая рука/передняя лапа; 5 правая; 6 голова.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ссылку на исключённый CORE-122; оставить D6 гуманоида/четвероногого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</si>
  <si>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targetZone.</t>
  </si>
  <si>
    <t xml:space="preserve">ближняя атака объявляет зону; таблица зон многоконечного существа — CORE-122.
Поздние дельты применяются по приоритету AQ3 &gt; AQ2 &gt; AQA/CQA &gt; базовая карточка; локальное исключение сильнее общего.</t>
  </si>
  <si>
    <t xml:space="preserve">случайная зона стрельбы или другого правила D6.
чистый D6.
[Обязательная правка] Эта формулировка имеет приоритет над исходным текстом карточки.
удалить ссылку на исключённый CORE-122; оставить D6 гуманоида/четвероногого</t>
  </si>
  <si>
    <t xml:space="preserve">§5.4.4.1, стр. 98.
Предразработочный QA и прямые ответы пользователя 2026-07-29</t>
  </si>
  <si>
    <t xml:space="preserve">Q-PREDEV-004</t>
  </si>
  <si>
    <t xml:space="preserve">CORE-122
CORE-220</t>
  </si>
  <si>
    <t xml:space="preserve">CORE-121</t>
  </si>
  <si>
    <t xml:space="preserve">Травма корпуса гуманоида</t>
  </si>
  <si>
    <t xml:space="preserve">травма / корпус.</t>
  </si>
  <si>
    <t xml:space="preserve">CORE-117 по корпусу.</t>
  </si>
  <si>
    <t xml:space="preserve">исходная атака нанесла урон.</t>
  </si>
  <si>
    <t xml:space="preserve">extra=max(0,round_math(R12−Z/3)).</t>
  </si>
  <si>
    <t xml:space="preserve">Нормативная база (действует во всей непротиворечащей части):
один раз дополнительно уменьшить HP цели на extra; не запускать новую травму, шрам или повтор этого эффекта.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упоминание шрама из запрета рекурсивных триггеров</t>
  </si>
  <si>
    <t xml:space="preserve">дополнительная потеря HP.</t>
  </si>
  <si>
    <t xml:space="preserve">тяжёлое ранение/смерть после дополнительного урона проверяются обычно.
Поздние дельты применяются по приоритету AQ3 &gt; AQ2 &gt; AQA/CQA &gt; базовая карточка; локальное исключение сильнее общего.</t>
  </si>
  <si>
    <t xml:space="preserve">один раз дополнительно уменьшить HP цели на extra; не запускать новую травму, шрам или повтор этого эффекта.
дополнительная потеря HP.</t>
  </si>
  <si>
    <t xml:space="preserve">extra=max(0,round_math(R12−Z/3)).
[Обязательная правка] Эта формулировка имеет приоритет над исходным текстом карточки.</t>
  </si>
  <si>
    <t xml:space="preserve">один раз дополнительно уменьшить HP цели на extra; не запускать новую травму, шрам или повтор этого эффекта.</t>
  </si>
  <si>
    <t xml:space="preserve">§5.4.4.1.3, стр. 98; уточнение стр. 99.</t>
  </si>
  <si>
    <t xml:space="preserve">CORE-125</t>
  </si>
  <si>
    <t xml:space="preserve">Атаки, борьба, защита и броня</t>
  </si>
  <si>
    <t xml:space="preserve">Единый конвейер атаки</t>
  </si>
  <si>
    <t xml:space="preserve">бой / транзакция атаки.</t>
  </si>
  <si>
    <t xml:space="preserve">объявление атаки.</t>
  </si>
  <si>
    <t xml:space="preserve">команда допустима и ресурсы доступны.</t>
  </si>
  <si>
    <t xml:space="preserve">цель, тип, предмет/способность, зона, цена, боеприпас/ОЭ.
снимок активной версии профиля выбранного экземпляра и attackVariantId.
DefenseChoice допускает NONE; armorLayerState=NO_LAYERS|PRESENT.
Для этапов активации/меткости/защиты: rawFace, allowCritical, criticalPolarity, criticalGrade и снимки модификаторов.
originRollId атакующего, rawFace, modifierStatCodes.</t>
  </si>
  <si>
    <t xml:space="preserve">Нормативная база (действует во всей непротиворечащей части):
1) объявить всё до бросков; 2) атомарно списать действие, ОЭ, боеприпас и расходники; 3) если нужна активация — проверить; 4) точность должна строго превысить одну выбранную защиту живой цели/сложность неживой; 5) при попадании Pr должен строго превысить броню; 6) определить урон, сопротивления, HP; 7) после фактического урона ровно один раз проверить травму, тяжёлое ранение и прочие последствия. Провал этапа прекращает следующие; ресурсы не возвращаются.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убрать ветку сложности неживой цели; неживой объект недопустим как combat target
До бросков зафиксировать активную версию профиля оружия. Требования, дальность, accuracyBonus, damageDefinition и penetrationDefinition читаются из этого снимка; мастерский patch экземпляра имеет приоритет над шаблонным значением. Результаты runtime-бросков сохраняются только в AttackResolution/боевом журнале.
[v1.3] Источник снимка выбирается по категории: WEAPON_ATTACK фиксирует WeaponProfileVersion; MONSTER_ATTACK — MonsterAttackProfileVersion; SYMBIONT_ATTACK — правило способности. Результаты Runtime хранятся только в AttackResolution и журнале.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На каждом допускающем критичность этапе проверки после броска, но до числового сравнения применить CORE-229. Его результат завершает только текущую проверку/этап. Даже автоматическое попадание не пропускает отдельные этапы пробития, брони, урона и последствий; уже списанные действия, ОЭ, боеприпасы и расходники не возвращаются.
ATTACK/CHECK допускает прямой маршрут при значимой проверке и связанном активном симбионте; событие принадлежит бросившему персонажу и не зависит от победы.</t>
  </si>
  <si>
    <t xml:space="preserve">журнал этапов и конечное состояние.</t>
  </si>
  <si>
    <t xml:space="preserve">прямой урон/игнорирование брони и конкретные последствия провала.
Поздние дельты применяются по приоритету AQ3 &gt; AQ2 &gt; AQA/CQA &gt; базовая карточка; локальное исключение сильнее общего.
CORE-229 не делает критическими runtime-броски урона, пробития и брони; частное прямое защитное исключение, включая SYM-066, сильнее.</t>
  </si>
  <si>
    <t xml:space="preserve">Нормативная база (действует во всей непротиворечащей части):
2) атомарно списать действие, ОЭ, боеприпас и расходники</t>
  </si>
  <si>
    <t xml:space="preserve">команда допустима и ресурсы доступны.
цель, тип, предмет/способность, зона, цена, боеприпас/ОЭ.
2) атомарно списать действие, ОЭ, боеприпас и расходники
6) определить урон, сопротивления, HP
Провал этапа прекращает следующие; ресурсы не возвращаются.</t>
  </si>
  <si>
    <t xml:space="preserve">2) атомарно списать действие, ОЭ, боеприпас и расходники
7) после фактического урона ровно один раз проверить травму, тяжёлое ранение и прочие последствия.
журнал этапов и конечное состояние.
AttackResolution хранит criticalResolution отдельно для каждого допускающего критичность этапа.
Отдельные D20 попадания, урона и пробития получают разные originRollId и rollKind.</t>
  </si>
  <si>
    <t xml:space="preserve">§5.4.5.5.3, уточнение стр. 102; §5.4.6–5.4.7, стр. 102–103.
Прямое уточнение пользователя 2026-07-28
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</si>
  <si>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Q-ENEMY-B5
Q-ENEMY-B6
Q-PREDEV-002
Q-PREDEV-018
Q-COMBAT-CRIT-001
Q-SYMBIONT-XP-001</t>
  </si>
  <si>
    <t xml:space="preserve">CORE-188
CORE-189
CORE-190
CORE-206
CORE-207
CORE-208
CORE-210
CORE-217
CORE-226
CORE-229
CORE-074
SYM-066
CORE-230</t>
  </si>
  <si>
    <t xml:space="preserve">CORE-126</t>
  </si>
  <si>
    <t xml:space="preserve">Стрельба по живой цели</t>
  </si>
  <si>
    <t xml:space="preserve">атака / стрельба.</t>
  </si>
  <si>
    <t xml:space="preserve">живая цель.</t>
  </si>
  <si>
    <t xml:space="preserve">расход действия и боеприпаса.</t>
  </si>
  <si>
    <t xml:space="preserve">оружие заряжено, цель допустима.</t>
  </si>
  <si>
    <t xml:space="preserve">D6/D4 зоны, снимок активной версии профиля, accuracy=R20+D+навык+mods+accuracyBonus, защита, damageDefinition, penetrationDefinition, armor.</t>
  </si>
  <si>
    <t xml:space="preserve">сначала случайно определить зону по анатомии, если оружие не говорит иное; затем точность строго превышает выбранную защиту; затем разрешить penetrationDefinition и damageDefinition снимка активной версии профиля по CORE-189, сравнить пробитие с бронёй и применить урон.
[v1.3] Если цель — CustomMonster, случайно определённая зона немедленно нормализуется в TORSO по CORE-211. Для канонического монстра действует его статблок.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</si>
  <si>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попадание в заранее известную зону, HP/последствия.</t>
  </si>
  <si>
    <t xml:space="preserve">луки используют навык «Стрельба из лука» по каталогу; Кенси/Айнцберн имеют специальные навыки.</t>
  </si>
  <si>
    <t xml:space="preserve">D6/D4 зоны, accuracy=R20+D+Стрельба+mods, защита, Pr, armor, damage.</t>
  </si>
  <si>
    <t xml:space="preserve">§5.4.5.1, стр. 99; §5.4.4, стр. 98–99.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</si>
  <si>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CORE-188
CORE-189
CORE-190
CORE-211
CORE-220</t>
  </si>
  <si>
    <t xml:space="preserve">CORE-130</t>
  </si>
  <si>
    <t xml:space="preserve">Бросание предмета: допустимость и дальность</t>
  </si>
  <si>
    <t xml:space="preserve">атака / бросание.</t>
  </si>
  <si>
    <t xml:space="preserve">бросающий</t>
  </si>
  <si>
    <t xml:space="preserve">предмет.</t>
  </si>
  <si>
    <t xml:space="preserve">заявление броска.</t>
  </si>
  <si>
    <t xml:space="preserve">масса Mkg≤2×S.</t>
  </si>
  <si>
    <t xml:space="preserve">Mkg, S, бонус «Бросания» L, R12.</t>
  </si>
  <si>
    <t xml:space="preserve">range=max(0,R12+L+S−Mkg+penalties); без навыка «Бросание» результаты всех проверок в рамках бросания −2.</t>
  </si>
  <si>
    <t xml:space="preserve">дальность полёта.</t>
  </si>
  <si>
    <t xml:space="preserve">предметы &lt;0.3 кг не наносят урон, но могут попасть.</t>
  </si>
  <si>
    <t xml:space="preserve">масса Mkg≤2×S.
Mkg, S, бонус «Бросания» L, R12.
range=max(0,R12+L+S−Mkg+penalties); без навыка «Бросание» результаты всех проверок в рамках бросания −2.</t>
  </si>
  <si>
    <t xml:space="preserve">§5.4.5.3, стр. 100–102.</t>
  </si>
  <si>
    <t xml:space="preserve">CORE-131</t>
  </si>
  <si>
    <t xml:space="preserve">Бросание предмета: точность и урон</t>
  </si>
  <si>
    <t xml:space="preserve">живая или неживая цель.</t>
  </si>
  <si>
    <t xml:space="preserve">предмет долетает.</t>
  </si>
  <si>
    <t xml:space="preserve">CORE-130.</t>
  </si>
  <si>
    <t xml:space="preserve">зона D6/D4, accuracy=R20+L+(S+D)/2−Mkg, защита/сложность.</t>
  </si>
  <si>
    <t xml:space="preserve">Нормативная база (действует во всей непротиворечащей части):
определить случайную зону живой цели; попасть при строгом превышении; при живой цели считать предмет грубым оружием: Pr=R12, damage=S+Mkg, если масса ≥0.3 кг; без навыка применить −2 ко всем проверкам (не к броску урона, который проверкой не является).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убрать неживую цель; сохранить бросок в живую цель и жизненный цикл объекта карты
[v1.3] Для цели-CustomMonster любая заявленная зона атаки считается TORSO; отдельные конечности недоступны. Канонические уязвимые зоны сохраняются.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</si>
  <si>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урон/положение предмета.</t>
  </si>
  <si>
    <t xml:space="preserve">дробный урон/масса округляются только в конце по CORE-076.
Поздние дельты применяются по приоритету AQ3 &gt; AQ2 &gt; AQA/CQA &gt; базовая карточка; локальное исключение сильнее общего.</t>
  </si>
  <si>
    <t xml:space="preserve">зона D6/D4, accuracy=R20+L+(S+D)/2−Mkg, защита/сложность.
определить случайную зону живой цели; попасть при строгом превышении; при живой цели считать предмет грубым оружием: Pr=R12, damage=S+Mkg, если масса ≥0.3 кг; без навыка применить −2 ко всем проверкам (не к броску урона, который проверкой не является).
[Обязательная правка] Эта формулировка имеет приоритет над исходным текстом карточки.</t>
  </si>
  <si>
    <t xml:space="preserve">§5.4.5.3, стр. 100.
Прямое уточнение пользователя 2026-07-28 — шаблоны врагов v1.3
Предразработочный QA и прямые ответы пользователя 2026-07-29</t>
  </si>
  <si>
    <t xml:space="preserve">CORE-076
CORE-130
CORE-211
CORE-220</t>
  </si>
  <si>
    <t xml:space="preserve">CORE-132</t>
  </si>
  <si>
    <t xml:space="preserve">Обычный плевок</t>
  </si>
  <si>
    <t xml:space="preserve">бросание / без урона.</t>
  </si>
  <si>
    <t xml:space="preserve">плюющий</t>
  </si>
  <si>
    <t xml:space="preserve">плевок без способности.</t>
  </si>
  <si>
    <t xml:space="preserve">масса слюны=0.</t>
  </si>
  <si>
    <t xml:space="preserve">обычная формула бросания.</t>
  </si>
  <si>
    <t xml:space="preserve">рассчитать дальность с M=0 и затем разделить итог на 2; точность по бросанию; урон=0.</t>
  </si>
  <si>
    <t xml:space="preserve">факт попадания.</t>
  </si>
  <si>
    <t xml:space="preserve">активная способность использует своё описание.</t>
  </si>
  <si>
    <t xml:space="preserve">масса слюны=0.
обычная формула бросания.
рассчитать дальность с M=0 и затем разделить итог на 2; точность по бросанию; урон=0.</t>
  </si>
  <si>
    <t xml:space="preserve">§5.4.5.3, стр. 100, уточнение стр. 102.</t>
  </si>
  <si>
    <t xml:space="preserve">CORE-134</t>
  </si>
  <si>
    <t xml:space="preserve">Дальняя атака активной способностью симбионта</t>
  </si>
  <si>
    <t xml:space="preserve">атака / симбионт.</t>
  </si>
  <si>
    <t xml:space="preserve">симбионт-источник</t>
  </si>
  <si>
    <t xml:space="preserve">активная дальняя способность.</t>
  </si>
  <si>
    <t xml:space="preserve">способность не задаёт иной порядок, активна и оплачена.</t>
  </si>
  <si>
    <t xml:space="preserve">R20, бонус «Стрельбы» (0 если нет), уровень симбионта, max(D,I,W), описание способности.</t>
  </si>
  <si>
    <t xml:space="preserve">разрешить по стрельбе; accuracy=R20+ShootingBonus+symbiontLevel+max(D,I,W)+mods; отсутствие «Стрельбы» не даёт штрафа; зона/защита/Pr/damage по общей процедуре и способности.
[v1.3] Запрет дальности относится только к базовой MONSTER_ATTACK. Дальняя атака симбионта разрешается по её карточке; ShootingBonus CustomMonster равен 0.</t>
  </si>
  <si>
    <t xml:space="preserve">атака/эффект.</t>
  </si>
  <si>
    <t xml:space="preserve">описание способности имеет приоритет.</t>
  </si>
  <si>
    <t xml:space="preserve">R20, бонус «Стрельбы» (0 если нет), уровень симбионта, max(D,I,W), описание способности.
разрешить по стрельбе; accuracy=R20+ShootingBonus+symbiontLevel+max(D,I,W)+mods; отсутствие «Стрельбы» не даёт штрафа; зона/защита/Pr/damage по общей процедуре и способности.</t>
  </si>
  <si>
    <t xml:space="preserve">§5.4.5.4, стр. 101.
Прямое уточнение пользователя 2026-07-28 — шаблоны врагов v1.3</t>
  </si>
  <si>
    <t xml:space="preserve">Q-ENEMY-B8</t>
  </si>
  <si>
    <t xml:space="preserve">CORE-209</t>
  </si>
  <si>
    <t xml:space="preserve">Патч v1.3</t>
  </si>
  <si>
    <t xml:space="preserve">CORE-135</t>
  </si>
  <si>
    <t xml:space="preserve">Ближняя атака оружием</t>
  </si>
  <si>
    <t xml:space="preserve">атака / ближний бой.</t>
  </si>
  <si>
    <t xml:space="preserve">расход действия.</t>
  </si>
  <si>
    <t xml:space="preserve">цель на ближней дистанции; оружие в руках.</t>
  </si>
  <si>
    <t xml:space="preserve">объявленная зона, снимок активной версии профиля, R20+D+weaponSkill+classMods+accuracyBonus, защита, penetrationDefinition, броня, damageDefinition.</t>
  </si>
  <si>
    <t xml:space="preserve">объявить зону; точность строго превышает защиту; затем penetrationDefinition/damageDefinition снимка активной версии профиля по CORE-189 и броня; уменьшить HP/последствия.
[v1.3] Если цель — CustomMonster, объявленная зона нормализуется в TORSO. Для канонического монстра действует собственная анатомия статблока. Эта оружейная формула не используется атакующим CustomMonster для MONSTER_ATTACK.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</si>
  <si>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атака по выбранной зоне.</t>
  </si>
  <si>
    <t xml:space="preserve">текст «спасбросок цели» трактуется как выбранная защита по общему порядку.</t>
  </si>
  <si>
    <t xml:space="preserve">объявить зону; точность строго превышает защиту; затем каталог Pr/damage и броня; уменьшить HP/последствия.</t>
  </si>
  <si>
    <t xml:space="preserve">объявленная зона, R20+D+weaponSkill+classMods, защита, Pr, броня, урон.</t>
  </si>
  <si>
    <t xml:space="preserve">§5.4.5.5.1, стр. 101.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</si>
  <si>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Q-ENEMY-B6
Q-ENEMY-B12
Q-PREDEV-004</t>
  </si>
  <si>
    <t xml:space="preserve">CORE-188
CORE-189
CORE-190
CORE-208
CORE-211
CORE-220</t>
  </si>
  <si>
    <t xml:space="preserve">CORE-136</t>
  </si>
  <si>
    <t xml:space="preserve">Удары кулаками и ногами</t>
  </si>
  <si>
    <t xml:space="preserve">атака / рукопашный бой.</t>
  </si>
  <si>
    <t xml:space="preserve">рукопашная атака.</t>
  </si>
  <si>
    <t xml:space="preserve">действующая конечность.</t>
  </si>
  <si>
    <t xml:space="preserve">точность R20+D+Рукопашный бой+Солдат+mods; damage; зона.</t>
  </si>
  <si>
    <t xml:space="preserve">кулак: базовый R6, Pr=0; нога: базовый R12, Pr=0; S к урону, D к точности, «Рукопашный бой» указан как общий модификатор удара, «Солдат» даёт +3 к точности; без обоих навыков −5 к ударам; с высоким+ рукопашным боем одна атака за действие включает два отдельно разрешаемых удара кулаками.
[v1.3] Базовая MONSTER_ATTACK не является безоружным ударом или «Рукопашным боем»; навыковые бонусы и штраф −5 не применяются.</t>
  </si>
  <si>
    <t xml:space="preserve">один/два удара.</t>
  </si>
  <si>
    <t xml:space="preserve">формулировка даёт два кулака за каждое действие по CORE-017; кастет имеет разовый лимит.</t>
  </si>
  <si>
    <t xml:space="preserve">S к урону, D к точности, «Рукопашный бой» указан как общий модификатор удара, «Солдат» даёт +3 к точности; без обоих навыков −5 к ударам; с высоким+ рукопашным боем одна атака за действие включает два отдельно разрешаемых удара кулаками.
формулировка даёт два кулака за каждое действие по CORE-017; кастет имеет разовый лимит.</t>
  </si>
  <si>
    <t xml:space="preserve">точность R20+D+Рукопашный бой+Солдат+mods; damage; зона.
кулак: базовый R6, Pr=0; нога: базовый R12, Pr=0
формулировка даёт два кулака за каждое действие по CORE-017; кастет имеет разовый лимит.</t>
  </si>
  <si>
    <t xml:space="preserve">§5.4.5.5.2, стр. 101.
Прямое уточнение пользователя 2026-07-28 — шаблоны врагов v1.3</t>
  </si>
  <si>
    <t xml:space="preserve">Q-ENEMY-B6</t>
  </si>
  <si>
    <t xml:space="preserve">CORE-017
CORE-207
CORE-208</t>
  </si>
  <si>
    <t xml:space="preserve">CORE-141</t>
  </si>
  <si>
    <t xml:space="preserve">Удержание конечности</t>
  </si>
  <si>
    <t xml:space="preserve">борьба / состояние.</t>
  </si>
  <si>
    <t xml:space="preserve">конечность захваченной цели.</t>
  </si>
  <si>
    <t xml:space="preserve">успешная опция.</t>
  </si>
  <si>
    <t xml:space="preserve">цель захвачена.</t>
  </si>
  <si>
    <t xml:space="preserve">limbId, встречная борьба.</t>
  </si>
  <si>
    <t xml:space="preserve">установить удержание выбранной конечности; разрешить последующий травмирующий/болевой приём; освобождение =1 действие и встречная борьба, равенство сохраняет.</t>
  </si>
  <si>
    <t xml:space="preserve">link на конечность.</t>
  </si>
  <si>
    <t xml:space="preserve">самостоятельные штрафы удержания не заданы.</t>
  </si>
  <si>
    <t xml:space="preserve">§5.4.5.5.3(4), стр. 102.</t>
  </si>
  <si>
    <t xml:space="preserve">Травмирующий приём</t>
  </si>
  <si>
    <t xml:space="preserve">борьба / урон и травма.</t>
  </si>
  <si>
    <t xml:space="preserve">удерживаемая конечность.</t>
  </si>
  <si>
    <t xml:space="preserve">успешная проверка опции.</t>
  </si>
  <si>
    <t xml:space="preserve">удержание конечности.</t>
  </si>
  <si>
    <t xml:space="preserve">цель/конечность.</t>
  </si>
  <si>
    <t xml:space="preserve">нанести 10 урона борьбы, игнорируя броню; затем принудительно выполнить проверку травмы именно этой конечности.</t>
  </si>
  <si>
    <t xml:space="preserve">HP и возможная травма.</t>
  </si>
  <si>
    <t xml:space="preserve">эта травма — прямое исключение CORE-107.</t>
  </si>
  <si>
    <t xml:space="preserve">§5.4.5.5.3(5), стр. 102.</t>
  </si>
  <si>
    <t xml:space="preserve">CORE-145</t>
  </si>
  <si>
    <t xml:space="preserve">Защита от стрельбы и дальних способностей</t>
  </si>
  <si>
    <t xml:space="preserve">защита / дальняя.</t>
  </si>
  <si>
    <t xml:space="preserve">конкретная атака.</t>
  </si>
  <si>
    <t xml:space="preserve">по цели идёт стрельба/дальняя способность.</t>
  </si>
  <si>
    <t xml:space="preserve">цель способна на активную защиту.</t>
  </si>
  <si>
    <t xml:space="preserve">уклонение или блок.
rawFace защиты, ordinaryDefenseTotal, criticalPolarity, criticalGrade и снимок модификаторов.
originRollId, rawFace, rollKind.</t>
  </si>
  <si>
    <t xml:space="preserve">уклонение: нужен I≥6, R20+D+Молниеносная реакция−10+mods, безлимитно за круг. Блок при щите: R20+(S+D)/2+Владение щитом+Солдат+щитБонус−8+mods, безлимитно; успех при defense≥accuracy.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</si>
  <si>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промах либо CORE-018.
criticalResolution выбранной защиты и исход текущего этапа атаки.</t>
  </si>
  <si>
    <t xml:space="preserve">одна защита на атаку.
Не путать количественный бросок с отдельной значимой проверкой действия.</t>
  </si>
  <si>
    <t xml:space="preserve">уклонение: нужен I≥6, R20+D+Молниеносная реакция−10+mods, безлимитно за круг.</t>
  </si>
  <si>
    <t xml:space="preserve">уклонение: нужен I≥6, R20+D+Молниеносная реакция−10+mods, безлимитно за круг.
Блок при щите: R20+(S+D)/2+Владение щитом+Солдат+щитБонус−8+mods, безлимитно; успех при defense≥accuracy.</t>
  </si>
  <si>
    <t xml:space="preserve">§5.4.6.1, стр. 103.
Прямое уточнение пользователя 2026-07-29 — боевой приоритет критов
Прямое авторское решение Q-SYMBIONT-XP-001 — опыт симбионтов за natural 20/1, 2026-07-30</t>
  </si>
  <si>
    <t xml:space="preserve">CORE-018
CORE-229
CORE-075
CORE-125
CORE-230</t>
  </si>
  <si>
    <t xml:space="preserve">CORE-146</t>
  </si>
  <si>
    <t xml:space="preserve">Уклонение и блок в ближнем бою</t>
  </si>
  <si>
    <t xml:space="preserve">защита / ближняя.</t>
  </si>
  <si>
    <t xml:space="preserve">ближняя атака.</t>
  </si>
  <si>
    <t xml:space="preserve">атака.</t>
  </si>
  <si>
    <t xml:space="preserve">активная защита разрешена.</t>
  </si>
  <si>
    <t xml:space="preserve">вид защиты.
rawFace защиты, ordinaryDefenseTotal, criticalPolarity, criticalGrade и снимок модификаторов.
originRollId, rawFace, rollKind.</t>
  </si>
  <si>
    <t xml:space="preserve">уклонение: I≥3, R20+D+Молниеносная реакция−4+mods, безлимитно. 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</si>
  <si>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промах/половина урона/износ щита.
criticalResolution выбранной защиты и исход текущего этапа атаки.</t>
  </si>
  <si>
    <t xml:space="preserve">окружение CORE-091.
Не путать количественный бросок с отдельной значимой проверкой действия.</t>
  </si>
  <si>
    <t xml:space="preserve">уклонение: I≥3, R20+D+Молниеносная реакция−4+mods, безлимитно.</t>
  </si>
  <si>
    <t xml:space="preserve">уклонение: I≥3, R20+D+Молниеносная реакция−4+mods, безлимитно.
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t>
  </si>
  <si>
    <t xml:space="preserve">§5.4.6.2, стр. 103.
Прямое уточнение пользователя 2026-07-29 — боевой приоритет критов
Прямое авторское решение Q-SYMBIONT-XP-001 — опыт симбионтов за natural 20/1, 2026-07-30</t>
  </si>
  <si>
    <t xml:space="preserve">CORE-091
CORE-229
CORE-075
CORE-125
CORE-230</t>
  </si>
  <si>
    <t xml:space="preserve">CORE-149</t>
  </si>
  <si>
    <t xml:space="preserve">Защита от метания и бросания</t>
  </si>
  <si>
    <t xml:space="preserve">защита / метательное.</t>
  </si>
  <si>
    <t xml:space="preserve">метание или бросание.</t>
  </si>
  <si>
    <t xml:space="preserve">соответствующая атака.</t>
  </si>
  <si>
    <t xml:space="preserve">активная защита возможна.</t>
  </si>
  <si>
    <t xml:space="preserve">уклонение/блок.
rawFace защиты, ordinaryDefenseTotal, criticalPolarity, criticalGrade и снимок модификаторов.
originRollId, rawFace, rollKind.</t>
  </si>
  <si>
    <t xml:space="preserve">уклонение I≥4, R20+D+Молниеносная реакция−4+mods, безлимитно; блок R20+(S+D)/2+appropriateSkill−3+mods, безлимитно; без щита при успехе обычная броня, затем половина прошедшего урона; со щитом урон щиту.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</si>
  <si>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защита.
criticalResolution выбранной защиты и исход текущего этапа атаки.</t>
  </si>
  <si>
    <t xml:space="preserve">уклонение I≥4, R20+D+Молниеносная реакция−4+mods, безлимитно; блок R20+(S+D)/2+appropriateSkill−3+mods, безлимитно; без щита при успехе обычная броня, затем половина прошедшего урона; со щитом урон щиту.</t>
  </si>
  <si>
    <t xml:space="preserve">§5.4.6.3, стр. 103.
Прямое уточнение пользователя 2026-07-29 — боевой приоритет критов
Прямое авторское решение Q-SYMBIONT-XP-001 — опыт симбионтов за natural 20/1, 2026-07-30</t>
  </si>
  <si>
    <t xml:space="preserve">CORE-229
CORE-075
CORE-125
CORE-230</t>
  </si>
  <si>
    <t xml:space="preserve">CORE-150</t>
  </si>
  <si>
    <t xml:space="preserve">Суммарная броня и пробитие</t>
  </si>
  <si>
    <t xml:space="preserve">броня / разрешение попадания.</t>
  </si>
  <si>
    <t xml:space="preserve">атака</t>
  </si>
  <si>
    <t xml:space="preserve">все слои поражённой зоны.</t>
  </si>
  <si>
    <t xml:space="preserve">попадание, требующее пробития.</t>
  </si>
  <si>
    <t xml:space="preserve">зона определена.</t>
  </si>
  <si>
    <t xml:space="preserve">все независимые дайсы и константы слоёв; penetrationDefinition снимка активной версии профиля оружия; остальные компоненты Pr.
originRollId, rawFace, rollKind=PENETRATION|ARMOR.</t>
  </si>
  <si>
    <t xml:space="preserve">один раз бросить каждый дайс каждого слоя, сложить с константами; один раз собрать Pr; урон проходит только если Pr&gt;armor; равенство останавливает; обычное попадание не повреждает броню без свойства целостности.
Базовое пробитие оружия разрешается по penetrationDefinition активного снимка CORE-189; результат не записывается обратно в оружие.
[v1.3] Для MONSTER_ATTACK пробитие читается из MonsterAttackProfileVersion. naturalArmorDefinition цели образует отдельный равномерный внутренний слой и разрешается заново для каждой входящей проверки пробития; предметных слоёв у CustomMonster нет.
[v1.4] armorLayers=[] означает NO_LAYERS, а не числовой слой 0: этап пробития автоматически успешен при любом Pr, включая 0. Если присутствует хотя бы один слой, требуется строго Pr&gt;Σarmor; равенство останавливает.
PENETRATION и ARMOR относятся к NO_DIRECT_BUT_POOL. Событие принадлежит игроку, который бросил данный D20; rawFace 1/20 даёт 1 балл.</t>
  </si>
  <si>
    <t xml:space="preserve">пробито/остановлено.</t>
  </si>
  <si>
    <t xml:space="preserve">грубое оружие наносит половину даже без пробития; прямой урон игнорирует.
Не запускать CORE-083/084 и не выдавать прямой XP.</t>
  </si>
  <si>
    <t xml:space="preserve">один раз бросить каждый дайс каждого слоя, сложить с константами; один раз собрать Pr; урон проходит только если Pr&gt;armor; равенство останавливает; обычное попадание не повреждает броню без свойства целостности.</t>
  </si>
  <si>
    <t xml:space="preserve">§5.4.7, стр. 103.
Прямое уточнение пользователя 2026-07-28
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</si>
  <si>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Q-ENEMY-B5
Q-ENEMY-P14
Q-PREDEV-018
Q-SYMBIONT-XP-001</t>
  </si>
  <si>
    <t xml:space="preserve">CORE-188
CORE-189
CORE-190
CORE-206
CORE-208
CORE-210
CORE-226
CORE-230</t>
  </si>
  <si>
    <t xml:space="preserve">CORE-155</t>
  </si>
  <si>
    <t xml:space="preserve">Тяжёлое ранение и смерть</t>
  </si>
  <si>
    <t xml:space="preserve">Добивание тяжело раненного</t>
  </si>
  <si>
    <t xml:space="preserve">смерть / урон.</t>
  </si>
  <si>
    <t xml:space="preserve">любой источник</t>
  </si>
  <si>
    <t xml:space="preserve">тяжело раненный.</t>
  </si>
  <si>
    <t xml:space="preserve">после защит/сопротивлений теряется хотя бы 1 HP.</t>
  </si>
  <si>
    <t xml:space="preserve">severelyWounded=true.</t>
  </si>
  <si>
    <t xml:space="preserve">фактическая новая потеря HP.</t>
  </si>
  <si>
    <t xml:space="preserve">немедленно установить окончательную смерть; если порция после защит =0, не убивает.</t>
  </si>
  <si>
    <t xml:space="preserve">dead=true.</t>
  </si>
  <si>
    <t xml:space="preserve">дееспособность/дубль не предотвращают.</t>
  </si>
  <si>
    <t xml:space="preserve">после защит/сопротивлений теряется хотя бы 1 HP.
фактическая новая потеря HP.</t>
  </si>
  <si>
    <t xml:space="preserve">severelyWounded=true.
немедленно установить окончательную смерть; если порция после защит =0, не убивает.
dead=true.</t>
  </si>
  <si>
    <t xml:space="preserve">§5.5, стр. 104.</t>
  </si>
  <si>
    <t xml:space="preserve">Реанимация</t>
  </si>
  <si>
    <t xml:space="preserve">смерть / восстановление.</t>
  </si>
  <si>
    <t xml:space="preserve">предмет/способность</t>
  </si>
  <si>
    <t xml:space="preserve">эффект прямо выводит из тяжёлого ранения.</t>
  </si>
  <si>
    <t xml:space="preserve">окончательная смерть ещё не наступила.</t>
  </si>
  <si>
    <t xml:space="preserve">установленное эффектом HP.</t>
  </si>
  <si>
    <t xml:space="preserve">остановить таймер; снять тяжёлое ранение; HP установить указанным значением, иначе 1. Обычное лечение HP без прямого указания не действует.</t>
  </si>
  <si>
    <t xml:space="preserve">жив, не тяжело ранен.</t>
  </si>
  <si>
    <t xml:space="preserve">отвар CORE-060.</t>
  </si>
  <si>
    <t xml:space="preserve">установленное эффектом HP.
HP установить указанным значением, иначе 1.
Обычное лечение HP без прямого указания не действует.</t>
  </si>
  <si>
    <t xml:space="preserve">CORE-157</t>
  </si>
  <si>
    <t xml:space="preserve">Приоритет толкования</t>
  </si>
  <si>
    <t xml:space="preserve">метаправило / конфликт.</t>
  </si>
  <si>
    <t xml:space="preserve">Мастер / система</t>
  </si>
  <si>
    <t xml:space="preserve">движок/мастер</t>
  </si>
  <si>
    <t xml:space="preserve">конфликтующие правила.</t>
  </si>
  <si>
    <t xml:space="preserve">правила расходятся.</t>
  </si>
  <si>
    <t xml:space="preserve">конфликт невозможно снять обычной композицией.</t>
  </si>
  <si>
    <t xml:space="preserve">специфичность/ограничительность правил.</t>
  </si>
  <si>
    <t xml:space="preserve">конкретное исключение расы/предмета/существа/способности сильнее общего; пассив действует пока источник активен, активный — по заявлению и с ценой; отсутствующее преимущество не подразумевается; при равной конкретности выбрать более узкое/ограничительное; мастер решает до броска одинаково для всех.</t>
  </si>
  <si>
    <t xml:space="preserve">выбранная трактовка.</t>
  </si>
  <si>
    <t xml:space="preserve">временное правило последней ясности CORE-158.</t>
  </si>
  <si>
    <t xml:space="preserve">CORE-158</t>
  </si>
  <si>
    <t xml:space="preserve">Правило последней ясности</t>
  </si>
  <si>
    <t xml:space="preserve">метаправило / мастерское решение.</t>
  </si>
  <si>
    <t xml:space="preserve">мастер</t>
  </si>
  <si>
    <t xml:space="preserve">отсутствующее правило.</t>
  </si>
  <si>
    <t xml:space="preserve">ответ всё ещё отсутствует.</t>
  </si>
  <si>
    <t xml:space="preserve">до броска.</t>
  </si>
  <si>
    <t xml:space="preserve">одно предложение временного правила.</t>
  </si>
  <si>
    <t xml:space="preserve">правило обязано сохранять потраченные ресурсы, не давать дополнительных действий/целей и одинаково действовать на PC/NPC; после сцены записать и применять до новой редакции.</t>
  </si>
  <si>
    <t xml:space="preserve">versioned houseRule.</t>
  </si>
  <si>
    <t xml:space="preserve">не автоматизируется без мастерского ввода.</t>
  </si>
  <si>
    <t xml:space="preserve">Проверка допустимости характеристик после поправок</t>
  </si>
  <si>
    <t xml:space="preserve">создание / валидация.</t>
  </si>
  <si>
    <t xml:space="preserve">создаваемый персонаж</t>
  </si>
  <si>
    <t xml:space="preserve">все 7 характеристик.</t>
  </si>
  <si>
    <t xml:space="preserve">применение всех расовых/классовых/симбиотических поправок.</t>
  </si>
  <si>
    <t xml:space="preserve">базовый набор выбран.</t>
  </si>
  <si>
    <t xml:space="preserve">итоговые постоянные значения, способ выбора симбионтов.</t>
  </si>
  <si>
    <t xml:space="preserve">персонаж валиден, только если каждая ≥1; единственное исключение: при случайном выборе симбионта отрицательная поправка симбионта не опускает характеристику ниже 1 (clamp 1). Расовые поправки такого исключения не получают.
[v1.3] Для двух пользовательских типов лимит 1–35 проверяет только семь введённых базовых значений до постоянных модификаторов. Итог может превышать 35; действующий постоянный минимум 1 сохраняется.</t>
  </si>
  <si>
    <t xml:space="preserve">валидный персонаж либо блок сохранения.</t>
  </si>
  <si>
    <t xml:space="preserve">постоянный минимум 1.</t>
  </si>
  <si>
    <t xml:space="preserve">§6.1, стр. 105; §5.1, стр. 86.
Прямое уточнение пользователя 2026-07-28 — шаблоны врагов v1.3</t>
  </si>
  <si>
    <t xml:space="preserve">Q-ENEMY-B1</t>
  </si>
  <si>
    <t xml:space="preserve">CORE-197
CORE-200</t>
  </si>
  <si>
    <t xml:space="preserve">CORE-165</t>
  </si>
  <si>
    <t xml:space="preserve">Выбор и стоимость уровней навыка</t>
  </si>
  <si>
    <t xml:space="preserve">создание/развитие / навык.</t>
  </si>
  <si>
    <t xml:space="preserve">навык.</t>
  </si>
  <si>
    <t xml:space="preserve">изучение/повышение.</t>
  </si>
  <si>
    <t xml:space="preserve">выполнены все требования каталога, хватает слотов соответствующего пула.</t>
  </si>
  <si>
    <t xml:space="preserve">уровень/число плюсов.</t>
  </si>
  <si>
    <t xml:space="preserve">Базовый +1 занимает 1 слот; Средний +2 — 2; Высокий +3 — 3; Совершенный +4 — 4; Абсолютный +5 — 5. После абсолютного каждый + добавляет ещё +1 к бонусу и стоит 2 дополнительных слота: slotCost=5+2×plusCount, bonus=5+plusCount.</t>
  </si>
  <si>
    <t xml:space="preserve">навык, бонус, занятые слоты.</t>
  </si>
  <si>
    <t xml:space="preserve">верхний предел плюсов не задан.</t>
  </si>
  <si>
    <t xml:space="preserve">После абсолютного каждый + добавляет ещё +1 к бонусу и стоит 2 дополнительных слота: slotCost=5+2×plusCount, bonus=5+plusCount.</t>
  </si>
  <si>
    <t xml:space="preserve">§6.2, стр. 105–106.</t>
  </si>
  <si>
    <t xml:space="preserve">CORE-167</t>
  </si>
  <si>
    <t xml:space="preserve">Каталог навыков, доступных при создании</t>
  </si>
  <si>
    <t xml:space="preserve">создание / каталог навыков.</t>
  </si>
  <si>
    <t xml:space="preserve">выбранный навык.</t>
  </si>
  <si>
    <t xml:space="preserve">просмотр, изучение, применение.</t>
  </si>
  <si>
    <t xml:space="preserve">требования строки; стоимость CORE-165.</t>
  </si>
  <si>
    <t xml:space="preserve">характеристики и контекст действия.</t>
  </si>
  <si>
    <t xml:space="preserve">Нормативная база (действует во всей непротиворечащей части):
валидировать требования; добавлять итоговый бонус навыка к перечисленным действиям; применять штраф без навыка только где указан.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Навык «Крафт» можно выбрать и хранить как характеристику листа, но его действие создания предметов приложением не исполняется по Q-CORE-059.</t>
  </si>
  <si>
    <t xml:space="preserve">структурированная запись навыка.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</si>
  <si>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социальные/мирные проверки не реализуются этим реестром, но выбор/требования навыков необходимы для полной процедуры создания.
Поздние дельты применяются по приоритету AQ3 &gt; AQ2 &gt; AQA/CQA &gt; базовая карточка; локальное исключение сильнее общего.</t>
  </si>
  <si>
    <t xml:space="preserve">характеристики и контекст действия.
Нормативная база (действует во всей непротиворечащей части):
валидировать требования; добавлять итоговый бонус навыка к перечисленным действиям; применять штраф без навыка только где указан.
Навык «Крафт» можно выбрать и хранить как характеристику листа, но его действие создания предметов приложением не исполняется по Q-CORE-059.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</si>
  <si>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[Обязательная правка] Эта формулировка имеет приоритет над исходным текстом карточки.
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</si>
  <si>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§6.2, таблица 6, стр. 106–108.</t>
  </si>
  <si>
    <t xml:space="preserve">CORE-059
CORE-165</t>
  </si>
  <si>
    <t xml:space="preserve">CORE-168</t>
  </si>
  <si>
    <t xml:space="preserve">Случайный выбор симбионта</t>
  </si>
  <si>
    <t xml:space="preserve">создание / симбионт.</t>
  </si>
  <si>
    <t xml:space="preserve">Вольный или Единый</t>
  </si>
  <si>
    <t xml:space="preserve">слот(ы).</t>
  </si>
  <si>
    <t xml:space="preserve">выбран random mode.</t>
  </si>
  <si>
    <t xml:space="preserve">раса Вольный/Единый.</t>
  </si>
  <si>
    <t xml:space="preserve">последовательные чистые D20 и подтверждения критов.</t>
  </si>
  <si>
    <t xml:space="preserve">Вольный выполняет 1 результат; Единый последовательно до 4, если не получил чудовище; каждый некритический/не заменённый результат отображается CORE-169; дубликат перебрасывается; применяются меньшие расовые штрафы и пол характеристик CORE-164.</t>
  </si>
  <si>
    <t xml:space="preserve">выбранные виды.</t>
  </si>
  <si>
    <t xml:space="preserve">Чистые в §6.3 симбионтов не выбирают.</t>
  </si>
  <si>
    <t xml:space="preserve">§6.3, стр. 108–109.</t>
  </si>
  <si>
    <t xml:space="preserve">CORE-164
CORE-169</t>
  </si>
  <si>
    <t xml:space="preserve">CORE-169</t>
  </si>
  <si>
    <t xml:space="preserve">Таблица случайных симбионтов</t>
  </si>
  <si>
    <t xml:space="preserve">создание / случайная таблица.</t>
  </si>
  <si>
    <t xml:space="preserve">результат D20</t>
  </si>
  <si>
    <t xml:space="preserve">вид симбионта.</t>
  </si>
  <si>
    <t xml:space="preserve">CORE-168.</t>
  </si>
  <si>
    <t xml:space="preserve">результат не заменён чудовищем.</t>
  </si>
  <si>
    <t xml:space="preserve">D20.</t>
  </si>
  <si>
    <t xml:space="preserve">1 Ткач; 2 Тайпан; 3 Сова; 4 Учитель; 5 Броненосец; 6 Дракон; 7 Трогр; 8 Хранитель; 9 Советник; 10 Клещ; 11 Сверчок; 12 Паук; 13 Хамелеон; 14 Пингвин; 15 Угорь; 16 Жаба; 17 Крыса; 18 Дельфин; 19 Богомол; 20 Скунс.</t>
  </si>
  <si>
    <t xml:space="preserve">candidate symbiontType.</t>
  </si>
  <si>
    <t xml:space="preserve">подтверждённый крит первого результата Единого — CORE-170.</t>
  </si>
  <si>
    <t xml:space="preserve">§6.3, таблица 7, стр. 108–109.</t>
  </si>
  <si>
    <t xml:space="preserve">CORE-168
CORE-170</t>
  </si>
  <si>
    <t xml:space="preserve">Симбиотическое чудовище при случайном выборе</t>
  </si>
  <si>
    <t xml:space="preserve">создание / критический результат.</t>
  </si>
  <si>
    <t xml:space="preserve">все четыре слота.</t>
  </si>
  <si>
    <t xml:space="preserve">подтверждённый критический успех или провал первого обрабатываемого D20 выбора.</t>
  </si>
  <si>
    <t xml:space="preserve">у Единого ещё нет ни одного обычного симбионта.</t>
  </si>
  <si>
    <t xml:space="preserve">подтверждение 20/1; выбор игрока из списка §7.5.21.</t>
  </si>
  <si>
    <t xml:space="preserve">заменить табличный результат выбранным чудовищем; занять 4 слота; прекратить остальные броски. Если уже есть обычный симбионт, подтверждённая 1/20 не даёт чудовище и используется обычная таблица.</t>
  </si>
  <si>
    <t xml:space="preserve">один symbioticMonster.</t>
  </si>
  <si>
    <t xml:space="preserve">каталог чудовищ вне охваченных разделов.</t>
  </si>
  <si>
    <t xml:space="preserve">§6.3, стр. 109; §3.2.6.2, стр. 48.</t>
  </si>
  <si>
    <t xml:space="preserve">CORE-171</t>
  </si>
  <si>
    <t xml:space="preserve">Запрет дубликата симбионта</t>
  </si>
  <si>
    <t xml:space="preserve">симбионт / ограничение.</t>
  </si>
  <si>
    <t xml:space="preserve">новый симбионт.</t>
  </si>
  <si>
    <t xml:space="preserve">заражение, случайный выбор, операция/пересадка.</t>
  </si>
  <si>
    <t xml:space="preserve">вид уже присутствует.</t>
  </si>
  <si>
    <t xml:space="preserve">множество видов.</t>
  </si>
  <si>
    <t xml:space="preserve">в одном теле максимум один симбионт вида; при случайном повторе перебрасывать до свободного допустимого вида; если свободных допустимых видов нет — заражение/выбор не происходит.</t>
  </si>
  <si>
    <t xml:space="preserve">уникальный набор.</t>
  </si>
  <si>
    <t xml:space="preserve">чудовище занимает все слоты.</t>
  </si>
  <si>
    <t xml:space="preserve">§6.3, стр. 109.</t>
  </si>
  <si>
    <t xml:space="preserve">CORE-173</t>
  </si>
  <si>
    <t xml:space="preserve">Пять заявленных стартовых предметов</t>
  </si>
  <si>
    <t xml:space="preserve">создание / имущество.</t>
  </si>
  <si>
    <t xml:space="preserve">игрок</t>
  </si>
  <si>
    <t xml:space="preserve">5 кандидатов.</t>
  </si>
  <si>
    <t xml:space="preserve">после базовых категорий.</t>
  </si>
  <si>
    <t xml:space="preserve">мастер объявил доступность по месту происхождения.</t>
  </si>
  <si>
    <t xml:space="preserve">ровно 5 заявок и отдельный D20 каждой.</t>
  </si>
  <si>
    <t xml:space="preserve">Нормативная база (действует во всей непротиворечащей части):
для каждого независимо определить наличие/качество; если таблицы кампании нет: 1–4 отсутствует/непригоден; 5–9 плохое; 10–14 обычное; 15–18 хорошее; 19 исключительное; 20 редкое. Нельзя переносить результат между предметами.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стартовые предметы включить в процедуру мастерского согласования Q-CORE-052
Отдельная стартовая операция оружия хранит выбранный тип/вариант и готовый профиль; качество остаётся рекомендацией и не заменяет профиль.</t>
  </si>
  <si>
    <t xml:space="preserve">до 5 созданных записей имущества.</t>
  </si>
  <si>
    <t xml:space="preserve">шкала не отменяет требования и без мастера не создаёт уникальный артефакт.
Поздние дельты применяются по приоритету AQ3 &gt; AQ2 &gt; AQA/CQA &gt; базовая карточка; локальное исключение сильнее общего.</t>
  </si>
  <si>
    <t xml:space="preserve">ровно 5 заявок и отдельный D20 каждой.
[Обязательная правка] Эта формулировка имеет приоритет над исходным текстом карточки.</t>
  </si>
  <si>
    <t xml:space="preserve">шкала не отменяет требования и без мастера не создаёт уникальный артефакт.</t>
  </si>
  <si>
    <t xml:space="preserve">§6.4, стр. 110.
Прямое уточнение пользователя 2026-07-28</t>
  </si>
  <si>
    <t xml:space="preserve">CORE-052
CORE-184
CORE-185
CORE-186
CORE-187
CORE-188</t>
  </si>
  <si>
    <t xml:space="preserve">CORE-174</t>
  </si>
  <si>
    <t xml:space="preserve">Древние недоступны как игровая раса</t>
  </si>
  <si>
    <t xml:space="preserve">создание / доступность расы.</t>
  </si>
  <si>
    <t xml:space="preserve">выбор расы.</t>
  </si>
  <si>
    <t xml:space="preserve">создание персонажа.</t>
  </si>
  <si>
    <t xml:space="preserve">выбранная raceId.</t>
  </si>
  <si>
    <t xml:space="preserve">не показывать Древних как доступную игровую расу; отклонять создание персонажа с raceId=Ancient.</t>
  </si>
  <si>
    <t xml:space="preserve">доступны только игровые расы, разрешённые правилами.</t>
  </si>
  <si>
    <t xml:space="preserve">мастерские НПС не затрагиваются этим запретом, если отдельное правило кампании не говорит иное.</t>
  </si>
  <si>
    <t xml:space="preserve">§3.1 (механическое указание), стр. 43.</t>
  </si>
  <si>
    <t xml:space="preserve">CORE-176</t>
  </si>
  <si>
    <t xml:space="preserve">Термины хода, круга и сцены</t>
  </si>
  <si>
    <t xml:space="preserve">бой / временная модель.</t>
  </si>
  <si>
    <t xml:space="preserve">боевая ситуация</t>
  </si>
  <si>
    <t xml:space="preserve">таймеры и очередь.</t>
  </si>
  <si>
    <t xml:space="preserve">создание боя и интерпретация срока.</t>
  </si>
  <si>
    <t xml:space="preserve">очередь участников и формулировка правила.</t>
  </si>
  <si>
    <t xml:space="preserve">ход персонажа = его одно место в инициативе; «ход»/«боевой ход» без уточнения = личный ход, не круг. Круг инициативы = полный цикл, где каждый участник получает ход. Формулировка «до конца хода (круга инициативы)» означает конец текущего круга. Сцена = непрерывный эпизод в одном месте/времени, её завершение вводит мастер.</t>
  </si>
  <si>
    <t xml:space="preserve">однозначные time anchors для эффектов.</t>
  </si>
  <si>
    <t xml:space="preserve">конкретный эффект с собственным моментом тика сильнее.</t>
  </si>
  <si>
    <t xml:space="preserve">очередь участников и формулировка правила.
ход персонажа = его одно место в инициативе; «ход»/«боевой ход» без уточнения = личный ход, не круг.
Круг инициативы = полный цикл, где каждый участник получает ход.
Формулировка «до конца хода (круга инициативы)» означает конец текущего круга.
Сцена = непрерывный эпизод в одном месте/времени, её завершение вводит мастер.</t>
  </si>
  <si>
    <t xml:space="preserve">создание боя и интерпретация срока.
ход персонажа = его одно место в инициативе; «ход»/«боевой ход» без уточнения = личный ход, не круг.
Круг инициативы = полный цикл, где каждый участник получает ход.
Формулировка «до конца хода (круга инициативы)» означает конец текущего круга.</t>
  </si>
  <si>
    <t xml:space="preserve">§5.4.1, стр. 93.</t>
  </si>
  <si>
    <t xml:space="preserve">CORE-178</t>
  </si>
  <si>
    <t xml:space="preserve">Автомат состояния «бегство»</t>
  </si>
  <si>
    <t xml:space="preserve">контроль поведения / выход из боя.</t>
  </si>
  <si>
    <t xml:space="preserve">любой живой участник</t>
  </si>
  <si>
    <t xml:space="preserve">собственные действия.</t>
  </si>
  <si>
    <t xml:space="preserve">добровольный выбор в начале личного хода либо принудительный эффект правила</t>
  </si>
  <si>
    <t xml:space="preserve">участник находится в бою; при принудительном триггере отказ невозможен</t>
  </si>
  <si>
    <t xml:space="preserve">двумерные координаты, ближайшие противники, D, En, серия доступных действий</t>
  </si>
  <si>
    <t xml:space="preserve">Установить fleeing=true. 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 Ближайший противник пересчитывается перед каждым перемещением, равенство разрешается случайно. Режим «бежать несмотря ни на что» не включается. Защитные реакции сохраняются. После достижения дистанции более 150 м до ближайшего противника немедленно исключить участника из боя.</t>
  </si>
  <si>
    <t xml:space="preserve">участник либо остаётся в состоянии бегства, либо удалён из текущей боевой ситуации</t>
  </si>
  <si>
    <t xml:space="preserve">прямой эффект, отменяющий бегство, снимает флаг; препятствия, безопасный путь и высота не моделируются</t>
  </si>
  <si>
    <t xml:space="preserve">двумерные координаты, ближайшие противники, D, En, серия доступных действий
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
Защитные реакции сохраняются.</t>
  </si>
  <si>
    <t xml:space="preserve">Установить fleeing=true.
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t>
  </si>
  <si>
    <t xml:space="preserve">добровольный выбор в начале личного хода либо принудительный эффект правила
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t>
  </si>
  <si>
    <t xml:space="preserve">Q-CORE-037 (Round 2); §5.4.4.2.3, стр. 99.</t>
  </si>
  <si>
    <t xml:space="preserve">Q-CORE-037</t>
  </si>
  <si>
    <t xml:space="preserve">SYM-001</t>
  </si>
  <si>
    <t xml:space="preserve">3. Обыкновенные симбионты</t>
  </si>
  <si>
    <t xml:space="preserve">Общие правила симбионтов и развития</t>
  </si>
  <si>
    <t xml:space="preserve">Ограничение одного симбионта каждого вида</t>
  </si>
  <si>
    <t xml:space="preserve">состав носителя.</t>
  </si>
  <si>
    <t xml:space="preserve">добавляемый симбионт.</t>
  </si>
  <si>
    <t xml:space="preserve">попытка заражения, пересадки или создания набора симбионтов.</t>
  </si>
  <si>
    <t xml:space="preserve">вид симбионта определён.</t>
  </si>
  <si>
    <t xml:space="preserve">host.symbionts, candidate.type.</t>
  </si>
  <si>
    <t xml:space="preserve">отклонить добавление, если в теле уже есть симбионт с type = candidate.type.</t>
  </si>
  <si>
    <t xml:space="preserve">состав не меняется; причина отказа «вид уже занят».</t>
  </si>
  <si>
    <t xml:space="preserve">специальных исключений в 7.1–7.5.20 нет.</t>
  </si>
  <si>
    <t xml:space="preserve">отклонить добавление, если в теле уже есть симбионт с type = candidate.type.
состав не меняется; причина отказа «вид уже занят».</t>
  </si>
  <si>
    <t xml:space="preserve">7.1, стр. 111.</t>
  </si>
  <si>
    <t xml:space="preserve">SYM-002</t>
  </si>
  <si>
    <t xml:space="preserve">Вместимость симбиотических слотов</t>
  </si>
  <si>
    <t xml:space="preserve">новый обыкновенный симбионт.</t>
  </si>
  <si>
    <t xml:space="preserve">добавление симбионта или изменение его занимаемых слотов.</t>
  </si>
  <si>
    <t xml:space="preserve">известны свободные слоты и размер симбионта.</t>
  </si>
  <si>
    <t xml:space="preserve">slotCapacity, occupiedSlots; для обыкновенного симбионта slotCost=1, если специальное правило не меняет стоимость.</t>
  </si>
  <si>
    <t xml:space="preserve">добавление допустимо, только если occupiedSlots + slotCost &lt;= slotCapacity.</t>
  </si>
  <si>
    <t xml:space="preserve">при успехе занять слоты; при нехватке новый симбионт не поселяется.</t>
  </si>
  <si>
    <t xml:space="preserve">Трогр после поглощения Учителя/Дельфина меняет slotCost по SYM-076.</t>
  </si>
  <si>
    <t xml:space="preserve">slotCapacity, occupiedSlots; для обыкновенного симбионта slotCost=1, если специальное правило не меняет стоимость.
добавление допустимо, только если occupiedSlots + slotCost &lt;= slotCapacity.</t>
  </si>
  <si>
    <t xml:space="preserve">7.1, стр. 111; 7.5, стр. 115.</t>
  </si>
  <si>
    <t xml:space="preserve">SYM-076</t>
  </si>
  <si>
    <t xml:space="preserve">SYM-003</t>
  </si>
  <si>
    <t xml:space="preserve">Иммунитет Чистых к естественному заражению</t>
  </si>
  <si>
    <t xml:space="preserve">заражение.</t>
  </si>
  <si>
    <t xml:space="preserve">персонаж расы Чистые</t>
  </si>
  <si>
    <t xml:space="preserve">проверка естественного заражения.</t>
  </si>
  <si>
    <t xml:space="preserve">наступление момента проверки заражения.</t>
  </si>
  <si>
    <t xml:space="preserve">race=Чистый.</t>
  </si>
  <si>
    <t xml:space="preserve">раса персонажа.</t>
  </si>
  <si>
    <t xml:space="preserve">Нормативная база (действует во всей непротиворечащей части):
проверку не выполнять; заражение не возникает.
Приоритетные авторские дельты (заменяют только прямо пересекающиеся ветви):
[AQ2-GM-SYM] Операции мастера по добавлению, удалению, замене, пересадке и изменению уровня симбионта определены карточками AQ2-013–AQ2-025. Прежняя помета о неопределённости пересадки в конфликтующей части не применяется.</t>
  </si>
  <si>
    <t xml:space="preserve">состав симбионтов неизменен.</t>
  </si>
  <si>
    <t xml:space="preserve">правило относится к естественному заражению; операции пересадки здесь не определены.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</si>
  <si>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Прежняя помета о неопределённости пересадки в конфликтующей части не применяется.</t>
  </si>
  <si>
    <t xml:space="preserve">проверку не выполнять; заражение не возникает.</t>
  </si>
  <si>
    <t xml:space="preserve">AQ2-013
AQ2-025</t>
  </si>
  <si>
    <t xml:space="preserve">SYM-006</t>
  </si>
  <si>
    <t xml:space="preserve">Состояние пересаженного симбионта</t>
  </si>
  <si>
    <t xml:space="preserve">пересадка / сохранение прогресса.</t>
  </si>
  <si>
    <t xml:space="preserve">пересаживаемый симбионт</t>
  </si>
  <si>
    <t xml:space="preserve">новый носитель.</t>
  </si>
  <si>
    <t xml:space="preserve">успешное завершение операции пересадки.</t>
  </si>
  <si>
    <t xml:space="preserve">пересадка допустима по слотам и уникальности вида.</t>
  </si>
  <si>
    <t xml:space="preserve">уровень, изученные способности, текущие ОЭ симбионта.</t>
  </si>
  <si>
    <t xml:space="preserve">сохранить приобретённый уровень и изученные способности; установить currentOE=0.</t>
  </si>
  <si>
    <t xml:space="preserve">симбионт переносится без потери прогресса, но без текущей энергии.</t>
  </si>
  <si>
    <t xml:space="preserve">восстановление ОЭ — только обычным отдыхом.</t>
  </si>
  <si>
    <t xml:space="preserve">уровень, изученные способности, текущие ОЭ симбионта.
восстановление ОЭ — только обычным отдыхом.</t>
  </si>
  <si>
    <t xml:space="preserve">SYM-008</t>
  </si>
  <si>
    <t xml:space="preserve">Игровое время и отдых</t>
  </si>
  <si>
    <t xml:space="preserve">Возврат отключённого симбионта</t>
  </si>
  <si>
    <t xml:space="preserve">состояния симбионта.</t>
  </si>
  <si>
    <t xml:space="preserve">отключённый симбионт.</t>
  </si>
  <si>
    <t xml:space="preserve">истекло указанное эффектом время либо завершён полноценный отдых.</t>
  </si>
  <si>
    <t xml:space="preserve">описание конкретного отключения прямо разрешает соответствующий способ возврата.</t>
  </si>
  <si>
    <t xml:space="preserve">причина отключения, длительность, флаг разрешения отдыха.</t>
  </si>
  <si>
    <t xml:space="preserve">активировать симбионт только по прямо разрешённому условию; сам по себе отдых не сокращает любое отключение.</t>
  </si>
  <si>
    <t xml:space="preserve">disabled=false.</t>
  </si>
  <si>
    <t xml:space="preserve">конкретное описание отключения имеет приоритет.</t>
  </si>
  <si>
    <t xml:space="preserve">SYM-011</t>
  </si>
  <si>
    <t xml:space="preserve">Боевое ядро</t>
  </si>
  <si>
    <t xml:space="preserve">Проверка достаточности ОЭ и атомарная оплата</t>
  </si>
  <si>
    <t xml:space="preserve">ресурс / команда.</t>
  </si>
  <si>
    <t xml:space="preserve">симбионт</t>
  </si>
  <si>
    <t xml:space="preserve">объявляемая способность.</t>
  </si>
  <si>
    <t xml:space="preserve">пользователь объявляет способность.</t>
  </si>
  <si>
    <t xml:space="preserve">известна полная цена.</t>
  </si>
  <si>
    <t xml:space="preserve">currentOE, цена ОЭ, доступные действия.</t>
  </si>
  <si>
    <t xml:space="preserve">если ОЭ меньше полной цены либо действий недостаточно — запретить объявление; иначе при объявлении единоразово списать ОЭ и действия.</t>
  </si>
  <si>
    <t xml:space="preserve">создаётся оплаченная попытка способности.</t>
  </si>
  <si>
    <t xml:space="preserve">провал активации, промах, защита и непробитие не возвращают затраты; особые цены «вся энергия» и поддержание исполняются по описанию.</t>
  </si>
  <si>
    <t xml:space="preserve">currentOE, цена ОЭ, доступные действия.
если ОЭ меньше полной цены либо действий недостаточно — запретить объявление; иначе при объявлении единоразово списать ОЭ и действия.</t>
  </si>
  <si>
    <t xml:space="preserve">известна полная цена.
currentOE, цена ОЭ, доступные действия.
если ОЭ меньше полной цены либо действий недостаточно — запретить объявление; иначе при объявлении единоразово списать ОЭ и действия.
провал активации, промах, защита и непробитие не возвращают затраты; особые цены «вся энергия» и поддержание исполняются по описанию.</t>
  </si>
  <si>
    <t xml:space="preserve">SYM-012</t>
  </si>
  <si>
    <t xml:space="preserve">Активационный бросок и специальные исходы</t>
  </si>
  <si>
    <t xml:space="preserve">броски / активация.</t>
  </si>
  <si>
    <t xml:space="preserve">активная способность.</t>
  </si>
  <si>
    <t xml:space="preserve">оплаченная способность переходит к разрешению.</t>
  </si>
  <si>
    <t xml:space="preserve">описание содержит формулу от чистого R20 и пороги «срабатывает при…» либо явно требует активацию.</t>
  </si>
  <si>
    <t xml:space="preserve">последовательность вхождений R20, порог, специальные значения.</t>
  </si>
  <si>
    <t xml:space="preserve">первый названный чистый R20 — бросок активации и одновременно значение первого связанного числового эффекта; слово «отдельная»/новое вхождение требует нового броска. Чистая 1 и иные специальные последствия относятся к активационному броску.
Прогрессия симбионта определяется только CORE-230/SYM-021 по реально использованным modifierStatCodes; сам факт активации способности отдельным основанием больше не является.</t>
  </si>
  <si>
    <t xml:space="preserve">при достижении порога продолжить разрешение; иначе способность оплачена, но основного эффекта нет; специальный исход применить отдельно.</t>
  </si>
  <si>
    <t xml:space="preserve">если активация не указана, после оплаты она автоматическая, но попадание/пробитие/встречная проверка могут остаться.
Без связанной характеристики значимая активационная проверка идёт в общий счётчик; незначимая — NEVER.</t>
  </si>
  <si>
    <t xml:space="preserve">описание содержит формулу от чистого R20 и пороги «срабатывает при…» либо явно требует активацию.
последовательность вхождений R20, порог, специальные значения.
первый названный чистый R20 — бросок активации и одновременно значение первого связанного числового эффекта; слово «отдельная»/новое вхождение требует нового броска.</t>
  </si>
  <si>
    <t xml:space="preserve">7.1, стр. 111.
Прямое авторское решение Q-SYMBIONT-XP-001 — опыт симбионтов за natural 20/1, 2026-07-30</t>
  </si>
  <si>
    <t xml:space="preserve">SYM-013</t>
  </si>
  <si>
    <t xml:space="preserve">Последовательность активной атакующей способности</t>
  </si>
  <si>
    <t xml:space="preserve">бой / конвейер действия.</t>
  </si>
  <si>
    <t xml:space="preserve">применяющий</t>
  </si>
  <si>
    <t xml:space="preserve">объявление активной атакующей способности.</t>
  </si>
  <si>
    <t xml:space="preserve">цель допустима, способность доступна.</t>
  </si>
  <si>
    <t xml:space="preserve">цель, стоимость, активация, меткость, защита, пробитие, урон/эффект.</t>
  </si>
  <si>
    <t xml:space="preserve">объявление цели и оплата → активация → точность → защитное действие → пробитие → урон и эффект.</t>
  </si>
  <si>
    <t xml:space="preserve">журналировать каждый этап и итог.</t>
  </si>
  <si>
    <t xml:space="preserve">прямые исключения («нельзя защититься», чистый урон, гарантированное попадание и т.п.) пропускают соответствующий этап.</t>
  </si>
  <si>
    <t xml:space="preserve">SYM-014</t>
  </si>
  <si>
    <t xml:space="preserve">Дальняя способность и несколько целей</t>
  </si>
  <si>
    <t xml:space="preserve">бой / дальняя атака.</t>
  </si>
  <si>
    <t xml:space="preserve">одна или несколько целей.</t>
  </si>
  <si>
    <t xml:space="preserve">активная способность действует на дистанции.</t>
  </si>
  <si>
    <t xml:space="preserve">описание не задаёт иной тип разрешения.</t>
  </si>
  <si>
    <t xml:space="preserve">цели, дальность, линия видимости.</t>
  </si>
  <si>
    <t xml:space="preserve">применять по умолчанию правила стрельбы; для каждой цели отдельно выполнять атаку, защиту, пробитие и эффект.</t>
  </si>
  <si>
    <t xml:space="preserve">отдельные результаты по каждой цели.</t>
  </si>
  <si>
    <t xml:space="preserve">площадные, самонаводящиеся, контактные и прямо беззащитные способности исполняются по специальному тексту.</t>
  </si>
  <si>
    <t xml:space="preserve">SYM-015</t>
  </si>
  <si>
    <t xml:space="preserve">Цель, контакт и поле зрения</t>
  </si>
  <si>
    <t xml:space="preserve">адресация эффекта.</t>
  </si>
  <si>
    <t xml:space="preserve">выбор цели.</t>
  </si>
  <si>
    <t xml:space="preserve">способность изучена.</t>
  </si>
  <si>
    <t xml:space="preserve">формулировка способности, позиции, препятствия, контакт.</t>
  </si>
  <si>
    <t xml:space="preserve">если цель не названа и меняется тело носителя — цель носитель; «в поле зрения» проверять и при объявлении, и при разрешении; непрозрачное препятствие блокирует; контактная способность без дальности требует касания; дальняя без линии распространения требует поля зрения.</t>
  </si>
  <si>
    <t xml:space="preserve">валидная цель принимается либо команда отклоняется.</t>
  </si>
  <si>
    <t xml:space="preserve">прямые указания прохождения сквозь препятствия имеют приоритет.</t>
  </si>
  <si>
    <t xml:space="preserve">7.4, стр. 114.</t>
  </si>
  <si>
    <t xml:space="preserve">SYM-016</t>
  </si>
  <si>
    <t xml:space="preserve">Типы механических субъектов</t>
  </si>
  <si>
    <t xml:space="preserve">доменная модель.</t>
  </si>
  <si>
    <t xml:space="preserve">персонаж, источник, носитель.</t>
  </si>
  <si>
    <t xml:space="preserve">вычисление применимости правила.</t>
  </si>
  <si>
    <t xml:space="preserve">объект участвует в сцене.</t>
  </si>
  <si>
    <t xml:space="preserve">тип сущности.</t>
  </si>
  <si>
    <t xml:space="preserve">«персонаж» включает ПК, НПС, животное, симбионта вне тела и иное участвующее существо; «источник эффекта» — персонаж/симбионт/предмет/болезнь/явление; «носитель» — персонаж, в теле которого симбионт.</t>
  </si>
  <si>
    <t xml:space="preserve">правила применяются к унифицированному интерфейсу боевого субъекта.</t>
  </si>
  <si>
    <t xml:space="preserve">способность может сузить тип цели.</t>
  </si>
  <si>
    <t xml:space="preserve">SYM-017</t>
  </si>
  <si>
    <t xml:space="preserve">Нотация бросков и независимость дайсов</t>
  </si>
  <si>
    <t xml:space="preserve">формулы.</t>
  </si>
  <si>
    <t xml:space="preserve">движок бросков.</t>
  </si>
  <si>
    <t xml:space="preserve">вычисление формулы.</t>
  </si>
  <si>
    <t xml:space="preserve">формула содержит D/R.</t>
  </si>
  <si>
    <t xml:space="preserve">D20/D12/D6/D4, R20/R12/R6/R4, количество, степень.</t>
  </si>
  <si>
    <t xml:space="preserve">R — результат отдельного дайса; 2R20 — два независимых D20 с суммой; R20×2 — один результат, умноженный на 2; каждое новое вхождение R — новый бросок, если не сказано обратное; R20² — квадрат одного результата.
2R20 означает два независимых D20 с разными originRollId; R20×2 означает один D20, где для прогрессии учитывается rawFace до умножения.</t>
  </si>
  <si>
    <t xml:space="preserve">формируется трассируемый набор независимых бросков.</t>
  </si>
  <si>
    <t xml:space="preserve">прямые слова «тот же результат», «одна проверка», «один общий бросок» связывают значения.
Итог 20 от иной натуральной грани не создаёт событие.</t>
  </si>
  <si>
    <t xml:space="preserve">вычисление формулы.
формула содержит D/R.
D20/D12/D6/D4, R20/R12/R6/R4, количество, степень.
2R20 — два независимых D20 с суммой
R20×2 — один результат, умноженный на 2; каждое новое вхождение R — новый бросок, если не сказано обратное</t>
  </si>
  <si>
    <t xml:space="preserve">7.4, стр. 114.
Прямое авторское решение Q-SYMBIONT-XP-001 — опыт симбионтов за natural 20/1, 2026-07-30</t>
  </si>
  <si>
    <t xml:space="preserve">SYM-020</t>
  </si>
  <si>
    <t xml:space="preserve">Стартовый уровень и способности 1-го уровня</t>
  </si>
  <si>
    <t xml:space="preserve">развитие.</t>
  </si>
  <si>
    <t xml:space="preserve">полученный симбионт.</t>
  </si>
  <si>
    <t xml:space="preserve">первоначальное получение.</t>
  </si>
  <si>
    <t xml:space="preserve">симбионт создан/заражение завершено.</t>
  </si>
  <si>
    <t xml:space="preserve">дерево способностей.</t>
  </si>
  <si>
    <t xml:space="preserve">установить L=1; отметить все способности 1-го уровня изученными бесплатно.
[v1.3] Для CustomMonster L=1 является только минимумом: мастер вправе заявить более высокий уровень и валидный набор узлов по CORE-203.</t>
  </si>
  <si>
    <t xml:space="preserve">доступен весь уровень 1 без расхода опыта.</t>
  </si>
  <si>
    <t xml:space="preserve">пересадка сохраняет прежний прогресс по SYM-006.</t>
  </si>
  <si>
    <t xml:space="preserve">установить L=1; отметить все способности 1-го уровня изученными бесплатно.</t>
  </si>
  <si>
    <t xml:space="preserve">7.2, стр. 112–113.
Прямое уточнение пользователя 2026-07-28 — шаблоны врагов v1.3</t>
  </si>
  <si>
    <t xml:space="preserve">Q-ENEMY-B9</t>
  </si>
  <si>
    <t xml:space="preserve">SYM-006
CORE-203</t>
  </si>
  <si>
    <t xml:space="preserve">SYM-021</t>
  </si>
  <si>
    <t xml:space="preserve">Прогрессия симбионтов v1.6</t>
  </si>
  <si>
    <t xml:space="preserve">Прямое начисление опыта симбионту за natural 20/1</t>
  </si>
  <si>
    <t xml:space="preserve">развитие / опыт.</t>
  </si>
  <si>
    <t xml:space="preserve">значимая проверка носителя.</t>
  </si>
  <si>
    <t xml:space="preserve">CORE-230 вернул progressionRoute=DIRECT_SYMBIONT и processingStatus=PENDING для игрока.</t>
  </si>
  <si>
    <t xml:space="preserve">Значимая проверка; original D20 rawFace=20/1; rollKind допускает direct; modifierStatCodes содержит связанную характеристику; найден хотя бы один активный допустимый экземпляр симбионта.</t>
  </si>
  <si>
    <t xml:space="preserve">originRollId, eventPoints 1..5, criticalPolarity, eligibleSymbiontInstanceIds(unique), actor race policy, selectedSymbiontInstanceId.</t>
  </si>
  <si>
    <t xml:space="preserve">Выбрать ровно один уникальный допустимый экземпляр симбионта равновероятно, без веса за число совпавших характеристик. Начислить ему baseXP=eventPoints. Для Вольного применить CORE-007 ×2 один раз. Установить APPLIED_DIRECT.</t>
  </si>
  <si>
    <t xml:space="preserve">XP выбранного симбионта увеличен; progressionRoute=DIRECT_SYMBIONT; counterPoints не меняются.</t>
  </si>
  <si>
    <t xml:space="preserve">Натуральная 1 и отрицательные градации допустимы. Сам факт активации способности не является основанием. Неактивные экземпляры исключены, кроме явных локальных правил. Проигрыш встречной проверки не отменяет award.</t>
  </si>
  <si>
    <t xml:space="preserve">baseXP=eventPoints; FreeXP=baseXP×2; Crit/Double/Triple/Ultra/Rampage=1/2/3/4/5.</t>
  </si>
  <si>
    <t xml:space="preserve">Начислять только за natural 20; начислять за failure=0; выдавать полный XP всем кандидатам; одновременно направлять те же points в counter.</t>
  </si>
  <si>
    <t xml:space="preserve">Один originRollId → один selectedSymbiontInstanceId; логировать множество кандидатов, алгоритм равновероятного выбора, baseXP, multiplier и finalXP.</t>
  </si>
  <si>
    <t xml:space="preserve">7.2, стр. 112–113.
Прямое уточнение пользователя 2026-07-29 — боевой приоритет критов
Прямое авторское решение Q-SYMBIONT-XP-001 — опыт симбионтов за natural 20/1, 2026-07-30</t>
  </si>
  <si>
    <t xml:space="preserve">CORE-229
CORE-007
CORE-075
CORE-085
CORE-104
CORE-230
CORE-233
SYM-022
SYM-055
SYM-075
SYM-130</t>
  </si>
  <si>
    <t xml:space="preserve">SYM-022</t>
  </si>
  <si>
    <t xml:space="preserve">Покупка способности и цена</t>
  </si>
  <si>
    <t xml:space="preserve">развитие / покупка.</t>
  </si>
  <si>
    <t xml:space="preserve">узел дерева.</t>
  </si>
  <si>
    <t xml:space="preserve">игрок выбирает способность.</t>
  </si>
  <si>
    <t xml:space="preserve">входящие связи выполнены; XOR-ветвь не заблокирована; XP достаточно.</t>
  </si>
  <si>
    <t xml:space="preserve">уровень узла N, накопленный XP, изученные узлы.</t>
  </si>
  <si>
    <t xml:space="preserve">стоимость способности = N XP; списать XP и отметить способность изученной.
При повышении уровня использовать XP, полученный напрямую, распределением unallocatedSymbiontXp или отдельными пассивными правилами; источник award не меняет таблицу порогов.</t>
  </si>
  <si>
    <t xml:space="preserve">способность доступна, если её уровень не выше текущего L.</t>
  </si>
  <si>
    <t xml:space="preserve">уровень 1 бесплатен по SYM-020.</t>
  </si>
  <si>
    <t xml:space="preserve">стоимость способности = N XP; списать XP и отметить способность изученной.</t>
  </si>
  <si>
    <t xml:space="preserve">Хранить provenance каждого XP-award.</t>
  </si>
  <si>
    <t xml:space="preserve">7.2–7.3, стр. 112–113.
Прямое авторское решение Q-SYMBIONT-XP-001 — опыт симбионтов за natural 20/1, 2026-07-30</t>
  </si>
  <si>
    <t xml:space="preserve">SYM-020
CORE-232
SYM-021</t>
  </si>
  <si>
    <t xml:space="preserve">SYM-023</t>
  </si>
  <si>
    <t xml:space="preserve">Семантика стрелок, OR, XOR и AND</t>
  </si>
  <si>
    <t xml:space="preserve">развитие / граф зависимостей.</t>
  </si>
  <si>
    <t xml:space="preserve">дерево симбионта.</t>
  </si>
  <si>
    <t xml:space="preserve">проверка доступности узла.</t>
  </si>
  <si>
    <t xml:space="preserve">дерево оцифровано.</t>
  </si>
  <si>
    <t xml:space="preserve">входящие стрелки и оператор.</t>
  </si>
  <si>
    <t xml:space="preserve">стрелка идёт от обязательного узла к открываемому; OR — для перехода достаточно любой одной ветви, другая не блокируется и может быть изучена позже; XOR — выбор первой способности фиксирует ветвь и навсегда блокирует противоположную; AND — требуются все входящие ветви. Закрывающий OR/XOR/AND применяет те же условия к следующему узлу.</t>
  </si>
  <si>
    <t xml:space="preserve">вычислены доступные/заблокированные узлы.</t>
  </si>
  <si>
    <t xml:space="preserve">конкретные деревья перечислены в профильных правилах.</t>
  </si>
  <si>
    <t xml:space="preserve">7.3, стр. 113 (растровая схема и уточнение).</t>
  </si>
  <si>
    <t xml:space="preserve">SYM-024</t>
  </si>
  <si>
    <t xml:space="preserve">Уровень симбионта</t>
  </si>
  <si>
    <t xml:space="preserve">развитие / уровень.</t>
  </si>
  <si>
    <t xml:space="preserve">симбионт.</t>
  </si>
  <si>
    <t xml:space="preserve">изучение способности или изменение доступности уровня.</t>
  </si>
  <si>
    <t xml:space="preserve">известны изученные доступные способности.</t>
  </si>
  <si>
    <t xml:space="preserve">уровни изученных и доступных способностей.</t>
  </si>
  <si>
    <t xml:space="preserve">L = max(level изученной доступной способности); при переходе на новый этап дерева уровень повышается.
[v1.3] При создании CustomMonster вычисленный по изученным узлам эффективный L обязан совпасть с targetLevel, указанным мастером; иначе шаблон не финализируется.</t>
  </si>
  <si>
    <t xml:space="preserve">пересчитать L и maxOE; текущие ОЭ не восстанавливать.</t>
  </si>
  <si>
    <t xml:space="preserve">прямые эффекты потери/получения уровня могут требовать отдельного решения.</t>
  </si>
  <si>
    <t xml:space="preserve">L = max(level изученной доступной способности); при переходе на новый этап дерева уровень повышается.</t>
  </si>
  <si>
    <t xml:space="preserve">7.2–7.3, стр. 112–113.
Прямое уточнение пользователя 2026-07-28 — шаблоны врагов v1.3</t>
  </si>
  <si>
    <t xml:space="preserve">CORE-203</t>
  </si>
  <si>
    <t xml:space="preserve">SYM-025</t>
  </si>
  <si>
    <t xml:space="preserve">Временная потеря уровня, удаление и гибель</t>
  </si>
  <si>
    <t xml:space="preserve">развитие / жизненный цикл.</t>
  </si>
  <si>
    <t xml:space="preserve">временная потеря уровня либо удаление/гибель симбионта.</t>
  </si>
  <si>
    <t xml:space="preserve">эффект разрешён.</t>
  </si>
  <si>
    <t xml:space="preserve">новый L, изученные способности, текущие ОЭ, пассивы.</t>
  </si>
  <si>
    <t xml:space="preserve">при временной потере уровня не удалять способности, заблокировать способности выше L, ограничить ОЭ новым максимумом, XP не возвращать. При удалении/гибели прекратить обычные пассивы.</t>
  </si>
  <si>
    <t xml:space="preserve">обновлены доступность, ОЭ и производные показатели.</t>
  </si>
  <si>
    <t xml:space="preserve">прямо указанное постоянное последствие сохраняется (пример — навык Трогра после удаления).</t>
  </si>
  <si>
    <t xml:space="preserve">новый L, изученные способности, текущие ОЭ, пассивы.
при временной потере уровня не удалять способности, заблокировать способности выше L, ограничить ОЭ новым максимумом, XP не возвращать.
обновлены доступность, ОЭ и производные показатели.</t>
  </si>
  <si>
    <t xml:space="preserve">7.2, стр. 113.</t>
  </si>
  <si>
    <t xml:space="preserve">SYM-182</t>
  </si>
  <si>
    <t xml:space="preserve">Заражение во младенчестве при выбранных симбионтах</t>
  </si>
  <si>
    <t xml:space="preserve">Единый или Вольный</t>
  </si>
  <si>
    <t xml:space="preserve">выбранный при создании набор симбионтов.</t>
  </si>
  <si>
    <t xml:space="preserve">игрок использует вариант заражения, произведённого родителями во младенчестве, вместо естественного случайного выбора.</t>
  </si>
  <si>
    <t xml:space="preserve">раса допускает симбионтов; набор проходит слоты/уникальность.</t>
  </si>
  <si>
    <t xml:space="preserve">режим создания selected_infant_infection либо natural_random_infection.</t>
  </si>
  <si>
    <t xml:space="preserve">трактовать выбранное заражение во младенчестве как manual-режим создания. Для Единого применить S−=7, M−=10, Z−=10 (CORE-001); для Вольного применить S−=2, M−=2, Z−=2 (CORE-006). Случайное естественное заражение остаётся random-режимом: Единый S−=3, M−=6, Z−=6, Вольный без расовой поправки.</t>
  </si>
  <si>
    <t xml:space="preserve">выбранный набор и штраф раннего заражения.</t>
  </si>
  <si>
    <t xml:space="preserve">расовые формулы CORE-001/CORE-006 имеют приоритет; случайное естественное заражение описано как более здоровый вариант.</t>
  </si>
  <si>
    <t xml:space="preserve">Для Единого применить S−=7, M−=10, Z−=10 (CORE-001); для Вольного применить S−=2, M−=2, Z−=2 (CORE-006).
Случайное естественное заражение остаётся random-режимом: Единый S−=3, M−=6, Z−=6, Вольный без расовой поправки.
расовые формулы CORE-001/CORE-006 имеют приоритет; случайное естественное заражение описано как более здоровый вариант.</t>
  </si>
  <si>
    <t xml:space="preserve">7.1, стр. 111; 3.2.6.1, стр. 48; 3.3.6.1, стр. 55.</t>
  </si>
  <si>
    <t xml:space="preserve">CORE-001
CORE-006</t>
  </si>
  <si>
    <t xml:space="preserve">SYM-026</t>
  </si>
  <si>
    <t xml:space="preserve">Обыкновенные симбионты</t>
  </si>
  <si>
    <t xml:space="preserve">Профиль и XOR-дерево Ткача</t>
  </si>
  <si>
    <t xml:space="preserve">профиль / развитие.</t>
  </si>
  <si>
    <t xml:space="preserve">Ткач</t>
  </si>
  <si>
    <t xml:space="preserve">носитель.</t>
  </si>
  <si>
    <t xml:space="preserve">получение, изменение L, покупка способности.</t>
  </si>
  <si>
    <t xml:space="preserve">один слот; носитель допустим.</t>
  </si>
  <si>
    <t xml:space="preserve">L, изученные узлы.</t>
  </si>
  <si>
    <t xml:space="preserve">maxOE=50×L; связанная характеристика I; max L=6; прямого модификатора характеристик нет. Дерево: Регенерация(1) → XOR {Замена органа(2) → Дублирование органов(3) → Анаболический форсаж(4) → Абсолютная регенерация(5)| Внешняя регенерация(2) → Выстрел регенерона(3) → Адреналиновая реанимация(4) → Абсолютная реанимация(5)} → Облако регенерона(6).</t>
  </si>
  <si>
    <t xml:space="preserve">первая купленная способность уровня 2 навсегда блокирует противоположную ветвь; уровень 6 открывается после уровня 5 выбранной ветви.</t>
  </si>
  <si>
    <t xml:space="preserve">XOR по SYM-023.</t>
  </si>
  <si>
    <t xml:space="preserve">maxOE=50×L; связанная характеристика I; max L=6; прямого модификатора характеристик нет.</t>
  </si>
  <si>
    <t xml:space="preserve">7.5.1–7.5.1.1, стр. 115 (дерево прочитано визуально).</t>
  </si>
  <si>
    <t xml:space="preserve">SYM-027</t>
  </si>
  <si>
    <t xml:space="preserve">Регенерация</t>
  </si>
  <si>
    <t xml:space="preserve">лечение / активная.</t>
  </si>
  <si>
    <t xml:space="preserve">собственный носитель.</t>
  </si>
  <si>
    <t xml:space="preserve">объявление; цена 30 ОЭ и 1 действие.</t>
  </si>
  <si>
    <t xml:space="preserve">способность доступна; ОЭ≥30.</t>
  </si>
  <si>
    <t xml:space="preserve">один чистый R20 (активация и величина).</t>
  </si>
  <si>
    <t xml:space="preserve">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</si>
  <si>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HP/травмы либо бессознательность.</t>
  </si>
  <si>
    <t xml:space="preserve">специальные диапазоны заменяют базовое 2R.</t>
  </si>
  <si>
    <t xml:space="preserve">объявление; цена 30 ОЭ и 1 действие.
R=1: носитель без сознания 30 минут/до конца боя.</t>
  </si>
  <si>
    <t xml:space="preserve">объявление; цена 30 ОЭ и 1 действие.
ОЭ≥30.
R=5–17: HP += 2R.
R=18–19: восстановить 50 HP и удалить все травмы.
R=20: восстановить HP полностью, удалить все травмы и косметические дефекты, снижающие C.</t>
  </si>
  <si>
    <t xml:space="preserve">один чистый R20 (активация и величина).
R=1: носитель без сознания 30 минут/до конца боя.
R=2–4: нет лечения.
R=5–17: HP += 2R.
R=18–19: восстановить 50 HP и удалить все травмы.
R=20: восстановить HP полностью, удалить все травмы и косметические дефекты, снижающие C.</t>
  </si>
  <si>
    <t xml:space="preserve">R=1: носитель без сознания 30 минут/до конца боя.</t>
  </si>
  <si>
    <t xml:space="preserve">7.5.1.2.1, стр. 116.</t>
  </si>
  <si>
    <t xml:space="preserve">SYM-029</t>
  </si>
  <si>
    <t xml:space="preserve">Внешняя регенерация</t>
  </si>
  <si>
    <t xml:space="preserve">лечение / контактная активная.</t>
  </si>
  <si>
    <t xml:space="preserve">носитель Ткача</t>
  </si>
  <si>
    <t xml:space="preserve">живое существо.</t>
  </si>
  <si>
    <t xml:space="preserve">касание ладонью раны; цена 20 ОЭ и 1 действие.</t>
  </si>
  <si>
    <t xml:space="preserve">физический контакт, ОЭ≥20.</t>
  </si>
  <si>
    <t xml:space="preserve">один чистый R20 R.</t>
  </si>
  <si>
    <t xml:space="preserve">R=1: цель теряет 10 HP. R=2–4: нет эффекта. R=5–19: цель восстанавливает 2R HP. R=20: цель восстанавливает 50 HP, все травмы и косметические дефекты, снижающие C.</t>
  </si>
  <si>
    <t xml:space="preserve">HP/травмы цели.</t>
  </si>
  <si>
    <t xml:space="preserve">контакт обязателен.</t>
  </si>
  <si>
    <t xml:space="preserve">касание ладонью раны; цена 20 ОЭ и 1 действие.
физический контакт, ОЭ≥20.
R=1: цель теряет 10 HP.
R=5–19: цель восстанавливает 2R HP.
R=20: цель восстанавливает 50 HP, все травмы и косметические дефекты, снижающие C.</t>
  </si>
  <si>
    <t xml:space="preserve">один чистый R20 R.
R=1: цель теряет 10 HP.
R=2–4: нет эффекта.
R=5–19: цель восстанавливает 2R HP.
R=20: цель восстанавливает 50 HP, все травмы и косметические дефекты, снижающие C.</t>
  </si>
  <si>
    <t xml:space="preserve">7.5.1.3.2, стр. 116.</t>
  </si>
  <si>
    <t xml:space="preserve">SYM-036</t>
  </si>
  <si>
    <t xml:space="preserve">Облако регенерона</t>
  </si>
  <si>
    <t xml:space="preserve">площадное лечение.</t>
  </si>
  <si>
    <t xml:space="preserve">все живые существа в области.</t>
  </si>
  <si>
    <t xml:space="preserve">объявление; цена 150 ОЭ и 1 действие.</t>
  </si>
  <si>
    <t xml:space="preserve">ОЭ≥150.</t>
  </si>
  <si>
    <t xml:space="preserve">чистый R20 радиуса.</t>
  </si>
  <si>
    <t xml:space="preserve">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</si>
  <si>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массовое лечение, включая союзников и противников.</t>
  </si>
  <si>
    <t xml:space="preserve">отдельной проверки по целям нет.</t>
  </si>
  <si>
    <t xml:space="preserve">объявление; цена 150 ОЭ и 1 действие.
ОЭ≥150.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</si>
  <si>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чистый R20 радиуса.
создать мгновенную область радиусом R20 метров от носителя; всем живым существам восстановить 50 HP; находившимся в тяжёлом ранении установить HP=1 и вернуть сознание/дееспособность по общему правилу.</t>
  </si>
  <si>
    <t xml:space="preserve">7.5.1.7.1, стр. 117.</t>
  </si>
  <si>
    <t xml:space="preserve">SYM-037</t>
  </si>
  <si>
    <t xml:space="preserve">Профиль и линейное дерево Тайпана</t>
  </si>
  <si>
    <t xml:space="preserve">Тайпан</t>
  </si>
  <si>
    <t xml:space="preserve">один слот.</t>
  </si>
  <si>
    <t xml:space="preserve">maxOE=50×L; связанные D,W; max L=7; пока Тайпан действует, Z -=5. Линейное дерево: Смертельный яд(1) → Проницаемая кожа(2) → Плевок ядом(3) → Ослабляющий яд(4) → Ядовитый шип(5) → Кумулятивный шип(6) → Парализующий яд(7).</t>
  </si>
  <si>
    <t xml:space="preserve">профиль и доступность узлов пересчитаны.</t>
  </si>
  <si>
    <t xml:space="preserve">взаимодействие с Жабой — SYM-038.</t>
  </si>
  <si>
    <t xml:space="preserve">maxOE=50×L; связанные D,W; max L=7; пока Тайпан действует, Z -=5.</t>
  </si>
  <si>
    <t xml:space="preserve">7.5.2–7.5.2.1, стр. 118 (дерево прочитано визуально).</t>
  </si>
  <si>
    <t xml:space="preserve">SYM-038</t>
  </si>
  <si>
    <t xml:space="preserve">SYM-046</t>
  </si>
  <si>
    <t xml:space="preserve">Профиль и линейное дерево Совы</t>
  </si>
  <si>
    <t xml:space="preserve">Сова</t>
  </si>
  <si>
    <t xml:space="preserve">получение/развитие.</t>
  </si>
  <si>
    <t xml:space="preserve">L, узлы.</t>
  </si>
  <si>
    <t xml:space="preserve">maxOE=10×L; связанная W; max L=6; W +=5. Дерево линейно: Безупречное зрение → Абсолютное ночное зрение → Абсолютное обоняние → Абсолютный слух → Звуковая картина → Восприятие хищника.</t>
  </si>
  <si>
    <t xml:space="preserve">параметры/доступность пересчитаны.</t>
  </si>
  <si>
    <t xml:space="preserve">взаимодействие с Хамелеоном — SYM-047.</t>
  </si>
  <si>
    <t xml:space="preserve">maxOE=10×L; связанная W; max L=6
W +=5.</t>
  </si>
  <si>
    <t xml:space="preserve">7.5.3–7.5.3.1, стр. 121 (дерево прочитано визуально).</t>
  </si>
  <si>
    <t xml:space="preserve">SYM-047</t>
  </si>
  <si>
    <t xml:space="preserve">SYM-048</t>
  </si>
  <si>
    <t xml:space="preserve">Абсолютное ночное зрение</t>
  </si>
  <si>
    <t xml:space="preserve">пассив / видимость.</t>
  </si>
  <si>
    <t xml:space="preserve">носитель Совы.</t>
  </si>
  <si>
    <t xml:space="preserve">осмотр в тёмное время/помещении.</t>
  </si>
  <si>
    <t xml:space="preserve">способность доступна.</t>
  </si>
  <si>
    <t xml:space="preserve">штраф темноты.</t>
  </si>
  <si>
    <t xml:space="preserve">удалить штраф к осмотру, вызванный временем суток или тёмным помещением.</t>
  </si>
  <si>
    <t xml:space="preserve">проверка выполняется без указанного штрафа.</t>
  </si>
  <si>
    <t xml:space="preserve">иные помехи сохраняются.</t>
  </si>
  <si>
    <t xml:space="preserve">7.5.3.3.1, стр. 122.</t>
  </si>
  <si>
    <t xml:space="preserve">SYM-049</t>
  </si>
  <si>
    <t xml:space="preserve">Абсолютное обоняние</t>
  </si>
  <si>
    <t xml:space="preserve">пассив / сенсорное обнаружение.</t>
  </si>
  <si>
    <t xml:space="preserve">носитель Совы</t>
  </si>
  <si>
    <t xml:space="preserve">запаховая цель.</t>
  </si>
  <si>
    <t xml:space="preserve">механически значимая проверка обоняния в боевой сцене.</t>
  </si>
  <si>
    <t xml:space="preserve">запах может быть воспринят.</t>
  </si>
  <si>
    <t xml:space="preserve">базовая проверка.</t>
  </si>
  <si>
    <t xml:space="preserve">добавить +15.</t>
  </si>
  <si>
    <t xml:space="preserve">модифицированный результат.</t>
  </si>
  <si>
    <t xml:space="preserve">чисто следовые/бытовые применения вне боевой сцены вне реестра.</t>
  </si>
  <si>
    <t xml:space="preserve">7.5.3.4.1, стр. 122.</t>
  </si>
  <si>
    <t xml:space="preserve">SYM-050</t>
  </si>
  <si>
    <t xml:space="preserve">Абсолютный слух</t>
  </si>
  <si>
    <t xml:space="preserve">звуковая цель.</t>
  </si>
  <si>
    <t xml:space="preserve">проверка слуха в боевой сцене.</t>
  </si>
  <si>
    <t xml:space="preserve">звук достижим.</t>
  </si>
  <si>
    <t xml:space="preserve">добавить +15 к слуху.</t>
  </si>
  <si>
    <t xml:space="preserve">+7 к распознаванию лжи исключено как социальное.</t>
  </si>
  <si>
    <t xml:space="preserve">7.5.3.5.1, стр. 122.</t>
  </si>
  <si>
    <t xml:space="preserve">SYM-052</t>
  </si>
  <si>
    <t xml:space="preserve">Восприятие хищника</t>
  </si>
  <si>
    <t xml:space="preserve">пассив / контрмаскировка.</t>
  </si>
  <si>
    <t xml:space="preserve">обнаруживаемые цели.</t>
  </si>
  <si>
    <t xml:space="preserve">проверка обнаружения.</t>
  </si>
  <si>
    <t xml:space="preserve">модификаторы маскировки цели.</t>
  </si>
  <si>
    <t xml:space="preserve">исключить из расчёта все модификаторы маскировки обнаруживаемой цели; саму проверку обнаружения сохранить.</t>
  </si>
  <si>
    <t xml:space="preserve">цель обнаруживается как находящаяся в открытом поле.</t>
  </si>
  <si>
    <t xml:space="preserve">не отменяет иные помехи наблюдателя.</t>
  </si>
  <si>
    <t xml:space="preserve">7.5.3.7.1, стр. 122.</t>
  </si>
  <si>
    <t xml:space="preserve">SYM-053</t>
  </si>
  <si>
    <t xml:space="preserve">Профиль и линейное дерево Учителя</t>
  </si>
  <si>
    <t xml:space="preserve">Учитель</t>
  </si>
  <si>
    <t xml:space="preserve">maxOE=20×L; связанная W; max L=6; прямого влияния нет. Линейное дерево: Развивайся, ученик → Век живи — век учись → Практикуйтесь, ученики → Свети, ученик → Берегись невежд, ученик → Внимай, ученик.</t>
  </si>
  <si>
    <t xml:space="preserve">профиль и доступность.</t>
  </si>
  <si>
    <t xml:space="preserve">Трогр может поглотить Учителя.</t>
  </si>
  <si>
    <t xml:space="preserve">maxOE=20×L; связанная W; max L=6; прямого влияния нет.</t>
  </si>
  <si>
    <t xml:space="preserve">7.5.4–7.5.4.1, стр. 123 (дерево прочитано визуально).</t>
  </si>
  <si>
    <t xml:space="preserve">SYM-054</t>
  </si>
  <si>
    <t xml:space="preserve">Развивайся, ученик</t>
  </si>
  <si>
    <t xml:space="preserve">пассив / характеристики.</t>
  </si>
  <si>
    <t xml:space="preserve">изменение L или состава симбионтов.</t>
  </si>
  <si>
    <t xml:space="preserve">Учитель активен.</t>
  </si>
  <si>
    <t xml:space="preserve">L, базовые W/I, число симбионтов.</t>
  </si>
  <si>
    <t xml:space="preserve">W_bonus=max(0,min(4L,20−W_base)); W=W_base+W_bonus. Если Учитель — единственный симбионт, I_bonus=max(0,min(4L,20−I_base)), I=I_base+I_bonus.</t>
  </si>
  <si>
    <t xml:space="preserve">производные W/I; при гибели/удалении вернуть исходные значения; при появлении другого симбионта убрать бонус I.</t>
  </si>
  <si>
    <t xml:space="preserve">способность только повышает характеристики до 20 и никогда не снижает исходное значение выше 20.</t>
  </si>
  <si>
    <t xml:space="preserve">W_bonus=max(0,min(4L,20−W_base))
W=W_base+W_bonus.
Если Учитель — единственный симбионт, I_bonus=max(0,min(4L,20−I_base)), I=I_base+I_bonus.</t>
  </si>
  <si>
    <t xml:space="preserve">7.5.4.2.1, стр. 124.</t>
  </si>
  <si>
    <t xml:space="preserve">SYM-055</t>
  </si>
  <si>
    <t xml:space="preserve">Инструменты мастера</t>
  </si>
  <si>
    <t xml:space="preserve">Век живи — век учись</t>
  </si>
  <si>
    <t xml:space="preserve">пассивный опыт симбионтов / ручное подтверждение мастера.</t>
  </si>
  <si>
    <t xml:space="preserve">носитель Учителя</t>
  </si>
  <si>
    <t xml:space="preserve">остальные его симбионты.</t>
  </si>
  <si>
    <t xml:space="preserve">мастер подтверждает каждый полный час словесной ролевой игры.</t>
  </si>
  <si>
    <t xml:space="preserve">Учитель присутствует; подтверждение не создаётся одной промоткой времени.</t>
  </si>
  <si>
    <t xml:space="preserve">набор симбионтов носителя, кроме Учителя; их состояние активности.</t>
  </si>
  <si>
    <t xml:space="preserve">Приложение не определяет словесную ролевую игру автоматически. После ручного подтверждения часа равновероятно выбрать один присутствующий симбионт, кроме Учителя, и начислить ему 1 XP. Отключённое состояние не исключает симбионта из выбора. Если других симбионтов нет, XP не создаётся.
Сохранить как отдельный пассивный источник XP; он не является symbiontXpEvent от D20 и не пополняет общий счётчик.</t>
  </si>
  <si>
    <t xml:space="preserve">выбранный симбионт получает 1 XP; событие журналируется.</t>
  </si>
  <si>
    <t xml:space="preserve">COMBAT/Q-SYM-085 имеет приоритет над автоматическим выводом из мирового времени.</t>
  </si>
  <si>
    <t xml:space="preserve">мастер подтверждает каждый полный час словесной ролевой игры.
После ручного подтверждения часа равновероятно выбрать один присутствующий симбионт, кроме Учителя, и начислить ему 1 XP.</t>
  </si>
  <si>
    <t xml:space="preserve">Учитель присутствует; подтверждение не создаётся одной промоткой времени.
Если других симбионтов нет, XP не создаётся.</t>
  </si>
  <si>
    <t xml:space="preserve">выбранный симбионт получает 1 XP; событие журналируется.
Для Вольного применять CORE-007 один раз к фактическому passive baseXP.</t>
  </si>
  <si>
    <t xml:space="preserve">§7.5.4.3.1, стр. 124; COMBAT/Q-SYM-085.
Прямое авторское решение Q-SYMBIONT-XP-001 — опыт симбионтов за natural 20/1, 2026-07-30</t>
  </si>
  <si>
    <t xml:space="preserve">Q-SYM-085
Q-SYMBIONT-XP-001</t>
  </si>
  <si>
    <t xml:space="preserve">CORE-007
CORE-230
CORE-233</t>
  </si>
  <si>
    <t xml:space="preserve">SYM-056</t>
  </si>
  <si>
    <t xml:space="preserve">Практикуйтесь, ученики</t>
  </si>
  <si>
    <t xml:space="preserve">восстановление ресурса.</t>
  </si>
  <si>
    <t xml:space="preserve">все прочие симбионты носителя.</t>
  </si>
  <si>
    <t xml:space="preserve">объявление; цена 60 ОЭ и 1 действие.</t>
  </si>
  <si>
    <t xml:space="preserve">ОЭ Учителя≥60.</t>
  </si>
  <si>
    <t xml:space="preserve">прочие симбионты и их maxOE.</t>
  </si>
  <si>
    <t xml:space="preserve">каждому прочему симбионту установить currentOE=maxOE.</t>
  </si>
  <si>
    <t xml:space="preserve">полное восстановление чужих ОЭ; ОЭ Учителя уменьшаются на 60.</t>
  </si>
  <si>
    <t xml:space="preserve">Учитель себя не восстанавливает.</t>
  </si>
  <si>
    <t xml:space="preserve">объявление; цена 60 ОЭ и 1 действие.
ОЭ Учителя≥60.
полное восстановление чужих ОЭ
ОЭ Учителя уменьшаются на 60.</t>
  </si>
  <si>
    <t xml:space="preserve">7.5.4.4.1, стр. 124.</t>
  </si>
  <si>
    <t xml:space="preserve">SYM-058</t>
  </si>
  <si>
    <t xml:space="preserve">Берегись невежд, ученик</t>
  </si>
  <si>
    <t xml:space="preserve">активное обнаружение.</t>
  </si>
  <si>
    <t xml:space="preserve">носители Трогра.</t>
  </si>
  <si>
    <t xml:space="preserve">объявление; цена 20 ОЭ и 1 действие.</t>
  </si>
  <si>
    <t xml:space="preserve">ОЭ≥20.</t>
  </si>
  <si>
    <t xml:space="preserve">чистый R20 R.</t>
  </si>
  <si>
    <t xml:space="preserve">гарантированно обнаружить всех носителей Трогра в радиусе 5R метров, игнорируя любые препятствия.</t>
  </si>
  <si>
    <t xml:space="preserve">раскрыты позиции подходящих целей.</t>
  </si>
  <si>
    <t xml:space="preserve">препятствия не блокируют.</t>
  </si>
  <si>
    <t xml:space="preserve">объявление; цена 20 ОЭ и 1 действие.
ОЭ≥20.</t>
  </si>
  <si>
    <t xml:space="preserve">7.5.4.6.1, стр. 124.</t>
  </si>
  <si>
    <t xml:space="preserve">SYM-060</t>
  </si>
  <si>
    <t xml:space="preserve">Профиль и линейное дерево Броненосца</t>
  </si>
  <si>
    <t xml:space="preserve">Броненосец</t>
  </si>
  <si>
    <t xml:space="preserve">L.</t>
  </si>
  <si>
    <t xml:space="preserve">maxOE=50×L; связанные M,Z; max L=6; профильный стат-модификатор отсутствует. Линейно: Подкожный панцирь → Здоров как буйвол → Не вырубишь! → Не подчиняюсь! → Не сдвинешь! → Поднять щиты!.</t>
  </si>
  <si>
    <t xml:space="preserve">профиль/доступность.</t>
  </si>
  <si>
    <t xml:space="preserve">maxOE=50×L; связанные M,Z; max L=6; профильный стат-модификатор отсутствует.</t>
  </si>
  <si>
    <t xml:space="preserve">7.5.5–7.5.5.1, стр. 125 (дерево прочитано визуально).</t>
  </si>
  <si>
    <t xml:space="preserve">SYM-061</t>
  </si>
  <si>
    <t xml:space="preserve">Подкожный панцирь</t>
  </si>
  <si>
    <t xml:space="preserve">пассив / броня.</t>
  </si>
  <si>
    <t xml:space="preserve">носитель Броненосца</t>
  </si>
  <si>
    <t xml:space="preserve">все зоны тела.</t>
  </si>
  <si>
    <t xml:space="preserve">получение удара.</t>
  </si>
  <si>
    <t xml:space="preserve">Броненосец активен.</t>
  </si>
  <si>
    <t xml:space="preserve">L, тип оружия, носимая броня.</t>
  </si>
  <si>
    <t xml:space="preserve">добавить L к броне поражённой зоны, складывая с носимой бронёй.</t>
  </si>
  <si>
    <t xml:space="preserve">повышенный спасбросок/показатель брони.</t>
  </si>
  <si>
    <t xml:space="preserve">бонус не действует против кулаков, ног, кастетов и грубого оружия.</t>
  </si>
  <si>
    <t xml:space="preserve">7.5.5.2.1, стр. 126.</t>
  </si>
  <si>
    <t xml:space="preserve">SYM-062</t>
  </si>
  <si>
    <t xml:space="preserve">Здоров как буйвол</t>
  </si>
  <si>
    <t xml:space="preserve">пассив / характеристика.</t>
  </si>
  <si>
    <t xml:space="preserve">носитель Броненосца.</t>
  </si>
  <si>
    <t xml:space="preserve">изменение L/наличия симбионта.</t>
  </si>
  <si>
    <t xml:space="preserve">базовое Z, L.</t>
  </si>
  <si>
    <t xml:space="preserve">Z = Z_base + L; при гибели/удалении вернуть базовое.</t>
  </si>
  <si>
    <t xml:space="preserve">пересчитать Z и зависимые значения.</t>
  </si>
  <si>
    <t xml:space="preserve">7.5.5.3.1, стр. 126.</t>
  </si>
  <si>
    <t xml:space="preserve">SYM-063</t>
  </si>
  <si>
    <t xml:space="preserve">Не вырубишь!</t>
  </si>
  <si>
    <t xml:space="preserve">пассив / иммунитет к состоянию.</t>
  </si>
  <si>
    <t xml:space="preserve">эффект пытается оглушить.</t>
  </si>
  <si>
    <t xml:space="preserve">текущий HP&gt;50.</t>
  </si>
  <si>
    <t xml:space="preserve">текущий HP, состояние.</t>
  </si>
  <si>
    <t xml:space="preserve">отменить наложение оглушения.</t>
  </si>
  <si>
    <t xml:space="preserve">состояние не применяется.</t>
  </si>
  <si>
    <t xml:space="preserve">при HP≤50 иммунитета нет; иные формы потери сознания не названы.</t>
  </si>
  <si>
    <t xml:space="preserve">текущий HP&gt;50.
текущий HP, состояние.
при HP≤50 иммунитета нет; иные формы потери сознания не названы.</t>
  </si>
  <si>
    <t xml:space="preserve">7.5.5.4.1, стр. 126.</t>
  </si>
  <si>
    <t xml:space="preserve">SYM-064</t>
  </si>
  <si>
    <t xml:space="preserve">Не подчиняюсь!</t>
  </si>
  <si>
    <t xml:space="preserve">пассив / сопротивление.</t>
  </si>
  <si>
    <t xml:space="preserve">проверка сопротивления ментальному воздействию или способности Пингвина.</t>
  </si>
  <si>
    <t xml:space="preserve">базовый результат.</t>
  </si>
  <si>
    <t xml:space="preserve">добавить +5.</t>
  </si>
  <si>
    <t xml:space="preserve">модифицированный результат сопротивления.</t>
  </si>
  <si>
    <t xml:space="preserve">прямой бонус.</t>
  </si>
  <si>
    <t xml:space="preserve">7.5.5.5.1, стр. 126.</t>
  </si>
  <si>
    <t xml:space="preserve">SYM-065</t>
  </si>
  <si>
    <t xml:space="preserve">Карта и перемещение</t>
  </si>
  <si>
    <t xml:space="preserve">Не сдвинешь!</t>
  </si>
  <si>
    <t xml:space="preserve">пассив / сопротивление перемещению.</t>
  </si>
  <si>
    <t xml:space="preserve">встречная проверка против попытки сдвинуть.</t>
  </si>
  <si>
    <t xml:space="preserve">добавить +10.</t>
  </si>
  <si>
    <t xml:space="preserve">модифицированная проверка.</t>
  </si>
  <si>
    <t xml:space="preserve">только попытки сдвинуть с места.</t>
  </si>
  <si>
    <t xml:space="preserve">7.5.5.6.1, стр. 126.</t>
  </si>
  <si>
    <t xml:space="preserve">SYM-067</t>
  </si>
  <si>
    <t xml:space="preserve">Профиль и линейное дерево Дракона</t>
  </si>
  <si>
    <t xml:space="preserve">Дракон</t>
  </si>
  <si>
    <t xml:space="preserve">maxOE=30×L; связанные D,W; max L=6; M−=5, Z−=5. Линейно: Горючая слюна → Огнеупорная глотка → Зубы-огниво → Нагнетатель давления → Долгое горение → Огненный шар.</t>
  </si>
  <si>
    <t xml:space="preserve">maxOE=30×L; связанные D,W; max L=6
M−=5, Z−=5.</t>
  </si>
  <si>
    <t xml:space="preserve">7.5.6–7.5.6.1, стр. 127 (дерево прочитано визуально).</t>
  </si>
  <si>
    <t xml:space="preserve">SYM-070</t>
  </si>
  <si>
    <t xml:space="preserve">Зубы-огниво</t>
  </si>
  <si>
    <t xml:space="preserve">пассив / зажигание.</t>
  </si>
  <si>
    <t xml:space="preserve">носитель Дракона</t>
  </si>
  <si>
    <t xml:space="preserve">слюна во рту.</t>
  </si>
  <si>
    <t xml:space="preserve">контакт зубов по воле носителя.</t>
  </si>
  <si>
    <t xml:space="preserve">слюна находится во рту.</t>
  </si>
  <si>
    <t xml:space="preserve">команда поджечь.</t>
  </si>
  <si>
    <t xml:space="preserve">гарантированно зажечь слюну без проверки.</t>
  </si>
  <si>
    <t xml:space="preserve">слюна получает состояние «горит».</t>
  </si>
  <si>
    <t xml:space="preserve">складывается с «Подобное к подобному» Крысы; оба эффекта работают.</t>
  </si>
  <si>
    <t xml:space="preserve">7.5.6.4.1, стр. 128.</t>
  </si>
  <si>
    <t xml:space="preserve">SYM-074</t>
  </si>
  <si>
    <t xml:space="preserve">Профиль и XOR-дерево Трогра</t>
  </si>
  <si>
    <t xml:space="preserve">Трогр</t>
  </si>
  <si>
    <t xml:space="preserve">базово один слот.</t>
  </si>
  <si>
    <t xml:space="preserve">maxOE=1000×L; связанные S,D,M; max L=6. Дерево: Трогровость(1) → Трогр крушить!(2) → WAAAGH!!!(3) → Мой дубина — твой башка!(4) → ЫЫЫ…(5) → XOR {Утолщённые кости(6)| Гениальная тупость(6)}.</t>
  </si>
  <si>
    <t xml:space="preserve">при покупке одного L6 второй навсегда заблокирован.</t>
  </si>
  <si>
    <t xml:space="preserve">особое повышение после поглощения Дельфина — SYM-076.</t>
  </si>
  <si>
    <t xml:space="preserve">maxOE=1000×L; связанные S,D,M; max L=6.</t>
  </si>
  <si>
    <t xml:space="preserve">7.5.7–7.5.7.1, стр. 129 (дерево прочитано визуально).</t>
  </si>
  <si>
    <t xml:space="preserve">SYM-079</t>
  </si>
  <si>
    <t xml:space="preserve">Мой дубина — твой башка!</t>
  </si>
  <si>
    <t xml:space="preserve">пассив / навык.</t>
  </si>
  <si>
    <t xml:space="preserve">носитель Трогра</t>
  </si>
  <si>
    <t xml:space="preserve">навык грубого оружия.</t>
  </si>
  <si>
    <t xml:space="preserve">изучение способности.</t>
  </si>
  <si>
    <t xml:space="preserve">узел куплен.</t>
  </si>
  <si>
    <t xml:space="preserve">наличие/уровень навыка.</t>
  </si>
  <si>
    <t xml:space="preserve">если навыка нет — выдать высокий уровень без занятия слота; если есть — повысить на 3, не выше абсолютного.</t>
  </si>
  <si>
    <t xml:space="preserve">навык изменён постоянно.</t>
  </si>
  <si>
    <t xml:space="preserve">при удалении Трогра уровень сохраняется — прямое постоянное последствие.</t>
  </si>
  <si>
    <t xml:space="preserve">7.5.7.5.1, стр. 130.</t>
  </si>
  <si>
    <t xml:space="preserve">SYM-081</t>
  </si>
  <si>
    <t xml:space="preserve">Утолщённые кости</t>
  </si>
  <si>
    <t xml:space="preserve">XOR-пассив / броня.</t>
  </si>
  <si>
    <t xml:space="preserve">носитель Трогра.</t>
  </si>
  <si>
    <t xml:space="preserve">спасбросок брони любой зоны.</t>
  </si>
  <si>
    <t xml:space="preserve">выбрана эта XOR-ветвь.</t>
  </si>
  <si>
    <t xml:space="preserve">носимая броня.</t>
  </si>
  <si>
    <t xml:space="preserve">добавить +4 к спасброску брони; сложить с носимыми доспехами.</t>
  </si>
  <si>
    <t xml:space="preserve">повышенная защита.</t>
  </si>
  <si>
    <t xml:space="preserve">исключает SYM-082.</t>
  </si>
  <si>
    <t xml:space="preserve">7.5.7.7.1, стр. 130.</t>
  </si>
  <si>
    <t xml:space="preserve">SYM-082</t>
  </si>
  <si>
    <t xml:space="preserve">Гениальная тупость</t>
  </si>
  <si>
    <t xml:space="preserve">XOR-пассив / критическая проверка.</t>
  </si>
  <si>
    <t xml:space="preserve">чистый результат проверки I равен 1.</t>
  </si>
  <si>
    <t xml:space="preserve">натуральный результат.</t>
  </si>
  <si>
    <t xml:space="preserve">При выбранной XOR-ветви natural 1 проверки I локально заменяет фактический исход на положительный Crit первой градации. В бою эта ability-assigned градация передаётся CORE-229 как criticalPolarity=SUCCESS, grade=1, source=ABILITY_OVERRIDE и участвует в приоритетном разрешении. Для этого же rawFace отрицательная цепочка CORE-084 не запускается.
Ability-assigned SUCCESS grade сам по себе прогрессию не создаёт. Если исходный оригинальный D20 имел natural 1, CORE-230 всё равно создаёт базовое событие eventPoints=1 по rawFace; назначенная градация его не усиливает.</t>
  </si>
  <si>
    <t xml:space="preserve">Проверка считается критически успешной первой градации; в бою итог определяется CORE-229.</t>
  </si>
  <si>
    <t xml:space="preserve">Исключает SYM-081 и локально сильнее общего правила natural 1. Ability override не становится подтверждённым natural-20 критом и сам по себе не создаёт событие CORE-085 или SYM-021.
Без исходной natural 1/20 маршрут NEVER_PROGRESSION.</t>
  </si>
  <si>
    <t xml:space="preserve">Хранить source=ABILITY_OVERRIDE, confirmed=false и исходный rawFace=1.</t>
  </si>
  <si>
    <t xml:space="preserve">7.5.7.7.2, стр. 131.
Прямое уточнение пользователя 2026-07-29 — боевой приоритет критов
Прямое авторское решение Q-SYMBIONT-XP-001 — опыт симбионтов за natural 20/1, 2026-07-30</t>
  </si>
  <si>
    <t xml:space="preserve">SYM-081
CORE-229
CORE-082
CORE-084
CORE-230
CORE-233</t>
  </si>
  <si>
    <t xml:space="preserve">SYM-083</t>
  </si>
  <si>
    <t xml:space="preserve">Профиль и OR-дерево Хранителя</t>
  </si>
  <si>
    <t xml:space="preserve">Хранитель</t>
  </si>
  <si>
    <t xml:space="preserve">maxOE=100×L; связанные W,Z; max L=6. Дерево: Резервная копия(1) → OR {Парализующее жало(2) → Присоски и коготки(3) → Кромсатель(4) → Временное убежище(5)| Оценка тела(2) → Маскировка «Хамелеон»(3) → Крылья(4) → Попутчики(5)} → Кислотная пушка(6). OR не блокирует вторую ветвь; L6 требует любой L5.</t>
  </si>
  <si>
    <t xml:space="preserve">доступность узлов.</t>
  </si>
  <si>
    <t xml:space="preserve">Кромсатель меняет формулу ОЭ.</t>
  </si>
  <si>
    <t xml:space="preserve">maxOE=100×L; связанные W,Z; max L=6.
Кромсатель меняет формулу ОЭ.</t>
  </si>
  <si>
    <t xml:space="preserve">7.5.8–7.5.8.1, стр. 131 (дерево прочитано визуально).</t>
  </si>
  <si>
    <t xml:space="preserve">SYM-084</t>
  </si>
  <si>
    <t xml:space="preserve">Резервная копия: выход и параметры вне тела</t>
  </si>
  <si>
    <t xml:space="preserve">смерть носителя / самостоятельная сущность.</t>
  </si>
  <si>
    <t xml:space="preserve">погибший носитель.</t>
  </si>
  <si>
    <t xml:space="preserve">смерть носителя.</t>
  </si>
  <si>
    <t xml:space="preserve">Хранитель жив.</t>
  </si>
  <si>
    <t xml:space="preserve">L, сохранённая личность, текущие ОЭ.</t>
  </si>
  <si>
    <t xml:space="preserve">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t>
  </si>
  <si>
    <t xml:space="preserve">Хранитель становится самостоятельной боевой сущностью с таймером жизни.</t>
  </si>
  <si>
    <t xml:space="preserve">сознание/память прежнего носителя непрерывно актуализированы.</t>
  </si>
  <si>
    <t xml:space="preserve">L, сохранённая личность, текущие ОЭ.
вывести Хранителя из тела; создать отдельного персонажа с HP=5L, каждой характеристикой =2L, сроком жизни вне тела L суток
ОЭ вне подходящего тела не восстанавливать.</t>
  </si>
  <si>
    <t xml:space="preserve">вывести Хранителя из тела; создать отдельного персонажа с HP=5L, каждой характеристикой =2L, сроком жизни вне тела L суток</t>
  </si>
  <si>
    <t xml:space="preserve">7.5.8.2.1, стр. 132.</t>
  </si>
  <si>
    <t xml:space="preserve">SYM-086</t>
  </si>
  <si>
    <t xml:space="preserve">Парализующее жало</t>
  </si>
  <si>
    <t xml:space="preserve">контактная атака / полный паралич.</t>
  </si>
  <si>
    <t xml:space="preserve">Хранитель вне тела</t>
  </si>
  <si>
    <t xml:space="preserve">объявление; цена 100 ОЭ и 1 действие.</t>
  </si>
  <si>
    <t xml:space="preserve">ОЭ≥100; физический контакт/попадание.</t>
  </si>
  <si>
    <t xml:space="preserve">R12 пробития, отдельный R20 проверки, Z цели.</t>
  </si>
  <si>
    <t xml:space="preserve">выполнить атаку; пробитие=R12; если броня пробита и R20+10&gt;Z_target, полностью обездвижить цель на 2 хода/2 минуты.</t>
  </si>
  <si>
    <t xml:space="preserve">все мышцы расслаблены, действия движения недоступны.</t>
  </si>
  <si>
    <t xml:space="preserve">яд не применён без пробития.</t>
  </si>
  <si>
    <t xml:space="preserve">объявление; цена 100 ОЭ и 1 действие.
выполнить атаку; пробитие=R12; если броня пробита и R20+10&gt;Z_target, полностью обездвижить цель на 2 хода/2 минуты.
все мышцы расслаблены, действия движения недоступны.</t>
  </si>
  <si>
    <t xml:space="preserve">объявление; цена 100 ОЭ и 1 действие.
ОЭ≥100; физический контакт/попадание.</t>
  </si>
  <si>
    <t xml:space="preserve">R12 пробития, отдельный R20 проверки, Z цели.
выполнить атаку; пробитие=R12; если броня пробита и R20+10&gt;Z_target, полностью обездвижить цель на 2 хода/2 минуты.</t>
  </si>
  <si>
    <t xml:space="preserve">7.5.8.3.1, стр. 132.</t>
  </si>
  <si>
    <t xml:space="preserve">SYM-088</t>
  </si>
  <si>
    <t xml:space="preserve">Присоски и коготки</t>
  </si>
  <si>
    <t xml:space="preserve">пассив / перемещение.</t>
  </si>
  <si>
    <t xml:space="preserve">Хранитель вне тела.</t>
  </si>
  <si>
    <t xml:space="preserve">перемещение.</t>
  </si>
  <si>
    <t xml:space="preserve">поверхность/плоскость.</t>
  </si>
  <si>
    <t xml:space="preserve">разрешить безопасное перемещение по любой поверхности в любой плоскости, включая стены и потолок.</t>
  </si>
  <si>
    <t xml:space="preserve">позиция изменяется без штрафа поверхности.</t>
  </si>
  <si>
    <t xml:space="preserve">скорость не изменена.</t>
  </si>
  <si>
    <t xml:space="preserve">7.5.8.4.1, стр. 132.</t>
  </si>
  <si>
    <t xml:space="preserve">SYM-090</t>
  </si>
  <si>
    <t xml:space="preserve">Кромсатель</t>
  </si>
  <si>
    <t xml:space="preserve">пассив / ресурс.</t>
  </si>
  <si>
    <t xml:space="preserve">Хранитель.</t>
  </si>
  <si>
    <t xml:space="preserve">изучение способности или изменение L.</t>
  </si>
  <si>
    <t xml:space="preserve">узел изучен.</t>
  </si>
  <si>
    <t xml:space="preserve">L, currentOE.</t>
  </si>
  <si>
    <t xml:space="preserve">заменить формулу максимума на maxOE=200×L; текущий ОЭ не восстанавливать.</t>
  </si>
  <si>
    <t xml:space="preserve">максимум увеличен.</t>
  </si>
  <si>
    <t xml:space="preserve">SYM-009.</t>
  </si>
  <si>
    <t xml:space="preserve">7.5.8.6.1, стр. 132.</t>
  </si>
  <si>
    <t xml:space="preserve">SYM-009</t>
  </si>
  <si>
    <t xml:space="preserve">SYM-095</t>
  </si>
  <si>
    <t xml:space="preserve">Профиль и линейное дерево Советника</t>
  </si>
  <si>
    <t xml:space="preserve">Советник</t>
  </si>
  <si>
    <t xml:space="preserve">maxOE=20×L; связанные I,W; max L=6. Линейно: Личность → Я здесь самый умный → Доступ к органам чувств → Принимаю управление → Система устойчивости → Дар мудрости.</t>
  </si>
  <si>
    <t xml:space="preserve">Трогр подавляет Советника по SYM-075.</t>
  </si>
  <si>
    <t xml:space="preserve">maxOE=20×L; связанные I,W; max L=6.</t>
  </si>
  <si>
    <t xml:space="preserve">7.5.9–7.5.9.1, стр. 134 (дерево прочитано визуально).</t>
  </si>
  <si>
    <t xml:space="preserve">SYM-075</t>
  </si>
  <si>
    <t xml:space="preserve">SYM-097</t>
  </si>
  <si>
    <t xml:space="preserve">Я здесь самый умный</t>
  </si>
  <si>
    <t xml:space="preserve">пассив / собственная характеристика.</t>
  </si>
  <si>
    <t xml:space="preserve">Советник.</t>
  </si>
  <si>
    <t xml:space="preserve">изменение L.</t>
  </si>
  <si>
    <t xml:space="preserve">базовый I Советника, L.</t>
  </si>
  <si>
    <t xml:space="preserve">I_adviser=I_base+L.</t>
  </si>
  <si>
    <t xml:space="preserve">пересчитать I и производные.</t>
  </si>
  <si>
    <t xml:space="preserve">не изменяет I носителя.</t>
  </si>
  <si>
    <t xml:space="preserve">7.5.9.3.1, стр. 135.</t>
  </si>
  <si>
    <t xml:space="preserve">SYM-098</t>
  </si>
  <si>
    <t xml:space="preserve">Доступ к органам чувств</t>
  </si>
  <si>
    <t xml:space="preserve">пассив / дополнительное наблюдение.</t>
  </si>
  <si>
    <t xml:space="preserve">внешняя среда через носителя.</t>
  </si>
  <si>
    <t xml:space="preserve">требуется осмотр/внимательность.</t>
  </si>
  <si>
    <t xml:space="preserve">органы чувств носителя функционируют.</t>
  </si>
  <si>
    <t xml:space="preserve">характеристики/навыки Советника.</t>
  </si>
  <si>
    <t xml:space="preserve">разрешить Советнику отдельную от носителя проверку восприятия.</t>
  </si>
  <si>
    <t xml:space="preserve">появляется независимый результат обнаружения.</t>
  </si>
  <si>
    <t xml:space="preserve">физический сенсор остаётся органом носителя.</t>
  </si>
  <si>
    <t xml:space="preserve">7.5.9.4.1, стр. 135.</t>
  </si>
  <si>
    <t xml:space="preserve">SYM-100</t>
  </si>
  <si>
    <t xml:space="preserve">Система устойчивости</t>
  </si>
  <si>
    <t xml:space="preserve">автоматическая передача контроля / защита от состояний.</t>
  </si>
  <si>
    <t xml:space="preserve">тело носителя.</t>
  </si>
  <si>
    <t xml:space="preserve">носитель оглушён, уснул/потерял сознание, самоконтроль либо ментальный контроль.</t>
  </si>
  <si>
    <t xml:space="preserve">тело физически дееспособно; Советник активен.</t>
  </si>
  <si>
    <t xml:space="preserve">тип состояния носителя.</t>
  </si>
  <si>
    <t xml:space="preserve">автоматически передать управление Советнику без расхода ОЭ до возвращения ясного сознания носителя.</t>
  </si>
  <si>
    <t xml:space="preserve">тело продолжает действовать под Советником.</t>
  </si>
  <si>
    <t xml:space="preserve">не действует при тяжёлом ранении, физическом параличе, разрушении нужных органов или полном обездвиживании.</t>
  </si>
  <si>
    <t xml:space="preserve">7.5.9.6.1 и уточнение, стр. 135.</t>
  </si>
  <si>
    <t xml:space="preserve">SYM-102</t>
  </si>
  <si>
    <t xml:space="preserve">Профиль и линейное дерево Клеща</t>
  </si>
  <si>
    <t xml:space="preserve">Клещ</t>
  </si>
  <si>
    <t xml:space="preserve">maxOE=50×L; связанные S,D; max L=6. Линейно: Кровопийца → Вкус крови → Выстрел кровью → Выпустить когти → Гарпун → Я — сила.</t>
  </si>
  <si>
    <t xml:space="preserve">основная анатомия — правая рука.</t>
  </si>
  <si>
    <t xml:space="preserve">maxOE=50×L; связанные S,D; max L=6.</t>
  </si>
  <si>
    <t xml:space="preserve">7.5.10–7.5.10.1, стр. 136 (дерево прочитано визуально).</t>
  </si>
  <si>
    <t xml:space="preserve">SYM-105</t>
  </si>
  <si>
    <t xml:space="preserve">Выстрел кровью</t>
  </si>
  <si>
    <t xml:space="preserve">дальняя атака.</t>
  </si>
  <si>
    <t xml:space="preserve">носитель Клеща</t>
  </si>
  <si>
    <t xml:space="preserve">цель в 5L м; ОЭ≥30.</t>
  </si>
  <si>
    <t xml:space="preserve">R≥3: стандартная дальняя атака, пробитие=R+L, урон=R+L одной проверкой. R=2: нет эффекта. R=1: Клещ отключён на 1 час/6 ходов.</t>
  </si>
  <si>
    <t xml:space="preserve">атака либо отключение.</t>
  </si>
  <si>
    <t xml:space="preserve">объявление; цена 30 ОЭ и 1 действие.
R=1: Клещ отключён на 1 час/6 ходов.</t>
  </si>
  <si>
    <t xml:space="preserve">объявление; цена 30 ОЭ и 1 действие.
ОЭ≥30.</t>
  </si>
  <si>
    <t xml:space="preserve">один чистый R20 R.
R≥3: стандартная дальняя атака, пробитие=R+L, урон=R+L одной проверкой.
R=2: нет эффекта.
R=1: Клещ отключён на 1 час/6 ходов.</t>
  </si>
  <si>
    <t xml:space="preserve">R=1: Клещ отключён на 1 час/6 ходов.</t>
  </si>
  <si>
    <t xml:space="preserve">7.5.10.4.1, стр. 137.</t>
  </si>
  <si>
    <t xml:space="preserve">SYM-108</t>
  </si>
  <si>
    <t xml:space="preserve">Я — сила</t>
  </si>
  <si>
    <t xml:space="preserve">носитель Клеща.</t>
  </si>
  <si>
    <t xml:space="preserve">изменение L/наличия.</t>
  </si>
  <si>
    <t xml:space="preserve">базовая S, L.</t>
  </si>
  <si>
    <t xml:space="preserve">S=S_base+L; при гибели/удалении вернуть базовую.</t>
  </si>
  <si>
    <t xml:space="preserve">пересчитать S.</t>
  </si>
  <si>
    <t xml:space="preserve">7.5.10.7.1, стр. 137.</t>
  </si>
  <si>
    <t xml:space="preserve">SYM-109</t>
  </si>
  <si>
    <t xml:space="preserve">Профиль и линейное дерево Сверчка</t>
  </si>
  <si>
    <t xml:space="preserve">Сверчок</t>
  </si>
  <si>
    <t xml:space="preserve">maxOE=50×L; связанные D,M; max L=6. Линейно: Ноги сверчка → Чувствительные усы → Заряженный прыжок → Маскировка под растение → Крылья → Активные пилы.</t>
  </si>
  <si>
    <t xml:space="preserve">maxOE=50×L; связанные D,M; max L=6.</t>
  </si>
  <si>
    <t xml:space="preserve">7.5.11–7.5.11.1, стр. 138 (дерево прочитано визуально).</t>
  </si>
  <si>
    <t xml:space="preserve">SYM-110</t>
  </si>
  <si>
    <t xml:space="preserve">Ноги сверчка</t>
  </si>
  <si>
    <t xml:space="preserve">пассив / броня ног.</t>
  </si>
  <si>
    <t xml:space="preserve">носитель Сверчка.</t>
  </si>
  <si>
    <t xml:space="preserve">попадание по ноге или проверка прыжка.</t>
  </si>
  <si>
    <t xml:space="preserve">отдельный R20 брони, носимая броня, L.</t>
  </si>
  <si>
    <t xml:space="preserve">для защиты ноги добавить спасбросок R20, складывающийся с носимой бронёй; к прыжкам добавить +L.</t>
  </si>
  <si>
    <t xml:space="preserve">защита/прыжок усилены.</t>
  </si>
  <si>
    <t xml:space="preserve">R20 бросается при каждом соответствующем попадании.</t>
  </si>
  <si>
    <t xml:space="preserve">отдельный R20 брони, носимая броня, L.
для защиты ноги добавить спасбросок R20, складывающийся с носимой бронёй; к прыжкам добавить +L.
R20 бросается при каждом соответствующем попадании.</t>
  </si>
  <si>
    <t xml:space="preserve">7.5.11.2.1, стр. 139.</t>
  </si>
  <si>
    <t xml:space="preserve">SYM-111</t>
  </si>
  <si>
    <t xml:space="preserve">Чувствительные усы</t>
  </si>
  <si>
    <t xml:space="preserve">пассив / обнаружение.</t>
  </si>
  <si>
    <t xml:space="preserve">проверка осмотра в боевой сцене.</t>
  </si>
  <si>
    <t xml:space="preserve">усы функционируют.</t>
  </si>
  <si>
    <t xml:space="preserve">добавить +5; электрические и поверхностные колебания доступны как сенсорные каналы.</t>
  </si>
  <si>
    <t xml:space="preserve">модифицированное обнаружение.</t>
  </si>
  <si>
    <t xml:space="preserve">отдельные числовые дальности чувств не заданы.</t>
  </si>
  <si>
    <t xml:space="preserve">7.5.11.3.1, стр. 139.</t>
  </si>
  <si>
    <t xml:space="preserve">SYM-113</t>
  </si>
  <si>
    <t xml:space="preserve">Маскировка под растение</t>
  </si>
  <si>
    <t xml:space="preserve">активная маскировка.</t>
  </si>
  <si>
    <t xml:space="preserve">фон/окружение — зелёные растения.</t>
  </si>
  <si>
    <t xml:space="preserve">проверки скрытности.</t>
  </si>
  <si>
    <t xml:space="preserve">добавить +5 к скрытности; снять эффект при движении или применении любой другой способности симбионта.</t>
  </si>
  <si>
    <t xml:space="preserve">состояние растительной маскировки.</t>
  </si>
  <si>
    <t xml:space="preserve">обычное действие без движения/симбионта прямо не снимает.</t>
  </si>
  <si>
    <t xml:space="preserve">объявление; цена 30 ОЭ и 1 действие.
обычное действие без движения/симбионта прямо не снимает.</t>
  </si>
  <si>
    <t xml:space="preserve">7.5.11.5.1, стр. 139.</t>
  </si>
  <si>
    <t xml:space="preserve">SYM-115</t>
  </si>
  <si>
    <t xml:space="preserve">Активные пилы</t>
  </si>
  <si>
    <t xml:space="preserve">пассив / природное оружие.</t>
  </si>
  <si>
    <t xml:space="preserve">носитель Сверчка</t>
  </si>
  <si>
    <t xml:space="preserve">ноги.</t>
  </si>
  <si>
    <t xml:space="preserve">атака ногой.</t>
  </si>
  <si>
    <t xml:space="preserve">на ногах нет носимой брони.</t>
  </si>
  <si>
    <t xml:space="preserve">отдельные R20, L,S,D, навык рукопашного боя.</t>
  </si>
  <si>
    <t xml:space="preserve">считать ноги оружием; пробитие=R20+L; урон=отдельный R20+2L; S модифицирует урон, D — точность, рукопашный бой — общий; без навыка штраф не применять.</t>
  </si>
  <si>
    <t xml:space="preserve">разрешена оружейная атака ногой.</t>
  </si>
  <si>
    <t xml:space="preserve">носимая броня ног отключает оружейный статус.</t>
  </si>
  <si>
    <t xml:space="preserve">отдельные R20, L,S,D, навык рукопашного боя.
считать ноги оружием; пробитие=R20+L; урон=отдельный R20+2L</t>
  </si>
  <si>
    <t xml:space="preserve">7.5.11.7.1, стр. 139.</t>
  </si>
  <si>
    <t xml:space="preserve">SYM-116</t>
  </si>
  <si>
    <t xml:space="preserve">Профиль и линейное дерево Паука</t>
  </si>
  <si>
    <t xml:space="preserve">Паук</t>
  </si>
  <si>
    <t xml:space="preserve">один слот; две взрослые особи образуют один вид симбионта.</t>
  </si>
  <si>
    <t xml:space="preserve">maxOE=50×L; связанные D,W; max L=6. Линейно: Паутинные железы → Перемещение по паутине → Точка крепления → Выстрел паутиной → Ловчая сеть → Паучья ловкость.</t>
  </si>
  <si>
    <t xml:space="preserve">maxOE=50×L; связанные D,W; max L=6.</t>
  </si>
  <si>
    <t xml:space="preserve">7.5.12–7.5.12.1, стр. 140 (дерево прочитано визуально).</t>
  </si>
  <si>
    <t xml:space="preserve">SYM-118</t>
  </si>
  <si>
    <t xml:space="preserve">Перемещение по паутине</t>
  </si>
  <si>
    <t xml:space="preserve">носитель Паука</t>
  </si>
  <si>
    <t xml:space="preserve">любая паутина Паука.</t>
  </si>
  <si>
    <t xml:space="preserve">перемещение по нити.</t>
  </si>
  <si>
    <t xml:space="preserve">паутина выдерживает нагрузку.</t>
  </si>
  <si>
    <t xml:space="preserve">направление/дистанция.</t>
  </si>
  <si>
    <t xml:space="preserve">разрешить безопасное движение по паутине в любых направлениях, независимо от создателя нити.</t>
  </si>
  <si>
    <t xml:space="preserve">позиция меняется без специального риска.</t>
  </si>
  <si>
    <t xml:space="preserve">предел нагрузки SYM-117.</t>
  </si>
  <si>
    <t xml:space="preserve">7.5.12.3.1, стр. 141.</t>
  </si>
  <si>
    <t xml:space="preserve">SYM-117</t>
  </si>
  <si>
    <t xml:space="preserve">SYM-122</t>
  </si>
  <si>
    <t xml:space="preserve">Паучья ловкость</t>
  </si>
  <si>
    <t xml:space="preserve">носитель Паука.</t>
  </si>
  <si>
    <t xml:space="preserve">базовая D, L.</t>
  </si>
  <si>
    <t xml:space="preserve">D=D_base+L; при гибели/удалении вернуть базовую.</t>
  </si>
  <si>
    <t xml:space="preserve">пересчитать D.</t>
  </si>
  <si>
    <t xml:space="preserve">7.5.12.7.1, стр. 141.</t>
  </si>
  <si>
    <t xml:space="preserve">SYM-123</t>
  </si>
  <si>
    <t xml:space="preserve">Профиль и линейное дерево Хамелеона</t>
  </si>
  <si>
    <t xml:space="preserve">Хамелеон</t>
  </si>
  <si>
    <t xml:space="preserve">maxOE=60×L; связанные D,I; max L=6. Линейно: Статическая маскировка → Атака из засады → Двойной фокус внимания → Динамическая маскировка → Сокрытие оружия → Внешняя фотосеть.</t>
  </si>
  <si>
    <t xml:space="preserve">Сова подавляет Двойной фокус.</t>
  </si>
  <si>
    <t xml:space="preserve">maxOE=60×L; связанные D,I; max L=6.</t>
  </si>
  <si>
    <t xml:space="preserve">7.5.13–7.5.13.1, стр. 142 (дерево прочитано визуально).</t>
  </si>
  <si>
    <t xml:space="preserve">SYM-127</t>
  </si>
  <si>
    <t xml:space="preserve">Динамическая маскировка</t>
  </si>
  <si>
    <t xml:space="preserve">активная длительная маскировка.</t>
  </si>
  <si>
    <t xml:space="preserve">носитель Хамелеона</t>
  </si>
  <si>
    <t xml:space="preserve">наблюдатели.</t>
  </si>
  <si>
    <t xml:space="preserve">после смены одежды/брони прошёл 1 час.</t>
  </si>
  <si>
    <t xml:space="preserve">один чистый R20 R (активация/длительность), L, предмет в руках.</t>
  </si>
  <si>
    <t xml:space="preserve">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</si>
  <si>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длительная маскировка либо негативный окрас.</t>
  </si>
  <si>
    <t xml:space="preserve">не складывается со статической.</t>
  </si>
  <si>
    <t xml:space="preserve">объявление; цена 60 ОЭ и 1 действие.
после смены одежды/брони прошёл 1 час.
R≥4: на 3R минут проверки обнаружения получают −2L, движение не снимает; крупный предмет в руках делит штраф пополам.
R=1: на 1 час окрас мухомора с движущимися пятнами, −10 к скрытности и C-проверкам.</t>
  </si>
  <si>
    <t xml:space="preserve">один чистый R20 R (активация/длительность), L, предмет в руках.
R=2–3: нет эффекта.
R=1: на 1 час окрас мухомора с движущимися пятнами, −10 к скрытности и C-проверкам.</t>
  </si>
  <si>
    <t xml:space="preserve">после смены одежды/брони прошёл 1 час.
R≥4: на 3R минут проверки обнаружения получают −2L, движение не снимает; крупный предмет в руках делит штраф пополам.
R=1: на 1 час окрас мухомора с движущимися пятнами, −10 к скрытности и C-проверкам.</t>
  </si>
  <si>
    <t xml:space="preserve">7.5.13.5.1, стр. 143.</t>
  </si>
  <si>
    <t xml:space="preserve">SYM-128</t>
  </si>
  <si>
    <t xml:space="preserve">Сокрытие оружия</t>
  </si>
  <si>
    <t xml:space="preserve">пассив / модификатор маскировки.</t>
  </si>
  <si>
    <t xml:space="preserve">объекты в руках носителя.</t>
  </si>
  <si>
    <t xml:space="preserve">расчёт статической/динамической маскировки.</t>
  </si>
  <si>
    <t xml:space="preserve">предметы в руках.</t>
  </si>
  <si>
    <t xml:space="preserve">не применять штраф/деление эффекта за крупные предметы; распространять маскировку на любые удерживаемые объекты.</t>
  </si>
  <si>
    <t xml:space="preserve">полный модификатор маскировки.</t>
  </si>
  <si>
    <t xml:space="preserve">предмет должен удерживаться.</t>
  </si>
  <si>
    <t xml:space="preserve">7.5.13.6.1, стр. 143.</t>
  </si>
  <si>
    <t xml:space="preserve">SYM-130</t>
  </si>
  <si>
    <t xml:space="preserve">Профиль и линейное дерево Пингвина</t>
  </si>
  <si>
    <t xml:space="preserve">Пингвин</t>
  </si>
  <si>
    <t xml:space="preserve">L, состав тела.</t>
  </si>
  <si>
    <t xml:space="preserve">maxOE=20×L; связанные C,W; max L=7. Линейно: Ми-ми-ми → Oh nice! → Чёрно-белый страх → Чёрно-белая ярость → Чёрно-белый контроль → Чёрно-белое смещение → Чёрно-белое доминирование.</t>
  </si>
  <si>
    <t xml:space="preserve">при Трогре Пингвин не проявляет никаких эффектов, но продолжает получать XP.
Penguin сохраняет progression eligibility под подавлением Trogr согласно SYM-075.</t>
  </si>
  <si>
    <t xml:space="preserve">maxOE=20×L; связанные C,W; max L=7.</t>
  </si>
  <si>
    <t xml:space="preserve">7.5.14–7.5.14.1, стр. 144 (дерево прочитано визуально).
Прямое авторское решение Q-SYMBIONT-XP-001 — опыт симбионтов за natural 20/1, 2026-07-30</t>
  </si>
  <si>
    <t xml:space="preserve">CORE-104
CORE-230
CORE-232
SYM-075</t>
  </si>
  <si>
    <t xml:space="preserve">SYM-136</t>
  </si>
  <si>
    <t xml:space="preserve">Профиль и линейное дерево Угря</t>
  </si>
  <si>
    <t xml:space="preserve">Угорь</t>
  </si>
  <si>
    <t xml:space="preserve">maxOE=60×L; связанные D,I; max L=6. Линейно: Контактный шокер → Проводник → Электрическая дуга → Шаровая молния → Молния → Цепная молния.</t>
  </si>
  <si>
    <t xml:space="preserve">7.5.15–7.5.15.1, стр. 147 (дерево прочитано визуально).</t>
  </si>
  <si>
    <t xml:space="preserve">SYM-138</t>
  </si>
  <si>
    <t xml:space="preserve">Проводник</t>
  </si>
  <si>
    <t xml:space="preserve">пассив / дополнительный урон.</t>
  </si>
  <si>
    <t xml:space="preserve">носитель Угря</t>
  </si>
  <si>
    <t xml:space="preserve">цель цельнометаллического оружия.</t>
  </si>
  <si>
    <t xml:space="preserve">ближняя атака достигла цели и пробила броню.</t>
  </si>
  <si>
    <t xml:space="preserve">оружие цельнометаллическое.</t>
  </si>
  <si>
    <t xml:space="preserve">L, итоговый урон.</t>
  </si>
  <si>
    <t xml:space="preserve">добавить +L к урону.</t>
  </si>
  <si>
    <t xml:space="preserve">повышенный урон.</t>
  </si>
  <si>
    <t xml:space="preserve">добавленная часть не учитывается при проверке инициации травмы.</t>
  </si>
  <si>
    <t xml:space="preserve">7.5.15.3.1, стр. 148.</t>
  </si>
  <si>
    <t xml:space="preserve">SYM-140</t>
  </si>
  <si>
    <t xml:space="preserve">Шаровая молния</t>
  </si>
  <si>
    <t xml:space="preserve">самонаводящаяся дальняя атака.</t>
  </si>
  <si>
    <t xml:space="preserve">цель ≤40 м.</t>
  </si>
  <si>
    <t xml:space="preserve">после двух полностью поддержанных предшествующих ходов дуги; в ход запуска.</t>
  </si>
  <si>
    <t xml:space="preserve">дуга активна; оплатить очередное поддержание и 30 ОЭ способности; 1 действие.</t>
  </si>
  <si>
    <t xml:space="preserve">один чистый R20 A.</t>
  </si>
  <si>
    <t xml:space="preserve">после запуска прекратить дугу; цель не может защищаться; нанести 4A урона; носителю нанести 10 урона. A&gt;21−L → оглушение цели 1 ход/5 мин; A&gt;19−L → отключение её симбионтов на тот же срок; A=1 → специальное последствие носителю: сознание/30 урона/симбионты по SYM-137.</t>
  </si>
  <si>
    <t xml:space="preserve">урон и контроль; дуга снята.</t>
  </si>
  <si>
    <t xml:space="preserve">два предшествующих хода должны быть полными.</t>
  </si>
  <si>
    <t xml:space="preserve">1 действие.</t>
  </si>
  <si>
    <t xml:space="preserve">дуга активна; оплатить очередное поддержание и 30 ОЭ способности</t>
  </si>
  <si>
    <t xml:space="preserve">один чистый R20 A.
A=1 → специальное последствие носителю: сознание/30 урона/симбионты по SYM-137.</t>
  </si>
  <si>
    <t xml:space="preserve">после двух полностью поддержанных предшествующих ходов дуги; в ход запуска.
A&gt;21−L → оглушение цели 1 ход/5 мин
A&gt;19−L → отключение её симбионтов на тот же срок
два предшествующих хода должны быть полными.</t>
  </si>
  <si>
    <t xml:space="preserve">7.5.15.5.1 и уточнение, стр. 148–149.</t>
  </si>
  <si>
    <t xml:space="preserve">SYM-137</t>
  </si>
  <si>
    <t xml:space="preserve">SYM-141</t>
  </si>
  <si>
    <t xml:space="preserve">Молния</t>
  </si>
  <si>
    <t xml:space="preserve">беззащитная дальняя атака / самоповреждение.</t>
  </si>
  <si>
    <t xml:space="preserve">цель ≤60 м.</t>
  </si>
  <si>
    <t xml:space="preserve">при активной дуге сомкнуть ладони; оплатить поддержание и 100 ОЭ; 1 действие.</t>
  </si>
  <si>
    <t xml:space="preserve">дуга активна; ресурсов хватает.</t>
  </si>
  <si>
    <t xml:space="preserve">первый R20 A (активация, самоповреждение, пороги/единица), отдельный R20 D (урон цели).</t>
  </si>
  <si>
    <t xml:space="preserve">носитель получает 2A урона; разряд всё равно вылетает, даже если это вызвало тяжёлое ранение. Цель не защищается и получает 5D урона. 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 После выстрела дуга прекращается.</t>
  </si>
  <si>
    <t xml:space="preserve">самоповреждение, дальний урон/контроль, снятие дуги.</t>
  </si>
  <si>
    <t xml:space="preserve">Контактный шокер отдельно не оплачивается, его обычный обратный урон не применяется; пороги относятся к первому R20, второй — только урон.</t>
  </si>
  <si>
    <t xml:space="preserve">при активной дуге сомкнуть ладони; оплатить поддержание и 100 ОЭ
дуга активна; ресурсов хватает.</t>
  </si>
  <si>
    <t xml:space="preserve">первый R20 A (активация, самоповреждение, пороги/единица), отдельный R20 D (урон цели).
A=1 → носитель дополнительно теряет сознание на 2 хода/10 мин, получает 30 урона, все его симбионты отключаются на тот же срок.
Контактный шокер отдельно не оплачивается, его обычный обратный урон не применяется; пороги относятся к первому R20, второй — только урон.</t>
  </si>
  <si>
    <t xml:space="preserve">A&gt;21−L → оглушить цель 1 ход/5 мин
A&gt;19−L → отключить её симбионтов на тот же срок.
A=1 → носитель дополнительно теряет сознание на 2 хода/10 мин, получает 30 урона, все его симбионты отключаются на тот же срок.</t>
  </si>
  <si>
    <t xml:space="preserve">7.5.15.6.1 и уточнение, стр. 149.</t>
  </si>
  <si>
    <t xml:space="preserve">SYM-143</t>
  </si>
  <si>
    <t xml:space="preserve">Профиль и линейное дерево Жабы</t>
  </si>
  <si>
    <t xml:space="preserve">Жаба</t>
  </si>
  <si>
    <t xml:space="preserve">держатель.</t>
  </si>
  <si>
    <t xml:space="preserve">maxOE=40×L; связанные M,Z; max L=7; Z+=5. Линейно: Иммунитет к ядам → Оптимизация метаболизма → Я — то, что я ем → Язык жабы → На, держи → Живучесть жабы → Амфибиоморфная асфиксия.</t>
  </si>
  <si>
    <t xml:space="preserve">подавляет Тайпана по SYM-038.</t>
  </si>
  <si>
    <t xml:space="preserve">maxOE=40×L; связанные M,Z; max L=7
Z+=5.</t>
  </si>
  <si>
    <t xml:space="preserve">7.5.16–7.5.16.1, стр. 150 (дерево прочитано визуально).</t>
  </si>
  <si>
    <t xml:space="preserve">SYM-144</t>
  </si>
  <si>
    <t xml:space="preserve">Иммунитет к ядам</t>
  </si>
  <si>
    <t xml:space="preserve">пассив / иммунитет.</t>
  </si>
  <si>
    <t xml:space="preserve">держатель Жабы.</t>
  </si>
  <si>
    <t xml:space="preserve">применение урона/контроля от яда или отвара.</t>
  </si>
  <si>
    <t xml:space="preserve">Жаба активна.</t>
  </si>
  <si>
    <t xml:space="preserve">тип источника/эффекта.</t>
  </si>
  <si>
    <t xml:space="preserve">отменить урон от яда; отменить эффекты контроля, вызванные ядами или отварами, включая обезболивание.</t>
  </si>
  <si>
    <t xml:space="preserve">урон/контроль не применяется.</t>
  </si>
  <si>
    <t xml:space="preserve">иные не-контролирующие эффекты отваров прямо не отменены.</t>
  </si>
  <si>
    <t xml:space="preserve">7.5.16.2.1, стр. 151.</t>
  </si>
  <si>
    <t xml:space="preserve">SYM-145</t>
  </si>
  <si>
    <t xml:space="preserve">Оптимизация метаболизма</t>
  </si>
  <si>
    <t xml:space="preserve">активное временное жертвование характеристик / восстановление.</t>
  </si>
  <si>
    <t xml:space="preserve">выбор количества жертвуемых пунктов; цена 10 ОЭ за пункт и 1 действие по умолчанию.</t>
  </si>
  <si>
    <t xml:space="preserve">жертвуются S,D,M,I; ни одна не опустится ниже 1; ОЭ хватает на всю цену.</t>
  </si>
  <si>
    <t xml:space="preserve">распределение N пунктов.</t>
  </si>
  <si>
    <t xml:space="preserve">временно снизить выбранные характеристики на N; за каждый пункт добавить +5 часов существования без еды и сна и +10 минут без кислорода. Не удалять навыки. Вернуть все пункты только после совместного выполнения: доступ к кислороду восстановлен, плотная еда принята, завершены 4 часа сна.</t>
  </si>
  <si>
    <t xml:space="preserve">временные модификаторы и лимиты выживания; затем атомарное восстановление.</t>
  </si>
  <si>
    <t xml:space="preserve">полноценность сна для восстановления пользы по SYM-007 отдельно не требуется текстом, но длительность 4 часа обязательна.</t>
  </si>
  <si>
    <t xml:space="preserve">выбор количества жертвуемых пунктов; цена 10 ОЭ за пункт и 1 действие по умолчанию.
временно снизить выбранные характеристики на N; за каждый пункт добавить +5 часов существования без еды и сна и +10 минут без кислорода.
Вернуть все пункты только после совместного выполнения: доступ к кислороду восстановлен, плотная еда принята, завершены 4 часа сна.
полноценность сна для восстановления пользы по SYM-007 отдельно не требуется текстом, но длительность 4 часа обязательна.</t>
  </si>
  <si>
    <t xml:space="preserve">выбор количества жертвуемых пунктов; цена 10 ОЭ за пункт и 1 действие по умолчанию.
ОЭ хватает на всю цену.</t>
  </si>
  <si>
    <t xml:space="preserve">временно снизить выбранные характеристики на N; за каждый пункт добавить +5 часов существования без еды и сна и +10 минут без кислорода.
Вернуть все пункты только после совместного выполнения: доступ к кислороду восстановлен, плотная еда принята, завершены 4 часа сна.
полноценность сна для восстановления пользы по SYM-007 отдельно не требуется текстом, но длительность 4 часа обязательна.</t>
  </si>
  <si>
    <t xml:space="preserve">7.5.16.3.1 и уточнение, стр. 151.</t>
  </si>
  <si>
    <t xml:space="preserve">SYM-007</t>
  </si>
  <si>
    <t xml:space="preserve">SYM-148</t>
  </si>
  <si>
    <t xml:space="preserve">На, держи</t>
  </si>
  <si>
    <t xml:space="preserve">переключаемый контактный пассив / отключение симбионтов.</t>
  </si>
  <si>
    <t xml:space="preserve">держатель Жабы</t>
  </si>
  <si>
    <t xml:space="preserve">сознательный контакт ладонью с кожей; в бою — успешная рукопашная проверка.</t>
  </si>
  <si>
    <t xml:space="preserve">открытая кожа цели; держатель решил выделить вещество.</t>
  </si>
  <si>
    <t xml:space="preserve">меткость/контакт.</t>
  </si>
  <si>
    <t xml:space="preserve">отключить всех симбионтов цели на 5 минут/1 ход.</t>
  </si>
  <si>
    <t xml:space="preserve">симбионты цели disabled до таймера.</t>
  </si>
  <si>
    <t xml:space="preserve">можно касаться без активации железы; дополнительное действие/ОЭ не тратится.</t>
  </si>
  <si>
    <t xml:space="preserve">отключить всех симбионтов цели на 5 минут/1 ход.
можно касаться без активации железы; дополнительное действие/ОЭ не тратится.</t>
  </si>
  <si>
    <t xml:space="preserve">7.5.16.6.1, стр. 151.</t>
  </si>
  <si>
    <t xml:space="preserve">SYM-149</t>
  </si>
  <si>
    <t xml:space="preserve">Живучесть жабы</t>
  </si>
  <si>
    <t xml:space="preserve">пассив / maxHP.</t>
  </si>
  <si>
    <t xml:space="preserve">L, базовый maxHP.</t>
  </si>
  <si>
    <t xml:space="preserve">maxHP +=10L; при гибели/удалении убрать бонус и ограничить текущий HP новым максимумом по общему правилу.</t>
  </si>
  <si>
    <t xml:space="preserve">пересчитать maxHP.</t>
  </si>
  <si>
    <t xml:space="preserve">7.5.16.7.1, стр. 151.</t>
  </si>
  <si>
    <t xml:space="preserve">SYM-150</t>
  </si>
  <si>
    <t xml:space="preserve">Амфибиоморфная асфиксия</t>
  </si>
  <si>
    <t xml:space="preserve">добавка к атаке языком / отложенный контроль.</t>
  </si>
  <si>
    <t xml:space="preserve">цель атаки языком.</t>
  </si>
  <si>
    <t xml:space="preserve">активировать одновременно с атакой языком; цена 140 ОЭ, без дополнительного действия.</t>
  </si>
  <si>
    <t xml:space="preserve">ОЭ≥140.</t>
  </si>
  <si>
    <t xml:space="preserve">R6 пробития; через 10 минут/3 хода R20+5 держателя и проверка M цели.</t>
  </si>
  <si>
    <t xml:space="preserve">при успешном попадании и пробитии поставить таймер; по истечении сравнить результаты. Если R20+5 &gt; checkM_target, цель теряет сознание на 5 минут/1 ход.</t>
  </si>
  <si>
    <t xml:space="preserve">отложенная встречная проверка и бессознательность.</t>
  </si>
  <si>
    <t xml:space="preserve">иммунитет Жабы к ядам отменяет эффект; иных способов нейтрализации не описано.</t>
  </si>
  <si>
    <t xml:space="preserve">активировать одновременно с атакой языком; цена 140 ОЭ, без дополнительного действия.
R6 пробития; через 10 минут/3 хода R20+5 держателя и проверка M цели.
Если R20+5 &gt; checkM_target, цель теряет сознание на 5 минут/1 ход.</t>
  </si>
  <si>
    <t xml:space="preserve">активировать одновременно с атакой языком; цена 140 ОЭ, без дополнительного действия.
ОЭ≥140.</t>
  </si>
  <si>
    <t xml:space="preserve">R6 пробития; через 10 минут/3 хода R20+5 держателя и проверка M цели.
Если R20+5 &gt; checkM_target, цель теряет сознание на 5 минут/1 ход.</t>
  </si>
  <si>
    <t xml:space="preserve">7.5.16.8.1, стр. 151.</t>
  </si>
  <si>
    <t xml:space="preserve">SYM-151</t>
  </si>
  <si>
    <t xml:space="preserve">Профиль и OR-дерево Крысы</t>
  </si>
  <si>
    <t xml:space="preserve">Крыса</t>
  </si>
  <si>
    <t xml:space="preserve">maxOE=50×L; связанные D,C,I; max L=7. Дерево: Самостоятельность(1) → Я буду твоими глазами(2) → Ловкость крысы(3) → OR {Переносчик заразы(4) → Подобное к подобному(5) → Крысиные коммуникации(6)| Первый среди равных(4) → Крысиный король(5) → Ретранслятор(6)} → Тотальное крысятничество(7). OR не блокирует вторую ветвь; L7 требует любой L6.</t>
  </si>
  <si>
    <t xml:space="preserve">доступность узлов; социальные L6 слева и L7 остаются узлами развития, но их эффекты не исполняются реестром.</t>
  </si>
  <si>
    <t xml:space="preserve">maxOE=50×L; связанные D,C,I; max L=7.</t>
  </si>
  <si>
    <t xml:space="preserve">7.5.17–7.5.17.1, стр. 152 (дерево прочитано визуально).</t>
  </si>
  <si>
    <t xml:space="preserve">SYM-153</t>
  </si>
  <si>
    <t xml:space="preserve">Самостоятельность: гибель и перерождение</t>
  </si>
  <si>
    <t xml:space="preserve">смерть симбионта / восстановление.</t>
  </si>
  <si>
    <t xml:space="preserve">погибшая Крыса</t>
  </si>
  <si>
    <t xml:space="preserve">смерть Крысы вне тела.</t>
  </si>
  <si>
    <t xml:space="preserve">носитель жив.</t>
  </si>
  <si>
    <t xml:space="preserve">доля сохранённого тела, время поедания, L.</t>
  </si>
  <si>
    <t xml:space="preserve">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</si>
  <si>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Крыса возвращена в тело.</t>
  </si>
  <si>
    <t xml:space="preserve">уровень не ниже 1.</t>
  </si>
  <si>
    <t xml:space="preserve">если носитель в течение 1 часа съел ≥50% тела, через 12 часов переродить без потери L.
Иначе через 24 часа переродить с L=max(1,L−2); способности выше L сохранить изученными, но заблокировать.</t>
  </si>
  <si>
    <t xml:space="preserve">Иначе через 24 часа переродить с L=max(1,L−2); способности выше L сохранить изученными, но заблокировать.</t>
  </si>
  <si>
    <t xml:space="preserve">7.5.17.2.1 и уточнение, стр. 153.
Предразработочный QA и прямые ответы пользователя 2026-07-29</t>
  </si>
  <si>
    <t xml:space="preserve">Q-PREDEV-003</t>
  </si>
  <si>
    <t xml:space="preserve">CORE-218</t>
  </si>
  <si>
    <t xml:space="preserve">SYM-155</t>
  </si>
  <si>
    <t xml:space="preserve">Ловкость крысы</t>
  </si>
  <si>
    <t xml:space="preserve">пассив / характеристика самостоятельного симбионта.</t>
  </si>
  <si>
    <t xml:space="preserve">Крыса.</t>
  </si>
  <si>
    <t xml:space="preserve">базовая D=2L.</t>
  </si>
  <si>
    <t xml:space="preserve">добавить бонус 2L; итоговая D Крысы при отсутствии иных модификаторов =4L.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</si>
  <si>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пересчитать D/инициативу/атаки.</t>
  </si>
  <si>
    <t xml:space="preserve">бонус относится к симбионту, не носителю.</t>
  </si>
  <si>
    <t xml:space="preserve">базовая D=2L.
добавить бонус 2L; итоговая D Крысы при отсутствии иных модификаторов =4L.</t>
  </si>
  <si>
    <t xml:space="preserve">7.5.17.4.1, стр. 153.
Предразработочный QA и прямые ответы пользователя 2026-07-29</t>
  </si>
  <si>
    <t xml:space="preserve">SYM-156</t>
  </si>
  <si>
    <t xml:space="preserve">Переносчик заразы</t>
  </si>
  <si>
    <t xml:space="preserve">пассив / урон укуса.</t>
  </si>
  <si>
    <t xml:space="preserve">Крыса вне тела.</t>
  </si>
  <si>
    <t xml:space="preserve">расчёт урона укуса.</t>
  </si>
  <si>
    <t xml:space="preserve">L, базовый урон.</t>
  </si>
  <si>
    <t xml:space="preserve">добавить +L к урону укуса.</t>
  </si>
  <si>
    <t xml:space="preserve">название не создаёт болезни без отдельного текста.</t>
  </si>
  <si>
    <t xml:space="preserve">7.5.17.5.1, стр. 153.</t>
  </si>
  <si>
    <t xml:space="preserve">SYM-158</t>
  </si>
  <si>
    <t xml:space="preserve">Подобное к подобному</t>
  </si>
  <si>
    <t xml:space="preserve">пассив / природное оружие носителя.</t>
  </si>
  <si>
    <t xml:space="preserve">носитель Крысы</t>
  </si>
  <si>
    <t xml:space="preserve">цель укуса.</t>
  </si>
  <si>
    <t xml:space="preserve">укус, пока Крыса находится в теле.</t>
  </si>
  <si>
    <t xml:space="preserve">R20, L, обычная рукопашная точность.</t>
  </si>
  <si>
    <t xml:space="preserve">прямой урон R20+L, пробитие L; считать рукопашной атакой; разрешить как опцию после захвата в борьбе.</t>
  </si>
  <si>
    <t xml:space="preserve">атака природным оружием.</t>
  </si>
  <si>
    <t xml:space="preserve">складывается с «Зубами-огнивом» Дракона; оба эффекта работают.</t>
  </si>
  <si>
    <t xml:space="preserve">R20, L, обычная рукопашная точность.
прямой урон R20+L, пробитие L; считать рукопашной атакой; разрешить как опцию после захвата в борьбе.</t>
  </si>
  <si>
    <t xml:space="preserve">7.5.17.6.1, стр. 154.</t>
  </si>
  <si>
    <t xml:space="preserve">SYM-160</t>
  </si>
  <si>
    <t xml:space="preserve">Ретранслятор</t>
  </si>
  <si>
    <t xml:space="preserve">пассив / удалённый контроль стаи.</t>
  </si>
  <si>
    <t xml:space="preserve">стая.</t>
  </si>
  <si>
    <t xml:space="preserve">Крыса возвращается в тело.</t>
  </si>
  <si>
    <t xml:space="preserve">Крыса была вожаком стаи.</t>
  </si>
  <si>
    <t xml:space="preserve">таймер 24 часа.</t>
  </si>
  <si>
    <t xml:space="preserve">сохранить контроль за носителем на сутки; стая выполняет приказ невзирая на любые потери; по окончании стая неизбежно разбегается.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</si>
  <si>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статус вожака временно переносится носителю.</t>
  </si>
  <si>
    <t xml:space="preserve">в период действия пороги отступления не применяются.</t>
  </si>
  <si>
    <t xml:space="preserve">таймер 24 часа.
в период действия пороги отступления не применяются.</t>
  </si>
  <si>
    <t xml:space="preserve">таймер 24 часа.
сохранить контроль за носителем на сутки; стая выполняет приказ невзирая на любые потери; по окончании стая неизбежно разбегается.</t>
  </si>
  <si>
    <t xml:space="preserve">7.5.17.7.2, стр. 154.
Предразработочный QA и прямые ответы пользователя 2026-07-29</t>
  </si>
  <si>
    <t xml:space="preserve">CORE-219</t>
  </si>
  <si>
    <t xml:space="preserve">SYM-161</t>
  </si>
  <si>
    <t xml:space="preserve">Профиль и линейное дерево Дельфина</t>
  </si>
  <si>
    <t xml:space="preserve">Дельфин</t>
  </si>
  <si>
    <t xml:space="preserve">maxOE=30×L; связанные I,W; max L=6. Линейно: Трансцендентность → Эхолокация → Море — второй дом → Ментальный компас → Абсолютная память → Мирный воин.</t>
  </si>
  <si>
    <t xml:space="preserve">профиль/доступность; Абсолютная память остаётся обязательным узлом, хотя её эффект вне реестра.</t>
  </si>
  <si>
    <t xml:space="preserve">Трогр поглощает Дельфина.</t>
  </si>
  <si>
    <t xml:space="preserve">maxOE=30×L; связанные I,W; max L=6.</t>
  </si>
  <si>
    <t xml:space="preserve">7.5.18–7.5.18.1, стр. 155 (дерево прочитано визуально).</t>
  </si>
  <si>
    <t xml:space="preserve">SYM-162</t>
  </si>
  <si>
    <t xml:space="preserve">Трансцендентность</t>
  </si>
  <si>
    <t xml:space="preserve">носитель Дельфина.</t>
  </si>
  <si>
    <t xml:space="preserve">Дельфин активен.</t>
  </si>
  <si>
    <t xml:space="preserve">базовый I, L.</t>
  </si>
  <si>
    <t xml:space="preserve">повысить I на 5L, но не выше 30; при удалении/гибели вернуть исходное.</t>
  </si>
  <si>
    <t xml:space="preserve">пересчитать I.</t>
  </si>
  <si>
    <t xml:space="preserve">7.5.18.2.1, стр. 156.</t>
  </si>
  <si>
    <t xml:space="preserve">SYM-164</t>
  </si>
  <si>
    <t xml:space="preserve">Море — второй дом</t>
  </si>
  <si>
    <t xml:space="preserve">пассив / подводная выживаемость и движение.</t>
  </si>
  <si>
    <t xml:space="preserve">задержка дыхания или проверка плавания, включая бой в воде.</t>
  </si>
  <si>
    <t xml:space="preserve">базовый лимит дыхания/проверка.</t>
  </si>
  <si>
    <t xml:space="preserve">добавить 30 минут к максимальной задержке дыхания; +10 к плаванию.</t>
  </si>
  <si>
    <t xml:space="preserve">увеличенный лимит и результат движения.</t>
  </si>
  <si>
    <t xml:space="preserve">чисто маршрутные применения вне реестра.</t>
  </si>
  <si>
    <t xml:space="preserve">7.5.18.4.1, стр. 156.</t>
  </si>
  <si>
    <t xml:space="preserve">SYM-165</t>
  </si>
  <si>
    <t xml:space="preserve">Ментальный компас: боевая часть</t>
  </si>
  <si>
    <t xml:space="preserve">пассив / ментальная защита.</t>
  </si>
  <si>
    <t xml:space="preserve">носитель Дельфина</t>
  </si>
  <si>
    <t xml:space="preserve">источник ментального эффекта.</t>
  </si>
  <si>
    <t xml:space="preserve">проверка сопротивления ментальному воздействию.</t>
  </si>
  <si>
    <t xml:space="preserve">базовый результат, источник/позиция.</t>
  </si>
  <si>
    <t xml:space="preserve">добавить +10; при успешной защите гарантированно раскрыть источник и его местоположение.</t>
  </si>
  <si>
    <t xml:space="preserve">повышенная защита и раскрытая позиция.</t>
  </si>
  <si>
    <t xml:space="preserve">бонусы маршрута/поиска пути исключены как небоевые.</t>
  </si>
  <si>
    <t xml:space="preserve">7.5.18.5.1, стр. 156.</t>
  </si>
  <si>
    <t xml:space="preserve">SYM-166</t>
  </si>
  <si>
    <t xml:space="preserve">Мирный воин: исполняемая часть</t>
  </si>
  <si>
    <t xml:space="preserve">пассив / сопротивление и развитие навыков.</t>
  </si>
  <si>
    <t xml:space="preserve">проверка сопротивления харизме либо пересчёт слотов.</t>
  </si>
  <si>
    <t xml:space="preserve">базовая проверка/слоты.</t>
  </si>
  <si>
    <t xml:space="preserve">добавить +5 к любой проверке сопротивления харизме; добавить 5 слотов навыков.</t>
  </si>
  <si>
    <t xml:space="preserve">модифицированная проверка и вместимость навыков.</t>
  </si>
  <si>
    <t xml:space="preserve">+5 к обучению в ролях учителя/ученика исключено как небоевое.</t>
  </si>
  <si>
    <t xml:space="preserve">7.5.18.7.1, стр. 156.</t>
  </si>
  <si>
    <t xml:space="preserve">SYM-167</t>
  </si>
  <si>
    <t xml:space="preserve">Профиль и линейное дерево Богомола</t>
  </si>
  <si>
    <t xml:space="preserve">Богомол</t>
  </si>
  <si>
    <t xml:space="preserve">maxOE=40×L; связанные S,D; max L=6; D+=5. Линейно: Зазубренные клинки → Каменная статуя → Молниеносная реакция → Каннибализм → Инстинкт убийцы → Веерная защита.</t>
  </si>
  <si>
    <t xml:space="preserve">Линейно: Зазубренные клинки → Каменная статуя → Молниеносная реакция → Каннибализм → Инстинкт убийцы → Веерная защита.</t>
  </si>
  <si>
    <t xml:space="preserve">maxOE=40×L; связанные S,D; max L=6
D+=5.</t>
  </si>
  <si>
    <t xml:space="preserve">7.5.19–7.5.19.1, стр. 157 (дерево прочитано визуально).</t>
  </si>
  <si>
    <t xml:space="preserve">SYM-170</t>
  </si>
  <si>
    <t xml:space="preserve">Молниеносная реакция</t>
  </si>
  <si>
    <t xml:space="preserve">пассив / инициатива и уклонение.</t>
  </si>
  <si>
    <t xml:space="preserve">носитель Богомола.</t>
  </si>
  <si>
    <t xml:space="preserve">реакция на неожиданное нападение либо уклонение.</t>
  </si>
  <si>
    <t xml:space="preserve">L, базовая проверка.</t>
  </si>
  <si>
    <t xml:space="preserve">добавить +L к реакции при неожиданном нападении на носителя/группу и +L к уклонению.</t>
  </si>
  <si>
    <t xml:space="preserve">модифицированные проверки.</t>
  </si>
  <si>
    <t xml:space="preserve">реакция на неожиданное нападение либо уклонение.
добавить +L к реакции при неожиданном нападении на носителя/группу и +L к уклонению.</t>
  </si>
  <si>
    <t xml:space="preserve">7.5.19.4.1, стр. 158.</t>
  </si>
  <si>
    <t xml:space="preserve">SYM-174</t>
  </si>
  <si>
    <t xml:space="preserve">Профиль и линейное дерево Скунса</t>
  </si>
  <si>
    <t xml:space="preserve">Скунс</t>
  </si>
  <si>
    <t xml:space="preserve">получение/развитие/экипировка.</t>
  </si>
  <si>
    <t xml:space="preserve">L, герметичность костюма «Нэйт».</t>
  </si>
  <si>
    <t xml:space="preserve">maxOE=50×L; связанные D,M; max L=6; C−=10, кроме времени, когда носитель одет в герметичный «Нэйт». Линейно: Анальная железа → Подладонные железы → Вонючее облако → Навесной выстрел → Миномёт → Шквальный огонь.</t>
  </si>
  <si>
    <t xml:space="preserve">профиль/доступность и динамический C.</t>
  </si>
  <si>
    <t xml:space="preserve">исключение зависит от фактической герметичности костюма.</t>
  </si>
  <si>
    <t xml:space="preserve">maxOE=50×L; связанные D,M; max L=6
C−=10, кроме времени, когда носитель одет в герметичный «Нэйт».</t>
  </si>
  <si>
    <t xml:space="preserve">7.5.20–7.5.20.1, стр. 160 (дерево прочитано визуально).</t>
  </si>
  <si>
    <t xml:space="preserve">MON-001</t>
  </si>
  <si>
    <t xml:space="preserve">4. Симбиотические чудовища, болезни и бестиарий</t>
  </si>
  <si>
    <t xml:space="preserve">1. Симбиотические чудовища: общие параметры и Химера</t>
  </si>
  <si>
    <t xml:space="preserve">Ёмкость симбиотического чудовища</t>
  </si>
  <si>
    <t xml:space="preserve">слоты симбионтов.</t>
  </si>
  <si>
    <t xml:space="preserve">симбиотическое чудовище</t>
  </si>
  <si>
    <t xml:space="preserve">носитель-Единый.</t>
  </si>
  <si>
    <t xml:space="preserve">добавление чудовища в тело носителя.</t>
  </si>
  <si>
    <t xml:space="preserve">носитель может иметь симбионтов; применяются общие ограничения заражения.</t>
  </si>
  <si>
    <t xml:space="preserve">свободные слоты носителя.</t>
  </si>
  <si>
    <t xml:space="preserve">занять 4 слота.</t>
  </si>
  <si>
    <t xml:space="preserve">четыре слота помечаются занятыми одним чудовищем.</t>
  </si>
  <si>
    <t xml:space="preserve">дополнительные слоты Химеры, полученные «Пожиранием», учитываются отдельно; базовая Химера всё равно занимает 4.</t>
  </si>
  <si>
    <t xml:space="preserve">§7.6, печ. стр. 163.</t>
  </si>
  <si>
    <t xml:space="preserve">MON-002</t>
  </si>
  <si>
    <t xml:space="preserve">Базовые параметры Химеры</t>
  </si>
  <si>
    <t xml:space="preserve">параметры симбионта.</t>
  </si>
  <si>
    <t xml:space="preserve">Химера</t>
  </si>
  <si>
    <t xml:space="preserve">получение Химеры; изменение её уровня.</t>
  </si>
  <si>
    <t xml:space="preserve">Химера активна.</t>
  </si>
  <si>
    <t xml:space="preserve">уровень L.</t>
  </si>
  <si>
    <t xml:space="preserve">максимум ОЭ 400×L; связанные характеристики: Z, S, D; максимальный уровень 6; постоянные модификаторы носителя S+5, M+10.</t>
  </si>
  <si>
    <t xml:space="preserve">пересчитать максимум ОЭ и итоговые характеристики.</t>
  </si>
  <si>
    <t xml:space="preserve">текущие ОЭ при росте уровня не восстанавливаются по общему правилу §7.2.</t>
  </si>
  <si>
    <t xml:space="preserve">максимум ОЭ 400×L; связанные характеристики: Z, S, D; максимальный уровень 6; постоянные модификаторы носителя S+5, M+10.
пересчитать максимум ОЭ и итоговые характеристики.
текущие ОЭ при росте уровня не восстанавливаются по общему правилу §7.2.</t>
  </si>
  <si>
    <t xml:space="preserve">§7.6.1, печ. стр. 163.</t>
  </si>
  <si>
    <t xml:space="preserve">MON-003</t>
  </si>
  <si>
    <t xml:space="preserve">Дерево развития Химеры</t>
  </si>
  <si>
    <t xml:space="preserve">развитие симбионта.</t>
  </si>
  <si>
    <t xml:space="preserve">изучаемые способности.</t>
  </si>
  <si>
    <t xml:space="preserve">попытка купить способность за опыт.</t>
  </si>
  <si>
    <t xml:space="preserve">оплачена стоимость уровня по §7.2; выполнены связи дерева.</t>
  </si>
  <si>
    <t xml:space="preserve">множество уже изученных способностей.</t>
  </si>
  <si>
    <t xml:space="preserve">уровень 1 — «Пожирание»; оператор И-AND — открытие открывает три параллельные цепочки: (A) «Дублирование органов» → «Безразличная плоть» → «Выносливость хищника» → «Неудержимость»; (B) «Взгляд мясника» → «Гончая» → «Охотничий азарт» → «Змеиный бросок»; (C) «Железная хватка» → «Локтевой отбойник» → «Коленный отбойник» → «Последний взгляд». Оператор И-AND — слияние требует все три способности 5-го уровня для открытия «Ведомого голодом» 6-го уровня.</t>
  </si>
  <si>
    <t xml:space="preserve">доступность узлов рассчитывается по указанным связям.</t>
  </si>
  <si>
    <t xml:space="preserve">все способности 1-го уровня бесплатны по общему правилу §7.2.</t>
  </si>
  <si>
    <t xml:space="preserve">попытка купить способность за опыт.
оплачена стоимость уровня по §7.2; выполнены связи дерева.</t>
  </si>
  <si>
    <t xml:space="preserve">§7.6.1.1, растровая схема, печ. стр. 163.</t>
  </si>
  <si>
    <t xml:space="preserve">MON-004</t>
  </si>
  <si>
    <t xml:space="preserve">Состояния</t>
  </si>
  <si>
    <t xml:space="preserve">Начало и поддержание «Пожирания»</t>
  </si>
  <si>
    <t xml:space="preserve">активная поддерживаемая способность.</t>
  </si>
  <si>
    <t xml:space="preserve">одна живая цель.</t>
  </si>
  <si>
    <t xml:space="preserve">объявление «Пожирания».</t>
  </si>
  <si>
    <t xml:space="preserve">цель — Чистый, Единый или Вольный; цель жива и находится в тяжёлом ранении, без сознания, парализована либо уже удерживается Химерой в захвате.</t>
  </si>
  <si>
    <t xml:space="preserve">50 ОЭ; состояние цели; 10 последовательных боевых ходов либо 10 минут вне боя.</t>
  </si>
  <si>
    <t xml:space="preserve">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</si>
  <si>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после полного срока цель считается съеденной; до завершения награда не начисляется.</t>
  </si>
  <si>
    <t xml:space="preserve">мёртвая цель недопустима; разрыв захвата, уход цели либо любой урон Химере в голову или корпус прерывает процесс без награды.</t>
  </si>
  <si>
    <t xml:space="preserve">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</si>
  <si>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50 ОЭ; состояние цели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t>
  </si>
  <si>
    <t xml:space="preserve">10 последовательных боевых ходов либо 10 минут вне боя.
списать 50 ОЭ при объявлении; каждый из 10 ходов Химера тратит все боевые действия на процесс; дееспособная захваченная цель может в свой ход освобождаться.
после полного срока цель считается съеденной; до завершения награда не начисляется.</t>
  </si>
  <si>
    <t xml:space="preserve">§7.6.1.2.1 и уточнение, печ. стр. 164.</t>
  </si>
  <si>
    <t xml:space="preserve">MON-005</t>
  </si>
  <si>
    <t xml:space="preserve">Уязвимость Химеры во время «Пожирания»</t>
  </si>
  <si>
    <t xml:space="preserve">модификатор входящего урона.</t>
  </si>
  <si>
    <t xml:space="preserve">голова или корпус пожирающей Химеры.</t>
  </si>
  <si>
    <t xml:space="preserve">Химера получает урон в голову или корпус при активном «Пожирании».</t>
  </si>
  <si>
    <t xml:space="preserve">процесс ещё не прерван.</t>
  </si>
  <si>
    <t xml:space="preserve">рассчитанный входящий урон после обычной последовательности защиты.</t>
  </si>
  <si>
    <t xml:space="preserve">итоговый урон умножить на 5.</t>
  </si>
  <si>
    <t xml:space="preserve">уменьшить HP на пятикратный урон и прервать «Пожирание» без награды.</t>
  </si>
  <si>
    <t xml:space="preserve">атака в иные зоны не получает множитель и сама по себе не названа причиной прерывания.</t>
  </si>
  <si>
    <t xml:space="preserve">§7.6.1.2.1, печ. стр. 164.</t>
  </si>
  <si>
    <t xml:space="preserve">MON-008</t>
  </si>
  <si>
    <t xml:space="preserve">«Дублирование органов»: предотвращение тяжёлого ранения</t>
  </si>
  <si>
    <t xml:space="preserve">пассивная защита / тяжёлое ранение.</t>
  </si>
  <si>
    <t xml:space="preserve">входящая атака.</t>
  </si>
  <si>
    <t xml:space="preserve">атака должна перевести Химеру в тяжёлое ранение.</t>
  </si>
  <si>
    <t xml:space="preserve">способность ещё не срабатывала в текущей боевой ситуации.</t>
  </si>
  <si>
    <t xml:space="preserve">результат урона и состояние HP.</t>
  </si>
  <si>
    <t xml:space="preserve">отменить переход в тяжёлое ранение и установить текущее HP равным 1.</t>
  </si>
  <si>
    <t xml:space="preserve">Химера остаётся вне тяжёлого ранения с 1 HP; отметить расход срабатывания.</t>
  </si>
  <si>
    <t xml:space="preserve">не более 1 раза за боевую ситуацию.</t>
  </si>
  <si>
    <t xml:space="preserve">результат урона и состояние HP.
отменить переход в тяжёлое ранение и установить текущее HP равным 1.
Химера остаётся вне тяжёлого ранения с 1 HP; отметить расход срабатывания.</t>
  </si>
  <si>
    <t xml:space="preserve">§7.6.1.3.1, печ. стр. 164.</t>
  </si>
  <si>
    <t xml:space="preserve">MON-009</t>
  </si>
  <si>
    <t xml:space="preserve">«Дублирование органов»: состояние после тяжёлого ранения</t>
  </si>
  <si>
    <t xml:space="preserve">пассивное изменение тяжёлого ранения.</t>
  </si>
  <si>
    <t xml:space="preserve">Химера.</t>
  </si>
  <si>
    <t xml:space="preserve">Химера всё же входит в тяжёлое ранение.</t>
  </si>
  <si>
    <t xml:space="preserve">общий таймер смерти от тяжёлого ранения.</t>
  </si>
  <si>
    <t xml:space="preserve">сохранить дееспособность; увеличить время до смерти в 4 раза.</t>
  </si>
  <si>
    <t xml:space="preserve">тяжело раненая Химера может действовать, таймер смерти ×4.</t>
  </si>
  <si>
    <t xml:space="preserve">иные причины недееспособности продолжают действовать.
Множитель ×4 синхронизирован с локальным приоритетом CORE-154.</t>
  </si>
  <si>
    <t xml:space="preserve">тяжело раненая Химера может действовать, таймер смерти ×4.
Множитель ×4 синхронизирован с локальным приоритетом CORE-154.</t>
  </si>
  <si>
    <t xml:space="preserve">CORE-154</t>
  </si>
  <si>
    <t xml:space="preserve">Техническая нормализация</t>
  </si>
  <si>
    <t xml:space="preserve">MON-011</t>
  </si>
  <si>
    <t xml:space="preserve">«Железная хватка»</t>
  </si>
  <si>
    <t xml:space="preserve">пассивный модификатор борьбы.</t>
  </si>
  <si>
    <t xml:space="preserve">удерживаемая цель.</t>
  </si>
  <si>
    <t xml:space="preserve">проверка удержания, включая препятствование выходу из захвата.</t>
  </si>
  <si>
    <t xml:space="preserve">базовый результат проверки удержания.</t>
  </si>
  <si>
    <t xml:space="preserve">повышенный итог встречной проверки.</t>
  </si>
  <si>
    <t xml:space="preserve">не распространяется на проверки, не являющиеся удержанием.</t>
  </si>
  <si>
    <t xml:space="preserve">§7.6.1.3.3, печ. стр. 164.</t>
  </si>
  <si>
    <t xml:space="preserve">MON-012</t>
  </si>
  <si>
    <t xml:space="preserve">«Безразличная плоть»</t>
  </si>
  <si>
    <t xml:space="preserve">пассивный максимум HP.</t>
  </si>
  <si>
    <t xml:space="preserve">изучение/активация симбионта.</t>
  </si>
  <si>
    <t xml:space="preserve">базовый максимум HP.</t>
  </si>
  <si>
    <t xml:space="preserve">maxHP += 100.</t>
  </si>
  <si>
    <t xml:space="preserve">постоянный повышенный максимум HP.</t>
  </si>
  <si>
    <t xml:space="preserve">удаление/отключение симбионта обрабатывается общими правилами пассивов.</t>
  </si>
  <si>
    <t xml:space="preserve">базовый максимум HP.
постоянный повышенный максимум HP.</t>
  </si>
  <si>
    <t xml:space="preserve">§7.6.1.4.1, печ. стр. 164.</t>
  </si>
  <si>
    <t xml:space="preserve">MON-013</t>
  </si>
  <si>
    <t xml:space="preserve">«Гончая»</t>
  </si>
  <si>
    <t xml:space="preserve">активная метка цели.</t>
  </si>
  <si>
    <t xml:space="preserve">одна видимая цель.</t>
  </si>
  <si>
    <t xml:space="preserve">объявление способности.</t>
  </si>
  <si>
    <t xml:space="preserve">цель в поле зрения.</t>
  </si>
  <si>
    <t xml:space="preserve">50 ОЭ; чистый R20.</t>
  </si>
  <si>
    <t xml:space="preserve">длительность метки R20×2 минут; для Химеры мир отображается чёрно-белым, цель и все её следы — ярко-красными.</t>
  </si>
  <si>
    <t xml:space="preserve">создать метку «Гончая» с таймером и источником.</t>
  </si>
  <si>
    <t xml:space="preserve">метка используется «Охотничьим азартом» и «Змеиным броском».</t>
  </si>
  <si>
    <t xml:space="preserve">50 ОЭ; чистый R20.
длительность метки R20×2 минут; для Химеры мир отображается чёрно-белым, цель и все её следы — ярко-красными.</t>
  </si>
  <si>
    <t xml:space="preserve">§7.6.1.4.2, печ. стр. 164–165.</t>
  </si>
  <si>
    <t xml:space="preserve">MON-015</t>
  </si>
  <si>
    <t xml:space="preserve">«Локтевой отбойник»: дополнительная броня</t>
  </si>
  <si>
    <t xml:space="preserve">пассивная зональная защита.</t>
  </si>
  <si>
    <t xml:space="preserve">физическая атака в левую или правую руку.</t>
  </si>
  <si>
    <t xml:space="preserve">физическая атака попала в руку.</t>
  </si>
  <si>
    <t xml:space="preserve">чистый R20 определения попадания в сгиб; при результате 16+ — R20 защиты.</t>
  </si>
  <si>
    <t xml:space="preserve">если первый R20 ≥16, считать попадание пришедшимся по локтевому сгибу; добавить спасбросок брони R20×2 к спасброску надетой брони.</t>
  </si>
  <si>
    <t xml:space="preserve">увеличенный результат брони для данной атаки.</t>
  </si>
  <si>
    <t xml:space="preserve">проверка выполняется только для физических атак в руки.</t>
  </si>
  <si>
    <t xml:space="preserve">чистый R20 определения попадания в сгиб; при результате 16+ — R20 защиты.
если первый R20 ≥16, считать попадание пришедшимся по локтевому сгибу; добавить спасбросок брони R20×2 к спасброску надетой брони.</t>
  </si>
  <si>
    <t xml:space="preserve">§7.6.1.4.3, печ. стр. 165.</t>
  </si>
  <si>
    <t xml:space="preserve">MON-016</t>
  </si>
  <si>
    <t xml:space="preserve">«Выносливость хищника»</t>
  </si>
  <si>
    <t xml:space="preserve">пассивная характеристика.</t>
  </si>
  <si>
    <t xml:space="preserve">способность активна.</t>
  </si>
  <si>
    <t xml:space="preserve">изучена.</t>
  </si>
  <si>
    <t xml:space="preserve">базовая M.</t>
  </si>
  <si>
    <t xml:space="preserve">M += 15.</t>
  </si>
  <si>
    <t xml:space="preserve">повышенная итоговая M.</t>
  </si>
  <si>
    <t xml:space="preserve">общие правила сложения модификаторов.</t>
  </si>
  <si>
    <t xml:space="preserve">§7.6.1.5.1, печ. стр. 165.</t>
  </si>
  <si>
    <t xml:space="preserve">MON-017</t>
  </si>
  <si>
    <t xml:space="preserve">«Охотничий азарт»</t>
  </si>
  <si>
    <t xml:space="preserve">пассивное преследование.</t>
  </si>
  <si>
    <t xml:space="preserve">цель с меткой «Гончая».</t>
  </si>
  <si>
    <t xml:space="preserve">помеченная цель убегает, Химера выполняет проверку преследования.</t>
  </si>
  <si>
    <t xml:space="preserve">метка активна.</t>
  </si>
  <si>
    <t xml:space="preserve">итог проверки Химеры на преследование.</t>
  </si>
  <si>
    <t xml:space="preserve">удвоить значение проверки Химеры.</t>
  </si>
  <si>
    <t xml:space="preserve">повышенный итог преследования.</t>
  </si>
  <si>
    <t xml:space="preserve">не действует на непомеченные цели.</t>
  </si>
  <si>
    <t xml:space="preserve">§7.6.1.5.2, печ. стр. 165.</t>
  </si>
  <si>
    <t xml:space="preserve">MON-019</t>
  </si>
  <si>
    <t xml:space="preserve">«Коленный отбойник»: дополнительная броня</t>
  </si>
  <si>
    <t xml:space="preserve">физическая атака в левую или правую ногу.</t>
  </si>
  <si>
    <t xml:space="preserve">физическая атака попала в ногу.</t>
  </si>
  <si>
    <t xml:space="preserve">чистый R20; при 16+ — R20 защиты.</t>
  </si>
  <si>
    <t xml:space="preserve">при R20 ≥16 считать попадание пришедшимся по коленному наросту; добавить спасбросок R20×2 к броне.</t>
  </si>
  <si>
    <t xml:space="preserve">повышенная броня для атаки.</t>
  </si>
  <si>
    <t xml:space="preserve">только физические атаки в ноги.</t>
  </si>
  <si>
    <t xml:space="preserve">чистый R20; при 16+ — R20 защиты.
при R20 ≥16 считать попадание пришедшимся по коленному наросту; добавить спасбросок R20×2 к броне.</t>
  </si>
  <si>
    <t xml:space="preserve">§7.6.1.5.3, печ. стр. 165.</t>
  </si>
  <si>
    <t xml:space="preserve">MON-021</t>
  </si>
  <si>
    <t xml:space="preserve">«Змеиный бросок»</t>
  </si>
  <si>
    <t xml:space="preserve">пассивное перемещение.</t>
  </si>
  <si>
    <t xml:space="preserve">Химера сокращает дистанцию до цели.</t>
  </si>
  <si>
    <t xml:space="preserve">цель помечена и находится не дальше 20 м.</t>
  </si>
  <si>
    <t xml:space="preserve">текущая дистанция; обычное допустимое сокращение дистанции.</t>
  </si>
  <si>
    <t xml:space="preserve">стоимость сокращения дистанции в боевых действиях = 0.</t>
  </si>
  <si>
    <t xml:space="preserve">дистанция изменяется без траты действия.</t>
  </si>
  <si>
    <t xml:space="preserve">не отменяет иных ограничений перемещения, явно не снятых способностью.</t>
  </si>
  <si>
    <t xml:space="preserve">стоимость сокращения дистанции в боевых действиях = 0.
дистанция изменяется без траты действия.</t>
  </si>
  <si>
    <t xml:space="preserve">§7.6.1.6.2, печ. стр. 165.</t>
  </si>
  <si>
    <t xml:space="preserve">MON-024</t>
  </si>
  <si>
    <t xml:space="preserve">«Ведомый голодом»: завершение</t>
  </si>
  <si>
    <t xml:space="preserve">обратный пересчёт временного эффекта.</t>
  </si>
  <si>
    <t xml:space="preserve">истёк срок «Ведомого голодом».</t>
  </si>
  <si>
    <t xml:space="preserve">эффект был успешно активирован.</t>
  </si>
  <si>
    <t xml:space="preserve">исходные максимумы; текущее удвоенное HP; текущее состояние тяжёлого ранения.</t>
  </si>
  <si>
    <t xml:space="preserve">вернуть максимальный HP и удвоенные характеристики к прежним значениям; текущее HP разделить на 2 с округлением вверх.</t>
  </si>
  <si>
    <t xml:space="preserve">пропорционально сохраняется полученный во время эффекта урон.</t>
  </si>
  <si>
    <t xml:space="preserve">если тяжёлое ранение уже наступило, обратный пересчёт его не отменяет.</t>
  </si>
  <si>
    <t xml:space="preserve">исходные максимумы; текущее удвоенное HP; текущее состояние тяжёлого ранения.
вернуть максимальный HP и удвоенные характеристики к прежним значениям; текущее HP разделить на 2 с округлением вверх.</t>
  </si>
  <si>
    <t xml:space="preserve">уточнение к §7.6.1, печ. стр. 165.</t>
  </si>
  <si>
    <t xml:space="preserve">MON-025</t>
  </si>
  <si>
    <t xml:space="preserve">2. Кукловод</t>
  </si>
  <si>
    <t xml:space="preserve">Базовые параметры Кукловода</t>
  </si>
  <si>
    <t xml:space="preserve">Кукловод</t>
  </si>
  <si>
    <t xml:space="preserve">получение симбионта или изменение L.</t>
  </si>
  <si>
    <t xml:space="preserve">Кукловод активен.</t>
  </si>
  <si>
    <t xml:space="preserve">максимум ОЭ 400×L; связанные характеристики C,I,W; максимальный уровень 6; C+10.</t>
  </si>
  <si>
    <t xml:space="preserve">пересчитать максимум ОЭ и C.</t>
  </si>
  <si>
    <t xml:space="preserve">общие правила текущих ОЭ.</t>
  </si>
  <si>
    <t xml:space="preserve">максимум ОЭ 400×L; связанные характеристики C,I,W; максимальный уровень 6
пересчитать максимум ОЭ и C.
общие правила текущих ОЭ.</t>
  </si>
  <si>
    <t xml:space="preserve">максимум ОЭ 400×L; связанные характеристики C,I,W; максимальный уровень 6</t>
  </si>
  <si>
    <t xml:space="preserve">§7.6.2, печ. стр. 167.</t>
  </si>
  <si>
    <t xml:space="preserve">MON-026</t>
  </si>
  <si>
    <t xml:space="preserve">Дерево развития Кукловода</t>
  </si>
  <si>
    <t xml:space="preserve">способности.</t>
  </si>
  <si>
    <t xml:space="preserve">покупка способности.</t>
  </si>
  <si>
    <t xml:space="preserve">опыт оплачен; выполнены связи.</t>
  </si>
  <si>
    <t xml:space="preserve">изученные узлы.</t>
  </si>
  <si>
    <t xml:space="preserve">Нормативная база (действует во всей непротиворечащей части):
уровень 1 — «Направляй ментально»; И-AND — открытие открывает три цепочки: (A) «Доминантный разум» → «Ментальный ученик» → «Отведение внимания» → «Постоянная иллюзия»; (B) «Чтение мыслей» → «Превосходство» → «Чужие чувства» → «Наваждение»; (C) «Рассеянность» → «Псионическое разложение» → «Отмена действия» → «Марионетка». И-AND — слияние требует все три способности 5-го уровня для «Ментальной паутины» 6-го уровня.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оставить узел «Наваждение» в дереве как manual-only, без runtime-команды способности</t>
  </si>
  <si>
    <t xml:space="preserve">доступность узлов по графу.</t>
  </si>
  <si>
    <t xml:space="preserve">небоевые узлы дерева сохраняются как предусловия, хотя их механика исключена из данного реестра.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</si>
  <si>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И-AND — открытие открывает три цепочки: (A) «Доминантный разум» → «Ментальный ученик» → «Отведение внимания» → «Постоянная иллюзия»; (B) «Чтение мыслей» → «Превосходство» → «Чужие чувства» → «Наваждение»; (C) «Рассеянность» → «Псионическое разложение» → «Отмена действия» → «Марионетка».</t>
  </si>
  <si>
    <t xml:space="preserve">§7.6.2.1, растровая схема, печ. стр. 167.</t>
  </si>
  <si>
    <t xml:space="preserve">MON-027</t>
  </si>
  <si>
    <t xml:space="preserve">Направляй ментально</t>
  </si>
  <si>
    <t xml:space="preserve">пассивная ментальная модификация Харизмы.</t>
  </si>
  <si>
    <t xml:space="preserve">выбранная цель взаимодействия.</t>
  </si>
  <si>
    <t xml:space="preserve">расчёт эффективной Харизмы Кукловода против цели.</t>
  </si>
  <si>
    <t xml:space="preserve">цель не является Кукловодом и не имеет полной неуязвимости к ментальному воздействию.</t>
  </si>
  <si>
    <t xml:space="preserve">C Кукловода, I Кукловода, L Кукловода, свойства ментальной защиты цели.</t>
  </si>
  <si>
    <t xml:space="preserve">Для допустимой цели вычислить C_eff = C + I + L. Полная ментальная неуязвимость отменяет бонус; числовая защита не создаёт отдельной встречной проверки, если её не требует само действие.</t>
  </si>
  <si>
    <t xml:space="preserve">контекстное эффективное значение C_eff без изменения базовой C.</t>
  </si>
  <si>
    <t xml:space="preserve">Не действует на других Кукловодов; COMBAT/Q-MON-078 имеет приоритет.</t>
  </si>
  <si>
    <t xml:space="preserve">Полная ментальная неуязвимость отменяет бонус; числовая защита не создаёт отдельной встречной проверки, если её не требует само действие.</t>
  </si>
  <si>
    <t xml:space="preserve">Для допустимой цели вычислить C_eff = C + I + L.</t>
  </si>
  <si>
    <t xml:space="preserve">§7.6.2.2.1, стр. 167; COMBAT/Q-MON-078.</t>
  </si>
  <si>
    <t xml:space="preserve">Q-MON-078</t>
  </si>
  <si>
    <t xml:space="preserve">MON-028</t>
  </si>
  <si>
    <t xml:space="preserve">«Доминантный разум»</t>
  </si>
  <si>
    <t xml:space="preserve">Кукловод.</t>
  </si>
  <si>
    <t xml:space="preserve">способность активна или L меняется.</t>
  </si>
  <si>
    <t xml:space="preserve">I += L.</t>
  </si>
  <si>
    <t xml:space="preserve">постоянный динамический бонус I.</t>
  </si>
  <si>
    <t xml:space="preserve">пересчитывается при изменении уровня.</t>
  </si>
  <si>
    <t xml:space="preserve">§7.6.2.3.1, печ. стр. 168.</t>
  </si>
  <si>
    <t xml:space="preserve">MON-029</t>
  </si>
  <si>
    <t xml:space="preserve">«Рассеянность»: наложение и длительность</t>
  </si>
  <si>
    <t xml:space="preserve">активное ментальное воздействие / длительный контроль.</t>
  </si>
  <si>
    <t xml:space="preserve">одна цель.</t>
  </si>
  <si>
    <t xml:space="preserve">Кукловод превышает своей проверкой I проверку I цели.</t>
  </si>
  <si>
    <t xml:space="preserve">30 ОЭ; встречные проверки I; отдельный чистый R20 длительности.</t>
  </si>
  <si>
    <t xml:space="preserve">длительность R20/5 минут или боевых ходов; каждый ход цели запускать MON-030.</t>
  </si>
  <si>
    <t xml:space="preserve">создать эффект «Рассеянность» с таймером.</t>
  </si>
  <si>
    <t xml:space="preserve">при провале встречной проверки эффект не создаётся, затраты не возвращаются.</t>
  </si>
  <si>
    <t xml:space="preserve">30 ОЭ; встречные проверки I; отдельный чистый R20 длительности.
длительность R20/5 минут или боевых ходов; каждый ход цели запускать MON-030.</t>
  </si>
  <si>
    <t xml:space="preserve">§7.6.2.3.3, печ. стр. 168.</t>
  </si>
  <si>
    <t xml:space="preserve">MON-030</t>
  </si>
  <si>
    <t xml:space="preserve">MON-034</t>
  </si>
  <si>
    <t xml:space="preserve">«Псионическое разложение»: проверка концентрации</t>
  </si>
  <si>
    <t xml:space="preserve">прерывание поддержания.</t>
  </si>
  <si>
    <t xml:space="preserve">Кукловод получает урон во время поддержания.</t>
  </si>
  <si>
    <t xml:space="preserve">проверка M Кукловода.</t>
  </si>
  <si>
    <t xml:space="preserve">если итог проверки &lt;20, прекратить поддержание; иначе сохранить.</t>
  </si>
  <si>
    <t xml:space="preserve">состояние эффекта изменено либо сохранено.</t>
  </si>
  <si>
    <t xml:space="preserve">проверка выполняется после каждого отдельного получения урона.</t>
  </si>
  <si>
    <t xml:space="preserve">§7.6.2.4.3 и уточнение, печ. стр. 168–169.</t>
  </si>
  <si>
    <t xml:space="preserve">MON-040</t>
  </si>
  <si>
    <t xml:space="preserve">3. Чумной доктор</t>
  </si>
  <si>
    <t xml:space="preserve">Базовые параметры Чумного доктора</t>
  </si>
  <si>
    <t xml:space="preserve">Чумной доктор</t>
  </si>
  <si>
    <t xml:space="preserve">получение или изменение L.</t>
  </si>
  <si>
    <t xml:space="preserve">симбионт активен.</t>
  </si>
  <si>
    <t xml:space="preserve">максимум ОЭ 400×L; связанные характеристики Z,I,W; максимум L=8; модификаторы S−5, D−5, M−5, I+10.</t>
  </si>
  <si>
    <t xml:space="preserve">пересчитать максимум ОЭ и характеристики.</t>
  </si>
  <si>
    <t xml:space="preserve">«Мёртвый вестник» прекращает три штрафа −5, но сохраняет I+10.</t>
  </si>
  <si>
    <t xml:space="preserve">максимум ОЭ 400×L; связанные характеристики Z,I,W; максимум L=8; модификаторы S−5, D−5, M−5, I+10.
пересчитать максимум ОЭ и характеристики.</t>
  </si>
  <si>
    <t xml:space="preserve">§7.6.3, печ. стр. 170.</t>
  </si>
  <si>
    <t xml:space="preserve">MON-041</t>
  </si>
  <si>
    <t xml:space="preserve">Дерево развития Чумного доктора</t>
  </si>
  <si>
    <t xml:space="preserve">опыт оплачен и связи выполнены.</t>
  </si>
  <si>
    <t xml:space="preserve">Нормативная база (действует во всей непротиворечащей части):
уровень 1 — «Чумная кровь, чумная плоть»; И-AND — открытие открывает цепочки: (A) «Кхе-кхе…» → «Не обращайте внимания…» → «Масштабная эпидемия»; (B) «Вы больны…» → «Какое здоровье…» → «Вакцинация»; (C) «Они вам помогут…» → «Сражайся, больной!» → «Мы — одна семья». И-AND — слияние требует все три способности 4-го уровня для «Самого надёжного лекарства» 5-го уровня. Затем XOR — открытие необратимо фиксирует ровно одну ветку и закрывает альтернативную: ветка P «Поветрие» → «Чумные пророки» → «Чумные зомби» либо ветка M «Мёртвый вестник» → «Распределение сил» → оператор ИЛИ-OR — открытие, где требуется открыть хотя бы один из узлов «Одержимый познанием»/«Выжгу до тла», а второй впоследствии не запрещён.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дерево развития может хранить изученные способности, но исключённые manual-only ветки не создают автоматические команды</t>
  </si>
  <si>
    <t xml:space="preserve">рассчитывать доступность узлов; зафиксировать выбор XOR.</t>
  </si>
  <si>
    <t xml:space="preserve">небоевой узел «Мы — одна семья» остаётся обязательным предусловием слияния, хотя его социальная механика исключена.
Поздние дельты применяются по приоритету AQ3 &gt; AQ2 &gt; AQA/CQA &gt; базовая карточка; локальное исключение сильнее общего.</t>
  </si>
  <si>
    <t xml:space="preserve">Затем XOR — открытие необратимо фиксирует ровно одну ветку и закрывает альтернативную: ветка P «Поветрие» → «Чумные пророки» → «Чумные зомби» либо ветка M «Мёртвый вестник» → «Распределение сил» → оператор ИЛИ-OR — открытие, где требуется открыть хотя бы один из узлов «Одержимый познанием»/«Выжгу до тла», а второй впоследствии не запрещён.
дерево развития может хранить изученные способности, но исключённые manual-only ветки не создают автоматические команды</t>
  </si>
  <si>
    <t xml:space="preserve">§7.6.3.1, растровая схема, печ. стр. 170.</t>
  </si>
  <si>
    <t xml:space="preserve">MON-042</t>
  </si>
  <si>
    <t xml:space="preserve">Контактное заражение ассистентами</t>
  </si>
  <si>
    <t xml:space="preserve">живое существо, контактировавшее с его биологической жидкостью.</t>
  </si>
  <si>
    <t xml:space="preserve">контакт и решение Доктора попытаться заразить.</t>
  </si>
  <si>
    <t xml:space="preserve">цель жива; у цели нет действующей неуязвимости к ассистентам этого Доктора; лимит обрабатывается MON-045.</t>
  </si>
  <si>
    <t xml:space="preserve">чистый R20 + 2L Доктора; проверка Z цели.</t>
  </si>
  <si>
    <t xml:space="preserve">если итог Доктора строго выше итога проверки Z цели, создать заражение ассистентами.</t>
  </si>
  <si>
    <t xml:space="preserve">цель добавляется в реестр заражённых данного источника.</t>
  </si>
  <si>
    <t xml:space="preserve">Доктор может отказаться от попытки; при вакцинации другим Доктором применить MON-055.</t>
  </si>
  <si>
    <t xml:space="preserve">§7.6.3.2.1, печ. стр. 171.</t>
  </si>
  <si>
    <t xml:space="preserve">MON-045
MON-055</t>
  </si>
  <si>
    <t xml:space="preserve">MON-045</t>
  </si>
  <si>
    <t xml:space="preserve">Лимит заражённых ассистентами</t>
  </si>
  <si>
    <t xml:space="preserve">лимит связанных сущностей.</t>
  </si>
  <si>
    <t xml:space="preserve">его заражённые.</t>
  </si>
  <si>
    <t xml:space="preserve">успешное заражение новой цели.</t>
  </si>
  <si>
    <t xml:space="preserve">новая численность превышает текущий лимит.</t>
  </si>
  <si>
    <t xml:space="preserve">базовый лимит 2L; список ранее заражённых; модификатор «Масштабной эпидемии».</t>
  </si>
  <si>
    <t xml:space="preserve">Нормативная база (действует во всей непротиворечащей части):
без «Масштабной эпидемии» лимит 2L; при превышении случайно выбрать одного из ранее заражённых и уничтожить в нём всех ассистентов, новая цель остаётся заражённой.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исключение про отдельный лимит Чумного пророка
[AQ2-001] Каждое заражение получает возрастающий infectionOrder. Последовательные цели нумеруются по порядку подтверждения; массовая операция без ручного порядка — по UUID по возрастанию. При уменьшении лимита сохраняются newLimit заражений с наибольшим infectionOrder, остальные уничтожаются; при newLimit=0 уничтожаются все.</t>
  </si>
  <si>
    <t xml:space="preserve">реестр остаётся в лимите.</t>
  </si>
  <si>
    <t xml:space="preserve">заражённые через Чумного пророка учитываются в отдельном лимите пророка, а не Доктора.
Поздние дельты применяются по приоритету AQ3 &gt; AQ2 &gt; AQA/CQA &gt; базовая карточка; локальное исключение сильнее общего.</t>
  </si>
  <si>
    <t xml:space="preserve">[Обязательная правка] Эта формулировка имеет приоритет над исходным текстом карточки.
При уменьшении лимита сохраняются newLimit заражений с наибольшим infectionOrder, остальные уничтожаются; при newLimit=0 уничтожаются все.</t>
  </si>
  <si>
    <t xml:space="preserve">Последовательные цели нумеруются по порядку подтверждения; массовая операция без ручного порядка — по UUID по возрастанию.</t>
  </si>
  <si>
    <t xml:space="preserve">AQ2-001</t>
  </si>
  <si>
    <t xml:space="preserve">MON-049</t>
  </si>
  <si>
    <t xml:space="preserve">«Вы больны, вам нужно отдохнуть»</t>
  </si>
  <si>
    <t xml:space="preserve">активный дебафф заражённого.</t>
  </si>
  <si>
    <t xml:space="preserve">выбранная заражённая цель.</t>
  </si>
  <si>
    <t xml:space="preserve">цель содержит ассистентов Доктора.</t>
  </si>
  <si>
    <t xml:space="preserve">100 ОЭ; чистый R20.</t>
  </si>
  <si>
    <t xml:space="preserve">при R20≥3 установить M цели равной 1 на R20/3 минут/ходов; при R20=1 уничтожить всех ассистентов в цели; при 2 эффект отсутствует.</t>
  </si>
  <si>
    <t xml:space="preserve">временное фиксированное M либо снятие заражения.</t>
  </si>
  <si>
    <t xml:space="preserve">по §7.1 один и тот же первый R20 определяет активацию и длительность.</t>
  </si>
  <si>
    <t xml:space="preserve">100 ОЭ; чистый R20.
при R20≥3 установить M цели равной 1 на R20/3 минут/ходов; при R20=1 уничтожить всех ассистентов в цели; при 2 эффект отсутствует.
по §7.1 один и тот же первый R20 определяет активацию и длительность.</t>
  </si>
  <si>
    <t xml:space="preserve">§7.6.3.3.2, печ. стр. 171.</t>
  </si>
  <si>
    <t xml:space="preserve">MON-052</t>
  </si>
  <si>
    <t xml:space="preserve">«Какое здоровье, какая воля к жизни!»</t>
  </si>
  <si>
    <t xml:space="preserve">активный периодический урон заражённому.</t>
  </si>
  <si>
    <t xml:space="preserve">заражённая цель.</t>
  </si>
  <si>
    <t xml:space="preserve">цель содержит ассистентов.</t>
  </si>
  <si>
    <t xml:space="preserve">200 ОЭ; L; Z цели; чистый R20 активации/длительности; при критической 1 — отдельный скрытый R20 дней.</t>
  </si>
  <si>
    <t xml:space="preserve">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</si>
  <si>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длительный урон либо временный межисточниковый иммунитет.</t>
  </si>
  <si>
    <t xml:space="preserve">иммунитет действует против всех Чумных докторов.</t>
  </si>
  <si>
    <t xml:space="preserve">200 ОЭ</t>
  </si>
  <si>
    <t xml:space="preserve">Z цели; чистый R20 активации/длительности; при критической 1 — отдельный скрытый R20 дней.
при R20≥4 на R20/4 минут/ходов в каждый период наносить (L+Z_цели) урона от яда; при R20=1 вместо эффекта дать цели полный иммунитет к ассистентам Чумных докторов на отдельный R20 дней; при 2–3 не активировать.</t>
  </si>
  <si>
    <t xml:space="preserve">§7.6.3.4.2, печ. стр. 172.</t>
  </si>
  <si>
    <t xml:space="preserve">MON-053</t>
  </si>
  <si>
    <t xml:space="preserve">«Сражайся, больной!»</t>
  </si>
  <si>
    <t xml:space="preserve">активный бафф с отложенным уроном.</t>
  </si>
  <si>
    <t xml:space="preserve">200 ОЭ; чистый R20 величины; отдельный R20 длительности; отдельный R20 пост-урона.</t>
  </si>
  <si>
    <t xml:space="preserve">увеличить S и D на R20/2; длительность R20/4 минут/ходов; при завершении однократно нанести отдельный R20 урона от яда.</t>
  </si>
  <si>
    <t xml:space="preserve">временный модификатор характеристик; затем урон и снятие модификатора.</t>
  </si>
  <si>
    <t xml:space="preserve">все три R20 независимы.</t>
  </si>
  <si>
    <t xml:space="preserve">200 ОЭ; чистый R20 величины; отдельный R20 длительности; отдельный R20 пост-урона.
увеличить S и D на R20/2; длительность R20/4 минут/ходов; при завершении однократно нанести отдельный R20 урона от яда.
все три R20 независимы.</t>
  </si>
  <si>
    <t xml:space="preserve">§7.6.3.4.3, печ. стр. 172.</t>
  </si>
  <si>
    <t xml:space="preserve">MON-054</t>
  </si>
  <si>
    <t xml:space="preserve">«Масштабная эпидемия»</t>
  </si>
  <si>
    <t xml:space="preserve">пассивный лимит и ментальная защита.</t>
  </si>
  <si>
    <t xml:space="preserve">Чумной доктор.</t>
  </si>
  <si>
    <t xml:space="preserve">способность активна; проверка сопротивления ментальному воздействию.</t>
  </si>
  <si>
    <t xml:space="preserve">L; базовый лимит 2L; проверка сопротивления.</t>
  </si>
  <si>
    <t xml:space="preserve">Нормативная база (действует во всей непротиворечащей части):
увеличить лимит заражённых в L раз: 2L²; добавить +10 к сопротивлению ментальным воздействиям; при успешном сопротивлении раскрыть источник и его местоположение.
Приоритетные авторские дельты (заменяют только прямо пересекающиеся ветви):
[AQ2-001] Для заражений одной массовой операции infectionOrder назначается после сортировки целей по UUID по возрастанию, если пользователь не задавал порядок подтверждением. При дальнейшем уменьшении лимита сохраняются самые поздние заражения с наибольшим infectionOrder.</t>
  </si>
  <si>
    <t xml:space="preserve">новый лимит; модификатор защиты; информационный результат при успехе.</t>
  </si>
  <si>
    <t xml:space="preserve">пророческие лимиты отдельны.
Поздние дельты применяются по приоритету AQ3 &gt; AQ2 &gt; AQA/CQA &gt; базовая карточка; локальное исключение сильнее общего.</t>
  </si>
  <si>
    <t xml:space="preserve">§7.6.3.5.1, печ. стр. 172.</t>
  </si>
  <si>
    <t xml:space="preserve">MON-056</t>
  </si>
  <si>
    <t xml:space="preserve">«Самое надёжное лекарство»: активный эффект</t>
  </si>
  <si>
    <t xml:space="preserve">активное уничтожение заражения / возгорание.</t>
  </si>
  <si>
    <t xml:space="preserve">выбранный заражённый.</t>
  </si>
  <si>
    <t xml:space="preserve">в цели есть ассистенты.</t>
  </si>
  <si>
    <t xml:space="preserve">400 ОЭ; случайная часть тела.</t>
  </si>
  <si>
    <t xml:space="preserve">Нормативная база (действует во всей непротиворечащей части):
гарантированно уничтожить ассистентов и воспламенить случайную часть тела цели.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заменить случайную часть тела одним binary burning по Q-CORE-030</t>
  </si>
  <si>
    <t xml:space="preserve">снять заражение; наложить горение.</t>
  </si>
  <si>
    <t xml:space="preserve">Поветрие как отдельная болезнь не снимается.
Поздние дельты применяются по приоритету AQ3 &gt; AQ2 &gt; AQA/CQA &gt; базовая карточка; локальное исключение сильнее общего.</t>
  </si>
  <si>
    <t xml:space="preserve">400 ОЭ; случайная часть тела.
Нормативная база (действует во всей непротиворечащей части):
гарантированно уничтожить ассистентов и воспламенить случайную часть тела цели.
заменить случайную часть тела одним binary burning по Q-CORE-030</t>
  </si>
  <si>
    <t xml:space="preserve">§7.6.3.6.1, печ. стр. 172.</t>
  </si>
  <si>
    <t xml:space="preserve">CORE-030</t>
  </si>
  <si>
    <t xml:space="preserve">MON-057</t>
  </si>
  <si>
    <t xml:space="preserve">«Самое надёжное лекарство»: огнестойкость Доктора</t>
  </si>
  <si>
    <t xml:space="preserve">пассивная огнестойкость.</t>
  </si>
  <si>
    <t xml:space="preserve">воздействие жара/горения.</t>
  </si>
  <si>
    <t xml:space="preserve">обычный периодический урон огня.</t>
  </si>
  <si>
    <t xml:space="preserve">не выполнять проверки самообладания из-за боли от горения; огонь наносит 5 HP за минуту/ход вместо 10.</t>
  </si>
  <si>
    <t xml:space="preserve">уменьшенный урон, отсутствие указанной проверки.</t>
  </si>
  <si>
    <t xml:space="preserve">не заявлен общий иммунитет к иному огненному урону.</t>
  </si>
  <si>
    <t xml:space="preserve">MON-061</t>
  </si>
  <si>
    <t xml:space="preserve">«Мёртвый вестник»: базовые пассивы</t>
  </si>
  <si>
    <t xml:space="preserve">пассивное изменение тела/действий.</t>
  </si>
  <si>
    <t xml:space="preserve">способность изучена; начало серии.</t>
  </si>
  <si>
    <t xml:space="preserve">активный симбионт.</t>
  </si>
  <si>
    <t xml:space="preserve">исходные модификаторы; результат серии.</t>
  </si>
  <si>
    <t xml:space="preserve">убрать штрафы S−5,D−5,M−5; Доктор не чувствует боли и не может потерять сознание; к числу действий серии прибавить 1; минимум действий в ход =2.</t>
  </si>
  <si>
    <t xml:space="preserve">пересчитать характеристики и серию; запретить состояние «без сознания».</t>
  </si>
  <si>
    <t xml:space="preserve">невозможность потерять сознание не отменяет недееспособность тяжёлого ранения, паралич и физическое разрушение тела.</t>
  </si>
  <si>
    <t xml:space="preserve">Доктор не чувствует боли и не может потерять сознание; к числу действий серии прибавить 1; минимум действий в ход =2.</t>
  </si>
  <si>
    <t xml:space="preserve">§7.6.3.7.2 и уточнение, печ. стр. 173.</t>
  </si>
  <si>
    <t xml:space="preserve">MON-062</t>
  </si>
  <si>
    <t xml:space="preserve">«Мёртвый вестник»: костяной клинок</t>
  </si>
  <si>
    <t xml:space="preserve">природное оружие.</t>
  </si>
  <si>
    <t xml:space="preserve">цель ближней атаки.</t>
  </si>
  <si>
    <t xml:space="preserve">выдвижение клинка; затем атака клинком.</t>
  </si>
  <si>
    <t xml:space="preserve">для атаки клинок выдвинут.</t>
  </si>
  <si>
    <t xml:space="preserve">1 действие на выдвижение; точность с D; навык «Фехтование»; один общий R20 R на конкретную атаку; L; S как модификатор урона.</t>
  </si>
  <si>
    <t xml:space="preserve">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</si>
  <si>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обычное разрешение атаки; при нанесении урона применить MON-063.</t>
  </si>
  <si>
    <t xml:space="preserve">фраза «отдельная проверка при каждой атаке» означает новый общий бросок для следующей атаки, а не отдельные броски урона и пробития.</t>
  </si>
  <si>
    <t xml:space="preserve">1 действие на выдвижение; точность с D; навык «Фехтование»; один общий R20 R на конкретную атаку
выдвижение стоит 1 действие; при каждой новой атаке бросить один R; атака разрешается как оружейная: точность модифицирует D, общий модификатор — «Фехтование»; пробитие=R+L, урон=R+L+S_mod.</t>
  </si>
  <si>
    <t xml:space="preserve">§7.6.3.7.2, печ. стр. 173.</t>
  </si>
  <si>
    <t xml:space="preserve">MON-063</t>
  </si>
  <si>
    <t xml:space="preserve">Костяной клинок: гарантированное заражение</t>
  </si>
  <si>
    <t xml:space="preserve">эффект оружия при уроне.</t>
  </si>
  <si>
    <t xml:space="preserve">повреждённая клинком цель.</t>
  </si>
  <si>
    <t xml:space="preserve">клинок нанёс ненулевой урон.</t>
  </si>
  <si>
    <t xml:space="preserve">цель может быть заражена ассистентами данного Доктора.</t>
  </si>
  <si>
    <t xml:space="preserve">результат попадания/пробития/урона.</t>
  </si>
  <si>
    <t xml:space="preserve">без проверки Z гарантированно заразить цель ассистентами.</t>
  </si>
  <si>
    <t xml:space="preserve">добавить цель в реестр и применить лимит MON-045.</t>
  </si>
  <si>
    <t xml:space="preserve">вакцинация/иммунитет может запретить заражение; лимит сохраняется.</t>
  </si>
  <si>
    <t xml:space="preserve">MON-064</t>
  </si>
  <si>
    <t xml:space="preserve">«Чумные пророки»: создание</t>
  </si>
  <si>
    <t xml:space="preserve">активная трансформация заражённого.</t>
  </si>
  <si>
    <t xml:space="preserve">цель заражена ассистентами; успешно переболела Поветрием; добровольно согласна.</t>
  </si>
  <si>
    <t xml:space="preserve">1000 ОЭ; чистый R20.</t>
  </si>
  <si>
    <t xml:space="preserve">Нормативная база (действует во всей непротиворечащей части):
при R20≥4 преобразовать цель в Чумного пророка; при R20=1 обнулить все текущие ОЭ Доктора; при 2–3 не преобразовывать.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создание Чумного пророка исключено Q-MON-031</t>
  </si>
  <si>
    <t xml:space="preserve">постоянный статус пророка с набором возможностей MON-065.</t>
  </si>
  <si>
    <t xml:space="preserve">согласие обязательно.
Поздние дельты применяются по приоритету AQ3 &gt; AQ2 &gt; AQA/CQA &gt; базовая карточка; локальное исключение сильнее общего.</t>
  </si>
  <si>
    <t xml:space="preserve">1000 ОЭ; чистый R20.
при R20≥4 преобразовать цель в Чумного пророка; при R20=1 обнулить все текущие ОЭ Доктора; при 2–3 не преобразовывать.</t>
  </si>
  <si>
    <t xml:space="preserve">§7.6.3.8.1, печ. стр. 173.</t>
  </si>
  <si>
    <t xml:space="preserve">Q-MON-031</t>
  </si>
  <si>
    <t xml:space="preserve">MON-065</t>
  </si>
  <si>
    <t xml:space="preserve">MON-067</t>
  </si>
  <si>
    <t xml:space="preserve">«Распределение сил»: неожиданное нападение</t>
  </si>
  <si>
    <t xml:space="preserve">пассивное упреждение.</t>
  </si>
  <si>
    <t xml:space="preserve">неожиданно атакован сам Доктор или его группа.</t>
  </si>
  <si>
    <t xml:space="preserve">применяется сцена нападения.</t>
  </si>
  <si>
    <t xml:space="preserve">флаг неожиданного нападения.</t>
  </si>
  <si>
    <t xml:space="preserve">автоматически считать упреждение Доктора успешным.</t>
  </si>
  <si>
    <t xml:space="preserve">Доктор действует раньше атакующих по механике упреждения.</t>
  </si>
  <si>
    <t xml:space="preserve">не выдаёт дополнительный полный ход.</t>
  </si>
  <si>
    <t xml:space="preserve">§7.6.3.8.2 и уточнение, печ. стр. 173–174.</t>
  </si>
  <si>
    <t xml:space="preserve">MON-070</t>
  </si>
  <si>
    <t xml:space="preserve">Чумной зомби: безоружная атака и иммунитеты</t>
  </si>
  <si>
    <t xml:space="preserve">атака / иммунитеты.</t>
  </si>
  <si>
    <t xml:space="preserve">зомби</t>
  </si>
  <si>
    <t xml:space="preserve">цель атаки.</t>
  </si>
  <si>
    <t xml:space="preserve">безоружная атака; попытка наложить состояние.</t>
  </si>
  <si>
    <t xml:space="preserve">зомби активен.</t>
  </si>
  <si>
    <t xml:space="preserve">D,S зомби; R20 точности; R6 урона.</t>
  </si>
  <si>
    <t xml:space="preserve">Нормативная база (действует во всей непротиворечащей части):
точность R20+D, пробитие 0, урон R6+S; игнорировать боль, усталость, болезни, яд и обычные ментальные эффекты.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боевой статблок Чумного зомби исключён Q-MON-033/034</t>
  </si>
  <si>
    <t xml:space="preserve">разрешить атаку либо отклонить перечисленный эффект.</t>
  </si>
  <si>
    <t xml:space="preserve">не дан иммунитет к физическому контролю или огню.
Поздние дельты применяются по приоритету AQ3 &gt; AQ2 &gt; AQA/CQA &gt; базовая карточка; локальное исключение сильнее общего.</t>
  </si>
  <si>
    <t xml:space="preserve">R20 точности
R6 урона.
точность R20+D, пробитие 0, урон R6+S; игнорировать боль, усталость, болезни, яд и обычные ментальные эффекты.</t>
  </si>
  <si>
    <t xml:space="preserve">уточнение к §7.6.3.9.1, печ. стр. 174.</t>
  </si>
  <si>
    <t xml:space="preserve">Q-MON-033</t>
  </si>
  <si>
    <t xml:space="preserve">MON-073</t>
  </si>
  <si>
    <t xml:space="preserve">«Одержимый познанием»</t>
  </si>
  <si>
    <t xml:space="preserve">пассивная броня и сенсорные бонусы.</t>
  </si>
  <si>
    <t xml:space="preserve">физическая/ментальная атака; проверка обнаружения.</t>
  </si>
  <si>
    <t xml:space="preserve">R20 брони; базовые проверки защиты/обнаружения.</t>
  </si>
  <si>
    <t xml:space="preserve">природный спасбросок брони R20×2; +10 к защите от ментальных воздействий; +10 к обнаружению.</t>
  </si>
  <si>
    <t xml:space="preserve">применить броню/модификаторы; обычная регенерация тела сохраняется.</t>
  </si>
  <si>
    <t xml:space="preserve">не указано сложение природной брони с носимой — применяется общий порядок брони.</t>
  </si>
  <si>
    <t xml:space="preserve">R20 брони; базовые проверки защиты/обнаружения.
природный спасбросок брони R20×2; +10 к защите от ментальных воздействий; +10 к обнаружению.</t>
  </si>
  <si>
    <t xml:space="preserve">§7.6.3.9.3, печ. стр. 174.</t>
  </si>
  <si>
    <t xml:space="preserve">MON-076</t>
  </si>
  <si>
    <t xml:space="preserve">4. Болезни</t>
  </si>
  <si>
    <t xml:space="preserve">Эффект «Отравление»</t>
  </si>
  <si>
    <t xml:space="preserve">болезнь/состояние.</t>
  </si>
  <si>
    <t xml:space="preserve">больной персонаж.</t>
  </si>
  <si>
    <t xml:space="preserve">наложено «Отравление».</t>
  </si>
  <si>
    <t xml:space="preserve">базовые S,M.</t>
  </si>
  <si>
    <t xml:space="preserve">Нормативная база (действует во всей непротиворечащей части):
S−2, M−2.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болезнь возникает только мастерской командой/специальным автоматическим источником, а не MON-074</t>
  </si>
  <si>
    <t xml:space="preserve">временные модификаторы до излечения.</t>
  </si>
  <si>
    <t xml:space="preserve">повтор того же состояния не складывается; разные болезни складываются.
Поздние дельты применяются по приоритету AQ3 &gt; AQ2 &gt; AQA/CQA &gt; базовая карточка; локальное исключение сильнее общего.</t>
  </si>
  <si>
    <t xml:space="preserve">§8.1, печ. стр. 206.</t>
  </si>
  <si>
    <t xml:space="preserve">MON-074</t>
  </si>
  <si>
    <t xml:space="preserve">MON-077</t>
  </si>
  <si>
    <t xml:space="preserve">Эффект «Насморк»</t>
  </si>
  <si>
    <t xml:space="preserve">больной.</t>
  </si>
  <si>
    <t xml:space="preserve">наложен насморк.</t>
  </si>
  <si>
    <t xml:space="preserve">активен.</t>
  </si>
  <si>
    <t xml:space="preserve">M.</t>
  </si>
  <si>
    <t xml:space="preserve">M−2.</t>
  </si>
  <si>
    <t xml:space="preserve">модификатор до излечения.</t>
  </si>
  <si>
    <t xml:space="preserve">одноимённый повтор не складывается.</t>
  </si>
  <si>
    <t xml:space="preserve">MON-078</t>
  </si>
  <si>
    <t xml:space="preserve">Эффект «Жар»</t>
  </si>
  <si>
    <t xml:space="preserve">наложен жар.</t>
  </si>
  <si>
    <t xml:space="preserve">M−10.</t>
  </si>
  <si>
    <t xml:space="preserve">MON-079</t>
  </si>
  <si>
    <t xml:space="preserve">Эффект «Чесотка»</t>
  </si>
  <si>
    <t xml:space="preserve">наложена чесотка.</t>
  </si>
  <si>
    <t xml:space="preserve">активна.</t>
  </si>
  <si>
    <t xml:space="preserve">I,C,D.</t>
  </si>
  <si>
    <t xml:space="preserve">I−4, C−4, D−2.</t>
  </si>
  <si>
    <t xml:space="preserve">модификаторы до излечения.</t>
  </si>
  <si>
    <t xml:space="preserve">MON-080</t>
  </si>
  <si>
    <t xml:space="preserve">Эффект «Пневмония»</t>
  </si>
  <si>
    <t xml:space="preserve">болезнь/состояние с периодическим уроном.</t>
  </si>
  <si>
    <t xml:space="preserve">наложение и каждый полный игровой день болезни.</t>
  </si>
  <si>
    <t xml:space="preserve">пневмония не излечена.</t>
  </si>
  <si>
    <t xml:space="preserve">M,S,D, текущее HP; суточный таймер.</t>
  </si>
  <si>
    <t xml:space="preserve">M−14, S−12, D−12; каждые сутки HP−10.</t>
  </si>
  <si>
    <t xml:space="preserve">временные характеристики и периодическая потеря HP.</t>
  </si>
  <si>
    <t xml:space="preserve">единственный перечисленный в §8.1 эффект с прямо заданным периодическим уроном.</t>
  </si>
  <si>
    <t xml:space="preserve">M,S,D, текущее HP; суточный таймер.
M−14, S−12, D−12; каждые сутки HP−10.
временные характеристики и периодическая потеря HP.</t>
  </si>
  <si>
    <t xml:space="preserve">M,S,D, текущее HP; суточный таймер.
M−14, S−12, D−12; каждые сутки HP−10.</t>
  </si>
  <si>
    <t xml:space="preserve">MON-081</t>
  </si>
  <si>
    <t xml:space="preserve">Эффект «Мигрень»</t>
  </si>
  <si>
    <t xml:space="preserve">наложена мигрень.</t>
  </si>
  <si>
    <t xml:space="preserve">I,C.</t>
  </si>
  <si>
    <t xml:space="preserve">I−6, C−2.</t>
  </si>
  <si>
    <t xml:space="preserve">MON-082</t>
  </si>
  <si>
    <t xml:space="preserve">Эффект «Метеоризм»</t>
  </si>
  <si>
    <t xml:space="preserve">наложен метеоризм.</t>
  </si>
  <si>
    <t xml:space="preserve">проверки скрытности; C.</t>
  </si>
  <si>
    <t xml:space="preserve">−5 к проверкам скрытности; C−5.</t>
  </si>
  <si>
    <t xml:space="preserve">MON-083</t>
  </si>
  <si>
    <t xml:space="preserve">Эффект «Образования на коже»</t>
  </si>
  <si>
    <t xml:space="preserve">наложен эффект.</t>
  </si>
  <si>
    <t xml:space="preserve">C.</t>
  </si>
  <si>
    <t xml:space="preserve">C−6.</t>
  </si>
  <si>
    <t xml:space="preserve">MON-084</t>
  </si>
  <si>
    <t xml:space="preserve">Эффект «Чешущиеся образования на коже»</t>
  </si>
  <si>
    <t xml:space="preserve">D,C.</t>
  </si>
  <si>
    <t xml:space="preserve">D−3, C−6.</t>
  </si>
  <si>
    <t xml:space="preserve">MON-087</t>
  </si>
  <si>
    <t xml:space="preserve">Запрет неуказанного периодического урона болезни</t>
  </si>
  <si>
    <t xml:space="preserve">правило по умолчанию.</t>
  </si>
  <si>
    <t xml:space="preserve">любая болезнь.</t>
  </si>
  <si>
    <t xml:space="preserve">расчёт периодического тика.</t>
  </si>
  <si>
    <t xml:space="preserve">описание болезни не содержит периодического урона.</t>
  </si>
  <si>
    <t xml:space="preserve">статблок болезни.</t>
  </si>
  <si>
    <t xml:space="preserve">Нормативная база (действует во всей непротиворечащей части):
не создавать тики урона.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Поветрие из списка автоматических периодических исключений</t>
  </si>
  <si>
    <t xml:space="preserve">болезнь применяет только явно перечисленные эффекты.</t>
  </si>
  <si>
    <t xml:space="preserve">пневмония и Поветрие используют свои явные периодические последствия.
Поздние дельты применяются по приоритету AQ3 &gt; AQ2 &gt; AQA/CQA &gt; базовая карточка; локальное исключение сильнее общего.</t>
  </si>
  <si>
    <t xml:space="preserve">не создавать тики урона.</t>
  </si>
  <si>
    <t xml:space="preserve">уточнение к §8.1, печ. стр. 206.</t>
  </si>
  <si>
    <t xml:space="preserve">MON-089</t>
  </si>
  <si>
    <t xml:space="preserve">5. Бестиарий: общие правила статблоков</t>
  </si>
  <si>
    <t xml:space="preserve">Общая инициатива, серия и цена атак существ</t>
  </si>
  <si>
    <t xml:space="preserve">боевое правило по умолчанию.</t>
  </si>
  <si>
    <t xml:space="preserve">любое существо бестиария.</t>
  </si>
  <si>
    <t xml:space="preserve">начало боя/хода; объявление перечисленной атаки.</t>
  </si>
  <si>
    <t xml:space="preserve">в статблоке нет специального исключения.</t>
  </si>
  <si>
    <t xml:space="preserve">общие правила инициативы и серии; атака.</t>
  </si>
  <si>
    <t xml:space="preserve">Нормативная база (действует во всей непротиворечащей части):
бросать инициативу и серию по общим правилам; каждая перечисленная атака стоит 1 боевое действие.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Чумного зомби из примеров специальных цен/серий
[v1.3] Одна системная базовая MONSTER_ATTACK всегда стоит 1 боевое действие. Для CustomMonster дополнительные ближние атаки появляются только из прямого правила симбионта. Особые атаки канонического бестиария и их специальные цены сохраняются без изменений.</t>
  </si>
  <si>
    <t xml:space="preserve">установлен порядок/число действий; при атаке списано действие.</t>
  </si>
  <si>
    <t xml:space="preserve">специальная цена/фиксированное число действий (например, взрыв блохи, зомби) имеет приоритет.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</si>
  <si>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бросать инициативу и серию по общим правилам; каждая перечисленная атака стоит 1 боевое действие.
установлен порядок/число действий; при атаке списано действие.
специальная цена/фиксированное число действий (например, взрыв блохи, зомби) имеет приоритет.</t>
  </si>
  <si>
    <t xml:space="preserve">специальная цена/фиксированное число действий (например, взрыв блохи, зомби) имеет приоритет.</t>
  </si>
  <si>
    <t xml:space="preserve">начало боя/хода; объявление перечисленной атаки.
Нормативная база (действует во всей непротиворечащей части):</t>
  </si>
  <si>
    <t xml:space="preserve">уточнение к §9.19.3, печ. стр. 226.
Прямое уточнение пользователя 2026-07-28 — шаблоны врагов v1.3</t>
  </si>
  <si>
    <t xml:space="preserve">Q-ENEMY-B4</t>
  </si>
  <si>
    <t xml:space="preserve">CORE-207
CORE-209
CORE-212</t>
  </si>
  <si>
    <t xml:space="preserve">MON-090</t>
  </si>
  <si>
    <t xml:space="preserve">Значения брони и пробития по умолчанию</t>
  </si>
  <si>
    <t xml:space="preserve">боевой параметр по умолчанию.</t>
  </si>
  <si>
    <t xml:space="preserve">существо/его атака.</t>
  </si>
  <si>
    <t xml:space="preserve">статблок не содержит броню или пробитие.</t>
  </si>
  <si>
    <t xml:space="preserve">нет специального значения.</t>
  </si>
  <si>
    <t xml:space="preserve">статблок.</t>
  </si>
  <si>
    <t xml:space="preserve">отсутствие природной брони = броня 0; отсутствие пробития = пробитие 0.
[v1.3] Явные penetrationDefinition и naturalArmorDefinition пользовательского/эффективного профиля имеют приоритет; значение 0 означает отсутствие соответствующей величины.
[v1.4] armorLayers=[] означает NO_LAYERS, а не числовой слой 0: этап пробития автоматически успешен при любом Pr, включая 0. Если присутствует хотя бы один слой, требуется строго Pr&gt;Σarmor; равенство останавливает.</t>
  </si>
  <si>
    <t xml:space="preserve">подставить ноль.</t>
  </si>
  <si>
    <t xml:space="preserve">явно указанная броня/пробитие имеет приоритет.</t>
  </si>
  <si>
    <t xml:space="preserve">отсутствие природной брони = броня 0; отсутствие пробития = пробитие 0.</t>
  </si>
  <si>
    <t xml:space="preserve">уточнение к §9.19.3, печ. стр. 226.
Прямое уточнение пользователя 2026-07-28 — шаблоны врагов v1.3
Предразработочный QA и прямые ответы пользователя 2026-07-29</t>
  </si>
  <si>
    <t xml:space="preserve">Q-ENEMY-B5
Q-PREDEV-018</t>
  </si>
  <si>
    <t xml:space="preserve">CORE-205
CORE-207
CORE-210
CORE-226</t>
  </si>
  <si>
    <t xml:space="preserve">MON-091</t>
  </si>
  <si>
    <t xml:space="preserve">Системная базовая атака сущности типа MONSTER</t>
  </si>
  <si>
    <t xml:space="preserve">боевое действие по умолчанию.</t>
  </si>
  <si>
    <t xml:space="preserve">существо без отдельной атаки</t>
  </si>
  <si>
    <t xml:space="preserve">Мастер выбирает базовую атаку монстра.</t>
  </si>
  <si>
    <t xml:space="preserve">EntityKind=MONSTER; существует эффективный MonsterAttackProfileVersion.</t>
  </si>
  <si>
    <t xml:space="preserve">category=MONSTER_ATTACK, S, D, additionalDamageDefinition, penetrationDefinition</t>
  </si>
  <si>
    <t xml:space="preserve">Каждому CustomMonster и активному каноническому шаблону бестиария доступна одна системная базовая MONSTER_ATTACK по CORE-207/CORE-212. Она не является обычным безоружным ударом и не исчезает при наличии особых атак. Разрешение выполняется по CORE-208.</t>
  </si>
  <si>
    <t xml:space="preserve">В эффективном списке действий присутствует ровно одна базовая MONSTER_ATTACK и неизменённые особые атаки.</t>
  </si>
  <si>
    <t xml:space="preserve">Безоружный fallback CORE-136 для EntityKind=MONSTER не используется. Симбиотические атаки добавляются отдельно.</t>
  </si>
  <si>
    <t xml:space="preserve">Замена особой атаки, применение оружейного/рукопашного навыка или создание второй базовой MONSTER_ATTACK.</t>
  </si>
  <si>
    <t xml:space="preserve">Q-ENEMY-B4
Q-ENEMY-B6
Q-ENEMY-B13</t>
  </si>
  <si>
    <t xml:space="preserve">CORE-207
CORE-208
CORE-209
CORE-212</t>
  </si>
  <si>
    <t xml:space="preserve">MON-092</t>
  </si>
  <si>
    <t xml:space="preserve">6. Бубуй и Совуль</t>
  </si>
  <si>
    <t xml:space="preserve">Бубуй: статблок взрослого самца</t>
  </si>
  <si>
    <t xml:space="preserve">статблок существа.</t>
  </si>
  <si>
    <t xml:space="preserve">взрослый самец бубуя.</t>
  </si>
  <si>
    <t xml:space="preserve">создание экземпляра.</t>
  </si>
  <si>
    <t xml:space="preserve">пол=самец, возраст ≥24 лет.</t>
  </si>
  <si>
    <t xml:space="preserve">правило диапазонов MON-088.</t>
  </si>
  <si>
    <t xml:space="preserve">S 30–60; D 20–30; I 4–10; M 20–30; C 1–5; W 15–30; Z 30–50; maxHP=300; природная броня 0.
[v1.3] Для канонического существа действие «Ближний бой» вызывает системную MONSTER_ATTACK CORE-212/CORE-208, а не общую безоружную атаку. Числа статблока и все его особые атаки остаются неизменными.</t>
  </si>
  <si>
    <t xml:space="preserve">создан статблок.</t>
  </si>
  <si>
    <t xml:space="preserve">атака — общая безоружная MON-091.
Термин «безоружная атака MON-091» из базового текста заменён только для EntityKind=MONSTER; оружейные и безоружные атаки персонажей не меняются.</t>
  </si>
  <si>
    <t xml:space="preserve">пол=самец, возраст ≥24 лет.
Z 30–50; maxHP=300; природная броня 0.</t>
  </si>
  <si>
    <t xml:space="preserve">§9.1.4, печ. стр. 208.
Прямое уточнение пользователя 2026-07-28 — шаблоны врагов v1.3</t>
  </si>
  <si>
    <t xml:space="preserve">Q-ENEMY-B6
Q-ENEMY-B13</t>
  </si>
  <si>
    <t xml:space="preserve">MON-088
MON-091
CORE-208
CORE-212</t>
  </si>
  <si>
    <t xml:space="preserve">MON-093</t>
  </si>
  <si>
    <t xml:space="preserve">Бубуй: статблок взрослой самки</t>
  </si>
  <si>
    <t xml:space="preserve">взрослая самка бубуя.</t>
  </si>
  <si>
    <t xml:space="preserve">пол=самка, возраст ≥24 лет.</t>
  </si>
  <si>
    <t xml:space="preserve">MON-088.</t>
  </si>
  <si>
    <t xml:space="preserve">S 20–30; D 20–30; I 5–12; M 20–30; C 1–5; W 20–40; Z 20–30; maxHP=200; природная броня 0.</t>
  </si>
  <si>
    <t xml:space="preserve">атака — MON-091.</t>
  </si>
  <si>
    <t xml:space="preserve">пол=самка, возраст ≥24 лет.
Z 20–30; maxHP=200; природная броня 0.</t>
  </si>
  <si>
    <t xml:space="preserve">§9.1.4, печ. стр. 208.</t>
  </si>
  <si>
    <t xml:space="preserve">MON-088
MON-091</t>
  </si>
  <si>
    <t xml:space="preserve">MON-095</t>
  </si>
  <si>
    <t xml:space="preserve">Бубуй: отсутствие штрафов опьянения к S/D/I</t>
  </si>
  <si>
    <t xml:space="preserve">сопротивление состоянию.</t>
  </si>
  <si>
    <t xml:space="preserve">бубуй.</t>
  </si>
  <si>
    <t xml:space="preserve">состояние алкогольного опьянения.</t>
  </si>
  <si>
    <t xml:space="preserve">применяются общие эффекты алкоголя.</t>
  </si>
  <si>
    <t xml:space="preserve">штрафы опьянения к S,D,I.</t>
  </si>
  <si>
    <t xml:space="preserve">не применять к бубую снижение S,D,I от алкоголя.</t>
  </si>
  <si>
    <t xml:space="preserve">три характеристики сохраняются.</t>
  </si>
  <si>
    <t xml:space="preserve">иные эффекты опьянения прямо не отменены.</t>
  </si>
  <si>
    <t xml:space="preserve">§9.1.1, печ. стр. 207.</t>
  </si>
  <si>
    <t xml:space="preserve">MON-178</t>
  </si>
  <si>
    <t xml:space="preserve">Бубуй: запрет оружия</t>
  </si>
  <si>
    <t xml:space="preserve">ограничение боевых действий.</t>
  </si>
  <si>
    <t xml:space="preserve">Бубуй</t>
  </si>
  <si>
    <t xml:space="preserve">экипированное оружие.</t>
  </si>
  <si>
    <t xml:space="preserve">выбор атаки в бою.</t>
  </si>
  <si>
    <t xml:space="preserve">существо является Бубуем.</t>
  </si>
  <si>
    <t xml:space="preserve">доступные предметы/атаки.</t>
  </si>
  <si>
    <t xml:space="preserve">запретить применение оружия как боевого инструмента; разрешить только безоружный удар по MON-091.
[v1.3] Когда каноническому существу запрещено оружие, оно использует системную MONSTER_ATTACK CORE-212, а не обычный безоружный удар. Особые атаки сохраняются.</t>
  </si>
  <si>
    <t xml:space="preserve">оружейные атаки недоступны.</t>
  </si>
  <si>
    <t xml:space="preserve">оружие может присутствовать как небоевой инструмент, но не использоваться в схватке.</t>
  </si>
  <si>
    <t xml:space="preserve">§9.1.1, печ. стр. 207.
Прямое уточнение пользователя 2026-07-28 — шаблоны врагов v1.3</t>
  </si>
  <si>
    <t xml:space="preserve">Q-ENEMY-B13</t>
  </si>
  <si>
    <t xml:space="preserve">MON-091
CORE-212</t>
  </si>
  <si>
    <t xml:space="preserve">MON-097</t>
  </si>
  <si>
    <t xml:space="preserve">7. Вивисектор, Крысюк, Кенг</t>
  </si>
  <si>
    <t xml:space="preserve">Вивисектор: статблок</t>
  </si>
  <si>
    <t xml:space="preserve">взрослый Вивисектор.</t>
  </si>
  <si>
    <t xml:space="preserve">—.</t>
  </si>
  <si>
    <t xml:space="preserve">S 18–26; D 4–8; I 2–5; M 25–35; C 1–3; W 12–18; Z 28–38; maxHP=160; природная броня=R12.</t>
  </si>
  <si>
    <t xml:space="preserve">устойчивости MON-101.</t>
  </si>
  <si>
    <t xml:space="preserve">Z 28–38; maxHP=160; природная броня=R12.</t>
  </si>
  <si>
    <t xml:space="preserve">§9.3.3, печ. стр. 210.</t>
  </si>
  <si>
    <t xml:space="preserve">MON-088
MON-101</t>
  </si>
  <si>
    <t xml:space="preserve">MON-102</t>
  </si>
  <si>
    <t xml:space="preserve">Крысюк: статблок</t>
  </si>
  <si>
    <t xml:space="preserve">взрослый Крысюк.</t>
  </si>
  <si>
    <t xml:space="preserve">создание.</t>
  </si>
  <si>
    <t xml:space="preserve">S 12–18; D 14–20; I 6–10; M 18–25; C 2–5; W 14–22; Z 18–26; maxHP=65; броня=R6.</t>
  </si>
  <si>
    <t xml:space="preserve">Z 18–26; maxHP=65; броня=R6.</t>
  </si>
  <si>
    <t xml:space="preserve">§9.4.3, печ. стр. 211.</t>
  </si>
  <si>
    <t xml:space="preserve">MON-088</t>
  </si>
  <si>
    <t xml:space="preserve">MON-103</t>
  </si>
  <si>
    <t xml:space="preserve">Крысюк: укус</t>
  </si>
  <si>
    <t xml:space="preserve">Крысюк</t>
  </si>
  <si>
    <t xml:space="preserve">объявлен укус.</t>
  </si>
  <si>
    <t xml:space="preserve">ближняя дистанция.</t>
  </si>
  <si>
    <t xml:space="preserve">точность R20+D; пробитие R6; урон R12+S.</t>
  </si>
  <si>
    <t xml:space="preserve">разрешить обычную атаку с указанными формулами.</t>
  </si>
  <si>
    <t xml:space="preserve">урон после защиты/брони.</t>
  </si>
  <si>
    <t xml:space="preserve">1 действие по MON-089.</t>
  </si>
  <si>
    <t xml:space="preserve">точность R20+D; пробитие R6; урон R12+S.
разрешить обычную атаку с указанными формулами.</t>
  </si>
  <si>
    <t xml:space="preserve">MON-104</t>
  </si>
  <si>
    <t xml:space="preserve">Крысюк: яды, болезни и истощение</t>
  </si>
  <si>
    <t xml:space="preserve">иммунитет/бонус сопротивления.</t>
  </si>
  <si>
    <t xml:space="preserve">Крысюк.</t>
  </si>
  <si>
    <t xml:space="preserve">обычный яд; проверка против болезни или истощения.</t>
  </si>
  <si>
    <t xml:space="preserve">effectFamily, poisonSourceKind, базовая проверка сопротивления.</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</si>
  <si>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+5 к болезням и истощению.</t>
  </si>
  <si>
    <t xml:space="preserve">Любой POISON не изменяет состояние цели; неядовитые болезни/истощение используют указанный бонус.</t>
  </si>
  <si>
    <t xml:space="preserve">SourceScope=ANY; специальный или симбиотический источник не обходит иммунитет. Эффект без тега POISON не считается ядом по названию.</t>
  </si>
  <si>
    <t xml:space="preserve">обычный яд отклонить; к проверкам против болезней и истощения добавить +5.</t>
  </si>
  <si>
    <t xml:space="preserve">§9.4.3, печ. стр. 211.
Предразработочный QA и прямые ответы пользователя 2026-07-29</t>
  </si>
  <si>
    <t xml:space="preserve">Q-PREDEV-011</t>
  </si>
  <si>
    <t xml:space="preserve">CORE-228</t>
  </si>
  <si>
    <t xml:space="preserve">MON-105</t>
  </si>
  <si>
    <t xml:space="preserve">Крысюк: добивание слабой цели</t>
  </si>
  <si>
    <t xml:space="preserve">условный бонус точности.</t>
  </si>
  <si>
    <t xml:space="preserve">расчёт точности.</t>
  </si>
  <si>
    <t xml:space="preserve">у цели 25 HP или меньше.</t>
  </si>
  <si>
    <t xml:space="preserve">текущее HP цели.</t>
  </si>
  <si>
    <t xml:space="preserve">добавить +3 к точности.</t>
  </si>
  <si>
    <t xml:space="preserve">повышенный результат атаки.</t>
  </si>
  <si>
    <t xml:space="preserve">проверка условия выполняется при объявлении атаки.</t>
  </si>
  <si>
    <t xml:space="preserve">у цели 25 HP или меньше.
текущее HP цели.</t>
  </si>
  <si>
    <t xml:space="preserve">MON-106</t>
  </si>
  <si>
    <t xml:space="preserve">Крысюк: групповая атака</t>
  </si>
  <si>
    <t xml:space="preserve">бонус стаи.</t>
  </si>
  <si>
    <t xml:space="preserve">Крысюки</t>
  </si>
  <si>
    <t xml:space="preserve">общая цель.</t>
  </si>
  <si>
    <t xml:space="preserve">очередной Крысюк атакует цель в текущем круге.</t>
  </si>
  <si>
    <t xml:space="preserve">хотя бы один другой Крысюк уже атаковал эту цель в этом круге.</t>
  </si>
  <si>
    <t xml:space="preserve">счётчик атакующих Крысюков по цели/кругу.</t>
  </si>
  <si>
    <t xml:space="preserve">начиная со второго атакующего каждый следующий получает +4 к точности.</t>
  </si>
  <si>
    <t xml:space="preserve">модифицировать атаку и увеличить счётчик.</t>
  </si>
  <si>
    <t xml:space="preserve">бонус фиксированный +4, не накапливается по номеру атакующего.</t>
  </si>
  <si>
    <t xml:space="preserve">очередной Крысюк атакует цель в текущем круге.
хотя бы один другой Крысюк уже атаковал эту цель в этом круге.
счётчик атакующих Крысюков по цели/кругу.</t>
  </si>
  <si>
    <t xml:space="preserve">MON-107</t>
  </si>
  <si>
    <t xml:space="preserve">Кенг: статблок</t>
  </si>
  <si>
    <t xml:space="preserve">взрослый Кенг.</t>
  </si>
  <si>
    <t xml:space="preserve">Нормативная база (действует во всей непротиворечащей части):
S 2–5; D 18–25; I 5–9; M 10–16; C 8–14; W 18–26; Z 6–10; maxHP=25; броня=0.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Кенги одной созданной мастером группы получают общий packId; приведение хищника не автоматизируется</t>
  </si>
  <si>
    <t xml:space="preserve">—.
Поздние дельты применяются по приоритету AQ3 &gt; AQ2 &gt; AQA/CQA &gt; базовая карточка; локальное исключение сильнее общего.</t>
  </si>
  <si>
    <t xml:space="preserve">Z 6–10; maxHP=25; броня=0.
[Обязательная правка] Эта формулировка имеет приоритет над исходным текстом карточки.</t>
  </si>
  <si>
    <t xml:space="preserve">§9.5.3, печ. стр. 212.</t>
  </si>
  <si>
    <t xml:space="preserve">MON-108</t>
  </si>
  <si>
    <t xml:space="preserve">Кенг: мелкий укус</t>
  </si>
  <si>
    <t xml:space="preserve">Кенг</t>
  </si>
  <si>
    <t xml:space="preserve">укус.</t>
  </si>
  <si>
    <t xml:space="preserve">R20+D; урон R6+3.</t>
  </si>
  <si>
    <t xml:space="preserve">пробитие 0; разрешить атаку.</t>
  </si>
  <si>
    <t xml:space="preserve">урон после брони.</t>
  </si>
  <si>
    <t xml:space="preserve">MON-110</t>
  </si>
  <si>
    <t xml:space="preserve">Кенг: бегство и уклонение</t>
  </si>
  <si>
    <t xml:space="preserve">защитный бонус / боевой ИИ.</t>
  </si>
  <si>
    <t xml:space="preserve">Кенг.</t>
  </si>
  <si>
    <t xml:space="preserve">проверка бегства или уклонения; получение урона.</t>
  </si>
  <si>
    <t xml:space="preserve">добавить +5 к бегству и уклонению; после получения урона назначить намерение немедленно скрыться.</t>
  </si>
  <si>
    <t xml:space="preserve">повышенная защита/бегство; ИИ переключён на отход.</t>
  </si>
  <si>
    <t xml:space="preserve">точный маршрут и расход действий определяются общим движком/мастером.</t>
  </si>
  <si>
    <t xml:space="preserve">MON-111</t>
  </si>
  <si>
    <t xml:space="preserve">8. Огненная блоха, Умоляющий, Сказочница</t>
  </si>
  <si>
    <t xml:space="preserve">Огненная блоха: статблок</t>
  </si>
  <si>
    <t xml:space="preserve">взрослая Огненная блоха.</t>
  </si>
  <si>
    <t xml:space="preserve">S 18–25; D 14–20; I 2–4; M 24–32; C=1; W 10–16; Z 20–28; maxHP=90; броня=R6.</t>
  </si>
  <si>
    <t xml:space="preserve">Z 20–28; maxHP=90; броня=R6.</t>
  </si>
  <si>
    <t xml:space="preserve">§9.6.3, печ. стр. 213.</t>
  </si>
  <si>
    <t xml:space="preserve">MON-112</t>
  </si>
  <si>
    <t xml:space="preserve">Огненная блоха: укус</t>
  </si>
  <si>
    <t xml:space="preserve">Огненная блоха</t>
  </si>
  <si>
    <t xml:space="preserve">точность R20+D; пробитие R12; урон R12+S.</t>
  </si>
  <si>
    <t xml:space="preserve">разрешить обычную атаку.</t>
  </si>
  <si>
    <t xml:space="preserve">урон после защиты и брони.</t>
  </si>
  <si>
    <t xml:space="preserve">MON-116</t>
  </si>
  <si>
    <t xml:space="preserve">Умоляющий: статблок</t>
  </si>
  <si>
    <t xml:space="preserve">взрослый Умоляющий.</t>
  </si>
  <si>
    <t xml:space="preserve">S 25–35; D 10–16; I 6–10; M 24–32; C 24–34; W 16–22; Z 24–32; maxHP=180; броня=R12.</t>
  </si>
  <si>
    <t xml:space="preserve">вне воды D изменяется MON-120.</t>
  </si>
  <si>
    <t xml:space="preserve">Z 24–32; maxHP=180; броня=R12.</t>
  </si>
  <si>
    <t xml:space="preserve">§9.7.3, печ. стр. 214.</t>
  </si>
  <si>
    <t xml:space="preserve">MON-088
MON-120</t>
  </si>
  <si>
    <t xml:space="preserve">MON-118</t>
  </si>
  <si>
    <t xml:space="preserve">Умоляющий: укус захваченной цели</t>
  </si>
  <si>
    <t xml:space="preserve">условная атака.</t>
  </si>
  <si>
    <t xml:space="preserve">Умоляющий</t>
  </si>
  <si>
    <t xml:space="preserve">захваченная им цель.</t>
  </si>
  <si>
    <t xml:space="preserve">цель имеет захват этого Умоляющего.</t>
  </si>
  <si>
    <t xml:space="preserve">accuracy=R20+D; DefenseChoice; пробитие R12; урон R20+S.</t>
  </si>
  <si>
    <t xml:space="preserve">Для уже захваченной этим Умоляющим цели бросить accuracy=R20+D. Dodge запрещён; Block/Parry и иная физически возможная активная защита допускаются со штрафом −5. Если защит нет, использовать DefenseChoice=NONE по CORE-217. При попадании разрешить обычную броню, Pr=R12 и урон=R20+S.</t>
  </si>
  <si>
    <t xml:space="preserve">Штраф захвата применяется к защите, а не к точности. Равенство точности и защиты отражает атаку; NO_LAYERS разрешается по CORE-226.</t>
  </si>
  <si>
    <t xml:space="preserve">accuracy=R20+D; defense=обычная формула−5 либо NONE=0; Pr=R12; damage=R20+S.</t>
  </si>
  <si>
    <t xml:space="preserve">§9.7.3, печ. стр. 214.
Предразработочный QA и прямые ответы пользователя 2026-07-29</t>
  </si>
  <si>
    <t xml:space="preserve">Q-PREDEV-005</t>
  </si>
  <si>
    <t xml:space="preserve">CORE-138
CORE-217
CORE-226</t>
  </si>
  <si>
    <t xml:space="preserve">MON-120</t>
  </si>
  <si>
    <t xml:space="preserve">Умоляющий: скрытое тело и суша</t>
  </si>
  <si>
    <t xml:space="preserve">обнаружение / средовой модификатор.</t>
  </si>
  <si>
    <t xml:space="preserve">Умоляющий.</t>
  </si>
  <si>
    <t xml:space="preserve">проверка обнаружения скрытого тела; выход из воды.</t>
  </si>
  <si>
    <t xml:space="preserve">тело скрыто в воде/тине либо находится вне воды.</t>
  </si>
  <si>
    <t xml:space="preserve">базовая проверка обнаружения; базовая D.</t>
  </si>
  <si>
    <t xml:space="preserve">пока тело скрыто, −20 к проверкам его обнаружения; вне воды установить D=6.</t>
  </si>
  <si>
    <t xml:space="preserve">модификатор обнаружения/характеристики.</t>
  </si>
  <si>
    <t xml:space="preserve">установка D=6 имеет приоритет над диапазонным значением на время суши.</t>
  </si>
  <si>
    <t xml:space="preserve">пока тело скрыто, −20 к проверкам его обнаружения; вне воды установить D=6.
установка D=6 имеет приоритет над диапазонным значением на время суши.</t>
  </si>
  <si>
    <t xml:space="preserve">MON-121</t>
  </si>
  <si>
    <t xml:space="preserve">Сказочница: статблок</t>
  </si>
  <si>
    <t xml:space="preserve">взрослая Сказочница.</t>
  </si>
  <si>
    <t xml:space="preserve">S 14–22; D 18–26; I 10–16; M 16–24; C 12–18; W 20–28; Z 18–26; maxHP=130; броня=R6.</t>
  </si>
  <si>
    <t xml:space="preserve">Z 18–26; maxHP=130; броня=R6.</t>
  </si>
  <si>
    <t xml:space="preserve">§9.8.3, печ. стр. 215.</t>
  </si>
  <si>
    <t xml:space="preserve">MON-122</t>
  </si>
  <si>
    <t xml:space="preserve">Сказочница: когти</t>
  </si>
  <si>
    <t xml:space="preserve">Сказочница</t>
  </si>
  <si>
    <t xml:space="preserve">атака когтями.</t>
  </si>
  <si>
    <t xml:space="preserve">R20+D; пробитие R12; урон R12+S.</t>
  </si>
  <si>
    <t xml:space="preserve">разрешить атаку.</t>
  </si>
  <si>
    <t xml:space="preserve">MON-123</t>
  </si>
  <si>
    <t xml:space="preserve">Сказочница: распознавание имитации</t>
  </si>
  <si>
    <t xml:space="preserve">встречная проверка обнаружения обмана.</t>
  </si>
  <si>
    <t xml:space="preserve">проверяющий</t>
  </si>
  <si>
    <t xml:space="preserve">имитация Сказочницы.</t>
  </si>
  <si>
    <t xml:space="preserve">попытка распознать звук/запах как имитацию.</t>
  </si>
  <si>
    <t xml:space="preserve">Сказочница использует имитацию.</t>
  </si>
  <si>
    <t xml:space="preserve">R20+W+Внимательность проверяющего; R20+I+5 Сказочницы; +5 проверяющему за конкретный вопрос о текущей обстановке.</t>
  </si>
  <si>
    <t xml:space="preserve">если проверяющий превышает встречный результат, распознать имитацию.</t>
  </si>
  <si>
    <t xml:space="preserve">скрытая информация раскрывается.</t>
  </si>
  <si>
    <t xml:space="preserve">равенство не является превышением.</t>
  </si>
  <si>
    <t xml:space="preserve">R20+W+Внимательность проверяющего
R20+I+5 Сказочницы; +5 проверяющему за конкретный вопрос о текущей обстановке.</t>
  </si>
  <si>
    <t xml:space="preserve">MON-124</t>
  </si>
  <si>
    <t xml:space="preserve">Сказочница: подготовленная ловушка</t>
  </si>
  <si>
    <t xml:space="preserve">засада/ловушка.</t>
  </si>
  <si>
    <t xml:space="preserve">первая цель, вошедшая в ловушку.</t>
  </si>
  <si>
    <t xml:space="preserve">первая цель входит в заранее подготовленную ловушку.</t>
  </si>
  <si>
    <t xml:space="preserve">ловушка отмечена как подготовленная; цель первая.</t>
  </si>
  <si>
    <t xml:space="preserve">первая атака Сказочницы; проверка R20+D или R20+S цели против 25.</t>
  </si>
  <si>
    <t xml:space="preserve">дать цели −20 к защите от первой атаки; отдельно потребовать превысить 25 проверкой D или S; при непрохождении цель пропускает следующий ход.</t>
  </si>
  <si>
    <t xml:space="preserve">одноразовый штраф защиты и, возможно, пропуск хода.</t>
  </si>
  <si>
    <t xml:space="preserve">применяется только к первой вошедшей цели и первой атаке.</t>
  </si>
  <si>
    <t xml:space="preserve">дать цели −20 к защите от первой атаки; отдельно потребовать превысить 25 проверкой D или S; при непрохождении цель пропускает следующий ход.
одноразовый штраф защиты и, возможно, пропуск хода.</t>
  </si>
  <si>
    <t xml:space="preserve">MON-125</t>
  </si>
  <si>
    <t xml:space="preserve">9. Трясинник, Венок, Прядильщик</t>
  </si>
  <si>
    <t xml:space="preserve">Трясинник: статблок и зональная броня</t>
  </si>
  <si>
    <t xml:space="preserve">взрослый Трясинник.</t>
  </si>
  <si>
    <t xml:space="preserve">создание; попадание в зону.</t>
  </si>
  <si>
    <t xml:space="preserve">MON-088; зона попадания.</t>
  </si>
  <si>
    <t xml:space="preserve">S 28–38; D 8–14; I 2–5; M 30–40; C=1; W 10–16; Z 30–40; maxHP=220; броня корпуса R20, светочувствительной спины R6.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</si>
  <si>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создан статблок; для атаки выбрана броня по зоне.</t>
  </si>
  <si>
    <t xml:space="preserve">спина дополнительно использует MON-128.</t>
  </si>
  <si>
    <t xml:space="preserve">Z 30–40; maxHP=220; броня корпуса R20, светочувствительной спины R6.</t>
  </si>
  <si>
    <t xml:space="preserve">§9.9.3, печ. стр. 216.
Предразработочный QA и прямые ответы пользователя 2026-07-29</t>
  </si>
  <si>
    <t xml:space="preserve">MON-088
MON-128
CORE-220</t>
  </si>
  <si>
    <t xml:space="preserve">MON-126</t>
  </si>
  <si>
    <t xml:space="preserve">Трясинник: первый бросок из трясины</t>
  </si>
  <si>
    <t xml:space="preserve">первая атака.</t>
  </si>
  <si>
    <t xml:space="preserve">Трясинник</t>
  </si>
  <si>
    <t xml:space="preserve">первый бросок из засады в трясине.</t>
  </si>
  <si>
    <t xml:space="preserve">одноразовый первый бросок ещё не использован.</t>
  </si>
  <si>
    <t xml:space="preserve">точность R20+D+8; пробитие R12; урон R20+S.</t>
  </si>
  <si>
    <t xml:space="preserve">урон либо MON-127 по выбору.</t>
  </si>
  <si>
    <t xml:space="preserve">бонус +8 относится только к первому броску.</t>
  </si>
  <si>
    <t xml:space="preserve">§9.9.3, печ. стр. 216.</t>
  </si>
  <si>
    <t xml:space="preserve">MON-127</t>
  </si>
  <si>
    <t xml:space="preserve">Трясинник: захват вместо урона</t>
  </si>
  <si>
    <t xml:space="preserve">альтернативный эффект атаки.</t>
  </si>
  <si>
    <t xml:space="preserve">успешно атакованная цель.</t>
  </si>
  <si>
    <t xml:space="preserve">после успешного попадания Трясинник выбирает захват.</t>
  </si>
  <si>
    <t xml:space="preserve">атака допускает замену урона.</t>
  </si>
  <si>
    <t xml:space="preserve">решение источника; дальнейшая встречная проверка борьбы при освобождении.</t>
  </si>
  <si>
    <t xml:space="preserve">не наносить урон; установить захват; освобождение — встречная борьба.</t>
  </si>
  <si>
    <t xml:space="preserve">цель удерживается.</t>
  </si>
  <si>
    <t xml:space="preserve">нельзя одновременно применить урон и захват.</t>
  </si>
  <si>
    <t xml:space="preserve">MON-128</t>
  </si>
  <si>
    <t xml:space="preserve">Трясинник: светочувствительная спина</t>
  </si>
  <si>
    <t xml:space="preserve">уязвимая зона.</t>
  </si>
  <si>
    <t xml:space="preserve">спина Трясинника.</t>
  </si>
  <si>
    <t xml:space="preserve">попадание в светочувствительную спину.</t>
  </si>
  <si>
    <t xml:space="preserve">зона атаки подтверждена.</t>
  </si>
  <si>
    <t xml:space="preserve">урон после брони R6.</t>
  </si>
  <si>
    <t xml:space="preserve">умножить прошедший после брони урон на 2.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</si>
  <si>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уменьшить HP на двойной урон.</t>
  </si>
  <si>
    <t xml:space="preserve">множитель применяется после брони.</t>
  </si>
  <si>
    <t xml:space="preserve">CORE-220</t>
  </si>
  <si>
    <t xml:space="preserve">MON-129</t>
  </si>
  <si>
    <t xml:space="preserve">Трясинник: застревание длинного клинка</t>
  </si>
  <si>
    <t xml:space="preserve">осложнение атаки/снаряжения.</t>
  </si>
  <si>
    <t xml:space="preserve">атакующий длинным клинковым оружием</t>
  </si>
  <si>
    <t xml:space="preserve">оружие.</t>
  </si>
  <si>
    <t xml:space="preserve">атака Трясинника таким оружием.</t>
  </si>
  <si>
    <t xml:space="preserve">отдельный чистый R20 осложнения равен 1–3.</t>
  </si>
  <si>
    <t xml:space="preserve">отдельный чистый R20 при атаке; при освобождении 1 действие и проверка S против 30.</t>
  </si>
  <si>
    <t xml:space="preserve">пометить оружие «застряло»; для снятия потратить действие и превысить 30 проверкой S.</t>
  </si>
  <si>
    <t xml:space="preserve">оружие временно недоступно либо освобождено.</t>
  </si>
  <si>
    <t xml:space="preserve">иной тип оружия не затрагивается.</t>
  </si>
  <si>
    <t xml:space="preserve">отдельный чистый R20 при атаке; при освобождении 1 действие и проверка S против 30.
пометить оружие «застряло»; для снятия потратить действие и превысить 30 проверкой S.</t>
  </si>
  <si>
    <t xml:space="preserve">отдельный чистый R20 осложнения равен 1–3.
отдельный чистый R20 при атаке; при освобождении 1 действие и проверка S против 30.</t>
  </si>
  <si>
    <t xml:space="preserve">MON-130</t>
  </si>
  <si>
    <t xml:space="preserve">Венок: статблок</t>
  </si>
  <si>
    <t xml:space="preserve">взрослый Венок.</t>
  </si>
  <si>
    <t xml:space="preserve">S 18–26; D 22–30; I 5–8; M 18–26; C 2–5; W 18–26; Z 18–26; maxHP=120; броня=R6.</t>
  </si>
  <si>
    <t xml:space="preserve">Z 18–26; maxHP=120; броня=R6.</t>
  </si>
  <si>
    <t xml:space="preserve">§9.10.3, печ. стр. 217.</t>
  </si>
  <si>
    <t xml:space="preserve">MON-131</t>
  </si>
  <si>
    <t xml:space="preserve">Венок: клинки</t>
  </si>
  <si>
    <t xml:space="preserve">Венок</t>
  </si>
  <si>
    <t xml:space="preserve">атака клинками.</t>
  </si>
  <si>
    <t xml:space="preserve">точность R20+D; пробитие R12+5; урон R12+S.</t>
  </si>
  <si>
    <t xml:space="preserve">MON-132</t>
  </si>
  <si>
    <t xml:space="preserve">Венок: первая атака из маскировки</t>
  </si>
  <si>
    <t xml:space="preserve">засада.</t>
  </si>
  <si>
    <t xml:space="preserve">не обнаружившая его цель.</t>
  </si>
  <si>
    <t xml:space="preserve">первая атака Венка.</t>
  </si>
  <si>
    <t xml:space="preserve">цель не обнаружила Венок до атаки.</t>
  </si>
  <si>
    <t xml:space="preserve">базовая точность.</t>
  </si>
  <si>
    <t xml:space="preserve">добавить +20 к точности.</t>
  </si>
  <si>
    <t xml:space="preserve">повышенная первая атака.</t>
  </si>
  <si>
    <t xml:space="preserve">после первой атаки бонус недоступен.</t>
  </si>
  <si>
    <t xml:space="preserve">MON-133</t>
  </si>
  <si>
    <t xml:space="preserve">Венок: захват успешной первой атакой</t>
  </si>
  <si>
    <t xml:space="preserve">дополнительный эффект попадания.</t>
  </si>
  <si>
    <t xml:space="preserve">цель первой атаки.</t>
  </si>
  <si>
    <t xml:space="preserve">итог первой атаки превышает итог защиты на 10 или больше.</t>
  </si>
  <si>
    <t xml:space="preserve">первая атака успешно попала.</t>
  </si>
  <si>
    <t xml:space="preserve">разница атаки и защиты; при освобождении борьба цели против R20+(S+D)/2 Венка.</t>
  </si>
  <si>
    <t xml:space="preserve">наложить захват; для освобождения разрешить встречную борьбу с указанным результатом Венка.</t>
  </si>
  <si>
    <t xml:space="preserve">цель удерживается до успешного освобождения.</t>
  </si>
  <si>
    <t xml:space="preserve">ровно 10 удовлетворяет условию.</t>
  </si>
  <si>
    <t xml:space="preserve">MON-134</t>
  </si>
  <si>
    <t xml:space="preserve">Прядильщик: статблок</t>
  </si>
  <si>
    <t xml:space="preserve">взрослый Прядильщик.</t>
  </si>
  <si>
    <t xml:space="preserve">S 5–8; D 18–26; I 4–7; M 12–18; C=1; W 22–30; Z 10–16; maxHP=55; броня=0.</t>
  </si>
  <si>
    <t xml:space="preserve">Z 10–16; maxHP=55; броня=0.</t>
  </si>
  <si>
    <t xml:space="preserve">§9.11.3, печ. стр. 218.</t>
  </si>
  <si>
    <t xml:space="preserve">MON-135</t>
  </si>
  <si>
    <t xml:space="preserve">Прядильщик: укус</t>
  </si>
  <si>
    <t xml:space="preserve">Прядильщик</t>
  </si>
  <si>
    <t xml:space="preserve">точность R20+D; пробитие R6; урон R6+S.</t>
  </si>
  <si>
    <t xml:space="preserve">урон.</t>
  </si>
  <si>
    <t xml:space="preserve">MON-136</t>
  </si>
  <si>
    <t xml:space="preserve">Прядильщик: сеть</t>
  </si>
  <si>
    <t xml:space="preserve">ловушка/контроль.</t>
  </si>
  <si>
    <t xml:space="preserve">сеть</t>
  </si>
  <si>
    <t xml:space="preserve">попавшая цель.</t>
  </si>
  <si>
    <t xml:space="preserve">цель попадает в сеть.</t>
  </si>
  <si>
    <t xml:space="preserve">сеть размещена в сцене.</t>
  </si>
  <si>
    <t xml:space="preserve">все проверки действий; попытка освобождения 1 действие и R20+S либо R20+D против 35.</t>
  </si>
  <si>
    <t xml:space="preserve">пока в сети, −15 ко всем действиям; при успешном освобождении снять состояние.</t>
  </si>
  <si>
    <t xml:space="preserve">дебафф/освобождение.</t>
  </si>
  <si>
    <t xml:space="preserve">точность попадания в заранее размещённую сеть задаётся сценой/мастером.</t>
  </si>
  <si>
    <t xml:space="preserve">все проверки действий; попытка освобождения 1 действие и R20+S либо R20+D против 35.
пока в сети, −15 ко всем действиям; при успешном освобождении снять состояние.</t>
  </si>
  <si>
    <t xml:space="preserve">MON-137</t>
  </si>
  <si>
    <t xml:space="preserve">Прядильщик: ночное восприятие и своя сеть</t>
  </si>
  <si>
    <t xml:space="preserve">сенсорные пассивы.</t>
  </si>
  <si>
    <t xml:space="preserve">Прядильщик.</t>
  </si>
  <si>
    <t xml:space="preserve">проверка в темноте/обнаружения ночью; попытка застать врасплох перемещением по сети.</t>
  </si>
  <si>
    <t xml:space="preserve">ночь/темнота либо Прядильщик находится на собственной сети.</t>
  </si>
  <si>
    <t xml:space="preserve">обычные штрафы темноты; проверка обнаружения.</t>
  </si>
  <si>
    <t xml:space="preserve">не применять штрафы за темноту; ночью добавить +5 к обнаружению; на собственной сети обычное перемещение не может застать его врасплох.</t>
  </si>
  <si>
    <t xml:space="preserve">изменённые проверки и запрет обычной неожиданности.</t>
  </si>
  <si>
    <t xml:space="preserve">необычные способы скрытного перемещения/телепортации прямо не покрыты.</t>
  </si>
  <si>
    <t xml:space="preserve">MON-138</t>
  </si>
  <si>
    <t xml:space="preserve">10. Вольмер и Дерево-кукловод</t>
  </si>
  <si>
    <t xml:space="preserve">Вольмер: статблок головы</t>
  </si>
  <si>
    <t xml:space="preserve">взрослый Вольмер.</t>
  </si>
  <si>
    <t xml:space="preserve">S 22–30; D 20–28; I 7–12; M 24–32; C 2–4; W 16–24; Z 22–30; HP головы=100; броня черепа=R12+5.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</si>
  <si>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создан зональный статблок без общего HP корпуса.</t>
  </si>
  <si>
    <t xml:space="preserve">HP уменьшается только по MON-140.</t>
  </si>
  <si>
    <t xml:space="preserve">HP головы=100; броня черепа=R12+5.
создан зональный статблок без общего HP корпуса.
HP уменьшается только по MON-140.</t>
  </si>
  <si>
    <t xml:space="preserve">HP головы=100; броня черепа=R12+5.</t>
  </si>
  <si>
    <t xml:space="preserve">§9.12.3, печ. стр. 219.
Предразработочный QA и прямые ответы пользователя 2026-07-29</t>
  </si>
  <si>
    <t xml:space="preserve">MON-088
MON-140
CORE-220</t>
  </si>
  <si>
    <t xml:space="preserve">MON-139</t>
  </si>
  <si>
    <t xml:space="preserve">Вольмер: укус</t>
  </si>
  <si>
    <t xml:space="preserve">Вольмер</t>
  </si>
  <si>
    <t xml:space="preserve">точность R20+D; пробитие R20; урон R20+S.</t>
  </si>
  <si>
    <t xml:space="preserve">§9.12.3, печ. стр. 219.</t>
  </si>
  <si>
    <t xml:space="preserve">MON-140</t>
  </si>
  <si>
    <t xml:space="preserve">Вольмер: уязвимость только головы</t>
  </si>
  <si>
    <t xml:space="preserve">зональная модель здоровья.</t>
  </si>
  <si>
    <t xml:space="preserve">входящие атаки.</t>
  </si>
  <si>
    <t xml:space="preserve">нанесение урона.</t>
  </si>
  <si>
    <t xml:space="preserve">определена зона попадания.</t>
  </si>
  <si>
    <t xml:space="preserve">зона; прошедший урон; HP головы.</t>
  </si>
  <si>
    <t xml:space="preserve">только атаки по голове уменьшают headHP; при headHP≤0 Вольмер немедленно погибает. Урон корпусу/конечностям не меняет headHP и сама такая рана не может убить или остановить Вольмера; иные явно наложенные эффекты атаки (например, горение или яд) разрешаются по собственным правилам.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</si>
  <si>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изменяется headHP либо числовой запас здоровья не меняется; самостоятельные дополнительные эффекты сохраняются.</t>
  </si>
  <si>
    <t xml:space="preserve">точные нефинансовые последствия ран корпуса/конечностей отсутствуют; правило не создаёт общего иммунитета к эффектам.</t>
  </si>
  <si>
    <t xml:space="preserve">HP головы.</t>
  </si>
  <si>
    <t xml:space="preserve">Урон корпусу/конечностям не меняет headHP и сама такая рана не может убить или остановить Вольмера; иные явно наложенные эффекты атаки (например, горение или яд) разрешаются по собственным правилам.
изменяется headHP либо числовой запас здоровья не меняется; самостоятельные дополнительные эффекты сохраняются.
точные нефинансовые последствия ран корпуса/конечностей отсутствуют; правило не создаёт общего иммунитета к эффектам.</t>
  </si>
  <si>
    <t xml:space="preserve">§9.12.1 и §9.12.3, печ. стр. 219.
Предразработочный QA и прямые ответы пользователя 2026-07-29</t>
  </si>
  <si>
    <t xml:space="preserve">MON-142</t>
  </si>
  <si>
    <t xml:space="preserve">Вольмер: бонус стаи</t>
  </si>
  <si>
    <t xml:space="preserve">условная точность.</t>
  </si>
  <si>
    <t xml:space="preserve">атака в текущем круге.</t>
  </si>
  <si>
    <t xml:space="preserve">другой Вольмер уже атаковал эту цель в текущем круге.</t>
  </si>
  <si>
    <t xml:space="preserve">журнал атак по цели.</t>
  </si>
  <si>
    <t xml:space="preserve">повышенная атака.</t>
  </si>
  <si>
    <t xml:space="preserve">бонус фиксированный.</t>
  </si>
  <si>
    <t xml:space="preserve">атака в текущем круге.
другой Вольмер уже атаковал эту цель в текущем круге.</t>
  </si>
  <si>
    <t xml:space="preserve">MON-143</t>
  </si>
  <si>
    <t xml:space="preserve">Дерево-кукловод: статблок</t>
  </si>
  <si>
    <t xml:space="preserve">взрослое Дерево-кукловод.</t>
  </si>
  <si>
    <t xml:space="preserve">Нормативная база (действует во всей непротиворечащей части):
S 20–30; D=1; I 18–28; M 35–45; C 30–40; W 30–40; Z 30–40; maxHP=240; броня=R20+5.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Дерево-кукловод исключено Q-MON-056</t>
  </si>
  <si>
    <t xml:space="preserve">неподвижность MON-146.
Поздние дельты применяются по приоритету AQ3 &gt; AQ2 &gt; AQA/CQA &gt; базовая карточка; локальное исключение сильнее общего.</t>
  </si>
  <si>
    <t xml:space="preserve">Z 30–40; maxHP=240; броня=R20+5.</t>
  </si>
  <si>
    <t xml:space="preserve">§9.13.3, печ. стр. 220.</t>
  </si>
  <si>
    <t xml:space="preserve">Q-MON-056</t>
  </si>
  <si>
    <t xml:space="preserve">MON-088
MON-146</t>
  </si>
  <si>
    <t xml:space="preserve">MON-144</t>
  </si>
  <si>
    <t xml:space="preserve">Дерево-кукловод: атака корнем</t>
  </si>
  <si>
    <t xml:space="preserve">дальняя/контактная атака.</t>
  </si>
  <si>
    <t xml:space="preserve">Дерево</t>
  </si>
  <si>
    <t xml:space="preserve">цель в 5 м.</t>
  </si>
  <si>
    <t xml:space="preserve">атака корнем.</t>
  </si>
  <si>
    <t xml:space="preserve">дистанция ≤5 м.</t>
  </si>
  <si>
    <t xml:space="preserve">точность R20+W; пробитие R12; урон R12+S.</t>
  </si>
  <si>
    <t xml:space="preserve">Нормативная база (действует во всей непротиворечащей части):
разрешить атаку.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Дерево-кукловод исключено Q-MON-056</t>
  </si>
  <si>
    <t xml:space="preserve">MON-146</t>
  </si>
  <si>
    <t xml:space="preserve">Дерево-кукловод: неподвижность, уклонение и огонь</t>
  </si>
  <si>
    <t xml:space="preserve">ограничения/уязвимость.</t>
  </si>
  <si>
    <t xml:space="preserve">Дерево.</t>
  </si>
  <si>
    <t xml:space="preserve">попытка перемещения/уклонения; тик обычного горения.</t>
  </si>
  <si>
    <t xml:space="preserve">тип действия/урона.</t>
  </si>
  <si>
    <t xml:space="preserve">Нормативная база (действует во всей непротиворечащей части):
запретить перемещение и уклонение; обычный урон огня по Дереву считать равным 20 вместо 10.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Дерево-кукловод исключено Q-MON-056</t>
  </si>
  <si>
    <t xml:space="preserve">действия недоступны; повышенный урон.</t>
  </si>
  <si>
    <t xml:space="preserve">иные защиты доступны по общим правилам, если не требуют перемещения.
Поздние дельты применяются по приоритету AQ3 &gt; AQ2 &gt; AQA/CQA &gt; базовая карточка; локальное исключение сильнее общего.</t>
  </si>
  <si>
    <t xml:space="preserve">тип действия/урона.
Нормативная база (действует во всей непротиворечащей части):
действия недоступны; повышенный урон.</t>
  </si>
  <si>
    <t xml:space="preserve">MON-147</t>
  </si>
  <si>
    <t xml:space="preserve">11. Пеленальщица и жабы</t>
  </si>
  <si>
    <t xml:space="preserve">Пеленальщица: статблок</t>
  </si>
  <si>
    <t xml:space="preserve">взрослая Пеленальщица.</t>
  </si>
  <si>
    <t xml:space="preserve">S 38–48; D 14–20; I 4–8; M 26–34; C 1–3; W 18–26; Z 26–34; maxHP=390; броня=R12.</t>
  </si>
  <si>
    <t xml:space="preserve">Z 26–34; maxHP=390; броня=R12.</t>
  </si>
  <si>
    <t xml:space="preserve">§9.14.3, печ. стр. 221.</t>
  </si>
  <si>
    <t xml:space="preserve">MON-148</t>
  </si>
  <si>
    <t xml:space="preserve">Пеленальщица: мандибулы</t>
  </si>
  <si>
    <t xml:space="preserve">Пеленальщица</t>
  </si>
  <si>
    <t xml:space="preserve">атака мандибулами.</t>
  </si>
  <si>
    <t xml:space="preserve">точность R20+D×2; пробитие R20×2; урон R20+S.</t>
  </si>
  <si>
    <t xml:space="preserve">выполнить независимые броски формул и разрешить атаку.</t>
  </si>
  <si>
    <t xml:space="preserve">урон; при достижении кожи MON-150.</t>
  </si>
  <si>
    <t xml:space="preserve">каждое новое вхождение R20 независимо по §7.4.</t>
  </si>
  <si>
    <t xml:space="preserve">точность R20+D×2; пробитие R20×2; урон R20+S.
выполнить независимые броски формул и разрешить атаку.
каждое новое вхождение R20 независимо по §7.4.</t>
  </si>
  <si>
    <t xml:space="preserve">MON-150</t>
  </si>
  <si>
    <t xml:space="preserve">MON-149</t>
  </si>
  <si>
    <t xml:space="preserve">Пеленальщица: пеленальная нить</t>
  </si>
  <si>
    <t xml:space="preserve">дальняя атака/контроль.</t>
  </si>
  <si>
    <t xml:space="preserve">цель в 8 м.</t>
  </si>
  <si>
    <t xml:space="preserve">атака нитью.</t>
  </si>
  <si>
    <t xml:space="preserve">дистанция ≤8 м.</t>
  </si>
  <si>
    <t xml:space="preserve">точность R20+D; допустимые защиты — уклонение и блок; освобождение 1 действие, R20+S или R20+D против 38.</t>
  </si>
  <si>
    <t xml:space="preserve">при попадании наложить −20 ко всем действиям; при успешном освобождении снять; если нить достигла кожи — MON-150.</t>
  </si>
  <si>
    <t xml:space="preserve">цель опутана/освобождена.</t>
  </si>
  <si>
    <t xml:space="preserve">нить является дальней атакой; прочие защиты не названы.</t>
  </si>
  <si>
    <t xml:space="preserve">точность R20+D; допустимые защиты — уклонение и блок; освобождение 1 действие, R20+S или R20+D против 38.
при попадании наложить −20 ко всем действиям; при успешном освобождении снять; если нить достигла кожи — MON-150.</t>
  </si>
  <si>
    <t xml:space="preserve">§9.14.3 и уточнение, печ. стр. 221.</t>
  </si>
  <si>
    <t xml:space="preserve">MON-152</t>
  </si>
  <si>
    <t xml:space="preserve">Гигантская жаба: статблок</t>
  </si>
  <si>
    <t xml:space="preserve">взрослая Гигантская жаба.</t>
  </si>
  <si>
    <t xml:space="preserve">S 28–38; D 8–14; I 2–5; M 30–40; C=1; W 14–20; Z 30–40; maxHP=230; броня=R12.</t>
  </si>
  <si>
    <t xml:space="preserve">Z 30–40; maxHP=230; броня=R12.</t>
  </si>
  <si>
    <t xml:space="preserve">§9.15.3, печ. стр. 222.</t>
  </si>
  <si>
    <t xml:space="preserve">MON-153</t>
  </si>
  <si>
    <t xml:space="preserve">Гигантская жаба: укус</t>
  </si>
  <si>
    <t xml:space="preserve">точность R20+D; пробитие R12; урон R20+S.</t>
  </si>
  <si>
    <t xml:space="preserve">MON-154</t>
  </si>
  <si>
    <t xml:space="preserve">Гигантская жаба: язык</t>
  </si>
  <si>
    <t xml:space="preserve">дальняя атака-захват.</t>
  </si>
  <si>
    <t xml:space="preserve">атака языком.</t>
  </si>
  <si>
    <t xml:space="preserve">точность R20+D.</t>
  </si>
  <si>
    <t xml:space="preserve">при попадании вместо урона втянуть цель в пасть и начать захват.</t>
  </si>
  <si>
    <t xml:space="preserve">дистанция сокращена до ближней, цель захвачена.</t>
  </si>
  <si>
    <t xml:space="preserve">пробитие/урон не применяются.</t>
  </si>
  <si>
    <t xml:space="preserve">MON-155</t>
  </si>
  <si>
    <t xml:space="preserve">Гигантская жаба: яды и болезни</t>
  </si>
  <si>
    <t xml:space="preserve">иммунитет/сопротивление.</t>
  </si>
  <si>
    <t xml:space="preserve">Жаба.</t>
  </si>
  <si>
    <t xml:space="preserve">обычный яд или проверка сопротивления болезни.</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</si>
  <si>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+10 к болезням.</t>
  </si>
  <si>
    <t xml:space="preserve">§9.15.3, печ. стр. 222.
Предразработочный QA и прямые ответы пользователя 2026-07-29</t>
  </si>
  <si>
    <t xml:space="preserve">MON-157</t>
  </si>
  <si>
    <t xml:space="preserve">Псионическая жаба поддержки: статблок</t>
  </si>
  <si>
    <t xml:space="preserve">взрослая Псионическая жаба поддержки.</t>
  </si>
  <si>
    <t xml:space="preserve">S 6–10; D 8–14; I 14–22; M 14–22; C 24–34; W 24–34; Z 14–20; maxHP=50; броня=0.</t>
  </si>
  <si>
    <t xml:space="preserve">Z 14–20; maxHP=50; броня=0.</t>
  </si>
  <si>
    <t xml:space="preserve">§9.16.3, печ. стр. 223.</t>
  </si>
  <si>
    <t xml:space="preserve">MON-158</t>
  </si>
  <si>
    <t xml:space="preserve">Псионическая жаба: слабый укус</t>
  </si>
  <si>
    <t xml:space="preserve">точность R20+D; урон R6+S.</t>
  </si>
  <si>
    <t xml:space="preserve">MON-161</t>
  </si>
  <si>
    <t xml:space="preserve">Псионическая жаба: прекращение пси-эффектов</t>
  </si>
  <si>
    <t xml:space="preserve">очистка эффектов по источнику.</t>
  </si>
  <si>
    <t xml:space="preserve">все её бонусы и дебаффы.</t>
  </si>
  <si>
    <t xml:space="preserve">гибель или потеря сознания Жабы.</t>
  </si>
  <si>
    <t xml:space="preserve">есть активные эффекты с source=эта Жаба.</t>
  </si>
  <si>
    <t xml:space="preserve">список эффектов.</t>
  </si>
  <si>
    <t xml:space="preserve">немедленно удалить все выданные этой Жабой бонусы и дебаффы.</t>
  </si>
  <si>
    <t xml:space="preserve">союзники/цели возвращаются к состоянию без этих эффектов.</t>
  </si>
  <si>
    <t xml:space="preserve">уже разрешённая проверка не пересчитывается назад.</t>
  </si>
  <si>
    <t xml:space="preserve">MON-162</t>
  </si>
  <si>
    <t xml:space="preserve">12. Кошка-трожжка, Фелида, Тихая Поляна</t>
  </si>
  <si>
    <t xml:space="preserve">Кошка-трожжка: статблок</t>
  </si>
  <si>
    <t xml:space="preserve">взрослая Кошка-трожжка.</t>
  </si>
  <si>
    <t xml:space="preserve">S 18–26; D 12–18; I 3–6; M 18–26; C 4–8; W 12–18; Z 18–26; maxHP=110; броня=R6.</t>
  </si>
  <si>
    <t xml:space="preserve">Z 18–26; maxHP=110; броня=R6.</t>
  </si>
  <si>
    <t xml:space="preserve">§9.17.3, печ. стр. 224.</t>
  </si>
  <si>
    <t xml:space="preserve">MON-163</t>
  </si>
  <si>
    <t xml:space="preserve">Кошка-трожжка: укус или удар лапой</t>
  </si>
  <si>
    <t xml:space="preserve">Кошка</t>
  </si>
  <si>
    <t xml:space="preserve">укус либо удар лапой.</t>
  </si>
  <si>
    <t xml:space="preserve">разрешить выбранную атаку по одинаковым формулам.</t>
  </si>
  <si>
    <t xml:space="preserve">обе формы механически эквивалентны.</t>
  </si>
  <si>
    <t xml:space="preserve">точность R20+D; пробитие R12; урон R12+S.
разрешить выбранную атаку по одинаковым формулам.</t>
  </si>
  <si>
    <t xml:space="preserve">MON-164</t>
  </si>
  <si>
    <t xml:space="preserve">Кошка-трожжка: захват и сопротивление перемещению</t>
  </si>
  <si>
    <t xml:space="preserve">пассивный бонус борьбы.</t>
  </si>
  <si>
    <t xml:space="preserve">Кошка.</t>
  </si>
  <si>
    <t xml:space="preserve">проверка захвата или сопротивления принудительному перемещению.</t>
  </si>
  <si>
    <t xml:space="preserve">повышенная встречная проверка.</t>
  </si>
  <si>
    <t xml:space="preserve">прочие проверки S бонус не получают.</t>
  </si>
  <si>
    <t xml:space="preserve">MON-167</t>
  </si>
  <si>
    <t xml:space="preserve">Фелида: когти</t>
  </si>
  <si>
    <t xml:space="preserve">Фелида</t>
  </si>
  <si>
    <t xml:space="preserve">§9.18.2, печ. стр. 225.</t>
  </si>
  <si>
    <t xml:space="preserve">MON-168</t>
  </si>
  <si>
    <t xml:space="preserve">Фелида: укус</t>
  </si>
  <si>
    <t xml:space="preserve">точность R20+D; пробитие R20; урон R12+S.</t>
  </si>
  <si>
    <t xml:space="preserve">MON-170</t>
  </si>
  <si>
    <t xml:space="preserve">Фелида: бонус стаи</t>
  </si>
  <si>
    <t xml:space="preserve">другая Фелида уже атаковала цель в текущем круге.</t>
  </si>
  <si>
    <t xml:space="preserve">журнал атак.</t>
  </si>
  <si>
    <t xml:space="preserve">MON-173</t>
  </si>
  <si>
    <t xml:space="preserve">Тихая Поляна: первичный яд и попытка выхода</t>
  </si>
  <si>
    <t xml:space="preserve">немедленная ловушка.</t>
  </si>
  <si>
    <t xml:space="preserve">Поляна</t>
  </si>
  <si>
    <t xml:space="preserve">каждый персонаж внутри.</t>
  </si>
  <si>
    <t xml:space="preserve">касание цветка.</t>
  </si>
  <si>
    <t xml:space="preserve">персонаж находится внутри границы.</t>
  </si>
  <si>
    <t xml:space="preserve">R12 урона; одна проверка R20+D либо R20+S против 28.</t>
  </si>
  <si>
    <t xml:space="preserve">Нормативная база (действует во всей непротиворечащей части):
немедленно нанести R12 урона от яда и наложить D−5; дать одну немедленную попытку превысить 28; при успехе персонаж выходит до закрытия, при провале остаётся.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</si>
  <si>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HP/модификатор; положение внутри/снаружи.</t>
  </si>
  <si>
    <t xml:space="preserve">попытка не тратит обычное действие и заменяет неясный срок «до начала следующего хода».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</si>
  <si>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попытка не тратит обычное действие и заменяет неясный срок «до начала следующего хода».</t>
  </si>
  <si>
    <t xml:space="preserve">R12 урона; одна проверка R20+D либо R20+S против 28.
немедленно нанести R12 урона от яда и наложить D−5; дать одну немедленную попытку превысить 28; при успехе персонаж выходит до закрытия, при провале остаётся.</t>
  </si>
  <si>
    <t xml:space="preserve">§9.19.3 и уточнение, печ. стр. 226.</t>
  </si>
  <si>
    <t xml:space="preserve">Q-MON-066</t>
  </si>
  <si>
    <t xml:space="preserve">MON-174</t>
  </si>
  <si>
    <t xml:space="preserve">Тихая Поляна: закрытие и захват</t>
  </si>
  <si>
    <t xml:space="preserve">прямой урон/захват области.</t>
  </si>
  <si>
    <t xml:space="preserve">оставшиеся внутри.</t>
  </si>
  <si>
    <t xml:space="preserve">завершение немедленных попыток выхода.</t>
  </si>
  <si>
    <t xml:space="preserve">цель осталась внутри.</t>
  </si>
  <si>
    <t xml:space="preserve">R20.</t>
  </si>
  <si>
    <t xml:space="preserve">Нормативная база (действует во всей непротиворечащей части):
нанести R20+20 прямого физического урона; установить состояние «захвачен Поляной».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</si>
  <si>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HP уменьшено; цель не свободна.</t>
  </si>
  <si>
    <t xml:space="preserve">урон не вызывает отдельной травмы.
Поздние дельты применяются по приоритету AQ3 &gt; AQ2 &gt; AQA/CQA &gt; базовая карточка; локальное исключение сильнее общего.</t>
  </si>
  <si>
    <t xml:space="preserve">R20.
нанести R20+20 прямого физического урона; установить состояние «захвачен Поляной».</t>
  </si>
  <si>
    <t xml:space="preserve">MON-176</t>
  </si>
  <si>
    <t xml:space="preserve">Тихая Поляна: слизь после выхода</t>
  </si>
  <si>
    <t xml:space="preserve">остаточный дебафф.</t>
  </si>
  <si>
    <t xml:space="preserve">вышедший из Поляны персонаж.</t>
  </si>
  <si>
    <t xml:space="preserve">выход при активном D−5.</t>
  </si>
  <si>
    <t xml:space="preserve">слизь ещё не смыта.</t>
  </si>
  <si>
    <t xml:space="preserve">Нормативная база (действует во всей непротиворечащей части):
штраф D−5 сохраняется после выхода; потратить 1 действие на смывание и удалить штраф.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Тихая Поляна исключена Q-MON-066–068</t>
  </si>
  <si>
    <t xml:space="preserve">остаточный эффект снят.</t>
  </si>
  <si>
    <t xml:space="preserve">до выхода смывание не заявлено.
Поздние дельты применяются по приоритету AQ3 &gt; AQ2 &gt; AQA/CQA &gt; базовая карточка; локальное исключение сильнее общего.</t>
  </si>
  <si>
    <t xml:space="preserve">1 действие.
Нормативная база (действует во всей непротиворечащей части):
штраф D−5 сохраняется после выхода; потратить 1 действие на смывание и удалить штраф.</t>
  </si>
  <si>
    <t xml:space="preserve">уточнение к §9.19.3, печ. стр. 226.</t>
  </si>
  <si>
    <t xml:space="preserve">CQA-001</t>
  </si>
  <si>
    <t xml:space="preserve">QA-решение</t>
  </si>
  <si>
    <t xml:space="preserve">5. Правила приложения и закрытые QA-решения</t>
  </si>
  <si>
    <t xml:space="preserve">5.2. Боевые состояния, симбионты и чудовища</t>
  </si>
  <si>
    <t xml:space="preserve">Каков полный жизненный цикл персонажа после установки окончательной смерти: текущая команда, инициатива, труп, инвентарь, симбионты, таймеры и право управления?</t>
  </si>
  <si>
    <t xml:space="preserve">Combat QA / CORE — общие боевые состояния (4).</t>
  </si>
  <si>
    <t xml:space="preserve">мастер; игрок; персонаж; цель; труп; предмет; инвентарь; экипировка; симбионт; боевая ситуация; при окончательной смерти</t>
  </si>
  <si>
    <t xml:space="preserve">После установки dead=true текущая команда и все подготовленные реакции отменяются
При воскрешении персонаж возвращается в текущую боевую ситуацию в координате трупа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При вычислении или разрешении: полный жизненный цикл персонажа после установки окончательной смерти: текущая команда, инициатива, труп, инвентарь, симбионты, таймеры и право управления</t>
  </si>
  <si>
    <t xml:space="preserve">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Если труп выбран другим игроком, он недоступен для выбора.</t>
  </si>
  <si>
    <t xml:space="preserve">Поля состояния: dead| ОЭ| инициатива| координата/позиция| таймер/срок| слоты
Идентификаторы данных: dead
Броски, ресурсы и выражения: ОЭ
Числа и сроки: Личные таймеры и периодические эффекты трупа останавливаются и не возобновляются сами.|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Выборы и условия: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Если труп выбран другим игроком, он недоступен для выбора.</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</si>
  <si>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</si>
  <si>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t>
  </si>
  <si>
    <t xml:space="preserve">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t>
  </si>
  <si>
    <t xml:space="preserve">После установки dead=true текущая команда и все подготовленные реакции отменяются
После установки dead=true текущая команда и все подготовленные реакции отменяются.</t>
  </si>
  <si>
    <t xml:space="preserve">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Поля состояния: dead| ОЭ| инициатива| координата/позиция| таймер/срок| слоты
Броски, ресурсы и выражения: ОЭ
Выборы и условия: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Если труп выбран другим игроком, он недоступен для выбора.</t>
  </si>
  <si>
    <t xml:space="preserve">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Поля состояния: dead| ОЭ| инициатива| координата/позиция| таймер/срок| слоты
Числа и сроки: Личные таймеры и периодические эффекты трупа останавливаются и не возобновляются сами.|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Выборы и условия: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Если труп выбран другим игроком, он недоступен для выбора.</t>
  </si>
  <si>
    <t xml:space="preserve">События «при окончательной смерти» разрешаются один раз, после чего персонаж удаляется из активной инициативы и игрок теряет обычные команды за него.</t>
  </si>
  <si>
    <t xml:space="preserve">Combat QA / Q-CORE-064.
Предразработочный QA и прямые ответы пользователя 2026-07-29</t>
  </si>
  <si>
    <t xml:space="preserve">Q-CORE-064
Q-PREDEV-009</t>
  </si>
  <si>
    <t xml:space="preserve">CORE-223</t>
  </si>
  <si>
    <t xml:space="preserve">CQA-002</t>
  </si>
  <si>
    <t xml:space="preserve">Каково общее правило завершения уже созданных аур, форм, мин, снарядов, ядов, заражений и длительных эффектов при смерти, тяжёлом ранении, бессознательности, отключении симбионта или выходе источника из боя?</t>
  </si>
  <si>
    <t xml:space="preserve">источник эффекта; симбионт</t>
  </si>
  <si>
    <t xml:space="preserve">Если источник погиб
При вычислении или разрешении: общее правило завершения уже созданных аур, форм, мин, снарядов, ядов, заражений и длительных эффектов при смерти, тяжёлом ранении, бессознательности, отключении симбионта или выходе источника из боя</t>
  </si>
  <si>
    <t xml:space="preserve">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t>
  </si>
  <si>
    <t xml:space="preserve">Поля состояния: уровень L| таймер/срок| состояние
Броски, ресурсы и выражения: L
Ссылки на правила: Q-SYM-006
Числа и сроки: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Выборы и условия: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t>
  </si>
  <si>
    <t xml:space="preserve">Мгновенно разрешённый результат не откатывается. 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Прямое правило конкретной способности имеет приоритет.</t>
  </si>
  <si>
    <t xml:space="preserve">Мгновенно разрешённый результат не откатывается.
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
Прямое правило конкретной способности имеет приоритет.</t>
  </si>
  <si>
    <t xml:space="preserve">Поддерживаемые источником формы, ауры, полёт, маскировка, каналы, управление и контактные зоны прекращаются, когда источник умер, потерял дееспособность, соответствующий симбионт отключён или удалён либо источник исключён с карты.
Прямое правило конкретной способности имеет приоритет.</t>
  </si>
  <si>
    <t xml:space="preserve">Броски, ресурсы и выражения: L</t>
  </si>
  <si>
    <t xml:space="preserve">Поля состояния: уровень L| таймер/срок| состояние
Числа и сроки: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t>
  </si>
  <si>
    <t xml:space="preserve">Combat QA / Q-CORE-065.</t>
  </si>
  <si>
    <t xml:space="preserve">Q-CORE-065</t>
  </si>
  <si>
    <t xml:space="preserve">CQA-003</t>
  </si>
  <si>
    <t xml:space="preserve">В какой точной координате оказывается цель после успешного борцовского броска?</t>
  </si>
  <si>
    <t xml:space="preserve">цель; лежит</t>
  </si>
  <si>
    <t xml:space="preserve">При разрешении сценария: В какой точной координате оказывается цель после успешного борцовского броска</t>
  </si>
  <si>
    <t xml:space="preserve">Координаты цели не изменяются: успешный бросок прекращает захват и устанавливает цели состояние «лежит» в её текущей точке.
Поскольку захват возможен только в пределах рукопашной дистанции, требование остаться не дальше 2 метров от борца уже выполнено.
Направление, препятствия и дополнительное перемещение не выбираются.</t>
  </si>
  <si>
    <t xml:space="preserve">Поля состояния: координата/позиция| состояние
Броски, ресурсы и выражения: 2 метров
Числа и сроки: Поскольку захват возможен только в пределах рукопашной дистанции, требование остаться не дальше 2 метров от борца уже выполнено.
Выборы и условия: Координаты цели не изменяются: успешный бросок прекращает захват и устанавливает цели состояние «лежит» в её текущей точке.| Поскольку захват возможен только в пределах рукопашной дистанции, требование остаться не дальше 2 метров от борца уже выполнено.| Направление, препятствия и дополнительное перемещение не выбираются.</t>
  </si>
  <si>
    <t xml:space="preserve">Координаты цели не изменяются: успешный бросок прекращает захват и устанавливает цели состояние «лежит» в её текущей точке. Поскольку захват возможен только в пределах рукопашной дистанции, требование остаться не дальше 2 метров от борца уже выполнено. Направление, препятствия и дополнительное перемещение не выбираются.</t>
  </si>
  <si>
    <t xml:space="preserve">Поскольку захват возможен только в пределах рукопашной дистанции, требование остаться не дальше 2 метров от борца уже выполнено.</t>
  </si>
  <si>
    <t xml:space="preserve">Броски, ресурсы и выражения: 2 метров</t>
  </si>
  <si>
    <t xml:space="preserve">Числа и сроки: Поскольку захват возможен только в пределах рукопашной дистанции, требование остаться не дальше 2 метров от борца уже выполнено.</t>
  </si>
  <si>
    <t xml:space="preserve">Combat QA / Q-CORE-066.</t>
  </si>
  <si>
    <t xml:space="preserve">Q-CORE-066</t>
  </si>
  <si>
    <t xml:space="preserve">CQA-004</t>
  </si>
  <si>
    <t xml:space="preserve">Как трактовать отсутствие ответа в окне согласия на применение препарата: закрытие окна, тайм-аут или отключение игрока?</t>
  </si>
  <si>
    <t xml:space="preserve">мастер; игрок; персонаж</t>
  </si>
  <si>
    <t xml:space="preserve">При выполнении или разрешении: трактовать отсутствие ответа в окне согласия на применение препарата: закрытие окна, тайм-аут или отключение игрока</t>
  </si>
  <si>
    <t xml:space="preserve">Мастер подтверждает согласие только за NPC либо после явной передачи ему управления персонажем.</t>
  </si>
  <si>
    <t xml:space="preserve">Поля состояния: боевые действия
Числа и сроки: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Выборы и условия: Мастер подтверждает согласие только за NPC либо после явной передачи ему управления персонажем.</t>
  </si>
  <si>
    <t xml:space="preserve">Требуется явное подтверждение.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Повторный запрос является новой попыткой. Мастер подтверждает согласие только за NPC либо после явной передачи ему управления персонажем.</t>
  </si>
  <si>
    <t xml:space="preserve">Требуется явное подтверждение.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Повторный запрос является новой попыткой.
Мастер подтверждает согласие только за NPC либо после явной передачи ему управления персонажем.</t>
  </si>
  <si>
    <t xml:space="preserve">Поля состояния: боевые действия
Числа и сроки: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Закрытие окна, истечение тайм-аута или отключение игрока считаются отказом: применение не объявляется, действие и доза не резервируются и не списываются.</t>
  </si>
  <si>
    <t xml:space="preserve">Числа и сроки: Закрытие окна, истечение тайм-аута или отключение игрока считаются отказом: применение не объявляется, действие и доза не резервируются и не списываются.
Закрытие окна, истечение тайм-аута или отключение игрока считаются отказом: применение не объявляется, действие и доза не резервируются и не списываются.</t>
  </si>
  <si>
    <t xml:space="preserve">Числа и сроки: Закрытие окна, истечение тайм-аута или отключение игрока считаются отказом: применение не объявляется, действие и доза не резервируются и не списываются.</t>
  </si>
  <si>
    <t xml:space="preserve">Мастер подтверждает согласие только за NPC либо после явной передачи ему управления персонажем.
Выборы и условия: Мастер подтверждает согласие только за NPC либо после явной передачи ему управления персонажем.</t>
  </si>
  <si>
    <t xml:space="preserve">Combat QA / Q-CORE-067.
SYM — обыкновенные симбионты (36)</t>
  </si>
  <si>
    <t xml:space="preserve">Q-CORE-067</t>
  </si>
  <si>
    <t xml:space="preserve">CQA-005</t>
  </si>
  <si>
    <t xml:space="preserve">Можно ли применять «Внешнюю регенерацию» к самому носителю и как разрешается касание дееспособной недобровольной цели?</t>
  </si>
  <si>
    <t xml:space="preserve">Combat QA / SYM — обыкновенные симбионты (36).</t>
  </si>
  <si>
    <t xml:space="preserve">персонаж; носитель; цель; Внешнюю регенерацию; Регенерация</t>
  </si>
  <si>
    <t xml:space="preserve">При промахе эффект не применяется
При попытке выполнить: применять «Внешнюю регенерацию» к самому носителю и как разрешается касание дееспособной недобровольной цели</t>
  </si>
  <si>
    <t xml:space="preserve">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</si>
  <si>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Поля состояния: ОЭ| боевые действия
Броски, ресурсы и выражения: 20 ОЭ
Числа и сроки: При промахе эффект не применяется, но действие и 20 ОЭ не возвращаются.
Выборы и условия: 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</si>
  <si>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</si>
  <si>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Недобровольная дееспособная цель требует обычной рукопашной проверки касания с доступной активной защитой; пробитие и урон не выполняются.</t>
  </si>
  <si>
    <t xml:space="preserve">При промахе эффект не применяется, но действие и 20 ОЭ не возвращаются.
Поля состояния: ОЭ| боевые действия
Числа и сроки: При промахе эффект не применяется, но действие и 20 ОЭ не возвращаются.
Выборы и условия: 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</si>
  <si>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При промахе эффект не применяется, но действие и 20 ОЭ не возвращаются.
Поля состояния: ОЭ| боевые действия
Броски, ресурсы и выражения: 20 ОЭ
Числа и сроки: При промахе эффект не применяется, но действие и 20 ОЭ не возвращаются.
Выборы и условия: 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</si>
  <si>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Недобровольная дееспособная цель требует обычной рукопашной проверки касания с доступной активной защитой; пробитие и урон не выполняются.
Выборы и условия: 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</si>
  <si>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Числа и сроки: При промахе эффект не применяется, но действие и 20 ОЭ не возвращаются.</t>
  </si>
  <si>
    <t xml:space="preserve">Combat QA / Q-SYM-078.</t>
  </si>
  <si>
    <t xml:space="preserve">Q-SYM-078</t>
  </si>
  <si>
    <t xml:space="preserve">CQA-006</t>
  </si>
  <si>
    <t xml:space="preserve">Что происходит с действующей «Заменой органа», если до окончания её срока другой эффект уже вывел персонажа из тяжёлого ранения?</t>
  </si>
  <si>
    <t xml:space="preserve">персонаж; Заменой органа; Замену органа</t>
  </si>
  <si>
    <t xml:space="preserve">Когда до окончания её срока другой эффект уже вывел персонажа из тяжёлого ранения; объект: действующей «Заменой органа»</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</si>
  <si>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Обычное лечение HP, не снимающее тяжёлое ранение, эффект не прерывает.</t>
  </si>
  <si>
    <t xml:space="preserve">Поля состояния: HP| таймер/срок
Броски, ресурсы и выражения: HP
Числа и сроки: 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Выборы и условия: 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Обычное лечение HP, не снимающее тяжёлое ранение, эффект не прерывает.</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</si>
  <si>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Обычное лечение HP, не снимающее тяжёлое ранение, эффект не прерывает.</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</si>
  <si>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
Обычное лечение HP, не снимающее тяжёлое ранение, эффект не прерывает.</t>
  </si>
  <si>
    <t xml:space="preserve">Отдельные исключения не заданы; применяется алгоритм этой карточки.</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</si>
  <si>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Обычное лечение HP, не снимающее тяжёлое ранение, эффект не прерывает.
Поля состояния: HP| таймер/срок
Броски, ресурсы и выражения: HP
Числа и сроки: 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t>
  </si>
  <si>
    <t xml:space="preserve">Когда до окончания её срока другой эффект уже вывел персонажа из тяжёлого ранения; объект: действующей «Заменой органа»
Поля состояния: HP| таймер/срок
Числа и сроки: 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t>
  </si>
  <si>
    <t xml:space="preserve">Combat QA / Q-SYM-079.</t>
  </si>
  <si>
    <t xml:space="preserve">Q-SYM-079</t>
  </si>
  <si>
    <t xml:space="preserve">CQA-007</t>
  </si>
  <si>
    <t xml:space="preserve">Как приложение должно исполнять обязательную атаку случайной цели при натуральной 1 «Анаболического форсажа»?</t>
  </si>
  <si>
    <t xml:space="preserve">игрок; носитель; цель; Анаболического форсажа</t>
  </si>
  <si>
    <t xml:space="preserve">После её разрешения оставшиеся действия используются обычно
Если допустимых целей нет
При натуральной 1 «Анаболического форсажа»; разрешается: приложение должно исполнять обязательную атаку случайной цели</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</si>
  <si>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t>
  </si>
  <si>
    <t xml:space="preserve">Поля состояния: боевые действия| раса
Числа и сроки: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Выборы и условия: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</si>
  <si>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Потеря сознания, тяжёлое ранение без дееспособности и полный паралич имеют приоритет и не позволяют атаковать.</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</si>
  <si>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Потеря сознания, тяжёлое ранение без дееспособности и полный паралич имеют приоритет и не позволяют атаковать.</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</si>
  <si>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Если допустимых целей нет, обязательная атака в этот ход не выполняется и действие не списывается.
Потеря сознания, тяжёлое ранение без дееспособности и полный паралич имеют приоритет и не позволяют атаковать.</t>
  </si>
  <si>
    <t xml:space="preserve">После её разрешения оставшиеся действия используются обычно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
Поля состояния: боевые действия| раса
Числа и сроки: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t>
  </si>
  <si>
    <t xml:space="preserve">Если допустимых целей нет, обязательная атака в этот ход не выполняется и действие не списывается.
Числа и сроки: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Выборы и условия: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</si>
  <si>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
Числа и сроки: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
Выборы и условия: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t>
  </si>
  <si>
    <t xml:space="preserve">Combat QA / Q-SYM-080.</t>
  </si>
  <si>
    <t xml:space="preserve">Q-SYM-080</t>
  </si>
  <si>
    <t xml:space="preserve">CQA-008</t>
  </si>
  <si>
    <t xml:space="preserve">Может ли носитель войти в тяжёлое ранение или умереть от исчерпания 1000 HP во время «Абсолютной регенерации», и что именно восстанавливается через два хода?</t>
  </si>
  <si>
    <t xml:space="preserve">носитель; Абсолютной регенерации</t>
  </si>
  <si>
    <t xml:space="preserve">После снятия режима HP ограничиваются обычным максимумом
При попытке выполнить или проверить: носитель войти в тяжёлое ранение или умереть от исчерпания 1000 HP во время «Абсолютной регенерации», и что именно восстанавливается через два хода</t>
  </si>
  <si>
    <t xml:space="preserve">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</si>
  <si>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Поля состояния: HP| таймер/срок
Броски, ресурсы и выражения: 1000 HP| HP
Числа и сроки: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После снятия режима HP ограничиваются обычным максимумом, а незавершённые таймеры лечения продолжаются с этим ограничением.
Выборы и условия: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</si>
  <si>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</si>
  <si>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После снятия режима HP ограничиваются обычным максимумом
При попытке выполнить или проверить: носитель войти в тяжёлое ранение или умереть от исчерпания 1000 HP во время «Абсолютной регенерации», и что именно восстанавливается через два хода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t>
  </si>
  <si>
    <t xml:space="preserve">При попытке выполнить или проверить: носитель войти в тяжёлое ранение или умереть от исчерпания 1000 HP во время «Абсолютной регенерации», и что именно восстанавливается через два хода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Поля состояния: HP| таймер/срок
Числа и сроки: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После снятия режима HP ограничиваются обычным максимумом, а незавершённые таймеры лечения продолжаются с этим ограничением.
Выборы и условия: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</si>
  <si>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Combat QA / Q-SYM-081.</t>
  </si>
  <si>
    <t xml:space="preserve">Q-SYM-081</t>
  </si>
  <si>
    <t xml:space="preserve">CQA-009</t>
  </si>
  <si>
    <t xml:space="preserve">Каковы цена, воспламенение, срок и расходование горючей слюны, нанесённой на оружие или снаряд?</t>
  </si>
  <si>
    <t xml:space="preserve">мастер; предмет; инвентарь; оружие; Чистый; Зубы-огниво; Огниво; Долгом горении</t>
  </si>
  <si>
    <t xml:space="preserve">После воспламенения покрытие горит 3 хода
При повторном нанесении проверка на воспламенение не требуется
При вычислении или разрешении: цена, воспламенение, срок и расходование горючей слюны, нанесённой на оружие или снаряд</t>
  </si>
  <si>
    <t xml:space="preserve">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При повторном нанесении проверка на воспламенение не требуется.</t>
  </si>
  <si>
    <t xml:space="preserve">Поля состояния: боевые действия| таймер/срок| раса
Броски, ресурсы и выражения: 3 хода
Числа и сроки: 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Выборы и условия: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При повторном нанесении проверка на воспламенение не требуется.</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</si>
  <si>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</si>
  <si>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</si>
  <si>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Поля состояния: боевые действия| таймер/срок| раса
Числа и сроки: 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t>
  </si>
  <si>
    <t xml:space="preserve">При вычислении или разрешении: цена, воспламенение, срок и расходование горючей слюны, нанесённой на оружие или снаряд
Броски, ресурсы и выражения: 3 хода</t>
  </si>
  <si>
    <t xml:space="preserve">После воспламенения покрытие горит 3 хода
При вычислении или разрешении: цена, воспламенение, срок и расходование горючей слюны, нанесённой на оружие или снаряд
Поля состояния: боевые действия| таймер/срок| раса
Броски, ресурсы и выражения: 3 хода
Числа и сроки: 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После воспламенения покрытие горит 3 хода, либо 6 при «Долгом горении».</t>
  </si>
  <si>
    <t xml:space="preserve">Combat QA / Q-SYM-082.</t>
  </si>
  <si>
    <t xml:space="preserve">Q-SYM-082</t>
  </si>
  <si>
    <t xml:space="preserve">CQA-010</t>
  </si>
  <si>
    <t xml:space="preserve">В какой момент выбирается точка «Огненного шара», нужна ли меткость и как уклонение работает при обычном результате и натуральной 1?</t>
  </si>
  <si>
    <t xml:space="preserve">игрок; носитель; цель; Чистый; Огненного шара</t>
  </si>
  <si>
    <t xml:space="preserve">После оплаты сначала бросается активационный R20
При 4+ он одновременно задаёт максимальную дальность 2R20+L
При натуральной 1 точкой становится позиция носителя
При событии: выбирается точка «Огненного шара», нужна ли меткость и как уклонение работает при обычном результате и натуральной 1</t>
  </si>
  <si>
    <t xml:space="preserve">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t>
  </si>
  <si>
    <t xml:space="preserve">Поля состояния: уровень L| координата/позиция
Броски, ресурсы и выражения: R20| L| R12
Числа и сроки: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
Выборы и условия: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t>
  </si>
  <si>
    <t xml:space="preserve">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 Препятствия приложением не учитываются.</t>
  </si>
  <si>
    <t xml:space="preserve">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
Препятствия приложением не учитываются.</t>
  </si>
  <si>
    <t xml:space="preserve">Броски, ресурсы и выражения: R20| L| R12</t>
  </si>
  <si>
    <t xml:space="preserve">После оплаты сначала бросается активационный R20
После оплаты сначала бросается активационный R20.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Броски, ресурсы и выражения: R20| L| R12
Числа и сроки: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
Выборы и условия: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t>
  </si>
  <si>
    <t xml:space="preserve">Числа и сроки: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t>
  </si>
  <si>
    <t xml:space="preserve">Combat QA / Q-SYM-083.</t>
  </si>
  <si>
    <t xml:space="preserve">Q-SYM-083</t>
  </si>
  <si>
    <t xml:space="preserve">CQA-011</t>
  </si>
  <si>
    <t xml:space="preserve">Что считается «известной целью» для активной «Звуковой картины» и как долго приложение раскрывает найденную скрытую позицию?</t>
  </si>
  <si>
    <t xml:space="preserve">персонаж; цель; боевая ситуация; известной целью; Звуковой картины</t>
  </si>
  <si>
    <t xml:space="preserve">При определении: считается «известной целью» для активной «Звуковой картины» и как долго приложение раскрывает найденную скрытую позицию</t>
  </si>
  <si>
    <t xml:space="preserve">Известной считается любая цель, которую персонаж успел увидеть в боевой ситуации.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Звукопроницаемость препятствий не проверяется в принятой пространственной модели.</t>
  </si>
  <si>
    <t xml:space="preserve">Поля состояния: координата/позиция| раса
Числа и сроки: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
Выборы и условия: Известной считается любая цель, которую персонаж успел увидеть в боевой ситуации.|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Звукопроницаемость препятствий не проверяется в принятой пространственной модели.</t>
  </si>
  <si>
    <t xml:space="preserve">Известной считается любая цель, которую персонаж успел увидеть в боевой ситуации.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 Звукопроницаемость препятствий не проверяется в принятой пространственной модели.</t>
  </si>
  <si>
    <t xml:space="preserve">Известной считается любая цель, которую персонаж успел увидеть в боевой ситуации.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
Звукопроницаемость препятствий не проверяется в принятой пространственной модели.</t>
  </si>
  <si>
    <t xml:space="preserve">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t>
  </si>
  <si>
    <t xml:space="preserve">Числа и сроки: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
Результаты 11+ и 18+ добавляют сведения по принятой таблице, но не создают постоянную видимость.</t>
  </si>
  <si>
    <t xml:space="preserve">Числа и сроки: Результат 4+ раскрывает координату цели только на момент разрешения: приложение показывает маркер последней известной позиции, но не отслеживает последующее движение скрытой цели.| Результаты 11+ и 18+ добавляют сведения по принятой таблице, но не создают постоянную видимость.</t>
  </si>
  <si>
    <t xml:space="preserve">Combat QA / Q-SYM-084.</t>
  </si>
  <si>
    <t xml:space="preserve">Q-SYM-084</t>
  </si>
  <si>
    <t xml:space="preserve">CQA-012</t>
  </si>
  <si>
    <t xml:space="preserve">Как приложение подтверждает час словесной ролевой игры для «Век живи — век учись» и выбирает получателя опыта?</t>
  </si>
  <si>
    <t xml:space="preserve">мастер; персонаж; симбионт; Учитель; Век живи — век учись</t>
  </si>
  <si>
    <t xml:space="preserve">После подтверждения приложение равновероятно выбирает один из присутствующих у персонажа симбионтов
Если других симбионтов нет
При выполнении или разрешении: приложение подтверждает час словесной ролевой игры для «Век живи — век учись» и выбирает получателя опыта</t>
  </si>
  <si>
    <t xml:space="preserve">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t>
  </si>
  <si>
    <t xml:space="preserve">Поля состояния: XP| состояние
Броски, ресурсы и выражения: 1 XP| XP
Числа и сроки: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Выборы и условия: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t>
  </si>
  <si>
    <t xml:space="preserve">Приложение не определяет словесную ролевую игру автоматически.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 Простая промотка игрового времени сама по себе триггер не вызывает.</t>
  </si>
  <si>
    <t xml:space="preserve">Приложение не определяет словесную ролевую игру автоматически.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
Простая промотка игрового времени сама по себе триггер не вызывает.</t>
  </si>
  <si>
    <t xml:space="preserve">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t>
  </si>
  <si>
    <t xml:space="preserve">При выполнении или разрешении: приложение подтверждает час словесной ролевой игры для «Век живи — век учись» и выбирает получателя опыта
Числа и сроки: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Мастер вручную нажимает команду подтверждения каждого полного часа.</t>
  </si>
  <si>
    <t xml:space="preserve">При выполнении или разрешении: приложение подтверждает час словесной ролевой игры для «Век живи — век учись» и выбирает получателя опыта
Броски, ресурсы и выражения: 1 XP| XP</t>
  </si>
  <si>
    <t xml:space="preserve">Если других симбионтов нет, подтверждение не создаёт XP.
Выборы и условия: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t>
  </si>
  <si>
    <t xml:space="preserve">Combat QA / Q-SYM-085.</t>
  </si>
  <si>
    <t xml:space="preserve">Q-SYM-085</t>
  </si>
  <si>
    <t xml:space="preserve">CQA-013</t>
  </si>
  <si>
    <t xml:space="preserve">Какие способности и цели входят в случайный пул «Свети, ученик», в частности допускаются ли копирующие способности самого Учителя?</t>
  </si>
  <si>
    <t xml:space="preserve">персонаж; носитель; цель; союзник; противник; предмет; симбионт; Учитель; Свети, ученик; Внимай, ученик</t>
  </si>
  <si>
    <t xml:space="preserve">После случайного выбора способности приложение строит множество всех допустимых для неё персонажей на поле
При разрешении сценария: Какие способности и цели входят в случайный пул «Свети, ученик», в частности допускаются ли копирующие способности самого Учителя</t>
  </si>
  <si>
    <t xml:space="preserve">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Доплата списывается с ОЭ Учителя.</t>
  </si>
  <si>
    <t xml:space="preserve">Поля состояния: ОЭ
Броски, ресурсы и выражения: ОЭ
Ссылки на правила: Q-SYM-024
Числа и сроки: 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
Выборы и условия: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Доплата списывается с ОЭ Учителя.</t>
  </si>
  <si>
    <t xml:space="preserve">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 Доплата списывается с ОЭ Учителя.</t>
  </si>
  <si>
    <t xml:space="preserve">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
Доплата списывается с ОЭ Учителя.</t>
  </si>
  <si>
    <t xml:space="preserve">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t>
  </si>
  <si>
    <t xml:space="preserve">При разрешении сценария: Какие способности и цели входят в случайный пул «Свети, ученик», в частности допускаются ли копирующие способности самого Учителя</t>
  </si>
  <si>
    <t xml:space="preserve">Доплата списывается с ОЭ Учителя.
Поля состояния: ОЭ
Броски, ресурсы и выражения: ОЭ
Числа и сроки: 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
Выборы и условия: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Доплата списывается с ОЭ Учителя.</t>
  </si>
  <si>
    <t xml:space="preserve">При разрешении сценария: Какие способности и цели входят в случайный пул «Свети, ученик», в частности допускаются ли копирующие способности самого Учителя
Числа и сроки: 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t>
  </si>
  <si>
    <t xml:space="preserve">Combat QA / Q-SYM-086.</t>
  </si>
  <si>
    <t xml:space="preserve">Q-SYM-086</t>
  </si>
  <si>
    <t xml:space="preserve">CQA-014</t>
  </si>
  <si>
    <t xml:space="preserve">Что считается «последней использованной» способностью для «Внимай, ученик»: объявленная попытка или только способность с успешным эффектом?</t>
  </si>
  <si>
    <t xml:space="preserve">цель; броня; симбионт; последней использованной; Внимай, ученик</t>
  </si>
  <si>
    <t xml:space="preserve">После удаления исходного симбионта запись сохраняется как известный шаблон
Если именно эта запись недопустима для копирования
При определении: считается «последней использованной» способностью для «Внимай, ученик»: объявленная попытка или только способность с успешным эффектом</t>
  </si>
  <si>
    <t xml:space="preserve">Последней использованной считается последняя валидно объявленная и оплаченная активная способность симбионта цели, даже если её активация провалилась, атака промахнулась или броня остановила эффект.
Если именно эта запись недопустима для копирования, более ранние записи не просматриваются.</t>
  </si>
  <si>
    <t xml:space="preserve">Числа и сроки: После удаления исходного симбионта запись сохраняется как известный шаблон.
Выборы и условия: Последней использованной считается последняя валидно объявленная и оплаченная активная способность симбионта цели, даже если её активация провалилась, атака промахнулась или броня остановила эффект.| Если именно эта запись недопустима для копирования, более ранние записи не просматриваются.</t>
  </si>
  <si>
    <t xml:space="preserve">Последней использованной считается последняя валидно объявленная и оплаченная активная способность симбионта цели, даже если её активация провалилась, атака промахнулась или броня остановила эффект. Отклонённая до оплаты команда и прерванная подготовка, не дошедшая до объявления самой способности, не записываются. После удаления исходного симбионта запись сохраняется как известный шаблон. Если именно эта запись недопустима для копирования, более ранние записи не просматриваются.</t>
  </si>
  <si>
    <t xml:space="preserve">Последней использованной считается последняя валидно объявленная и оплаченная активная способность симбионта цели, даже если её активация провалилась, атака промахнулась или броня остановила эффект.
Отклонённая до оплаты команда и прерванная подготовка, не дошедшая до объявления самой способности, не записываются.
После удаления исходного симбионта запись сохраняется как известный шаблон.
Если именно эта запись недопустима для копирования, более ранние записи не просматриваются.</t>
  </si>
  <si>
    <t xml:space="preserve">Отклонённая до оплаты команда и прерванная подготовка, не дошедшая до объявления самой способности, не записываются.</t>
  </si>
  <si>
    <t xml:space="preserve">Числа и сроки: После удаления исходного симбионта запись сохраняется как известный шаблон.</t>
  </si>
  <si>
    <t xml:space="preserve">Combat QA / Q-SYM-087.</t>
  </si>
  <si>
    <t xml:space="preserve">Q-SYM-087</t>
  </si>
  <si>
    <t xml:space="preserve">CQA-015</t>
  </si>
  <si>
    <t xml:space="preserve">Повторяется ли бой Трогра и Хранителя после равенства текущих ОЭ или последующего изменения их запасов?</t>
  </si>
  <si>
    <t xml:space="preserve">симбионт; Хранитель; Трогр</t>
  </si>
  <si>
    <t xml:space="preserve">При равенстве оба остаются живы и последующие траты или восстановление ОЭ автоматического нового боя не вызывают
При проверке условия «Повторяется ли»: бой Трогра и Хранителя после равенства текущих ОЭ или последующего изменения их запасов</t>
  </si>
  <si>
    <t xml:space="preserve">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t>
  </si>
  <si>
    <t xml:space="preserve">Поля состояния: ОЭ
Броски, ресурсы и выражения: ОЭ
Ссылки на правила: Q-SYM-092
Числа и сроки: Для уже находящихся в одном теле Трогра и Хранителя сравнение выполняется один раз при первом возникновении совместного присутствия.| Специальный результат неудачного вторжения Хранителя обрабатывается отдельно по Q-SYM-092.
Выборы и условия: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t>
  </si>
  <si>
    <t xml:space="preserve">Для уже находящихся в одном теле Трогра и Хранителя сравнение выполняется один раз при первом возникновении совместного присутствия.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 Специальный результат неудачного вторжения Хранителя обрабатывается отдельно по Q-SYM-092.</t>
  </si>
  <si>
    <t xml:space="preserve">Для уже находящихся в одном теле Трогра и Хранителя сравнение выполняется один раз при первом возникновении совместного присутствия.
При равенстве оба остаются живы и последующие траты или восстановление ОЭ автоматического нового боя не вызывают.
Повторное сравнение возможно только если один из этих симбионтов покинул тело и позднее снова проник в него.
Специальный результат неудачного вторжения Хранителя обрабатывается отдельно по Q-SYM-092.</t>
  </si>
  <si>
    <t xml:space="preserve">Повторное сравнение возможно только если один из этих симбионтов покинул тело и позднее снова проник в него.</t>
  </si>
  <si>
    <t xml:space="preserve">При равенстве оба остаются живы и последующие траты или восстановление ОЭ автоматического нового боя не вызывают
При проверке условия «Повторяется ли»: бой Трогра и Хранителя после равенства текущих ОЭ или последующего изменения их запасов
При равенстве оба остаются живы и последующие траты или восстановление ОЭ автоматического нового боя не вызывают.
Поля состояния: ОЭ
Броски, ресурсы и выражения: ОЭ</t>
  </si>
  <si>
    <t xml:space="preserve">Числа и сроки: Для уже находящихся в одном теле Трогра и Хранителя сравнение выполняется один раз при первом возникновении совместного присутствия.| Специальный результат неудачного вторжения Хранителя обрабатывается отдельно по Q-SYM-092.</t>
  </si>
  <si>
    <t xml:space="preserve">Числа и сроки: Для уже находящихся в одном теле Трогра и Хранителя сравнение выполняется один раз при первом возникновении совместного присутствия.| Специальный результат неудачного вторжения Хранителя обрабатывается отдельно по Q-SYM-092.
Для уже находящихся в одном теле Трогра и Хранителя сравнение выполняется один раз при первом возникновении совместного присутствия.</t>
  </si>
  <si>
    <t xml:space="preserve">Combat QA / Q-SYM-088.</t>
  </si>
  <si>
    <t xml:space="preserve">Q-SYM-088</t>
  </si>
  <si>
    <t xml:space="preserve">SYM-092</t>
  </si>
  <si>
    <t xml:space="preserve">CQA-016</t>
  </si>
  <si>
    <t xml:space="preserve">Какой самостоятельный боевой эффект имеет режим эхолокации WAAAGH!!! после поглощения Дельфина?</t>
  </si>
  <si>
    <t xml:space="preserve">носитель; цель; Трогр; Дельфин; Чистый; Эхолокация</t>
  </si>
  <si>
    <t xml:space="preserve">При провале раскрытия нет
При разрешении сценария: Какой самостоятельный боевой эффект имеет режим эхолокации WAAAGH!!! после поглощения Дельфина</t>
  </si>
  <si>
    <t xml:space="preserve">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</si>
  <si>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Поля состояния: ОЭ| уровень L| координата/позиция| боевые действия| раса
Броски, ресурсы и выражения: ОЭ| 50 ОЭ| 1 действие| R20| L
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Выборы и условия: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</si>
  <si>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После поглощения Дельфина у WAAAGH!!!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При провале раскрытия нет.</t>
  </si>
  <si>
    <t xml:space="preserve">После поглощения Дельфина у WAAAGH!!!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При провале раскрытия нет.</t>
  </si>
  <si>
    <t xml:space="preserve">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Поля состояния: ОЭ| уровень L| координата/позиция| боевые действия| раса
Броски, ресурсы и выражения: ОЭ| 50 ОЭ| 1 действие| R20| L
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</si>
  <si>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Он требует того же порога текущих ОЭ не ниже 2000, стоит 50 ОЭ и 1 действие, но не выбирает цель и не накладывает глухоту, страх или бессознательность.
Поля состояния: ОЭ| уровень L| координата/позиция| боевые действия| раса
Броски, ресурсы и выражения: ОЭ| 50 ОЭ| 1 действие| R20| L
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Выборы и условия: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</si>
  <si>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Броски, ресурсы и выражения: ОЭ| 50 ОЭ| 1 действие| R20| L
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Выборы и условия: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</si>
  <si>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
Выборы и условия: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</si>
  <si>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Combat QA / Q-SYM-089.</t>
  </si>
  <si>
    <t xml:space="preserve">Q-SYM-089</t>
  </si>
  <si>
    <t xml:space="preserve">CQA-017</t>
  </si>
  <si>
    <t xml:space="preserve">Базовый сценарий Combat QA: Как именно приложение создаёт самостоятельного Хранителя в текущем бою при окончательной смерти носителя?
Позднее уточнение Application QA: Как приложение создаёт самостоятельного Хранителя 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t>
  </si>
  <si>
    <t xml:space="preserve">игрок; персонаж; носитель; труп; инвентарь; Хранитель; Чистый; группа</t>
  </si>
  <si>
    <t xml:space="preserve">Сразу после фиксации окончательной смерти носитель удаляется из активных участников
Если хранитель не был создан до окончания боя
При активации хранитель заходит в игру по правилам нового участника (отдельно пробрасывает инициативу и т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Если носителя воскресили до фактического выхода
Если носитель остаётся мёртвым до завершения боя
При выходе в координате трупа создаётся отдельный персонаж под управлением того же игрока
При окончательной смерти носителя; разрешается: именно приложение создаёт самостоятельного Хранителя в текущем бою
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 разрешается: приложение создаёт самостоятельного Хранителя</t>
  </si>
  <si>
    <t xml:space="preserve">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</si>
  <si>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Поля состояния: currentHP| maxHP| ОЭ| уровень L| инициатива| координата/позиция| боевые действия| таймер/срок
Идентификаторы данных: currentHP| maxHP
Броски, ресурсы и выражения: currentHP| maxHP| ОЭ| L
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Выборы и условия: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</si>
  <si>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Базовое решение Combat QA: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</si>
  <si>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Базовое решение Combat QA: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</si>
  <si>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Позднее уточнение Application QA (приоритетно в пересекающейся части):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</si>
  <si>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Поля состояния: currentHP| maxHP| ОЭ| уровень L| инициатива| координата/позиция| боевые действия| таймер/срок
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Выборы и условия: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Позднее уточнение Application QA (приоритетно в пересекающейся части):</t>
  </si>
  <si>
    <t xml:space="preserve">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Поля состояния: currentHP| maxHP| ОЭ| уровень L| инициатива| координата/позиция| боевые действия| таймер/срок
Броски, ресурсы и выражения: currentHP| maxHP| ОЭ| L
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</si>
  <si>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Выборы и условия: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</si>
  <si>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 разрешается: приложение создаёт самостоятельного Хранителя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
Поля состояния: currentHP| maxHP| ОЭ| уровень L| инициатива| координата/позиция| боевые действия| таймер/срок
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</si>
  <si>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Combat QA / Q-SYM-090.</t>
  </si>
  <si>
    <t xml:space="preserve">Q-SYM-090</t>
  </si>
  <si>
    <t xml:space="preserve">CQA-018</t>
  </si>
  <si>
    <t xml:space="preserve">Что происходит, если исходного носителя воскресили после того, как Хранитель уже вышел из его тела?</t>
  </si>
  <si>
    <t xml:space="preserve">носитель; Хранитель</t>
  </si>
  <si>
    <t xml:space="preserve">После выхода хранителя из тела
Когда исходного носителя воскресили после того, как Хранитель уже вышел из его тела</t>
  </si>
  <si>
    <t xml:space="preserve">После выхода хранителя из тела, воскрешение этого тела уже невозможно никакими способами.</t>
  </si>
  <si>
    <t xml:space="preserve">Числа и сроки: После выхода хранителя из тела, воскрешение этого тела уже невозможно никакими способами.
Выборы и условия: После выхода хранителя из тела, воскрешение этого тела уже невозможно никакими способами.</t>
  </si>
  <si>
    <t xml:space="preserve">После выхода хранителя из тела, воскрешение этого тела уже невозможно никакими способами.
Числа и сроки: После выхода хранителя из тела, воскрешение этого тела уже невозможно никакими способами.
Выборы и условия: После выхода хранителя из тела, воскрешение этого тела уже невозможно никакими способами.</t>
  </si>
  <si>
    <t xml:space="preserve">Числа и сроки: После выхода хранителя из тела, воскрешение этого тела уже невозможно никакими способами.</t>
  </si>
  <si>
    <t xml:space="preserve">Combat QA / Q-SYM-091.</t>
  </si>
  <si>
    <t xml:space="preserve">Q-SYM-091</t>
  </si>
  <si>
    <t xml:space="preserve">CQA-019</t>
  </si>
  <si>
    <t xml:space="preserve">Где оказывается Хранитель и что может делать после поражения или ничьей в бою с выбранным симбионтом нового тела?</t>
  </si>
  <si>
    <t xml:space="preserve">игрок; цель; симбионт; Хранитель</t>
  </si>
  <si>
    <t xml:space="preserve">Перед проникновением выбирается симбионт-жертва
При большем currentOE Хранитель побеждает по Q-SYM-074
При меньшем currentOE Хранитель уничтожается
При равенстве никто не теряет ОЭ и Хранитель немедленно изгоняется наружу в координаты цели
При определении позиции: оказывается Хранитель и что может делать после поражения или ничьей в бою с выбранным симбионтом нового тела</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</si>
  <si>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t>
  </si>
  <si>
    <t xml:space="preserve">Поля состояния: ОЭ| координата/позиция| боевые действия| слоты| раса
Идентификаторы данных: currentOE
Броски, ресурсы и выражения: ОЭ
Ссылки на правила: Q-SYM-074
Числа и сроки: При большем currentOE Хранитель побеждает по Q-SYM-074.|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
Выборы и условия: Перед проникновением выбирается симбионт-жертва; если его вид не раскрыт игроку, приложение выбирает жертву случайно среди симбионтов тела.|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</si>
  <si>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большем currentOE Хранитель побеждает по Q-SYM-074.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</si>
  <si>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Перед проникновением выбирается симбионт-жертва; если его вид не раскрыт игроку, приложение выбирает жертву случайно среди симбионтов тела.
При большем currentOE Хранитель побеждает по Q-SYM-074.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</si>
  <si>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Поля состояния: ОЭ| координата/позиция| боевые действия| слоты| раса
Числа и сроки: При большем currentOE Хранитель побеждает по Q-SYM-074.|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
Позднее он может попытаться снова обычным действием.</t>
  </si>
  <si>
    <t xml:space="preserve">При равенстве никто не теряет ОЭ и Хранитель немедленно изгоняется наружу в координаты цели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Поля состояния: ОЭ| координата/позиция| боевые действия| слоты| раса
Броски, ресурсы и выражения: ОЭ</t>
  </si>
  <si>
    <t xml:space="preserve">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Числа и сроки: При большем currentOE Хранитель побеждает по Q-SYM-074.|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
Выборы и условия: Перед проникновением выбирается симбионт-жертва; если его вид не раскрыт игроку, приложение выбирает жертву случайно среди симбионтов тела.|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t>
  </si>
  <si>
    <t xml:space="preserve">Combat QA / Q-SYM-092.</t>
  </si>
  <si>
    <t xml:space="preserve">Q-SYM-092</t>
  </si>
  <si>
    <t xml:space="preserve">CQA-020</t>
  </si>
  <si>
    <t xml:space="preserve">Какие данные персонажа и право управления сохраняются после 24-часовой перезаписи тела Хранителем?</t>
  </si>
  <si>
    <t xml:space="preserve">игрок; персонаж; носитель; инвентарь; экипировка; симбионт; Хранитель</t>
  </si>
  <si>
    <t xml:space="preserve">После завершения перезаписи карточка переходит под управление игрока Хранителя
До этого момента телом управляет прежний игрок
Если новое тело умирает до окончания 24-часовой перезаписи
При разрешении сценария: Какие данные персонажа и право управления сохраняются после 24-часовой перезаписи тела Хранителем</t>
  </si>
  <si>
    <t xml:space="preserve">От нового тела сохраняются раса, пол, внешность, S, D, M, Z, max/current HP, травмы, экипировка, инвентарь и все оставшиеся в теле симбионты.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</si>
  <si>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Поля состояния: HP| S| D| M| Z| I| W| C| боевые действия| состояние| слоты| раса| класс| навыки
Броски, ресурсы и выражения: S| D| M| Z| HP| I| W| C
Числа и сроки: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
Выборы и условия: От нового тела сохраняются раса, пол, внешность, S, D, M, Z, max/current HP, травмы, экипировка, инвентарь и все оставшиеся в теле симбионты.|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</si>
  <si>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От нового тела сохраняются раса, пол, внешность, S, D, M, Z, max/current HP, травмы, экипировка, инвентарь и все оставшиеся в теле симбионты.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Хранитель занимает слот уничтоженного симбионта.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</si>
  <si>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От нового тела сохраняются раса, пол, внешность, S, D, M, Z, max/current HP, травмы, экипировка, инвентарь и все оставшиеся в теле симбионты.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Хранитель занимает слот уничтоженного симбионта.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</si>
  <si>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Если новое тело умирает до окончания 24-часовой перезаписи
При разрешении сценария: Какие данные персонажа и право управления сохраняются после 24-часовой перезаписи тела Хранителем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
Поля состояния: HP| S| D| M| Z| I| W| C| боевые действия| состояние| слоты| раса| класс| навыки
Числа и сроки: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</si>
  <si>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От нового тела сохраняются раса, пол, внешность, S, D, M, Z, max/current HP, травмы, экипировка, инвентарь и все оставшиеся в теле симбионты.
Поля состояния: HP| S| D| M| Z| I| W| C| боевые действия| состояние| слоты| раса| класс| навыки
Броски, ресурсы и выражения: S| D| M| Z| HP| I| W| C
Выборы и условия: От нового тела сохраняются раса, пол, внешность, S, D, M, Z, max/current HP, травмы, экипировка, инвентарь и все оставшиеся в теле симбионты.|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</si>
  <si>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Если новое тело умирает до окончания 24-часовой перезаписи
При разрешении сценария: Какие данные персонажа и право управления сохраняются после 24-часовой перезаписи тела Хранителем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
Числа и сроки: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
Выборы и условия: От нового тела сохраняются раса, пол, внешность, S, D, M, Z, max/current HP, травмы, экипировка, инвентарь и все оставшиеся в теле симбионты.|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
До этого момента телом управляет прежний игрок, а в 24-часовой фазе действий нет.</t>
  </si>
  <si>
    <t xml:space="preserve">Combat QA / Q-SYM-093.</t>
  </si>
  <si>
    <t xml:space="preserve">Q-SYM-093</t>
  </si>
  <si>
    <t xml:space="preserve">CQA-021</t>
  </si>
  <si>
    <t xml:space="preserve">Базовый сценарий Combat QA: Как Хранитель с «Попутчиками» уничтожает всех оставшихся симбионтов нового Единого перед восстановлением исходного набора?
Позднее уточнение Application QA: Как Хранитель с «Попутчиками» уничтожает оставшихся симбионтов нового Единого, как разрешаются поражение и ничья, и в какой момент восстанавливается исходный набор?</t>
  </si>
  <si>
    <t xml:space="preserve">игрок; цель; симбионт; Хранитель; Трогр; Учитель; Дельфин; Единый; Вольный; Попутчиками; Попутчиков</t>
  </si>
  <si>
    <t xml:space="preserve">После занятия первого слота приложение открывает отдельную последовательность внутренних боёв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После каждой победы освободившаяся вместимость резервируется под один случайно выбранный отсутствующий вид из сохранённого исходного набора
Если ни один отсутствующий вид пока не помещается
При заселении Вольного генетический материал «Попутчиков» теряется
При выполнении или разрешении: Хранитель с «Попутчиками» уничтожает всех оставшихся симбионтов нового Единого перед восстановлением исходного набора
При выполнении или разрешении: Хранитель с «Попутчиками» уничтожает оставшихся симбионтов нового Единого, как разрешаются поражение и ничья, и в какой момент восстанавливается исходный набор</t>
  </si>
  <si>
    <t xml:space="preserve">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t>
  </si>
  <si>
    <t xml:space="preserve">Поля состояния: ОЭ| уровень L| слоты
Броски, ресурсы и выражения: ОЭ| L
Ссылки на правила: Q-SYM-074| Q-SYM-039| Q-SYM-088
Числа и сроки: Игрок Хранителя выбирает порядок оставшихся симбионтов и перед каждым боем сравниваются их текущие ОЭ по Q-SYM-074.|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Выборы и условия: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t>
  </si>
  <si>
    <t xml:space="preserve">Базовое решение Combat QA: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</si>
  <si>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Базовое решение Combat QA: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</si>
  <si>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t>
  </si>
  <si>
    <t xml:space="preserve">Числа и сроки: Игрок Хранителя выбирает порядок оставшихся симбионтов и перед каждым боем сравниваются их текущие ОЭ по Q-SYM-074.|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Позднее уточнение Application QA (приоритетно в пересекающейся части):
Игрок может оставить часть симбионтов нового тела.</t>
  </si>
  <si>
    <t xml:space="preserve">Перед каждым боем сравниваются текущие ОЭ по Q-SYM-074
При заселении Вольного генетический материал «Попутчиков» теряется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t>
  </si>
  <si>
    <t xml:space="preserve">Combat QA / Q-SYM-094.</t>
  </si>
  <si>
    <t xml:space="preserve">Q-SYM-094</t>
  </si>
  <si>
    <t xml:space="preserve">SYM-039
SYM-074
SYM-088</t>
  </si>
  <si>
    <t xml:space="preserve">CQA-022</t>
  </si>
  <si>
    <t xml:space="preserve">Базовый сценарий Combat QA: Какое событие и сколько действий требуют «Вкус крови» Клеща, и как долго сохраняются раскрытые сведения?
Позднее уточнение Application QA: Какое событие и сколько действий требуют разные способы получить кровь для «Вкуса крови», и как долго сохраняются раскрытые сведения?</t>
  </si>
  <si>
    <t xml:space="preserve">носитель; цель; противник; оружие; Клещ; Вкус крови; Вкуса крови; взять пробу крови</t>
  </si>
  <si>
    <t xml:space="preserve">Если безоружная атака рукой с пастью Клеща нанесла цели хотя бы 1 фактический HP урона
При разрешении сценария: Какое событие и сколько действий требуют «Вкус крови» Клеща, и как долго сохраняются раскрытые сведения
При разрешении сценария: Какое событие и сколько действий требуют разные способы получить кровь для «Вкуса крови», и как долго сохраняются раскрытые сведения</t>
  </si>
  <si>
    <t xml:space="preserve">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t>
  </si>
  <si>
    <t xml:space="preserve">Поля состояния: HP| ОЭ| боевые действия| раса
Броски, ресурсы и выражения: HP| ОЭ| 1 действие
Числа и сроки: Способность бесплатно и автоматически срабатывает, когда безоружная рукопашная атака нанесла цели хотя бы 1 фактический HP урона.| Позднее уточнение Application QA (приоритетно в пересекающейся части):|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Выборы и условия: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t>
  </si>
  <si>
    <t xml:space="preserve">Базовое решение Combat QA: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Обычная атака оружием сама по себе образец не даёт. 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
Позднее уточнение Application QA (приоритетно в пересекающейся части):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</si>
  <si>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Базовое решение Combat QA: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Обычная атака оружием сама по себе образец не даёт.
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
Позднее уточнение Application QA (приоритетно в пересекающейся части):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</si>
  <si>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Позднее уточнение Application QA (приоритетно в пересекающейся части):</t>
  </si>
  <si>
    <t xml:space="preserve">При разрешении сценария: Какое событие и сколько действий требуют «Вкус крови» Клеща, и как долго сохраняются раскрытые сведения
При разрешении сценария: Какое событие и сколько действий требуют разные способы получить кровь для «Вкуса крови», и как долго сохраняются раскрытые сведения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t>
  </si>
  <si>
    <t xml:space="preserve">Если безоружная атака рукой с пастью Клеща нанесла цели хотя бы 1 фактический HP урона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t>
  </si>
  <si>
    <t xml:space="preserve">Числа и сроки: Способность бесплатно и автоматически срабатывает, когда безоружная рукопашная атака нанесла цели хотя бы 1 фактический HP урона.| Позднее уточнение Application QA (приоритетно в пересекающейся части):|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Позднее уточнение Application QA (приоритетно в пересекающейся части):
Обычная атака оружием и безоружная атака другой частью тела пробу не дают.</t>
  </si>
  <si>
    <t xml:space="preserve">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</si>
  <si>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Combat QA / Q-SYM-095.</t>
  </si>
  <si>
    <t xml:space="preserve">Q-SYM-095</t>
  </si>
  <si>
    <t xml:space="preserve">CQA-023</t>
  </si>
  <si>
    <t xml:space="preserve">Базовый сценарий Combat QA: Каков полный жизненный цикл связи «Гарпуна»: число активных гарпунов, ограничение движения, конечная позиция подтягивания и потеря гарпуна?
Позднее уточнение Application QA: Как завершается связь «Гарпуна», если гарпун уже попал в цель: можно ли втянуть или отсоединить его отдельной командой и что происходит при смерти/удалении цели либо завершении боя?</t>
  </si>
  <si>
    <t xml:space="preserve">мастер; персонаж; носитель; цель; существо; труп; боевая ситуация; Гарпуна; потерян</t>
  </si>
  <si>
    <t xml:space="preserve">После попадания создаётся связь максимальной длины L метров
При провале цель и связь остаются на месте
При окончательной смерти цели
При окончательной смерти либо удалении носителя связь также снимается
Если мастер считает
При вычислении или разрешении: полный жизненный цикл связи «Гарпуна»: число активных гарпунов, ограничение движения, конечная позиция подтягивания и потеря гарпуна
При смерти/удалении цели либо завершении боя; разрешается: завершается связь «Гарпуна», если гарпун уже попал в цель: можно ли втянуть или отсоединить его отдельной командой и что происходит</t>
  </si>
  <si>
    <t xml:space="preserve">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</si>
  <si>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Поля состояния: уровень L| S| координата/позиция| боевые действия| состояние| раса
Броски, ресурсы и выражения: L| 1 действие| 2 метра| S×L| S
Числа и сроки: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Выборы и условия: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</si>
  <si>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Базовое решение Combat QA: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</si>
  <si>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Базовое решение Combat QA: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</si>
  <si>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Гарпун можно выпустить только в персонажа-участника боевой ситуации.
Позднее уточнение Application QA (приоритетно в пересекающейся части):</t>
  </si>
  <si>
    <t xml:space="preserve">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Поля состояния: уровень L| S| координата/позиция| боевые действия| состояние| раса
Броски, ресурсы и выражения: L| 1 действие| 2 метра| S×L| S
Числа и сроки: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Выборы и условия: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</si>
  <si>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Броски, ресурсы и выражения: L| 1 действие| 2 метра| S×L| S</t>
  </si>
  <si>
    <t xml:space="preserve">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Броски, ресурсы и выражения: L| 1 действие| 2 метра| S×L| S
Числа и сроки: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Выборы и условия: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t>
  </si>
  <si>
    <t xml:space="preserve">Новый выстрел до втягивания невозможен.</t>
  </si>
  <si>
    <t xml:space="preserve">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Числа и сроки: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Выборы и условия: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t>
  </si>
  <si>
    <t xml:space="preserve">Combat QA / Q-SYM-096.</t>
  </si>
  <si>
    <t xml:space="preserve">Q-SYM-096</t>
  </si>
  <si>
    <t xml:space="preserve">CQA-024</t>
  </si>
  <si>
    <t xml:space="preserve">Кто подтверждает наличие зелёных растений для «Маскировки под растение», если приложение не моделирует окружение?</t>
  </si>
  <si>
    <t xml:space="preserve">мастер; носитель; цель; оружие; симбионт; Маскировки под растение; цель находится на фоне зелёных растений</t>
  </si>
  <si>
    <t xml:space="preserve">Перед списанием 30 ОЭ приложение отправляет мастеру запрос «цель находится на фоне зелёных растений»
После активации условие повторно не проверяется
При выборе ответственного: подтверждает наличие зелёных растений для «Маскировки под растение», если приложение не моделирует окружение</t>
  </si>
  <si>
    <t xml:space="preserve">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t>
  </si>
  <si>
    <t xml:space="preserve">Поля состояния: ОЭ| боевые действия| раса
Броски, ресурсы и выражения: 30 ОЭ| ОЭ
Числа и сроки: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Выборы и условия: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t>
  </si>
  <si>
    <t xml:space="preserve">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 Любое перемещение или применение любой другой способности любого его симбионта снимает эффект; обычная атака оружием без движения маскировку не снимает.</t>
  </si>
  <si>
    <t xml:space="preserve">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
Любое перемещение или применение любой другой способности любого его симбионта снимает эффект; обычная атака оружием без движения маскировку не снимает.</t>
  </si>
  <si>
    <t xml:space="preserve">Только подтверждение мастера позволяет объявить способность; отказ не расходует действие и ОЭ.</t>
  </si>
  <si>
    <t xml:space="preserve">Только подтверждение мастера позволяет объявить способность; отказ не расходует действие и ОЭ.
Поля состояния: ОЭ| боевые действия| раса
Числа и сроки: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Выборы и условия: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t>
  </si>
  <si>
    <t xml:space="preserve">Перед списанием 30 ОЭ приложение отправляет мастеру запрос «цель находится на фоне зелёных растений»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Поля состояния: ОЭ| боевые действия| раса
Броски, ресурсы и выражения: 30 ОЭ| ОЭ</t>
  </si>
  <si>
    <t xml:space="preserve">Только подтверждение мастера позволяет объявить способность; отказ не расходует действие и ОЭ.
Числа и сроки: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Выборы и условия: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t>
  </si>
  <si>
    <t xml:space="preserve">Числа и сроки: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t>
  </si>
  <si>
    <t xml:space="preserve">Combat QA / Q-SYM-097.</t>
  </si>
  <si>
    <t xml:space="preserve">Q-SYM-097</t>
  </si>
  <si>
    <t xml:space="preserve">CQA-025</t>
  </si>
  <si>
    <t xml:space="preserve">Базовый сценарий Combat QA: Как приложение ведёт удалившегося с поля боя летящего Сверчка и возвращает его в текущую боевую ситуацию?
Позднее уточнение Application QA: Как приложение ведёт удалившегося с поля боя летящего Сверчка, возвращает его и обрабатывает потерю дееспособности, отключение Сверчка или смерть во время полёта вне карты?</t>
  </si>
  <si>
    <t xml:space="preserve">мастер; игрок; персонаж; цель; труп; Сверчок; боевая ситуация; в полёте; дистанцию до боя</t>
  </si>
  <si>
    <t xml:space="preserve">При результате 11+ Сверчок в конце текущего хода удаляется с тактической карты и получает состояния «в полёте» и числовую «дистанцию до боя»
При достижении нуля мастер выбирает свободную точку возвращения
Если бой завершился раньше
При результате 11+ персонаж в конце текущего хода удаляется с тактической карты и получает состояния «в полёте» и числовую «дистанцию до боя»
При достижении нуля мастер выбирает свободную точку
Если бой закончился раньше
Если до возвращения персонаж получил тяжёлое ранение
При выполнении или разрешении: приложение ведёт удалившегося с поля боя летящего Сверчка и возвращает его в текущую боевую ситуацию
При выполнении или разрешении: приложение ведёт удалившегося с поля боя летящего Сверчка, возвращает его и обрабатывает потерю дееспособности, отключение Сверчка или смерть во время полёта вне карты</t>
  </si>
  <si>
    <t xml:space="preserve">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t>
  </si>
  <si>
    <t xml:space="preserve">Поля состояния: уровень L| M| C| таймер/срок| состояние| раса
Броски, ресурсы и выражения: M×L| C
Числа и сроки: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Выборы и условия: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t>
  </si>
  <si>
    <t xml:space="preserve">Базовое решение Combat QA: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</si>
  <si>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Базовое решение Combat QA: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</si>
  <si>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Числа и сроки: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Позднее уточнение Application QA (приоритетно в пересекающейся части):</t>
  </si>
  <si>
    <t xml:space="preserve">Броски, ресурсы и выражения: M×L| C</t>
  </si>
  <si>
    <t xml:space="preserve">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Броски, ресурсы и выражения: M×L| C
Числа и сроки: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Выборы и условия: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t>
  </si>
  <si>
    <t xml:space="preserve">При результате 11+ Сверчок в конце текущего хода удаляется с тактической карты и получает состояния «в полёте» и числовую «дистанцию до боя»
При результате 11+ персонаж в конце текущего хода удаляется с тактической карты и получает состояния «в полёте» и числовую «дистанцию до боя»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t>
  </si>
  <si>
    <t xml:space="preserve">При достижении нуля мастер выбирает свободную точку возвращения
При достижении нуля мастер выбирает свободную точку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При достижении нуля мастер выбирает свободную точку; персонаж появляется в начале следующего круга, после чего состояние полёта снимается.</t>
  </si>
  <si>
    <t xml:space="preserve">Combat QA / Q-SYM-098.</t>
  </si>
  <si>
    <t xml:space="preserve">Q-SYM-098</t>
  </si>
  <si>
    <t xml:space="preserve">CQA-026</t>
  </si>
  <si>
    <t xml:space="preserve">Как именно ограничивается движение двух концов связи «Выстрела паутиной» и когда связь прекращается при смерти, недееспособности либо уходе одного из участников из боя?</t>
  </si>
  <si>
    <t xml:space="preserve">носитель; цель; Выстрела паутиной</t>
  </si>
  <si>
    <t xml:space="preserve">При смерти, недееспособности либо уходе одного из участников из боя; разрешается: именно ограничивается движение двух концов связи «Выстрела паутиной» и когда связь прекращается</t>
  </si>
  <si>
    <t xml:space="preserve">Считать связь ограничителем максимальной дистанции 10 м.
Носитель по-прежнему может отсоединить нить за 1 действие, цель — освободиться за 1 действие проверкой R20+S &gt; 15+L.</t>
  </si>
  <si>
    <t xml:space="preserve">Поля состояния: уровень L| S| боевые действия
Броски, ресурсы и выражения: 1 действие| R20| S| L
Числа и сроки: 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Носитель по-прежнему может отсоединить нить за 1 действие, цель — освободиться за 1 действие проверкой R20+S &gt; 15+L.
Выборы и условия: Считать связь ограничителем максимальной дистанции 10 м.| Носитель по-прежнему может отсоединить нить за 1 действие, цель — освободиться за 1 действие проверкой R20+S &gt; 15+L.</t>
  </si>
  <si>
    <t xml:space="preserve">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Бессознательность и отключение Паука связь не снимают; смерть или удаление любого конца с карты прекращают игровой эффект связи. Носитель по-прежнему может отсоединить нить за 1 действие, цель — освободиться за 1 действие проверкой R20+S &gt; 15+L.</t>
  </si>
  <si>
    <t xml:space="preserve">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Бессознательность и отключение Паука связь не снимают; смерть или удаление любого конца с карты прекращают игровой эффект связи.
Носитель по-прежнему может отсоединить нить за 1 действие, цель — освободиться за 1 действие проверкой R20+S &gt; 15+L.</t>
  </si>
  <si>
    <t xml:space="preserve">Носитель по-прежнему может отсоединить нить за 1 действие, цель — освободиться за 1 действие проверкой R20+S &gt; 15+L.
Поля состояния: уровень L| S| боевые действия
Броски, ресурсы и выражения: 1 действие| R20| S| L
Числа и сроки: 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Носитель по-прежнему может отсоединить нить за 1 действие, цель — освободиться за 1 действие проверкой R20+S &gt; 15+L.
Выборы и условия: Считать связь ограничителем максимальной дистанции 10 м.| Носитель по-прежнему может отсоединить нить за 1 действие, цель — освободиться за 1 действие проверкой R20+S &gt; 15+L.</t>
  </si>
  <si>
    <t xml:space="preserve">Броски, ресурсы и выражения: 1 действие| R20| S| L</t>
  </si>
  <si>
    <t xml:space="preserve">Носитель по-прежнему может отсоединить нить за 1 действие, цель — освободиться за 1 действие проверкой R20+S &gt; 15+L.
Броски, ресурсы и выражения: 1 действие| R20| S| L
Числа и сроки: 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Носитель по-прежнему может отсоединить нить за 1 действие, цель — освободиться за 1 действие проверкой R20+S &gt; 15+L.
Выборы и условия: Считать связь ограничителем максимальной дистанции 10 м.| Носитель по-прежнему может отсоединить нить за 1 действие, цель — освободиться за 1 действие проверкой R20+S &gt; 15+L.</t>
  </si>
  <si>
    <t xml:space="preserve">Числа и сроки: Считать связь ограничителем максимальной дистанции 10 м.| Любое добровольное или принудительное перемещение любого конца, которое завершилось бы дальше 10 м, обрезается на границе 10 м и не перемещает второй конец.| Носитель по-прежнему может отсоединить нить за 1 действие, цель — освободиться за 1 действие проверкой R20+S &gt; 15+L.</t>
  </si>
  <si>
    <t xml:space="preserve">Combat QA / Q-SYM-099.</t>
  </si>
  <si>
    <t xml:space="preserve">Q-SYM-099</t>
  </si>
  <si>
    <t xml:space="preserve">CQA-027</t>
  </si>
  <si>
    <t xml:space="preserve">Что именно запрещает критический исход «Ловчей сети», сковавший руки носителя на 4 хода, и можно ли снять его раньше?</t>
  </si>
  <si>
    <t xml:space="preserve">носитель; предмет; оружие; Ловчей сети</t>
  </si>
  <si>
    <t xml:space="preserve">При определении: именно запрещает критический исход «Ловчей сети», сковавший руки носителя на 4 хода, и можно ли снять его раньше</t>
  </si>
  <si>
    <t xml:space="preserve">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t>
  </si>
  <si>
    <t xml:space="preserve">Поля состояния: уровень L| S| боевые действия
Броски, ресурсы и выражения: 4 хода| 1 действие| R20| S| L
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
Выборы и условия: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</si>
  <si>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</si>
  <si>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</si>
  <si>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В начале своего хода носитель может потратить 1 действие и попытаться освободиться по той же формуле R20+S &gt; 15+L; при успехе эффект снимается.
Поля состояния: уровень L| S| боевые действия
Броски, ресурсы и выражения: 4 хода| 1 действие| R20| S| L
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
Выборы и условия: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t>
  </si>
  <si>
    <t xml:space="preserve">Броски, ресурсы и выражения: 4 хода| 1 действие| R20| S| L</t>
  </si>
  <si>
    <t xml:space="preserve">В начале своего хода носитель может потратить 1 действие и попытаться освободиться по той же формуле R20+S &gt; 15+L; при успехе эффект снимается.
Броски, ресурсы и выражения: 4 хода| 1 действие| R20| S| L
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
Выборы и условия: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t>
  </si>
  <si>
    <t xml:space="preserve">При определении: именно запрещает критический исход «Ловчей сети», сковавший руки носителя на 4 хода, и можно ли снять его раньше
В начале своего хода носитель может потратить 1 действие и попытаться освободиться по той же формуле R20+S &gt; 15+L; при успехе эффект снимается.
Броски, ресурсы и выражения: 4 хода| 1 действие| R20| S| L
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
Выборы и условия: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t>
  </si>
  <si>
    <t xml:space="preserve">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t>
  </si>
  <si>
    <t xml:space="preserve">Combat QA / Q-SYM-100.</t>
  </si>
  <si>
    <t xml:space="preserve">Q-SYM-100</t>
  </si>
  <si>
    <t xml:space="preserve">CQA-028</t>
  </si>
  <si>
    <t xml:space="preserve">Сколько бросков выполняет «Чёрно-белое смещение» и какой из них одновременно является проверкой активации?</t>
  </si>
  <si>
    <t xml:space="preserve">Пингвин; Чистый; Чёрно-белое смещение</t>
  </si>
  <si>
    <t xml:space="preserve">При A≥3 эффект создаётся
При вычислении количества: бросков выполняет «Чёрно-белое смещение» и какой из них одновременно является проверкой активации</t>
  </si>
  <si>
    <t xml:space="preserve">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</si>
  <si>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Поля состояния: таймер/срок
Броски, ресурсы и выражения: R20| 4 минут| 3 часа
Числа и сроки: 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
Выборы и условия: 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</si>
  <si>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</si>
  <si>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A одновременно является проверкой активации и определяет срок A/4 минут или личных ходов
При A≥3 эффект создаётся, при A=2 отсутствует, при A=1 Пингвин теряет способность вырабатывать феромоны на 3 часа и B не бросается.
Броски, ресурсы и выражения: R20| 4 минут| 3 часа
Числа и сроки: 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</si>
  <si>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Броски, ресурсы и выражения: R20| 4 минут| 3 часа</t>
  </si>
  <si>
    <t xml:space="preserve">Выполняются два независимых чистых R20: A и B.
При A≥3 эффект создаётся, при A=2 отсутствует, при A=1 Пингвин теряет способность вырабатывать феромоны на 3 часа и B не бросается.
Броски, ресурсы и выражения: R20| 4 минут| 3 часа
Числа и сроки: 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
Выборы и условия: Выполняются два независимых чистых R20: A и B.| A одновременно является проверкой активации и определяет срок A/4 минут или личных ходов</t>
  </si>
  <si>
    <t xml:space="preserve">A одновременно является проверкой активации и определяет срок A/4 минут или личных ходов
При A≥3 эффект создаётся, при A=2 отсутствует, при A=1 Пингвин теряет способность вырабатывать феромоны на 3 часа и B не бросается.
Поля состояния: таймер/срок
Броски, ресурсы и выражения: R20| 4 минут| 3 часа
Числа и сроки: Выполняются два независимых чистых R20: A и B.| A одновременно является проверкой активации и определяет срок A/4 минут или личных ходов
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</si>
  <si>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Combat QA / Q-SYM-101.</t>
  </si>
  <si>
    <t xml:space="preserve">Q-SYM-101</t>
  </si>
  <si>
    <t xml:space="preserve">CQA-029</t>
  </si>
  <si>
    <t xml:space="preserve">Базовый сценарий Combat QA: Как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
Позднее уточнение Application QA: Как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при необходимости сближения и когда принуждение прекращается?</t>
  </si>
  <si>
    <t xml:space="preserve">игрок; носитель; цель; союзник; Пингвин; Чёрно-белой ярости; цель в течение 1 хода пытается убить носителя</t>
  </si>
  <si>
    <t xml:space="preserve">Если атака невозможна
Если носитель мёртв
Если атака уже доступна
После её полного разрешения оставшиеся действия используются свободно
Если атака пока недоступна
Как только атака становится доступна
Если носитель окончательно умер
При выполнении или разрешении: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
При необходимости сближения и когда принуждение прекращается; разрешается: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t>
  </si>
  <si>
    <t xml:space="preserve">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</si>
  <si>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Поля состояния: боевые действия| раса
Броски, ресурсы и выражения: 1 хода
Числа и сроки: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Выборы и условия: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</si>
  <si>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Базовое решение Combat QA: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</si>
  <si>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Базовое решение Combat QA: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</si>
  <si>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На один следующий личный ход цели её приоритетом становится доступная атака носителя Пингвина.
Позднее уточнение Application QA (приоритетно в пересекающейся части):
Как только атака становится доступна, первое подходящее оставшееся действие тратится на одну атаку, после чего принуждение заканчивается.</t>
  </si>
  <si>
    <t xml:space="preserve">После её полного разрешения оставшиеся действия используются свободно
При необходимости сближения и когда принуждение прекращается; разрешается: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Если атака невозможна, цель тратит доступное перемещение на сближение; остальные действия может использовать свободно.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t>
  </si>
  <si>
    <t xml:space="preserve">Броски, ресурсы и выражения: 1 хода</t>
  </si>
  <si>
    <t xml:space="preserve">Если атака невозможна
Если атака невозможна, цель тратит доступное перемещение на сближение; остальные действия может использовать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Числа и сроки: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Выборы и условия: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</si>
  <si>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При выполнении или разрешении: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
При необходимости сближения и когда принуждение прекращается; разрешается: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На один следующий личный ход цели её приоритетом становится доступная атака носителя Пингвина.
В следующий личный ход цели носитель Пингвина является её обязательной целью до разрешения одной атаки.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Броски, ресурсы и выражения: 1 хода</t>
  </si>
  <si>
    <t xml:space="preserve">Combat QA / Q-SYM-102.</t>
  </si>
  <si>
    <t xml:space="preserve">Q-SYM-102</t>
  </si>
  <si>
    <t xml:space="preserve">CQA-030</t>
  </si>
  <si>
    <t xml:space="preserve">Когда списывается первая стоимость поддержания «Электрической дуги» — при объявлении или только в начале следующего хода?</t>
  </si>
  <si>
    <t xml:space="preserve">Электрической дуги</t>
  </si>
  <si>
    <t xml:space="preserve">При объявлении сразу списать 30 ОЭ и 10 hp — это оплата первого интервала и условие создания дуги
Если полной оплаты нет
Когда списывается первая стоимость поддержания «Электрической дуги» — при объявлении или только в начале следующего хода</t>
  </si>
  <si>
    <t xml:space="preserve">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</si>
  <si>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Поля состояния: ОЭ| боевые действия
Броски, ресурсы и выражения: 30 ОЭ
Числа и сроки: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Выборы и условия: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</si>
  <si>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Такое правило не даёт бесплатного неполного первого интервала.</t>
  </si>
  <si>
    <t xml:space="preserve">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Такое правило не даёт бесплатного неполного первого интервала.</t>
  </si>
  <si>
    <t xml:space="preserve">Затем в начале каждого следующего личного хода до действий снова списывать 30 ОЭ и 10 hp.
Если полной оплаты нет, дуга прекращается до действий.
Поля состояния: ОЭ| боевые действия
Числа и сроки: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Выборы и условия: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</si>
  <si>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При объявлении сразу списать 30 ОЭ и 10 hp — это оплата первого интервала и условие создания дуги
Когда списывается первая стоимость поддержания «Электрической дуги» — при объявлении или только в начале следующего хода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Поля состояния: ОЭ| боевые действия</t>
  </si>
  <si>
    <t xml:space="preserve">Когда списывается первая стоимость поддержания «Электрической дуги» — при объявлении или только в начале следующего хода
Затем в начале каждого следующего личного хода до действий снова списывать 30 ОЭ и 10 hp.
Числа и сроки: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
Выборы и условия: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</si>
  <si>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Combat QA / Q-SYM-103.</t>
  </si>
  <si>
    <t xml:space="preserve">Q-SYM-103</t>
  </si>
  <si>
    <t xml:space="preserve">CQA-031</t>
  </si>
  <si>
    <t xml:space="preserve">Долетает ли уже выпущенная «Шаровая молния», если её обязательные 10 урона немедленно переводят носителя в тяжёлое ранение, бессознательность или смерть?</t>
  </si>
  <si>
    <t xml:space="preserve">носитель; цель; Шаровая молния</t>
  </si>
  <si>
    <t xml:space="preserve">После успешного объявления и полной оплаты снаряд считается отделившимся
При разрешении сценария: Долетает ли уже выпущенная «Шаровая молния», если её обязательные 10 урона немедленно переводят носителя в тяжёлое ранение, бессознательность или смерть</t>
  </si>
  <si>
    <t xml:space="preserve">Да.</t>
  </si>
  <si>
    <t xml:space="preserve">Числа и сроки: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Выборы и условия: Да.</t>
  </si>
  <si>
    <t xml:space="preserve">Да.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Смерть/бессознательность после запуска не отменяет уже созданный снаряд.</t>
  </si>
  <si>
    <t xml:space="preserve">Да.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
Смерть/бессознательность после запуска не отменяет уже созданный снаряд.</t>
  </si>
  <si>
    <t xml:space="preserve">Числа и сроки: После успешного объявления и полной оплаты снаряд считается отделившимся: сначала прекращается дуга и носитель получает 10 урона, затем молния в любом случае достигает выбранной допустимой цели и разрешает свой пакет.</t>
  </si>
  <si>
    <t xml:space="preserve">Combat QA / Q-SYM-104.</t>
  </si>
  <si>
    <t xml:space="preserve">Q-SYM-104</t>
  </si>
  <si>
    <t xml:space="preserve">CQA-032</t>
  </si>
  <si>
    <t xml:space="preserve">Можно ли применять «Оптимизацию метаболизма» повторно до восстановления ранее пожертвованных характеристик и как в таком случае считаются ресурсы и восстановление?</t>
  </si>
  <si>
    <t xml:space="preserve">Оптимизацию метаболизма</t>
  </si>
  <si>
    <t xml:space="preserve">При попытке выполнить: применять «Оптимизацию метаболизма» повторно до восстановления ранее пожертвованных характеристик и как в таком случае считаются ресурсы и восстановление</t>
  </si>
  <si>
    <t xml:space="preserve">Да, пока каждая характеристика остаётся не ниже 1 и хватает ОЭ.</t>
  </si>
  <si>
    <t xml:space="preserve">Поля состояния: ОЭ| раса
Броски, ресурсы и выражения: ОЭ
Числа и сроки: Да, пока каждая характеристика остаётся не ниже 1 и хватает ОЭ.|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
Выборы и условия: Да, пока каждая характеристика остаётся не ниже 1 и хватает ОЭ.</t>
  </si>
  <si>
    <t xml:space="preserve">Да, пока каждая характеристика остаётся не ниже 1 и хватает ОЭ. Каждое применение добавляет новые пожертвованные пункты в один общий пул; цена и бонусы рассчитываются только по новым пунктам.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</si>
  <si>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Да, пока каждая характеристика остаётся не ниже 1 и хватает ОЭ.
Каждое применение добавляет новые пожертвованные пункты в один общий пул; цена и бонусы рассчитываются только по новым пунктам.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</si>
  <si>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Каждое применение добавляет новые пожертвованные пункты в один общий пул; цена и бонусы рассчитываются только по новым пунктам.</t>
  </si>
  <si>
    <t xml:space="preserve">Числа и сроки: Да, пока каждая характеристика остаётся не ниже 1 и хватает ОЭ.|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</si>
  <si>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При попытке выполнить: применять «Оптимизацию метаболизма» повторно до восстановления ранее пожертвованных характеристик и как в таком случае считаются ресурсы и восстановление
Да, пока каждая характеристика остаётся не ниже 1 и хватает ОЭ.
Поля состояния: ОЭ| раса
Броски, ресурсы и выражения: ОЭ
Числа и сроки: Да, пока каждая характеристика остаётся не ниже 1 и хватает ОЭ.|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</si>
  <si>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Combat QA / Q-SYM-105.</t>
  </si>
  <si>
    <t xml:space="preserve">Q-SYM-105</t>
  </si>
  <si>
    <t xml:space="preserve">CQA-033</t>
  </si>
  <si>
    <t xml:space="preserve">Как разрешается боевая атака «Языком жабы»: нужна ли обычная проверка меткости/защита и что считается допустимой тонкой одеждой или препятствующей бронёй?</t>
  </si>
  <si>
    <t xml:space="preserve">броня; Жаба; Языком жабы; Амфибиоморфной асфиксии</t>
  </si>
  <si>
    <t xml:space="preserve">При выполнении или разрешении: разрешается боевая атака «Языком жабы»: нужна ли обычная проверка меткости/защита и что считается допустимой тонкой одеждой или препятствующей бронёй</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</si>
  <si>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</si>
  <si>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Поля состояния: уровень L| боевые действия| навыки
Броски, ресурсы и выражения: L| 1 действие
Числа и сроки: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Выборы и условия: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</si>
  <si>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</si>
  <si>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</si>
  <si>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Поля состояния: уровень L| боевые действия| навыки
Броски, ресурсы и выражения: L| 1 действие
Числа и сроки: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Выборы и условия: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</si>
  <si>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Броски, ресурсы и выражения: L| 1 действие
Числа и сроки: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Выборы и условия: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</si>
  <si>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Числа и сроки: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t>
  </si>
  <si>
    <t xml:space="preserve">Combat QA / Q-SYM-106.</t>
  </si>
  <si>
    <t xml:space="preserve">Q-SYM-106</t>
  </si>
  <si>
    <t xml:space="preserve">CQA-034</t>
  </si>
  <si>
    <t xml:space="preserve">Базовый сценарий Combat QA: Что происходит с Крысой, находящейся вне тела, если её носитель умирает или покидает бой до возвращения симбионта?
Позднее уточнение Application QA: Что происходит с Крысой вне тела, если её носитель окончательно умирает либо живым покидает текущую боевую ситуацию до возвращения симбионта?</t>
  </si>
  <si>
    <t xml:space="preserve">мастер; игрок; носитель; существо; труп; симбионт; Крыса; группа; боевая ситуация</t>
  </si>
  <si>
    <t xml:space="preserve">При окончательной смерти носителя находящаяся вне тела Крыса немедленно умирает
Если носитель покинул бой живым
Если носитель снова появляется на карте и возникает физический контакт
При завершении боя
Когда её носитель умирает или покидает бой до возвращения симбионта; объект: Крысой, находящейся вне тела,
Когда её носитель окончательно умирает либо живым покидает текущую боевую ситуацию до возвращения симбионта; объект: Крысой вне тела</t>
  </si>
  <si>
    <t xml:space="preserve">Если носитель покинул бой живым, Крыса не умирает, не телепортируется к нему и остаётся самостоятельным участником под управлением того же игрока.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</si>
  <si>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Поля состояния: уровень L| инициатива
Броски, ресурсы и выражения: L
Числа и сроки: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Срок автономного существования L часов продолжает идти; при его истечении Крыса погибает по общему правилу.
Выборы и условия: Если носитель покинул бой живым, Крыса не умирает, не телепортируется к нему и остаётся самостоятельным участником под управлением того же игрока.|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</si>
  <si>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Базовое решение Combat QA:
Со смертью носителя Крыса немедленно умирает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</si>
  <si>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Базовое решение Combat QA:
Со смертью носителя Крыса немедленно умирает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</si>
  <si>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Числа и сроки: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Срок автономного существования L часов продолжает идти; при его истечении Крыса погибает по общему правилу.
Позднее уточнение Application QA (приоритетно в пересекающейся части):
Срок автономного существования L часов продолжает идти; при его истечении Крыса погибает по общему правилу.</t>
  </si>
  <si>
    <t xml:space="preserve">Числа и сроки: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Срок автономного существования L часов продолжает идти; при его истечении Крыса погибает по общему правилу.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t>
  </si>
  <si>
    <t xml:space="preserve">Combat QA / Q-SYM-107.</t>
  </si>
  <si>
    <t xml:space="preserve">Q-SYM-107</t>
  </si>
  <si>
    <t xml:space="preserve">CQA-035</t>
  </si>
  <si>
    <t xml:space="preserve">Каковы жизненный цикл стаи и удалённого приказа, если Крыса-вожак погибает, возвращается в тело, носитель теряет сознание, умирает или покидает бой?</t>
  </si>
  <si>
    <t xml:space="preserve">носитель; Крыса; Ретранслятор</t>
  </si>
  <si>
    <t xml:space="preserve">При возвращении Крысы в живого носителя «Ретранслятор» передаёт носителю управление на 24 часа
При вычислении или разрешении: жизненный цикл стаи и удалённого приказа, если Крыса-вожак погибает, возвращается в тело, носитель теряет сознание, умирает или покидает бой</t>
  </si>
  <si>
    <t xml:space="preserve">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t>
  </si>
  <si>
    <t xml:space="preserve">Броски, ресурсы и выражения: 24 часа| 24 часов
Числа и сроки: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
Выборы и условия: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t>
  </si>
  <si>
    <t xml:space="preserve">Пока Крыса вне тела и жива, она сама является вожаком. Её смерть немедленно запускает обычное отступление стаи.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</si>
  <si>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Пока Крыса вне тела и жива, она сама является вожаком.
Её смерть немедленно запускает обычное отступление стаи.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</si>
  <si>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При возвращении Крысы в живого носителя «Ретранслятор» передаёт носителю управление на 24 часа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Броски, ресурсы и выражения: 24 часа| 24 часов
Числа и сроки: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
Выборы и условия: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t>
  </si>
  <si>
    <t xml:space="preserve">Броски, ресурсы и выражения: 24 часа| 24 часов</t>
  </si>
  <si>
    <t xml:space="preserve">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Числа и сроки: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
Выборы и условия: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t>
  </si>
  <si>
    <t xml:space="preserve">При возвращении Крысы в живого носителя «Ретранслятор» передаёт носителю управление на 24 часа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Броски, ресурсы и выражения: 24 часа| 24 часов
Числа и сроки: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
Выборы и условия: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</si>
  <si>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Combat QA / Q-SYM-108.</t>
  </si>
  <si>
    <t xml:space="preserve">Q-SYM-108</t>
  </si>
  <si>
    <t xml:space="preserve">CQA-036</t>
  </si>
  <si>
    <t xml:space="preserve">До какого точного момента «Эхолокация» раскрывает замаскированных существ и когда Хамелеон снова становится скрытым?</t>
  </si>
  <si>
    <t xml:space="preserve">носитель; союзник; существо; Хамелеон; Дельфин; Эхолокация</t>
  </si>
  <si>
    <t xml:space="preserve">При разрешении сценария: До какого точного момента «Эхолокация» раскрывает замаскированных существ и когда Хамелеон снова становится скрытым</t>
  </si>
  <si>
    <t xml:space="preserve">В этот момент статус раскрытия снимается.
Новая проверка скрытности выполняется только при следующей попытке обнаружения по общим правилам.</t>
  </si>
  <si>
    <t xml:space="preserve">Поля состояния: раса
Числа и сроки: Раскрытие действует с успешного применения до начала следующего личного хода носителя Дельфина.
Выборы и условия: В этот момент статус раскрытия снимается.| Новая проверка скрытности выполняется только при следующей попытке обнаружения по общим правилам.</t>
  </si>
  <si>
    <t xml:space="preserve">Раскрытие действует с успешного применения до начала следующего личного хода носителя Дельфина. В этот момент статус раскрытия снимается. Активная динамическая маскировка Хамелеона начинает снова давать свой модификатор автоматически; статическая требует, чтобы носитель по-прежнему не двигался. 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</si>
  <si>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Раскрытие действует с успешного применения до начала следующего личного хода носителя Дельфина.
В этот момент статус раскрытия снимается.
Активная динамическая маскировка Хамелеона начинает снова давать свой модификатор автоматически; статическая требует, чтобы носитель по-прежнему не двигался.
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</si>
  <si>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Важно: эхолокация раскрывает хамелеона только носителю дельфина, союзники дельфина по прежнему не видят хамелеона даже при успешном применении дельфином эхолокации.
Новая проверка скрытности выполняется только при следующей попытке обнаружения по общим правилам.</t>
  </si>
  <si>
    <t xml:space="preserve">Числа и сроки: Раскрытие действует с успешного применения до начала следующего личного хода носителя Дельфина.
Раскрытие действует с успешного применения до начала следующего личного хода носителя Дельфина.</t>
  </si>
  <si>
    <t xml:space="preserve">Combat QA / Q-SYM-109.</t>
  </si>
  <si>
    <t xml:space="preserve">Q-SYM-109</t>
  </si>
  <si>
    <t xml:space="preserve">CQA-037</t>
  </si>
  <si>
    <t xml:space="preserve">Должны ли два удара «Инстинкта убийцы» иметь одну цель и объявляться одновременно, либо вторую цель можно выбрать после разрешения первого удара?</t>
  </si>
  <si>
    <t xml:space="preserve">игрок; цель; броня; Инстинкта убийцы</t>
  </si>
  <si>
    <t xml:space="preserve">После полного разрешения первого удара игрок выбирает допустимую цель второго
При проверке требования: ли два удара «Инстинкта убийцы» иметь одну цель и объявляться одновременно, либо вторую цель можно выбрать после разрешения первого удара</t>
  </si>
  <si>
    <t xml:space="preserve">После полного разрешения первого удара игрок выбирает допустимую цель второго; она может совпадать с первой или быть другой.</t>
  </si>
  <si>
    <t xml:space="preserve">Поля состояния: боевые действия
Числа и сроки: Оба удара входят в одно боевое действие, но объявляются и разрешаются последовательно.
Выборы и условия: После полного разрешения первого удара игрок выбирает допустимую цель второго; она может совпадать с первой или быть другой.</t>
  </si>
  <si>
    <t xml:space="preserve">Оба удара входят в одно боевое действие, но объявляются и разрешаются последовательно. После полного разрешения первого удара игрок выбирает допустимую цель второго; она может совпадать с первой или быть другой. Каждый удар имеет собственные точность, защиту, зону, бронепробитие и урон.</t>
  </si>
  <si>
    <t xml:space="preserve">Оба удара входят в одно боевое действие, но объявляются и разрешаются последовательно.
После полного разрешения первого удара игрок выбирает допустимую цель второго; она может совпадать с первой или быть другой.
Каждый удар имеет собственные точность, защиту, зону, бронепробитие и урон.</t>
  </si>
  <si>
    <t xml:space="preserve">Поля состояния: боевые действия
Числа и сроки: Оба удара входят в одно боевое действие, но объявляются и разрешаются последовательно.
Оба удара входят в одно боевое действие, но объявляются и разрешаются последовательно.</t>
  </si>
  <si>
    <t xml:space="preserve">Числа и сроки: Оба удара входят в одно боевое действие, но объявляются и разрешаются последовательно.</t>
  </si>
  <si>
    <t xml:space="preserve">Combat QA / Q-SYM-110.</t>
  </si>
  <si>
    <t xml:space="preserve">Q-SYM-110</t>
  </si>
  <si>
    <t xml:space="preserve">CQA-038</t>
  </si>
  <si>
    <t xml:space="preserve">Какие события прекращают «Веерную защиту» помимо добровольного движения и атаки?</t>
  </si>
  <si>
    <t xml:space="preserve">броня; Богомол; Веерную защиту</t>
  </si>
  <si>
    <t xml:space="preserve">При разрешении сценария: Какие события прекращают «Веерную защиту» помимо добровольного движения и атаки</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</si>
  <si>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t>
  </si>
  <si>
    <t xml:space="preserve">Выборы и условия: 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</si>
  <si>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 Пассивное получение урона и срабатывание обычной брони сами по себе стойку не снимают.</t>
  </si>
  <si>
    <t xml:space="preserve">Стойка прекращается немедленно при любом добровольном или принудительном перемещении, любой физической атаке, применении активной способности, активной защите, тяжёлом ранении, потере сознания, смерти, отключении Богомола либо складывании хотя бы одного клинка.
Пассивное получение урона и срабатывание обычной брони сами по себе стойку не снимают.</t>
  </si>
  <si>
    <t xml:space="preserve">Combat QA / Q-SYM-111.</t>
  </si>
  <si>
    <t xml:space="preserve">Q-SYM-111</t>
  </si>
  <si>
    <t xml:space="preserve">CQA-039</t>
  </si>
  <si>
    <t xml:space="preserve">Как «Вонючее облако» взаимодействует с герметичным Нэйтом, собственной Жабой и другими иммунитетами к яду/газу?</t>
  </si>
  <si>
    <t xml:space="preserve">существо; Жаба; Вонючее облако</t>
  </si>
  <si>
    <t xml:space="preserve">При выполнении или разрешении: «Вонючее облако» взаимодействует с герметичным Нэйтом, собственной Жабой и другими иммунитетами к яду/газу</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</si>
  <si>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t>
  </si>
  <si>
    <t xml:space="preserve">Поля состояния: M| боевые действия
Броски, ресурсы и выражения: M
Числа и сроки: Герметичный Нэйт или независимая замкнутая система дыхания полностью предотвращают снижение M и ограничение действий, пока защита герметична.
Выборы и условия: Герметичный Нэйт или независимая замкнутая система дыхания полностью предотвращают снижение M и ограничение действий, пока защита герметична.</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</si>
  <si>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</si>
  <si>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</si>
  <si>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Поля состояния: M| боевые действия
Числа и сроки: Герметичный Нэйт или независимая замкнутая система дыхания полностью предотвращают снижение M и ограничение действий, пока защита герметична.
Выборы и условия: Герметичный Нэйт или независимая замкнутая система дыхания полностью предотвращают снижение M и ограничение действий, пока защита герметична.</t>
  </si>
  <si>
    <t xml:space="preserve">Броски, ресурсы и выражения: M</t>
  </si>
  <si>
    <t xml:space="preserve">Числа и сроки: Герметичный Нэйт или независимая замкнутая система дыхания полностью предотвращают снижение M и ограничение действий, пока защита герметична.</t>
  </si>
  <si>
    <t xml:space="preserve">Combat QA / Q-SYM-112.</t>
  </si>
  <si>
    <t xml:space="preserve">Q-SYM-112</t>
  </si>
  <si>
    <t xml:space="preserve">CQA-040</t>
  </si>
  <si>
    <t xml:space="preserve">Базовый сценарий Combat QA: Как выбирается точка «Навесного выстрела»: нужна ли проверка меткости, учитываются ли препятствия и что означает дальность 5L/10L при движении?
Позднее уточнение Application QA: Как выбирается точка «Навесного выстрела», нужна ли проверка меткости, учитываются ли препятствия и как определяется дальность с места и на бегу?</t>
  </si>
  <si>
    <t xml:space="preserve">игрок; персонаж; Чистый; Навесного выстрела; с места; на бегу; Анальной железы</t>
  </si>
  <si>
    <t xml:space="preserve">При объявлении игрок выбирает режим «с места» или «на бегу»
После получения результата игрок выбирает точку в пределах рассчитанной дальности
При движении; разрешается: выбирается точка «Навесного выстрела»: нужна ли проверка меткости, учитываются ли препятствия и что означает дальность 5L/10L
При выполнении или разрешении: выбирается точка «Навесного выстрела», нужна ли проверка меткости, учитываются ли препятствия и как определяется дальность с места и на бегу</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</si>
  <si>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</si>
  <si>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Поля состояния: уровень L| D| боевые действия| раса
Броски, ресурсы и выражения: R20| R12| 2 метра| 1 метр
Ссылки на правила: Q-SYM-070
Числа и сроки: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
Выборы и условия: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</si>
  <si>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Базовое решение Combat QA: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</si>
  <si>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Базовое решение Combat QA: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</si>
  <si>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Поля состояния: уровень L| D| боевые действия| раса
Числа и сроки: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
Выборы и условия: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</si>
  <si>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Броски, ресурсы и выражения: R20| R12| 2 метра| 1 метр</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</si>
  <si>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Эта формулировка заменяет прежний ответ с 5L/10L; нормативная формула рулбука — 2×R20 с места и R20 на бегу.
Затем выполняется один чистый R20 дальности.
Максимальная дальность центра взрыва равна 2×R20 метров с места и R20 метров на бегу.
Затем отдельно бросается R12 радиуса, а для каждого персонажа в области отдельно применяется таблица «Анальной железы» по Q-SYM-070.
Броски, ресурсы и выражения: R20| R12| 2 метра| 1 метр
Числа и сроки: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
Выборы и условия: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</si>
  <si>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Числа и сроки: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
Выборы и условия: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
Позднее уточнение Application QA (приоритетно в пересекающейся части):</t>
  </si>
  <si>
    <t xml:space="preserve">Combat QA / Q-SYM-113.
MON — симбиотические чудовища (20)</t>
  </si>
  <si>
    <t xml:space="preserve">Q-SYM-113</t>
  </si>
  <si>
    <t xml:space="preserve">CQA-041</t>
  </si>
  <si>
    <t xml:space="preserve">Требует ли «Взгляд мясника» линии видимости, проверки меткости или активной защиты цели и как выбирается цель при нескольких существах?</t>
  </si>
  <si>
    <t xml:space="preserve">Combat QA / MON — симбиотические чудовища (20).</t>
  </si>
  <si>
    <t xml:space="preserve">цель; существо; броня; Химера; Чистый; Взгляд мясника</t>
  </si>
  <si>
    <t xml:space="preserve">При проверке условия «Требует ли»: «Взгляд мясника» линии видимости, проверки меткости или активной защиты цели и как выбирается цель при нескольких существах</t>
  </si>
  <si>
    <t xml:space="preserve">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</si>
  <si>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Броски, ресурсы и выражения: R20
Числа и сроки: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
Выборы и условия: 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</si>
  <si>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</si>
  <si>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</si>
  <si>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Броски, ресурсы и выражения: R20</t>
  </si>
  <si>
    <t xml:space="preserve">Выполняется только указанный чистый R20 способности, после чего сохраняется её информационный или наградной результат.
Броски, ресурсы и выражения: R20
Числа и сроки: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
Выборы и условия: 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</si>
  <si>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Проверки меткости, зоны попадания, активной защиты, ментального сопротивления и брони не выполняются: это сенсорная оценка, а не воздействие на цель.
Числа и сроки: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
Выборы и условия: 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</si>
  <si>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Числа и сроки: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</si>
  <si>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Combat QA / Q-MON-069.</t>
  </si>
  <si>
    <t xml:space="preserve">Q-MON-069</t>
  </si>
  <si>
    <t xml:space="preserve">CQA-042</t>
  </si>
  <si>
    <t xml:space="preserve">Базовый сценарий Combat QA: Как «Охотничий азарт» удваивает движение и что происходит, когда отмеченная цель перестаёт убегать, умирает или выходит из боя?
Позднее уточнение Application QA: Как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</si>
  <si>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цель; Химера; Охотничий азарт; Гончей</t>
  </si>
  <si>
    <t xml:space="preserve">После появления метки бонус не зависит от того
При выполнении или разрешении: «Охотничий азарт» удваивает движение и что происходит, когда отмеченная цель перестаёт убегать, умирает или выходит из боя
При выполнении или разрешении: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</si>
  <si>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Метка и бонус снимаются, когда цель либо удалена с боевой карты; новая цель требует нового срабатывания способности.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t>
  </si>
  <si>
    <t xml:space="preserve">Поля состояния: боевые действия| таймер/срок
Числа и сроки: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Метка и бонус немедленно снимаются при окончательной смерти цели, её удалении с боевой карты, завершении боя или истечении срока «Гончей».
Выборы и условия: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Метка и бонус снимаются, когда цель либо удалена с боевой карты; новая цель требует нового срабатывания способности.|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t>
  </si>
  <si>
    <t xml:space="preserve">Базовое решение Combat QA: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</si>
  <si>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Базовое решение Combat QA: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</si>
  <si>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</si>
  <si>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Поля состояния: боевые действия| таймер/срок
Числа и сроки: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Метка и бонус немедленно снимаются при окончательной смерти цели, её удалении с боевой карты, завершении боя или истечении срока «Гончей».
Выборы и условия: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Метка и бонус снимаются, когда цель либо удалена с боевой карты; новая цель требует нового срабатывания способности.|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t>
  </si>
  <si>
    <t xml:space="preserve">При выполнении или разрешении: «Охотничий азарт» удваивает движение и когда снимаются метка и бонус, если цель перестала убегать, умерла, покинула бой либо истёк срок «Гончей»
Поля состояния: боевые действия| таймер/срок
Числа и сроки: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Метка и бонус немедленно снимаются при окончательной смерти цели, её удалении с боевой карты, завершении боя или истечении срока «Гончей».
Позднее уточнение Application QA (приоритетно в пересекающейся части):
Метка и бонус немедленно снимаются при окончательной смерти цели, её удалении с боевой карты, завершении боя или истечении срока «Гончей».</t>
  </si>
  <si>
    <t xml:space="preserve">Combat QA / Q-MON-070.</t>
  </si>
  <si>
    <t xml:space="preserve">Q-MON-070</t>
  </si>
  <si>
    <t xml:space="preserve">CQA-043</t>
  </si>
  <si>
    <t xml:space="preserve">Снимает ли успешная «Неудержимость» уже действующий контроль и какие состояния она не может отменить?</t>
  </si>
  <si>
    <t xml:space="preserve">Химера; Неудержимость</t>
  </si>
  <si>
    <t xml:space="preserve">При успешной проверке немедленно снять все действующие эффекты физического и ментального контроля
При разрешении сценария: Снимает ли успешная «Неудержимость» уже действующий контроль и какие состояния она не может отменить</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</si>
  <si>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t>
  </si>
  <si>
    <t xml:space="preserve">Поля состояния: таймер/срок| состояние
Числа и сроки: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Выборы и условия: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</si>
  <si>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Способность не снимает тяжёлое ранение, потерю сознания, смерть, урон, травмы и отключение самой Химеры.</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</si>
  <si>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Способность не снимает тяжёлое ранение, потерю сознания, смерть, урон, травмы и отключение самой Химеры.</t>
  </si>
  <si>
    <t xml:space="preserve">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Поля состояния: таймер/срок| состояние
Числа и сроки: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
Выборы и условия: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t>
  </si>
  <si>
    <t xml:space="preserve">Combat QA / Q-MON-071.</t>
  </si>
  <si>
    <t xml:space="preserve">Q-MON-071</t>
  </si>
  <si>
    <t xml:space="preserve">CQA-044</t>
  </si>
  <si>
    <t xml:space="preserve">Как именно работает бесплатное сближение «Змеиного броска»: частота, направление, дистанция и выбранная цель?</t>
  </si>
  <si>
    <t xml:space="preserve">цель; Химера; Змеиного броска; Гончей; Охотничьим азартом</t>
  </si>
  <si>
    <t xml:space="preserve">При выполнении или разрешении: именно работает бесплатное сближение «Змеиного броска»: частота, направление, дистанция и выбранная цель</t>
  </si>
  <si>
    <t xml:space="preserve">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t>
  </si>
  <si>
    <t xml:space="preserve">Поля состояния: боевые действия
Числа и сроки: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Выборы и условия: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t>
  </si>
  <si>
    <t xml:space="preserve">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Перемещение относится только к одной текущей метке и прекращается при смерти/удалении цели.</t>
  </si>
  <si>
    <t xml:space="preserve">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Перемещение относится только к одной текущей метке и прекращается при смерти/удалении цели.</t>
  </si>
  <si>
    <t xml:space="preserve">Перемещение относится только к одной текущей метке и прекращается при смерти/удалении цели.</t>
  </si>
  <si>
    <t xml:space="preserve">При выполнении или разрешении: именно работает бесплатное сближение «Змеиного броска»: частота, направление, дистанция и выбранная цель
Поля состояния: боевые действия
Числа и сроки: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Это не боевое действие и не удваивается «Охотничьим азартом».</t>
  </si>
  <si>
    <t xml:space="preserve">При выполнении или разрешении: именно работает бесплатное сближение «Змеиного броска»: частота, направление, дистанция и выбранная цель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Числа и сроки: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Выборы и условия: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t>
  </si>
  <si>
    <t xml:space="preserve">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Числа и сроки: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
Выборы и условия: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t>
  </si>
  <si>
    <t xml:space="preserve">Combat QA / Q-MON-072.</t>
  </si>
  <si>
    <t xml:space="preserve">Q-MON-072</t>
  </si>
  <si>
    <t xml:space="preserve">CQA-045</t>
  </si>
  <si>
    <t xml:space="preserve">Как досрочно прекращается успешная форма «Ведомого голодом» при смерти/отключении Химеры и в каком порядке откатываются удвоенные maxHP и currentHP?</t>
  </si>
  <si>
    <t xml:space="preserve">Химера; Ведомого голодом</t>
  </si>
  <si>
    <t xml:space="preserve">При смерти/отключении Химеры и в каком порядке откатываются удвоенные maxHP и currentHP; разрешается: досрочно прекращается успешная форма «Ведомого голодом»</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</si>
  <si>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t>
  </si>
  <si>
    <t xml:space="preserve">Поля состояния: currentHP| maxHP| S| D| M| Z| таймер/срок
Идентификаторы данных: maxHP| currentHP
Броски, ресурсы и выражения: maxHP| currentHP| S| D| M| Z
Ссылки на правила: Q-MON-009
Числа и сроки: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Критическая 1 уже однозначна по Q-MON-009: она отключает саму Химеру до конца боя и форму не создаёт.
Выборы и условия: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</si>
  <si>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 Критическая 1 уже однозначна по Q-MON-009: она отключает саму Химеру до конца боя и форму не создаёт.</t>
  </si>
  <si>
    <t xml:space="preserve">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
Критическая 1 уже однозначна по Q-MON-009: она отключает саму Химеру до конца боя и форму не создаёт.</t>
  </si>
  <si>
    <t xml:space="preserve">Броски, ресурсы и выражения: maxHP| currentHP| S| D| M| Z</t>
  </si>
  <si>
    <t xml:space="preserve">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Числа и сроки: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Критическая 1 уже однозначна по Q-MON-009: она отключает саму Химеру до конца боя и форму не создаёт.
Выборы и условия: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t>
  </si>
  <si>
    <t xml:space="preserve">Числа и сроки: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Критическая 1 уже однозначна по Q-MON-009: она отключает саму Химеру до конца боя и форму не создаёт.
Критическая 1 уже однозначна по Q-MON-009: она отключает саму Химеру до конца боя и форму не создаёт.</t>
  </si>
  <si>
    <t xml:space="preserve">Поля состояния: currentHP| maxHP| S| D| M| Z| таймер/срок
Числа и сроки: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Критическая 1 уже однозначна по Q-MON-009: она отключает саму Химеру до конца боя и форму не создаёт.
Критическая 1 уже однозначна по Q-MON-009: она отключает саму Химеру до конца боя и форму не создаёт.</t>
  </si>
  <si>
    <t xml:space="preserve">Combat QA / Q-MON-073.</t>
  </si>
  <si>
    <t xml:space="preserve">Q-MON-073</t>
  </si>
  <si>
    <t xml:space="preserve">CQA-046</t>
  </si>
  <si>
    <t xml:space="preserve">Нужен ли свободный слот навыка для результата «Ментального ученика» и что происходит, если случайно выбран уже известный навык или навык без доступного слота?</t>
  </si>
  <si>
    <t xml:space="preserve">Ментального ученика</t>
  </si>
  <si>
    <t xml:space="preserve">Если случайно выбран уже известный градуируемый навык
Если выбран новый навык
При разрешении сценария: Нужен ли свободный слот навыка для результата «Ментального ученика» и что происходит, если случайно выбран уже известный навык или навык без доступного слота</t>
  </si>
  <si>
    <t xml:space="preserve">Если случайно выбран уже известный градуируемый навык, повысить его на одну ступень без нового слота, но не выше максимума.
Если выбран новый навык, а подходящего слота нет, способность считается использованной, но навык не добавляется; переброса нет.</t>
  </si>
  <si>
    <t xml:space="preserve">Поля состояния: слоты| навыки
Числа и сроки: Если выбран новый навык, а подходящего слота нет, способность считается использованной, но навык не добавляется; переброса нет.
Выборы и условия: Если случайно выбран уже известный градуируемый навык, повысить его на одну ступень без нового слота, но не выше максимума.| Если выбран новый навык, а подходящего слота нет, способность считается использованной, но навык не добавляется; переброса нет.</t>
  </si>
  <si>
    <t xml:space="preserve">Для получения нового навыка нужен свободный слот соответствующего типа по общим правилам навыков. Если случайно выбран уже известный градуируемый навык, повысить его на одну ступень без нового слота, но не выше максимума. Если выбран новый навык, а подходящего слота нет, способность считается использованной, но навык не добавляется; переброса нет.</t>
  </si>
  <si>
    <t xml:space="preserve">Для получения нового навыка нужен свободный слот соответствующего типа по общим правилам навыков.
Если случайно выбран уже известный градуируемый навык, повысить его на одну ступень без нового слота, но не выше максимума.
Если выбран новый навык, а подходящего слота нет, способность считается использованной, но навык не добавляется; переброса нет.</t>
  </si>
  <si>
    <t xml:space="preserve">Числа и сроки: Если выбран новый навык, а подходящего слота нет, способность считается использованной, но навык не добавляется; переброса нет.</t>
  </si>
  <si>
    <t xml:space="preserve">Combat QA / Q-MON-074.</t>
  </si>
  <si>
    <t xml:space="preserve">Q-MON-074</t>
  </si>
  <si>
    <t xml:space="preserve">CQA-047</t>
  </si>
  <si>
    <t xml:space="preserve">Сколько одновременно украденных навыков может поддерживать «Превосходство» и что происходит при краже нового навыка у той же или другой цели?</t>
  </si>
  <si>
    <t xml:space="preserve">носитель; цель; существо; Кукловод; Превосходство</t>
  </si>
  <si>
    <t xml:space="preserve">При успешной новой краже прежний навык немедленно возвращается прежней цели и удаляется у носителя
При вычислении количества: одновременно украденных навыков может поддерживать «Превосходство» и что происходит при краже нового навыка у той же или другой цели</t>
  </si>
  <si>
    <t xml:space="preserve">Смерть цели после завершённой кражи не возвращает навык автоматически; смерть/удаление Кукловода возвращает его цели, если она существует.</t>
  </si>
  <si>
    <t xml:space="preserve">Поля состояния: навыки
Выборы и условия: Смерть цели после завершённой кражи не возвращает навык автоматически; смерть/удаление Кукловода возвращает его цели, если она существует.</t>
  </si>
  <si>
    <t xml:space="preserve">Кукловод поддерживает не более одного украденного навыка суммарно. При успешной новой краже прежний навык немедленно возвращается прежней цели и удаляется у носителя, затем применяется новый. Неудачная попытка не заменяет текущий навык. Смерть цели после завершённой кражи не возвращает навык автоматически; смерть/удаление Кукловода возвращает его цели, если она существует.</t>
  </si>
  <si>
    <t xml:space="preserve">Кукловод поддерживает не более одного украденного навыка суммарно.
При успешной новой краже прежний навык немедленно возвращается прежней цели и удаляется у носителя, затем применяется новый.
Неудачная попытка не заменяет текущий навык.
Смерть цели после завершённой кражи не возвращает навык автоматически; смерть/удаление Кукловода возвращает его цели, если она существует.</t>
  </si>
  <si>
    <t xml:space="preserve">Combat QA / Q-MON-075.</t>
  </si>
  <si>
    <t xml:space="preserve">Q-MON-075</t>
  </si>
  <si>
    <t xml:space="preserve">CQA-048</t>
  </si>
  <si>
    <t xml:space="preserve">Какие действия доступны Кукловоду во время «Чужих чувств», какими органами чувств он пользуется и какие события досрочно прекращают связь?</t>
  </si>
  <si>
    <t xml:space="preserve">мастер; игрок; Кукловод; Чужих чувств; Чужие чувства</t>
  </si>
  <si>
    <t xml:space="preserve">При разрешении сценария: Какие действия доступны Кукловоду во время «Чужих чувств», какими органами чувств он пользуется и какие события досрочно прекращают связь</t>
  </si>
  <si>
    <t xml:space="preserve">Способность «Чужие чувства» не автоматизируется приложением и отыгрывается мастером и игроком устно</t>
  </si>
  <si>
    <t xml:space="preserve">Поля состояния: боевые действия
Выборы и условия: Способность «Чужие чувства» не автоматизируется приложением и отыгрывается мастером и игроком устно</t>
  </si>
  <si>
    <t xml:space="preserve">При разрешении сценария: Какие действия доступны Кукловоду во время «Чужих чувств», какими органами чувств он пользуется и какие события досрочно прекращают связь
Поля состояния: боевые действия</t>
  </si>
  <si>
    <t xml:space="preserve">Combat QA / Q-MON-076.</t>
  </si>
  <si>
    <t xml:space="preserve">Q-MON-076</t>
  </si>
  <si>
    <t xml:space="preserve">CQA-049</t>
  </si>
  <si>
    <t xml:space="preserve">Когда прекращается «Марионетка» при смерти/недееспособности источника или цели и как приложение должно обрабатывать опасные для цели приказы?</t>
  </si>
  <si>
    <t xml:space="preserve">цель; источник эффекта; Кукловод; Марионетка</t>
  </si>
  <si>
    <t xml:space="preserve">Когда прекращается «Марионетка» при смерти/недееспособности источника или цели и как приложение должно обрабатывать опасные для цели приказы</t>
  </si>
  <si>
    <t xml:space="preserve">Эффект немедленно прекращается при смерти, тяжёлом ранении, бессознательности или отключении Кукловода, а также при смерти цели.</t>
  </si>
  <si>
    <t xml:space="preserve">Поля состояния: боевые действия
Числа и сроки: Другие ограничения не обрабатываются; марионетка не получает дополнительных действий и не игнорирует физические ограничения.
Выборы и условия: Эффект немедленно прекращается при смерти, тяжёлом ранении, бессознательности или отключении Кукловода, а также при смерти цели.</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</si>
  <si>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</si>
  <si>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t>
  </si>
  <si>
    <t xml:space="preserve">Интерфейс запрещает прямой приказ атаковать себя или явно нанести себе урон.</t>
  </si>
  <si>
    <t xml:space="preserve">Поля состояния: боевые действия
Числа и сроки: Другие ограничения не обрабатываются; марионетка не получает дополнительных действий и не игнорирует физические ограничения.
Другие ограничения не обрабатываются; марионетка не получает дополнительных действий и не игнорирует физические ограничения.</t>
  </si>
  <si>
    <t xml:space="preserve">Числа и сроки: Другие ограничения не обрабатываются; марионетка не получает дополнительных действий и не игнорирует физические ограничения.</t>
  </si>
  <si>
    <t xml:space="preserve">Combat QA / Q-MON-077.
Предразработочный QA и прямые ответы пользователя 2026-07-29</t>
  </si>
  <si>
    <t xml:space="preserve">Q-MON-077
Q-PREDEV-002
Q-PREDEV-006</t>
  </si>
  <si>
    <t xml:space="preserve">CORE-217
CORE-221</t>
  </si>
  <si>
    <t xml:space="preserve">CQA-050</t>
  </si>
  <si>
    <t xml:space="preserve">Как полная и числовая ментальная защита взаимодействуют со способностями без встречной проверки, в частности с «Последним взглядом» Химеры и «Постоянной иллюзией» Кукловода?</t>
  </si>
  <si>
    <t xml:space="preserve">цель; Химера; Кукловод; Последним взглядом; Постоянной иллюзией; Последний взгляд</t>
  </si>
  <si>
    <t xml:space="preserve">При выполнении или разрешении: полная и числовая ментальная защита взаимодействуют со способностями без встречной проверки, в частности с «Последним взглядом» Химеры и «Постоянной иллюзией» Кукловода</t>
  </si>
  <si>
    <t xml:space="preserve">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</si>
  <si>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Выборы и условия: 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</si>
  <si>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</si>
  <si>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Числовой бонус защиты применяется только там, где способность прямо выполняет встречную проверку; если такой проверки нет, он не создаёт новую проверку.</t>
  </si>
  <si>
    <t xml:space="preserve">Числовой бонус защиты применяется только там, где способность прямо выполняет встречную проверку; если такой проверки нет, он не создаёт новую проверку.
Выборы и условия: Полная неуязвимость к соответствующему ментальному типу делает цель недопустимой либо отменяет эффект.| Числовой бонус защиты применяется только там, где способность прямо выполняет встречную проверку; если такой проверки нет, он не создаёт новую проверку.| Поэтому «Последний взгляд» действует без проверки на обычную цель, но не действует на цель с полной ментальной неуязвимостью.</t>
  </si>
  <si>
    <t xml:space="preserve">Combat QA / Q-MON-078.</t>
  </si>
  <si>
    <t xml:space="preserve">CQA-051</t>
  </si>
  <si>
    <t xml:space="preserve">Сохраняются ли уже созданные заражения Чумного доктора после смерти, тяжёлого ранения, бессознательности, отключения или выхода источника из боя?</t>
  </si>
  <si>
    <t xml:space="preserve">источник эффекта; Чумной доктор</t>
  </si>
  <si>
    <t xml:space="preserve">При гибели чумного доктора все его ассистенты немедленно погибают
При проверке условия «Сохраняются ли»: уже созданные заражения Чумного доктора после смерти, тяжёлого ранения, бессознательности, отключения или выхода источника из боя</t>
  </si>
  <si>
    <t xml:space="preserve">При гибели чумного доктора все его ассистенты немедленно погибают, эффекты от них прекращаются.</t>
  </si>
  <si>
    <t xml:space="preserve">Выборы и условия: При гибели чумного доктора все его ассистенты немедленно погибают, эффекты от них прекращаются.</t>
  </si>
  <si>
    <t xml:space="preserve">Combat QA / Q-MON-079.</t>
  </si>
  <si>
    <t xml:space="preserve">Q-MON-079</t>
  </si>
  <si>
    <t xml:space="preserve">CQA-052</t>
  </si>
  <si>
    <t xml:space="preserve">Игнорирует ли гарантированное заражение «Не обращайте внимания — я потягиваюсь» герметичный Нэйт, «Вакцинацию» и полный иммунитет к ассистентам?</t>
  </si>
  <si>
    <t xml:space="preserve">цель; Не обращайте внимания — я потягиваюсь; Вакцинацию; Гарантированно; Вакцинацией</t>
  </si>
  <si>
    <t xml:space="preserve">При проверке условия «Игнорирует ли»: гарантированное заражение «Не обращайте внимания — я потягиваюсь» герметичный Нэйт, «Вакцинацию» и полный иммунитет к ассистентам</t>
  </si>
  <si>
    <t xml:space="preserve">«Гарантированно»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</si>
  <si>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Поля состояния: Z
Броски, ресурсы и выражения: Z| R4
Числа и сроки: Цель в герметичном Нэйте, с подходящей «Вакцинацией» или полным иммунитетом к ассистентам является недопустимой и не включается в выбор до R4 целей.
Выборы и условия: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</si>
  <si>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</si>
  <si>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</si>
  <si>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«Гарантированно» отменяет только встречную проверку Z.</t>
  </si>
  <si>
    <t xml:space="preserve">Броски, ресурсы и выражения: Z| R4</t>
  </si>
  <si>
    <t xml:space="preserve">Цель в герметичном Нэйте, с подходящей «Вакцинацией» или полным иммунитетом к ассистентам является недопустимой и не включается в выбор до R4 целей.
Броски, ресурсы и выражения: Z| R4
Числа и сроки: Цель в герметичном Нэйте, с подходящей «Вакцинацией» или полным иммунитетом к ассистентам является недопустимой и не включается в выбор до R4 целей.
Выборы и условия: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</si>
  <si>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Числа и сроки: 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</si>
  <si>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Combat QA / Q-MON-080.</t>
  </si>
  <si>
    <t xml:space="preserve">Q-MON-080</t>
  </si>
  <si>
    <t xml:space="preserve">CQA-053</t>
  </si>
  <si>
    <t xml:space="preserve">Что делает критический иммунитет из способности «Какое здоровье, какая воля к жизни!» с уже существующими ассистентами и уже запущенными эффектами Чумных докторов?</t>
  </si>
  <si>
    <t xml:space="preserve">цель; существо; Чумной доктор; Какое здоровье, какая воля к жизни!</t>
  </si>
  <si>
    <t xml:space="preserve">При получении иммунитета немедленно уничтожить в цели всех ассистентов всех Чумных докторов и завершить все поддерживаемые ими эффекты
При определении: делает критический иммунитет из способности «Какое здоровье, какая воля к жизни!» с уже существующими ассистентами и уже запущенными эффектами Чумных докторов</t>
  </si>
  <si>
    <t xml:space="preserve">При получении иммунитета немедленно уничтожить в цели всех ассистентов всех Чумных докторов и завершить все поддерживаемые ими эффекты.</t>
  </si>
  <si>
    <t xml:space="preserve">Поля состояния: таймер/срок
Числа и сроки: На срок иммунитета новые заражения невозможны; после окончания прежние ассистенты и эффекты не восстанавливаются.
Выборы и условия: При получении иммунитета немедленно уничтожить в цели всех ассистентов всех Чумных докторов и завершить все поддерживаемые ими эффекты.</t>
  </si>
  <si>
    <t xml:space="preserve">При получении иммунитета немедленно уничтожить в цели всех ассистентов всех Чумных докторов и завершить все поддерживаемые ими эффекты. Уже нанесённый урон и завершённые изменения не откатываются. На срок иммунитета новые заражения невозможны; после окончания прежние ассистенты и эффекты не восстанавливаются.</t>
  </si>
  <si>
    <t xml:space="preserve">При получении иммунитета немедленно уничтожить в цели всех ассистентов всех Чумных докторов и завершить все поддерживаемые ими эффекты.
Уже нанесённый урон и завершённые изменения не откатываются.
На срок иммунитета новые заражения невозможны; после окончания прежние ассистенты и эффекты не восстанавливаются.</t>
  </si>
  <si>
    <t xml:space="preserve">Числа и сроки: На срок иммунитета новые заражения невозможны; после окончания прежние ассистенты и эффекты не восстанавливаются.
На срок иммунитета новые заражения невозможны; после окончания прежние ассистенты и эффекты не восстанавливаются.</t>
  </si>
  <si>
    <t xml:space="preserve">Поля состояния: таймер/срок
Числа и сроки: На срок иммунитета новые заражения невозможны; после окончания прежние ассистенты и эффекты не восстанавливаются.
На срок иммунитета новые заражения невозможны; после окончания прежние ассистенты и эффекты не восстанавливаются.</t>
  </si>
  <si>
    <t xml:space="preserve">Combat QA / Q-MON-081.</t>
  </si>
  <si>
    <t xml:space="preserve">Q-MON-081</t>
  </si>
  <si>
    <t xml:space="preserve">CQA-054</t>
  </si>
  <si>
    <t xml:space="preserve">Базовый сценарий Combat QA: Каких заражённых удалять, если лимит «Масштабной эпидемии» уменьшается ниже текущего числа после потери уровня, способности или активности Чумного доктора?
Позднее уточнение Application QA: Каких заражённых удалять, если лимит «Масштабной эпидемии» уменьшился ниже текущего числа: самые ранние или самые поздние заражения, и как разрешается одновременное заражение?</t>
  </si>
  <si>
    <t xml:space="preserve">цель; источник эффекта; Чумной доктор; Масштабной эпидемии</t>
  </si>
  <si>
    <t xml:space="preserve">Сразу после пересчёта выбрать самых первых заражённых сверх нового лимита и уничтожить в них ассистентов
После уменьшения лимита заражения сортируются по infectionOrder по возрастанию
При newLimit=0 уничтожаются все ассистенты этого Доктора
При разрешении сценария: Каких заражённых удалять, если лимит «Масштабной эпидемии» уменьшается ниже текущего числа после потери уровня, способности или активности Чумного доктора
При разрешении сценария: Каких заражённых удалять, если лимит «Масштабной эпидемии» уменьшился ниже текущего числа: самые ранние или самые поздние заражения, и как разрешается одновременное заражение</t>
  </si>
  <si>
    <t xml:space="preserve">Каждый заражённый имеет одинаковый вес; источник не выбирает, кого сохранить.
Источник не выбирает, кого сохранить.</t>
  </si>
  <si>
    <t xml:space="preserve">Идентификаторы данных: infectionOrder| newLimit
Числа и сроки: Позднее уточнение Application QA (приоритетно в пересекающейся части):| При newLimit=0 уничтожаются все ассистенты этого Доктора.
Выборы и условия: Каждый заражённый имеет одинаковый вес; источник не выбирает, кого сохранить.| Источник не выбирает, кого сохранить.</t>
  </si>
  <si>
    <t xml:space="preserve">Базовое решение Combat QA: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Позднее уточнение Application QA (приоритетно в пересекающейся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t>
  </si>
  <si>
    <t xml:space="preserve">Базовое решение Combat QA: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Позднее уточнение Application QA (приоритетно в пересекающейся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t>
  </si>
  <si>
    <t xml:space="preserve">Числа и сроки: Позднее уточнение Application QA (приоритетно в пересекающейся части):| При newLimit=0 уничтожаются все ассистенты этого Доктора.
Позднее уточнение Application QA (приоритетно в пересекающейся части):</t>
  </si>
  <si>
    <t xml:space="preserve">При newLimit=0 уничтожаются все ассистенты этого Доктора
Числа и сроки: Позднее уточнение Application QA (приоритетно в пересекающейся части):| При newLimit=0 уничтожаются все ассистенты этого Доктора.
При newLimit=0 уничтожаются все ассистенты этого Доктора.</t>
  </si>
  <si>
    <t xml:space="preserve">Combat QA / Q-MON-082.</t>
  </si>
  <si>
    <t xml:space="preserve">Q-MON-082</t>
  </si>
  <si>
    <t xml:space="preserve">CQA-055</t>
  </si>
  <si>
    <t xml:space="preserve">Как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t>
  </si>
  <si>
    <t xml:space="preserve">персонаж; Мёртвого вестника; Мёртвый вестник</t>
  </si>
  <si>
    <t xml:space="preserve">Если другой эффект прямо устанавливает максимум 1
При выполнении или разрешении: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t>
  </si>
  <si>
    <t xml:space="preserve">Если другой эффект прямо устанавливает максимум 1, этот максимум имеет приоритет и остаётся 1.</t>
  </si>
  <si>
    <t xml:space="preserve">Поля состояния: боевые действия| серия действий| раса
Броски, ресурсы и выражения: 0 действий
Числа и сроки: 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Выборы и условия: Если другой эффект прямо устанавливает максимум 1, этот максимум имеет приоритет и остаётся 1.</t>
  </si>
  <si>
    <t xml:space="preserve">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«Мёртвый вестник» не позволяет действовать мёртвому, бессознательному или тяжело раненому персонажу.</t>
  </si>
  <si>
    <t xml:space="preserve">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«Мёртвый вестник» не позволяет действовать мёртвому, бессознательному или тяжело раненому персонажу.</t>
  </si>
  <si>
    <t xml:space="preserve">Сначала применить эффекты полного пропуска хода и недееспособности: они дают 0 действий и имеют абсолютный приоритет.
Если другой эффект прямо устанавливает максимум 1, этот максимум имеет приоритет и остаётся 1.</t>
  </si>
  <si>
    <t xml:space="preserve">При выполнении или разрешении: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
Поля состояния: боевые действия| серия действий| раса
Броски, ресурсы и выражения: 0 действий
Числа и сроки: 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Сначала применить эффекты полного пропуска хода и недееспособности: они дают 0 действий и имеют абсолютный приоритет.</t>
  </si>
  <si>
    <t xml:space="preserve">Броски, ресурсы и выражения: 0 действий</t>
  </si>
  <si>
    <t xml:space="preserve">При выполнении или разрешении: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
Числа и сроки: 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
Сначала применить эффекты полного пропуска хода и недееспособности: они дают 0 действий и имеют абсолютный приоритет.</t>
  </si>
  <si>
    <t xml:space="preserve">Combat QA / Q-MON-083.</t>
  </si>
  <si>
    <t xml:space="preserve">Q-MON-083</t>
  </si>
  <si>
    <t xml:space="preserve">CQA-056</t>
  </si>
  <si>
    <t xml:space="preserve">В какую точку приземляется Гигантская жаба при неудачной проверке прыжка дальше 12 метров?</t>
  </si>
  <si>
    <t xml:space="preserve">Если достигнутой дистанции недостаточно
При разрешении сценария: В какую точку приземляется Гигантская жаба при неудачной проверке прыжка дальше 12 метров</t>
  </si>
  <si>
    <t xml:space="preserve">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</si>
  <si>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Поля состояния: D
Броски, ресурсы и выражения: 12 метров| R20
Числа и сроки: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
Выборы и условия: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</si>
  <si>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t>
  </si>
  <si>
    <t xml:space="preserve">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t>
  </si>
  <si>
    <t xml:space="preserve">Броски, ресурсы и выражения: 12 метров| R20</t>
  </si>
  <si>
    <t xml:space="preserve">Жаба перемещается по прямой к заявленной точке на 12+R20 метров, но не дальше заявленной точки и не дальше общего предела 32 м.
Броски, ресурсы и выражения: 12 метров| R20
Числа и сроки: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
Выборы и условия: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</si>
  <si>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Числа и сроки: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
Выборы и условия: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</si>
  <si>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Combat QA / Q-MON-084.</t>
  </si>
  <si>
    <t xml:space="preserve">Q-MON-084</t>
  </si>
  <si>
    <t xml:space="preserve">CQA-057</t>
  </si>
  <si>
    <t xml:space="preserve">Как выдвигается и втягивается костяной клинок «Мёртвого вестника», что с ним происходит при отключении Доктора и требует ли его гарантированное заражение отдельной попытки?</t>
  </si>
  <si>
    <t xml:space="preserve">Чумной доктор; Мёртвого вестника; Вакцинация</t>
  </si>
  <si>
    <t xml:space="preserve">При отключении Чумного доктора анатомический клинок всегда втягивается
Если его атака нанесла хотя бы 1 урон после защиты
При отключении Доктора и требует ли его гарантированное заражение отдельной попытки; разрешается: выдвигается и втягивается костяной клинок «Мёртвого вестника», что с ним происходит</t>
  </si>
  <si>
    <t xml:space="preserve">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</si>
  <si>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Поля состояния: HP| боевые действия
Броски, ресурсы и выражения: HP
Числа и сроки: Выдвижение и втягивание клинка занимают по 1 действию; клинок остаётся выдвинутым до явного втягивания.| Если его атака нанесла хотя бы 1 урон после защиты, заражение создаётся автоматически без отдельного действия и без проверки заражения.
Выборы и условия: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</si>
  <si>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Выдвижение и втягивание клинка занимают по 1 действию; клинок остаётся выдвинутым до явного втягивания. При отключении Чумного доктора анатомический клинок всегда втягивается.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</si>
  <si>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Выдвижение и втягивание клинка занимают по 1 действию; клинок остаётся выдвинутым до явного втягивания.
При отключении Чумного доктора анатомический клинок всегда втягивается.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</si>
  <si>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Если его атака нанесла хотя бы 1 урон после защиты, заражение создаётся автоматически без отдельного действия и без проверки заражения.
Поля состояния: HP| боевые действия
Числа и сроки: Выдвижение и втягивание клинка занимают по 1 действию; клинок остаётся выдвинутым до явного втягивания.| Если его атака нанесла хотя бы 1 урон после защиты, заражение создаётся автоматически без отдельного действия и без проверки заражения.
Выборы и условия: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
Выдвижение и втягивание клинка занимают по 1 действию; клинок остаётся выдвинутым до явного втягивания.</t>
  </si>
  <si>
    <t xml:space="preserve">Лимит, «Вакцинация» и полный иммунитет всё равно применяются; герметичный Нэйт, уже пробитый до HP этим ударом, не защищает от введённых внутрь ассистентов.
Поля состояния: HP| боевые действия
Броски, ресурсы и выражения: HP
Выборы и условия: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</si>
  <si>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Числа и сроки: Выдвижение и втягивание клинка занимают по 1 действию; клинок остаётся выдвинутым до явного втягивания.| Если его атака нанесла хотя бы 1 урон после защиты, заражение создаётся автоматически без отдельного действия и без проверки заражения.</t>
  </si>
  <si>
    <t xml:space="preserve">Combat QA / Q-MON-085.</t>
  </si>
  <si>
    <t xml:space="preserve">Q-MON-085</t>
  </si>
  <si>
    <t xml:space="preserve">CQA-058</t>
  </si>
  <si>
    <t xml:space="preserve">Каковы единые дальность и требование видимости для направленных активных способностей Кукловода, у которых собственная дальность в тексте не указана?</t>
  </si>
  <si>
    <t xml:space="preserve">цель; Кукловод; Единый; Чужими чувствами; Марионеткой; Чтение мыслей; Рассеянность; Ментального ученика; Превосходство; Отмену действия; Псионического разложения</t>
  </si>
  <si>
    <t xml:space="preserve">При вычислении или разрешении: единые дальность и требование видимости для направленных активных способностей Кукловода, у которых собственная дальность в тексте не указана</t>
  </si>
  <si>
    <t xml:space="preserve">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</si>
  <si>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Поля состояния: боевые действия| раса
Числа и сроки: 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
Выборы и условия: 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</si>
  <si>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</si>
  <si>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</si>
  <si>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</si>
  <si>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Поля состояния: боевые действия| раса
Числа и сроки: 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
Это правило распространяется на «Чтение мыслей», «Рассеянность», «Ментального ученика», «Превосходство» и «Отмену действия».</t>
  </si>
  <si>
    <t xml:space="preserve">Числа и сроки: По аналогии с уже формализованными «Чужими чувствами» и «Марионеткой» использовать общий предел 50 м и требовать, чтобы Кукловод видел цель в момент объявления.| Это правило распространяется на «Чтение мыслей», «Рассеянность», «Ментального ученика», «Превосходство» и «Отмену действия».| Явная дальность 60 м «Псионического разложения» имеет приоритет; после успешного создания длительный эффект не прекращается от одной лишь потери видимости/дистанции, если его собственный текст не требует поддержания.</t>
  </si>
  <si>
    <t xml:space="preserve">Combat QA / Q-MON-086.</t>
  </si>
  <si>
    <t xml:space="preserve">Q-MON-086</t>
  </si>
  <si>
    <t xml:space="preserve">CQA-059</t>
  </si>
  <si>
    <t xml:space="preserve">Требуются ли дистанция и линия видимости для команд уже существующим ассистентам Чумного доктора и для применения способностей к ранее заражённым целям?</t>
  </si>
  <si>
    <t xml:space="preserve">цель; существо; Чумной доктор; Вы больны…; Они вам помогут…; Какое здоровье…; Сражайся…; Вакцинация; Мы — одна семья; Самое надёжное лекарство</t>
  </si>
  <si>
    <t xml:space="preserve">При разрешении сценария: Требуются ли дистанция и линия видимости для команд уже существующим ассистентам Чумного доктора и для применения способностей к ранее заражённым целям</t>
  </si>
  <si>
    <t xml:space="preserve">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t>
  </si>
  <si>
    <t xml:space="preserve">Поля состояния: уровень L| раса
Броски, ресурсы и выражения: L
Ссылки на правила: Q-MON-020
Числа и сроки: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 Это не отменяет явные ограничения для создания нового заражения: кашель использует L м, рой — 5L м, а попытка заразить через переносчика требует расстояния до переносчика не более 50 м по Q-MON-020.
Выборы и условия: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t>
  </si>
  <si>
    <t xml:space="preserve">Нет.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 Это не отменяет явные ограничения для создания нового заражения: кашель использует L м, рой — 5L м, а попытка заразить через переносчика требует расстояния до переносчика не более 50 м по Q-MON-020.</t>
  </si>
  <si>
    <t xml:space="preserve">Нет.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
Это не отменяет явные ограничения для создания нового заражения: кашель использует L м, рой — 5L м, а попытка заразить через переносчика требует расстояния до переносчика не более 50 м по Q-MON-020.</t>
  </si>
  <si>
    <t xml:space="preserve">Числа и сроки: Уже существующие ассистенты сохраняют ментальную связь с породившим их Доктором независимо от дистанции и видимости.| Поэтому добровольное уничтожение ассистентов, «Вы больны…», «Они вам помогут…», «Какое здоровье…», «Сражайся…», «Вакцинация», «Мы — одна семья» и «Самое надёжное лекарство» можно применять к любому живому заражённому этого Доктора на любой дистанции, в том числе вне текущей боевой карты.| Это не отменяет явные ограничения для создания нового заражения: кашель использует L м, рой — 5L м, а попытка заразить через переносчика требует расстояния до переносчика не более 50 м по Q-MON-020.</t>
  </si>
  <si>
    <t xml:space="preserve">Combat QA / Q-MON-087.</t>
  </si>
  <si>
    <t xml:space="preserve">Q-MON-087</t>
  </si>
  <si>
    <t xml:space="preserve">MON-020</t>
  </si>
  <si>
    <t xml:space="preserve">CQA-060</t>
  </si>
  <si>
    <t xml:space="preserve">После ручного назначения болезни мастером должно ли приложение автоматически применять её эффекты, сложение разных болезней и потерю сознания?</t>
  </si>
  <si>
    <t xml:space="preserve">После каждого пересчёта для каждой сниженной характеристики X проверяется итоговое X+итоговое Z&lt;1
При разрешении сценария: После ручного назначения болезни мастером должно ли приложение автоматически применять её эффекты, сложение разных болезней и потерю сознания</t>
  </si>
  <si>
    <t xml:space="preserve">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</si>
  <si>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Поля состояния: Z
Идентификаторы данных: diseaseId
Броски, ресурсы и выражения: Z
Числа и сроки: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Выборы и условия: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</si>
  <si>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Мастер вручную назначает и снимает diseaseId, а приложение после назначения автоматически применяет строку эффектов этой болезни. Повтор той же болезни не складывается, разные болезни складываются.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</si>
  <si>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Мастер вручную назначает и снимает diseaseId, а приложение после назначения автоматически применяет строку эффектов этой болезни.
Повтор той же болезни не складывается, разные болезни складываются.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</si>
  <si>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Автоматические проверки заражения, выбор болезни и попытки лечения не выполняются без отдельной команды мастера.</t>
  </si>
  <si>
    <t xml:space="preserve">Броски, ресурсы и выражения: Z</t>
  </si>
  <si>
    <t xml:space="preserve">Автоматические проверки заражения, выбор болезни и попытки лечения не выполняются без отдельной команды мастера.
Выборы и условия: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</si>
  <si>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Числа и сроки: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t>
  </si>
  <si>
    <t xml:space="preserve">При разрешении сценария: После ручного назначения болезни мастером должно ли приложение автоматически применять её эффекты, сложение разных болезней и потерю сознания</t>
  </si>
  <si>
    <t xml:space="preserve">Combat QA / Q-MON-088.</t>
  </si>
  <si>
    <t xml:space="preserve">Q-MON-088</t>
  </si>
  <si>
    <t xml:space="preserve">AQA-001</t>
  </si>
  <si>
    <t xml:space="preserve">5.3. Кампания, создание персонажа и действия мастера</t>
  </si>
  <si>
    <t xml:space="preserve">Какие поля идентичности обязательны, как проверяется имя и где запрещены совпадающие имена?</t>
  </si>
  <si>
    <t xml:space="preserve">Application QA / Создание персонажа.</t>
  </si>
  <si>
    <t xml:space="preserve">цель; кампания</t>
  </si>
  <si>
    <t xml:space="preserve">После импорта все ссылки
При разрешении сценария: Какие поля идентичности обязательны, как проверяется имя и где запрещены совпадающие имена</t>
  </si>
  <si>
    <t xml:space="preserve">У каждого черновика с момента создания есть неизменяемый UUID; имя является отображаемым, а не идентифицирующим полем.</t>
  </si>
  <si>
    <t xml:space="preserve">Идентификаторы данных: UUID| campaignCharacterId
Числа и сроки: Имя обязательно, после удаления пробелов по краям должно содержать 1–64 видимых символа.| После импорта все ссылки, цели и журнал кампании используют campaignCharacterId; UUID исходного листа хранится только как происхождение (provenance).| Краткое описание необязательно, не более 2 000 символов.| Арт необязателен; допустимы PNG/JPEG до 12 МБ, как указано на экране 05.
Выборы и условия: У каждого черновика с момента создания есть неизменяемый UUID; имя является отображаемым, а не идентифицирующим полем.</t>
  </si>
  <si>
    <t xml:space="preserve">У каждого черновика с момента создания есть неизменяемый UUID; имя является отображаемым, а не идентифицирующим полем. Имя обязательно, после удаления пробелов по краям должно содержать 1–64 видимых символа. Одинаковые имена разрешены и в локальной библиотеке, и в одной кампании: во всех случаях при совпадении приложение дополнительно показывает владельца. Вне кампании сущность адресуется по UUID листа. После импорта все ссылки, цели и журнал кампании используют campaignCharacterId; UUID исходного листа хранится только как происхождение (provenance). Краткое описание необязательно, не более 2 000 символов. Арт необязателен; допустимы PNG/JPEG до 12 МБ, как указано на экране 05.
[v1.3] Имя, описание и арт применяются к EnemyTemplateVersion по CORE-193. Для шаблона врага templateId/versionId появляются только при успешной атомарной финализации; временный creationAttemptId не является UUID шаблона или записью каталога.</t>
  </si>
  <si>
    <t xml:space="preserve">У каждого черновика с момента создания есть неизменяемый UUID; имя является отображаемым, а не идентифицирующим полем.
Имя обязательно, после удаления пробелов по краям должно содержать 1–64 видимых символа.
Одинаковые имена разрешены и в локальной библиотеке, и в одной кампании: во всех случаях при совпадении приложение дополнительно показывает владельца.
Вне кампании сущность адресуется по UUID листа.
После импорта все ссылки, цели и журнал кампании используют campaignCharacterId; UUID исходного листа хранится только как происхождение (provenance).
Краткое описание необязательно, не более 2 000 символов.
Арт необязателен; допустимы PNG/JPEG до 12 МБ, как указано на экране 05.</t>
  </si>
  <si>
    <t xml:space="preserve">UUID исходного листа хранится только как происхождение (provenance).
Сохранённый статус «Черновик» относится к обычному мастеру персонажа и не существует у шаблона врага кампании.</t>
  </si>
  <si>
    <t xml:space="preserve">При разрешении сценария: Какие поля идентичности обязательны, как проверяется имя и где запрещены совпадающие имена</t>
  </si>
  <si>
    <t xml:space="preserve">Числа и сроки: Имя обязательно, после удаления пробелов по краям должно содержать 1–64 видимых символа.| После импорта все ссылки, цели и журнал кампании используют campaignCharacterId</t>
  </si>
  <si>
    <t xml:space="preserve">Числа и сроки: Имя обязательно, после удаления пробелов по краям должно содержать 1–64 видимых символа.| После импорта все ссылки, цели и журнал кампании используют campaignCharacterId
После импорта все ссылки, цели и журнал кампании используют campaignCharacterId</t>
  </si>
  <si>
    <t xml:space="preserve">Application QA / Q-CHAR-001.
Прямое уточнение пользователя 2026-07-28 — шаблоны врагов v1.3</t>
  </si>
  <si>
    <t xml:space="preserve">Q-CHAR-001
Q-ENEMY-P8</t>
  </si>
  <si>
    <t xml:space="preserve">CORE-193
CORE-194</t>
  </si>
  <si>
    <t xml:space="preserve">AQA-002</t>
  </si>
  <si>
    <t xml:space="preserve">Что именно сохраняется при закрытии, сбое или переходе назад и можно ли получить новый результат случайного броска, перезапустив этап?</t>
  </si>
  <si>
    <t xml:space="preserve">мастер; игрок; персонаж; предмет; симбионт; Советник; кампания; Удалить черновик и создать новый</t>
  </si>
  <si>
    <t xml:space="preserve">После каждого подтверждённого пользовательского действия приложение атомарно сохраняет версию черновика
Если снижение характеристики сделает невозможным использование уже выбранного навыка персонажа
При определении: именно сохраняется при закрытии, сбое или переходе назад и можно ли получить новый результат случайного броска, перезапустив этап</t>
  </si>
  <si>
    <t xml:space="preserve">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</si>
  <si>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Поля состояния: боевые действия| навыки
Идентификаторы данных: operationId| UUID
Числа и сроки: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Но при подключении игрока к кампании мастеру приходит на согласование полная информация о персонаже и результатах бросков на предметы и деньги.
Выборы и условия: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</si>
  <si>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Важно: для создания персонажа сеть не обязательна.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
[v1.3] Жизненный цикл сохранённого черновика не применяется к EnemyTemplate. До commit существует только transient creationAttemptId; квитанция единственной генерации монстра восстанавливается по operationId, но не отображается в каталоге.</t>
  </si>
  <si>
    <t xml:space="preserve">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Важно: для создания персонажа сеть не обязательна.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</si>
  <si>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Новый бросок возможен только когда правило прямо оставляет следующую попытку.
Команды «Удалить черновик» и persisted draft UUID отсутствуют для шаблонов врагов.</t>
  </si>
  <si>
    <t xml:space="preserve">После каждого подтверждённого пользовательского действия приложение атомарно сохраняет версию черновика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Поля состояния: боевые действия| навыки
Числа и сроки: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Но при подключении игрока к кампании мастеру приходит на согласование полная информация о персонаже и результатах бросков на предметы и деньги.
Выборы и условия: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</si>
  <si>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Если снижение характеристики сделает невозможным использование уже выбранного навыка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
Выборы и условия: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t>
  </si>
  <si>
    <t xml:space="preserve">Числа и сроки: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Но при подключении игрока к кампании мастеру приходит на согласование полная информация о персонаже и результатах бросков на предметы и деньги.</t>
  </si>
  <si>
    <t xml:space="preserve">После каждого подтверждённого пользовательского действия приложение атомарно сохраняет версию черновика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Числа и сроки: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Но при подключении игрока к кампании мастеру приходит на согласование полная информация о персонаже и результатах бросков на предметы и деньги.
Выборы и условия: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</si>
  <si>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Application QA / Q-CHAR-002.
Прямое уточнение пользователя 2026-07-28 — шаблоны врагов v1.3</t>
  </si>
  <si>
    <t xml:space="preserve">Q-CHAR-002
Q-ENEMY-B3
Q-ENEMY-P5</t>
  </si>
  <si>
    <t xml:space="preserve">CORE-194
CORE-201
CORE-214</t>
  </si>
  <si>
    <t xml:space="preserve">AQA-003</t>
  </si>
  <si>
    <t xml:space="preserve">Кто выбирает физический или виртуальный ввод и как этот выбор применяется к дополнительным броскам создания?</t>
  </si>
  <si>
    <t xml:space="preserve">мастер; персонаж; источник эффекта; симбионт; Советник; кампания</t>
  </si>
  <si>
    <t xml:space="preserve">При выборе ответственного: выбирает физический или виртуальный ввод и как этот выбор применяется к дополнительным броскам создания</t>
  </si>
  <si>
    <t xml:space="preserve">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</si>
  <si>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Идентификаторы данных: diceInputMode
Числа и сроки: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Мастер может не участвовать в создании персонажа.
Выборы и условия: 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</si>
  <si>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 Мастер может не участвовать в создании персонажа.
[v1.3] Системная генерация 7×R20 для пользовательского монстра выполняется хостом по CORE-201 и не наследует diceInputMode кампании или мастера создания персонажа.</t>
  </si>
  <si>
    <t xml:space="preserve">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
Мастер может не участвовать в создании персонажа.</t>
  </si>
  <si>
    <t xml:space="preserve">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Это не проверочный или боевой бросок и не допускает ручного ввода либо критических последствий.</t>
  </si>
  <si>
    <t xml:space="preserve">В каждом черновике до первого случайного результата фиксируется diceInputMode = virtual| physical.
Выборы и условия: 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</si>
  <si>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Числа и сроки: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Мастер может не участвовать в создании персонажа.</t>
  </si>
  <si>
    <t xml:space="preserve">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Выборы и условия: 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</si>
  <si>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В режиме virtual значение генерирует сервер/хост/приложение и сразу журналирует.
Выборы и условия: 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</si>
  <si>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Application QA / Q-CHAR-003.
Прямое уточнение пользователя 2026-07-28 — шаблоны врагов v1.3</t>
  </si>
  <si>
    <t xml:space="preserve">Q-CHAR-003
Q-ENEMY-B2
Q-ENEMY-B3</t>
  </si>
  <si>
    <t xml:space="preserve">CORE-201</t>
  </si>
  <si>
    <t xml:space="preserve">AQA-004</t>
  </si>
  <si>
    <t xml:space="preserve">Какие данные сохраняются, пересчитываются или удаляются при смене расы, класса, ручного симбионта и возврате на предыдущий этап?</t>
  </si>
  <si>
    <t xml:space="preserve">игрок; персонаж; источник эффекта; симбионт; Советник; Единый; Вольный; Чистый</t>
  </si>
  <si>
    <t xml:space="preserve">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До финального сохранения можно менять расу
При переходе к Чистому весь набор симбионтов и его зависимые данные удаляются из активной карточки
При переходе от Чистого его класс и классовый навык удаляются
При переходе Вольный → Единый его единственный обычный результат становится первым результатом Единого
Если у Единого был только результат-чудовище
При последующих переключениях каждая уже созданная ветка восстанавливается без новых бросков
При смене расы, класса, ручного симбионта и возврате на предыдущий этап; вычисляются: данные сохраняются, пересчитываются или удаляются</t>
  </si>
  <si>
    <t xml:space="preserve">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</si>
  <si>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Поля состояния: состояние| слоты| раса| класс| навыки
Идентификаторы данных: UUID
Числа и сроки: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
Выборы и условия: 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</si>
  <si>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Для Единого/Вольного способ выбора симбионтов также блокируется до первого набора характеристик. До финального сохранения можно менять расу, класс Чистого и вручную выбранных симбионтов, но операция всегда атомарна и выполняется из неизменяемой базы: имя, арт, описание и возраст так же можно менять до момента подтверждения создания персонажа, принятый базовый набор характеристик, его назначения и критические последствия сохраняются; прежние расовые, классовые и симбиотические источники удаляются; новые источники применяются заново.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Навыки и заявки имущества сохраняются, затем повторно валидируются.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Временное промежуточное состояние до подтверждения ничего не удаляет.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</si>
  <si>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Для Единого/Вольного способ выбора симбионтов также блокируется до первого набора характеристик.
До финального сохранения можно менять расу, класс Чистого и вручную выбранных симбионтов, но операция всегда атомарна и выполняется из неизменяемой базы: имя, арт, описание и возраст так же можно менять до момента подтверждения создания персонажа, принятый базовый набор характеристик, его назначения и критические последствия сохраняются; прежние расовые, классовые и симбиотические источники удаляются; новые источники применяются заново.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Навыки и заявки имущества сохраняются, затем повторно валидируются.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Временное промежуточное состояние до подтверждения ничего не удаляет.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</si>
  <si>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Если у Единого был только результат-чудовище, для ветки Вольного один раз создаётся отдельный обычный результат.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</si>
  <si>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Числа и сроки: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t>
  </si>
  <si>
    <t xml:space="preserve">При смене расы, класса, ручного симбионта и возврате на предыдущий этап; вычисляются: данные сохраняются, пересчитываются или удаляются
В ручном режиме набор можно заменять свободно.
Выборы и условия: 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</si>
  <si>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Если у Единого был только результат-чудовище, для ветки Вольного один раз создаётся отдельный обычный результат.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
Числа и сроки: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Смена расы не переинтерпретирует старый крит задним числом: подтверждённый крит, разрешённый у Вольного как обычный результат таблицы, не превращается в чудовище после перехода к Единому.| При переходе Вольный → Единый его единственный обычный результат становится первым результатом Единого, после чего один раз создаются ещё три; при переходе Единый → Вольный используется первый обычный принятый результат.
Выборы и условия: 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</si>
  <si>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Application QA / Q-CHAR-004.</t>
  </si>
  <si>
    <t xml:space="preserve">Q-CHAR-004</t>
  </si>
  <si>
    <t xml:space="preserve">AQA-005</t>
  </si>
  <si>
    <t xml:space="preserve">В каком точном порядке складываются расовые, классовые и симбиотические изменения, ограничения Трогра, Учителя и Дельфина и пол случайного отрицательного модификатора?</t>
  </si>
  <si>
    <t xml:space="preserve">игрок; источник эффекта; симбионт; Хранитель; Трогр; Чумной доктор; Советник; Пингвин; Учитель; Дельфин; Единый; Вольный</t>
  </si>
  <si>
    <t xml:space="preserve">Если несколько активных явных пределов относятся к одному параметру
При ручной попытке выбрать любую комбинацию симбионтов
При случайном выборе симбионтов диалоговое окно не появляется
При разрешении сценария: В каком точном порядке складываются расовые, классовые и симбиотические изменения, ограничения Трогра, Учителя и Дельфина и пол случайного отрицательного модификатора</t>
  </si>
  <si>
    <t xml:space="preserve">Если несколько активных явных пределов относятся к одному параметру, применяется наиболее строгий.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В ручном режиме общего пола нет.</t>
  </si>
  <si>
    <t xml:space="preserve">Поля состояния: S| D| M| Z| I| W| C| боевые действия| раса| класс
Броски, ресурсы и выражения: W| I| S/D| M/Z| I/W| C
Числа и сроки: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На финальном шаге все семь характеристик обязаны быть не меньше 1.
Выборы и условия: Если несколько активных явных пределов относятся к одному параметру, применяется наиболее строгий.|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В ручном режиме общего пола нет.</t>
  </si>
  <si>
    <t xml:space="preserve">Итог никогда не изменяется накопительно; он каждый раз вычисляется из журнала источников.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Затем берётся принятая база с критическими поправками создания, прибавляются раса и класс, после чего одновременно суммируются все активные симбиотические дельты и получаются сырые итоговые значения.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Пол не исправляет уже невалидное расовое/классовое значение. В ручном режиме общего пола нет. На финальном шаге все семь характеристик обязаны быть не меньше 1.
[v1.3] Способы распределения 90/85/«Всё или ничего» не применяются к создаваемым мастером врагам: мыслящий использует CORE-197, монстр — CORE-200/CORE-201.</t>
  </si>
  <si>
    <t xml:space="preserve">Итог никогда не изменяется накопительно; он каждый раз вычисляется из журнала источников.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Затем берётся принятая база с критическими поправками создания, прибавляются раса и класс, после чего одновременно суммируются все активные симбиотические дельты и получаются сырые итоговые значения.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Пол не исправляет уже невалидное расовое/классовое значение.
В ручном режиме общего пола нет.
На финальном шаге все семь характеристик обязаны быть не меньше 1.</t>
  </si>
  <si>
    <t xml:space="preserve">Поля состояния: S| D| M| Z| I| W| C| боевые действия| раса| класс
Числа и сроки: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На финальном шаге все семь характеристик обязаны быть не меньше 1.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t>
  </si>
  <si>
    <t xml:space="preserve">Броски, ресурсы и выражения: W| I| S/D| M/Z| I/W| C</t>
  </si>
  <si>
    <t xml:space="preserve">Числа и сроки: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На финальном шаге все семь характеристик обязаны быть не меньше 1.
Пределы применяются к итоговой характеристике после суммирования всех активных дельт: при активном Учителе W = min(Wraw, 20), при активном Дельфине I = min(Iraw, 30).</t>
  </si>
  <si>
    <t xml:space="preserve">Числа и сроки: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На финальном шаге все семь характеристик обязаны быть не меньше 1.</t>
  </si>
  <si>
    <t xml:space="preserve">При ручной попытке выбрать любую комбинацию симбионтов
В ручном режиме общего пола нет.
Числа и сроки: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На финальном шаге все семь характеристик обязаны быть не меньше 1.
Выборы и условия: Если несколько активных явных пределов относятся к одному параметру, применяется наиболее строгий.|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В ручном режиме общего пола нет.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t>
  </si>
  <si>
    <t xml:space="preserve">Итог никогда не изменяется накопительно; он каждый раз вычисляется из журнала источников.</t>
  </si>
  <si>
    <t xml:space="preserve">Application QA / Q-CHAR-005.
Прямое уточнение пользователя 2026-07-28 — шаблоны врагов v1.3</t>
  </si>
  <si>
    <t xml:space="preserve">Q-CHAR-005
Q-ENEMY-B1
Q-ENEMY-B2
Q-ENEMY-P9</t>
  </si>
  <si>
    <t xml:space="preserve">CORE-079
CORE-164
SYM-075
CORE-197
CORE-200
CORE-201</t>
  </si>
  <si>
    <t xml:space="preserve">AQA-006</t>
  </si>
  <si>
    <t xml:space="preserve">Как создаются и проверяются собственные характеристики и навыки Советника, особенно если он сразу подавлен Трогром?</t>
  </si>
  <si>
    <t xml:space="preserve">носитель; Трогр; Советник; Единый; Чистый</t>
  </si>
  <si>
    <t xml:space="preserve">При первом получении Советника автоматически и один раз выполняются два независимых чистых R20 в зафиксированном режиме дайсов
При проверке требований и последующем использовании навыка берутся собственные I/W Советника
Если Трогр подавляет Советника уже при создании
После удаления Трогра восстанавливается та же карточка без новых бросков
При выполнении или разрешении: создаются и проверяются собственные характеристики и навыки Советника, особенно если он сразу подавлен Трогром</t>
  </si>
  <si>
    <t xml:space="preserve">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</si>
  <si>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Поля состояния: S| D| M| Z| I| W| C| слоты| навыки
Броски, ресурсы и выражения: R20| I| W| W/2| I/W| S/D| M/Z| C
Ссылки на правила: Q-SYM-005
Числа и сроки: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Советник получает ceil(W/2) стартовых слотов и обязан заполнить их навыками из таблицы 6 по обычной стоимости.| Одноразовый бонус подавления B определяется как R20/4 с округлением по Q-SYM-005: до ближайшего целого, ровно 0,5 — вверх.
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</si>
  <si>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Советник получает ceil(W/2) стартовых слотов и обязан заполнить их навыками из таблицы 6 по обычной стоимости.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</si>
  <si>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Советник получает ceil(W/2) стартовых слотов и обязан заполнить их навыками из таблицы 6 по обычной стоимости.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</si>
  <si>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Эти броски не запускают критические цепочки создания, не создают штраф критической единицы и не дают опыта.
Советник не применяет навыки и не получает опыт.
Броски, ресурсы и выражения: R20| I| W| W/2| I/W| S/D| M/Z| C
Числа и сроки: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Советник получает ceil(W/2) стартовых слотов и обязан заполнить их навыками из таблицы 6 по обычной стоимости.| Одноразовый бонус подавления B определяется как R20/4 с округлением по Q-SYM-005: до ближайшего целого, ровно 0,5 — вверх.
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t>
  </si>
  <si>
    <t xml:space="preserve">При первом получении Советника автоматически и один раз выполняются два независимых чистых R20 в зафиксированном режиме дайсов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Одноразовый бонус подавления B определяется как R20/4 с округлением по Q-SYM-005: до ближайшего целого, ровно 0,5 — вверх.
Броски, ресурсы и выражения: R20| I| W| W/2| I/W| S/D| M/Z| C
Числа и сроки: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Советник получает ceil(W/2) стартовых слотов и обязан заполнить их навыками из таблицы 6 по обычной стоимости.| Одноразовый бонус подавления B определяется как R20/4 с округлением по Q-SYM-005: до ближайшего целого, ровно 0,5 — вверх.
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
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
Советник получает ceil(W/2) стартовых слотов и обязан заполнить их навыками из таблицы 6 по обычной стоимости.</t>
  </si>
  <si>
    <t xml:space="preserve">Эти броски не запускают критические цепочки создания, не создают штраф критической единицы и не дают опыта.
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t>
  </si>
  <si>
    <t xml:space="preserve">Числа и сроки: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Советник получает ceil(W/2) стартовых слотов и обязан заполнить их навыками из таблицы 6 по обычной стоимости.| Одноразовый бонус подавления B определяется как R20/4 с округлением по Q-SYM-005: до ближайшего целого, ровно 0,5 — вверх.</t>
  </si>
  <si>
    <t xml:space="preserve">При первом получении Советника автоматически и один раз выполняются два независимых чистых R20 в зафиксированном режиме дайсов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Числа и сроки: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Советник получает ceil(W/2) стартовых слотов и обязан заполнить их навыками из таблицы 6 по обычной стоимости.| Одноразовый бонус подавления B определяется как R20/4 с округлением по Q-SYM-005: до ближайшего целого, ровно 0,5 — вверх.
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t>
  </si>
  <si>
    <t xml:space="preserve">Application QA / Q-CHAR-006.</t>
  </si>
  <si>
    <t xml:space="preserve">Q-CHAR-006</t>
  </si>
  <si>
    <t xml:space="preserve">SYM-005
SYM-075
SYM-096</t>
  </si>
  <si>
    <t xml:space="preserve">AQA-007</t>
  </si>
  <si>
    <t xml:space="preserve">Считает ли приложение четыре выбранных/выпавших вида или должно заново заполнять четыре фактически занятых слота после поглощения/гибели симбионтов?</t>
  </si>
  <si>
    <t xml:space="preserve">игрок; симбионт; Хранитель; Трогр; Учитель; Дельфин; Единый</t>
  </si>
  <si>
    <t xml:space="preserve">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При разрешении сценария: Считает ли приложение четыре выбранных/выпавших вида или должно заново заполнять четыре фактически занятых слота после поглощения/гибели симбионтов</t>
  </si>
  <si>
    <t xml:space="preserve">Случайный Единый получает ровно четыре принятых недублирующихся обычных результата, если первый подтверждённый крит не заменил всю процедуру чудовищем.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t>
  </si>
  <si>
    <t xml:space="preserve">Поля состояния: слоты
Идентификаторы данных: slotCost
Числа и сроки: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
Выборы и условия: Случайный Единый получает ровно четыре принятых недублирующихся обычных результата, если первый подтверждённый крит не заменил всю процедуру чудовищем.|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t>
  </si>
  <si>
    <t xml:space="preserve">Случайный Единый получает ровно четыре принятых недублирующихся обычных результата, если первый подтверждённый крит не заменил всю процедуру чудовищем. Перебросы дубликатов не считаются результатом.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Поглощённый Учитель/Дельфин остаётся учтённым через увеличение slotCost Трогра.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 Это исключение не разрешает добровольно оставлять пустые слоты без конфликта.</t>
  </si>
  <si>
    <t xml:space="preserve">Случайный Единый получает ровно четыре принятых недублирующихся обычных результата, если первый подтверждённый крит не заменил всю процедуру чудовищем.
Перебросы дубликатов не считаются результатом.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Поглощённый Учитель/Дельфин остаётся учтённым через увеличение slotCost Трогра.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
Это исключение не разрешает добровольно оставлять пустые слоты без конфликта.</t>
  </si>
  <si>
    <t xml:space="preserve">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Это исключение не разрешает добровольно оставлять пустые слоты без конфликта.</t>
  </si>
  <si>
    <t xml:space="preserve">Числа и сроки: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t>
  </si>
  <si>
    <t xml:space="preserve">После каждого принятого случайного результата либо после подтверждения ручного состава немедленно разрешаются взаимодействия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
Числа и сроки: Ручной Единый до разрешения взаимодействий выбирает ровно четыре разных обычных вида.| После каждого принятого случайного результата либо после подтверждения ручного состава немедленно разрешаются взаимодействия.| Если Трогр или Хранитель уничтожен, соответствующий результат/выбор считается израсходованным и автоматически не заменяется: итоговый набор может занимать меньше четырёх слотов только как прямое последствие этого конфликта.| 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t>
  </si>
  <si>
    <t xml:space="preserve">Application QA / Q-CHAR-007.</t>
  </si>
  <si>
    <t xml:space="preserve">Q-CHAR-007</t>
  </si>
  <si>
    <t xml:space="preserve">CORE-168
SYM-075</t>
  </si>
  <si>
    <t xml:space="preserve">AQA-008</t>
  </si>
  <si>
    <t xml:space="preserve">В какой момент при создании устанавливаются уровень, максимум и текущие ОЭ, бесплатные способности L1 и результат поглощения Дельфина Трогром?</t>
  </si>
  <si>
    <t xml:space="preserve">симбионт; Хранитель; Трогр; Учитель; Дельфин</t>
  </si>
  <si>
    <t xml:space="preserve">После завершения состава приложение ещё раз пересчитывает максимумы и только ограничивает currentOE сверху новым максимумом
При событии: при создании устанавливаются уровень, максимум и текущие ОЭ, бесплатные способности L1 и результат поглощения Дельфина Трогром</t>
  </si>
  <si>
    <t xml:space="preserve">Каждый принятый кандидат сначала создаётся на L1, получает все способности L1 бесплатно, XP=0, maxOE по L1 и currentOE=maxOE.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t>
  </si>
  <si>
    <t xml:space="preserve">Поля состояния: ОЭ| XP| уровень L| слоты
Идентификаторы данных: maxOE| currentOE
Броски, ресурсы и выражения: ОЭ| XP| 000 ОЭ
Числа и сроки: 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У выживших симбионтов сохраняются уже списанные в ходе взаимодействия ОЭ.
Выборы и условия: Каждый принятый кандидат сначала создаётся на L1, получает все способности L1 бесплатно, XP=0, maxOE по L1 и currentOE=maxOE.|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t>
  </si>
  <si>
    <t xml:space="preserve">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 После завершения состава приложение ещё раз пересчитывает максимумы и только ограничивает currentOE сверху новым максимумом.
[v1.3] Для CustomMonster мастер задаёт заявленный уровень обычного симбионта и валидный набор узлов по CORE-203; стандартный старт L=1 не применяется.</t>
  </si>
  <si>
    <t xml:space="preserve">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
После завершения состава приложение ещё раз пересчитывает максимумы и только ограничивает currentOE сверху новым максимумом.</t>
  </si>
  <si>
    <t xml:space="preserve">После завершения состава приложение ещё раз пересчитывает максимумы и только ограничивает currentOE сверху новым максимумом.
SentientEnemy создаётся по CORE-216: уровень 1 по умолчанию не применяется, итоговые уровни и валидные деревья задаёт мастер.</t>
  </si>
  <si>
    <t xml:space="preserve">При событии: при создании устанавливаются уровень, максимум и текущие ОЭ, бесплатные способности L1 и результат поглощения Дельфина Трогром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
Поля состояния: ОЭ| XP| уровень L| слоты</t>
  </si>
  <si>
    <t xml:space="preserve">Каждый принятый кандидат сначала создаётся на L1, получает все способности L1 бесплатно, XP=0, maxOE по L1 и currentOE=maxOE.
Числа и сроки: 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У выживших симбионтов сохраняются уже списанные в ходе взаимодействия ОЭ.
Выборы и условия: Каждый принятый кандидат сначала создаётся на L1, получает все способности L1 бесплатно, XP=0, maxOE по L1 и currentOE=maxOE.|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t>
  </si>
  <si>
    <t xml:space="preserve">У выживших симбионтов сохраняются уже списанные в ходе взаимодействия ОЭ.
Числа и сроки: 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У выживших симбионтов сохраняются уже списанные в ходе взаимодействия ОЭ.
Выборы и условия: Каждый принятый кандидат сначала создаётся на L1, получает все способности L1 бесплатно, XP=0, maxOE по L1 и currentOE=maxOE.|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t>
  </si>
  <si>
    <t xml:space="preserve">Application QA / Q-CHAR-008.
Прямое уточнение пользователя 2026-07-28 — шаблоны врагов v1.3
Предразработочный QA и прямые ответы пользователя 2026-07-29</t>
  </si>
  <si>
    <t xml:space="preserve">Q-CHAR-008
Q-ENEMY-B9
Q-PREDEV-001</t>
  </si>
  <si>
    <t xml:space="preserve">SYM-009
SYM-020
SYM-024
SYM-075
CORE-203
CORE-216</t>
  </si>
  <si>
    <t xml:space="preserve">AQA-009</t>
  </si>
  <si>
    <t xml:space="preserve">Какие текущие HP, состояния, таймеры, положения встроенных органов/симбионтов и подготовленные объекты получает только что сохранённый персонаж?</t>
  </si>
  <si>
    <t xml:space="preserve">персонаж; носитель; существо; экипировка; симбионт; Хранитель; Пингвин; Крыса; Тайпан; Богомол; Единый; боевая ситуация; Ми-ми-ми</t>
  </si>
  <si>
    <t xml:space="preserve">При финальном сохранении currentHP=maxHP
При разрешении сценария: Какие текущие HP, состояния, таймеры, положения встроенных органов/симбионтов и подготовленные объекты получает только что сохранённый персонаж</t>
  </si>
  <si>
    <t xml:space="preserve">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t>
  </si>
  <si>
    <t xml:space="preserve">Поля состояния: currentHP| maxHP| HP| уровень L| C| инициатива| таймер/срок| состояние
Идентификаторы данных: currentHP| maxHP
Броски, ресурсы и выражения: HP| currentHP| maxHP| C
Числа и сроки: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Крыса и Хранитель находятся внутри носителя; внешние сущности не создаются.| Клинки Богомола находятся в обычном сложенном состоянии.|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
Выборы и условия: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</si>
  <si>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
[v1.3] Для CustomMonster базовый максимум HP не равен 100: мастер задаёт положительное целое baseMaxHP без игрового верхнего лимита по CORE-202.</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</si>
  <si>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</si>
  <si>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При разрешении сценария: Какие текущие HP, состояния, таймеры, положения встроенных органов/симбионтов и подготовленные объекты получает только что сохранённый персонаж
Поля состояния: currentHP| maxHP| HP| уровень L| C| инициатива| таймер/срок| состояние
Броски, ресурсы и выражения: HP| currentHP| maxHP| C</t>
  </si>
  <si>
    <t xml:space="preserve">При финальном сохранении currentHP=maxHP
Числа и сроки: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Крыса и Хранитель находятся внутри носителя; внешние сущности не создаются.| Клинки Богомола находятся в обычном сложенном состоянии.|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t>
  </si>
  <si>
    <t xml:space="preserve">Не создаются заранее паутина, слюна, мины, покрытия, накопленные заряды или иные объекты, если способность прямо не говорит, что они существуют постоянно.
Числа и сроки: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Крыса и Хранитель находятся внутри носителя; внешние сущности не создаются.| Клинки Богомола находятся в обычном сложенном состоянии.|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
Скунс даёт свой постоянный штраф C, пока реально не экипирован герметичный Нэйт.|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Крыса и Хранитель находятся внутри носителя; внешние сущности не создаются.</t>
  </si>
  <si>
    <t xml:space="preserve">Поля состояния: currentHP| maxHP| HP| уровень L| C| инициатива| таймер/срок| состояние
Числа и сроки: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Крыса и Хранитель находятся внутри носителя; внешние сущности не создаются.| Клинки Богомола находятся в обычном сложенном состоянии.|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</si>
  <si>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Application QA / Q-CHAR-009.
Прямое уточнение пользователя 2026-07-28 — шаблоны врагов v1.3</t>
  </si>
  <si>
    <t xml:space="preserve">Q-CHAR-009
Q-ENEMY-B11
Q-ENEMY-P15</t>
  </si>
  <si>
    <t xml:space="preserve">CORE-202
CORE-207</t>
  </si>
  <si>
    <t xml:space="preserve">AQA-010</t>
  </si>
  <si>
    <t xml:space="preserve">Где при создании задаются масса и анатомия, какие значения допустимы и как выбирается сторона для Совы и Угря?</t>
  </si>
  <si>
    <t xml:space="preserve">мастер; игрок; персонаж; НПС; существо; Клещ; Богомол; Готов</t>
  </si>
  <si>
    <t xml:space="preserve">До финальной проверки масса обязательна как положительное число килограммов с точностью 0
При выборе Совы игрок выбирает правый или левый глаз
При определении позиции: при создании задаются масса и анатомия, какие значения допустимы и как выбирается сторона для Совы и Угря</t>
  </si>
  <si>
    <t xml:space="preserve">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При выборе Совы игрок выбирает правый или левый глаз, по умолчанию правый; при выборе Угря — правую или левую руку, по умолчанию правую.</t>
  </si>
  <si>
    <t xml:space="preserve">Поля состояния: раса
Идентификаторы данных: pendingMasterApproval
Числа и сроки: До финальной проверки масса обязательна как положительное число килограммов с точностью 0,1.|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Эти привязки сохраняются в листе и используются при потере/отключении соответствующей части тела.
Выборы и условия: 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При выборе Совы игрок выбирает правый или левый глаз, по умолчанию правый; при выборе Угря — правую или левую руку, по умолчанию правую.</t>
  </si>
  <si>
    <t xml:space="preserve">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Никаких других особенностей произвольной анатомии приложение не учитывает. При выборе Совы игрок выбирает правый или левый глаз, по умолчанию правый; при выборе Угря — правую или левую руку, по умолчанию правую. Клещ всегда привязан к правой руке, Паук — к обоим запястьям, Богомол — к обоим предплечьям. Эти привязки сохраняются в листе и используются при потере/отключении соответствующей части тела.
[v1.3] У каждого созданного CustomMonster anatomyMode=NONSTANDARD_TORSO_ONLY: bodyZones отсутствуют, любой выбор/бросок зоны нормализуется в TORSO. Враг-мыслящий сохраняет обычную анатомию персонажа; анатомические механики канонического бестиария не меняются.</t>
  </si>
  <si>
    <t xml:space="preserve">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Никаких других особенностей произвольной анатомии приложение не учитывает.
При выборе Совы игрок выбирает правый или левый глаз, по умолчанию правый; при выборе Угря — правую или левую руку, по умолчанию правую.
Клещ всегда привязан к правой руке, Паук — к обоим запястьям, Богомол — к обоим предплечьям.
Эти привязки сохраняются в листе и используются при потере/отключении соответствующей части тела.</t>
  </si>
  <si>
    <t xml:space="preserve">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Для CustomMonster нестандартная анатомия обязательна и не является отключаемым чек-боксом. Канонический статблок сохраняет собственную анатомию и зональные особенности.</t>
  </si>
  <si>
    <t xml:space="preserve">Произвольная анатомия задается чек-боксом, если он заполнен, атака в любую часть существа считается атакой по корпусу.
Числа и сроки: До финальной проверки масса обязательна как положительное число килограммов с точностью 0,1.|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Эти привязки сохраняются в листе и используются при потере/отключении соответствующей части тела.
Выборы и условия: 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При выборе Совы игрок выбирает правый или левый глаз, по умолчанию правый; при выборе Угря — правую или левую руку, по умолчанию правую.
Эти привязки сохраняются в листе и используются при потере/отключении соответствующей части тела.</t>
  </si>
  <si>
    <t xml:space="preserve">Application QA / Q-CHAR-010.
Прямое уточнение пользователя 2026-07-28 — шаблоны врагов v1.3</t>
  </si>
  <si>
    <t xml:space="preserve">Q-CHAR-010
Q-ENEMY-B12</t>
  </si>
  <si>
    <t xml:space="preserve">CORE-211
CORE-117
CORE-126
CORE-131
CORE-135</t>
  </si>
  <si>
    <t xml:space="preserve">AQA-011</t>
  </si>
  <si>
    <t xml:space="preserve">Как выполнить требование мастера объявить доступные предметы происхождения, если персонаж создаётся вне кампании или происхождение не является структурированным полем?</t>
  </si>
  <si>
    <t xml:space="preserve">мастер; игрок; персонаж; предмет; инвентарь; оружие; броня; кампания</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</si>
  <si>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При выполнении или разрешении: выполнить требование мастера объявить доступные предметы происхождения, если персонаж создаётся вне кампании или происхождение не является структурированным полем</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</si>
  <si>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t>
  </si>
  <si>
    <t xml:space="preserve">Числа и сроки: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Выборы и условия: 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Готовый профиль заявленного оружия и результат его проверки по CORE-184–CORE-186.</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</si>
  <si>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
При согласовании мастер может заменить готовый профиль оружия по CORE-187/CORE-188, включая значения вне формульной области и оружие Чистых.</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</si>
  <si>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t>
  </si>
  <si>
    <t xml:space="preserve">Совсем отклонить инвентарь персонажа мастер не может (от мастера в любом случае должны уйти игроку итоговые данные о наполнении инвентаря, в т.</t>
  </si>
  <si>
    <t xml:space="preserve">Числа и сроки: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t>
  </si>
  <si>
    <t xml:space="preserve">Application QA / Q-CHAR-011.
Прямое уточнение пользователя 2026-07-28</t>
  </si>
  <si>
    <t xml:space="preserve">Q-CHAR-011</t>
  </si>
  <si>
    <t xml:space="preserve">CORE-183
CORE-184
CORE-185
CORE-186
CORE-187
CORE-188</t>
  </si>
  <si>
    <t xml:space="preserve">AQA-012</t>
  </si>
  <si>
    <t xml:space="preserve">Что именно хранит каждая из пяти заявок, можно ли заявлять боеприпасы/наборы/препараты/артефакты и является ли описательный предмет шестой механической заявкой?</t>
  </si>
  <si>
    <t xml:space="preserve">При определении: именно хранит каждая из пяти заявок, можно ли заявлять боеприпасы/наборы/препараты/артефакты и является ли описательный предмет шестой механической заявкой</t>
  </si>
  <si>
    <t xml:space="preserve">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Для не-Чистого формульного оружия игрок до броска качества вводит готовые формульно выводимые характеристики; для оружия Чистых профиль доступен только для чтения.</t>
  </si>
  <si>
    <t xml:space="preserve">Числа и сроки: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Выборы и условия: 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t>
  </si>
  <si>
    <t xml:space="preserve">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
Игрок в процессе создания персонажа может задать готовый профиль не-Чистого оружия только при результате VALID точной проверки CORE-185. Поля, которые не являются выходами выбранной формулы, игрок не меняет. Оружие Чистых заявляется с неизменным шаблонным профилем по CORE-186.</t>
  </si>
  <si>
    <t xml:space="preserve">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t>
  </si>
  <si>
    <t xml:space="preserve">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t>
  </si>
  <si>
    <t xml:space="preserve">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Числа и сроки: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Выборы и условия: 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t>
  </si>
  <si>
    <t xml:space="preserve">PLAYER_WEAPON_EDIT_OUTSIDE_CREATION; PURE_WEAPON_PROFILE_LOCKED; FORMULA_WITNESS_NOT_FOUND; PLAYER_FIELD_NOT_FORMULA_DERIVED.</t>
  </si>
  <si>
    <t xml:space="preserve">Application QA / Q-CHAR-012.
Прямое уточнение пользователя 2026-07-28</t>
  </si>
  <si>
    <t xml:space="preserve">Q-CHAR-012</t>
  </si>
  <si>
    <t xml:space="preserve">CORE-173
CORE-183
CORE-184
CORE-185
CORE-186</t>
  </si>
  <si>
    <t xml:space="preserve">AQA-013</t>
  </si>
  <si>
    <t xml:space="preserve">Считаются ли выбранные предметы уже принадлежащими персонажу до решения мастера и что блокируется при незакрытых заявках?</t>
  </si>
  <si>
    <t xml:space="preserve">мастер; персонаж; предмет</t>
  </si>
  <si>
    <t xml:space="preserve">При разрешении сценария: Считаются ли выбранные предметы уже принадлежащими персонажу до решения мастера и что блокируется при незакрытых заявках</t>
  </si>
  <si>
    <t xml:space="preserve">Да, до попадания на решение мастеру предметы считаются принадлежащими персонажу.</t>
  </si>
  <si>
    <t xml:space="preserve">Выборы и условия: Да, до попадания на решение мастеру предметы считаются принадлежащими персонажу.</t>
  </si>
  <si>
    <t xml:space="preserve">Application QA / Q-CHAR-013.</t>
  </si>
  <si>
    <t xml:space="preserve">Q-CHAR-013</t>
  </si>
  <si>
    <t xml:space="preserve">CORE-172</t>
  </si>
  <si>
    <t xml:space="preserve">AQA-014</t>
  </si>
  <si>
    <t xml:space="preserve">Должны ли одобренные стартовые одежда/оружие автоматически надеваться и что происходит при невыполненных требованиях или расовом ограничении применения?</t>
  </si>
  <si>
    <t xml:space="preserve">мастер; игрок; персонаж; НПС; предмет; инвентарь; экипировка; оружие; броня; Чистый; кампания</t>
  </si>
  <si>
    <t xml:space="preserve">После разрешения игрок отдельно выбирает одежду/броню
При проверке требования: ли одобренные стартовые одежда/оружие автоматически надеваться и что происходит при невыполненных требованиях или расовом ограничении применения</t>
  </si>
  <si>
    <t xml:space="preserve">После разрешения игрок отдельно выбирает одежду/броню, предметы в каждой руке и основное оружие; для НПС это делает мастер.</t>
  </si>
  <si>
    <t xml:space="preserve">Поля состояния: S| D| C| боевые действия| раса| навыки
Броски, ресурсы и выражения: S/D| C
Ссылки на правила: CORE-016
Числа и сроки: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
Выборы и условия: После разрешения игрок отдельно выбирает одежду/броню, предметы в каждой руке и основное оружие; для НПС это делает мастер.</t>
  </si>
  <si>
    <t xml:space="preserve">Разрешённые мастером предметы поступают в инвентарь неэкипированными. После разрешения игрок отдельно выбирает одежду/броню, предметы в каждой руке и основное оружие; для НПС это делает мастер. Ничто не экипируется автоматически, в том числе замена мастера.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Чистые-only препараты могут храниться и передаваться любым персонажем, но применение к недопустимой расе блокируется.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</si>
  <si>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Разрешённые мастером предметы поступают в инвентарь неэкипированными.
После разрешения игрок отдельно выбирает одежду/броню, предметы в каждой руке и основное оружие; для НПС это делает мастер.
Ничто не экипируется автоматически, в том числе замена мастера.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Чистые-only препараты могут храниться и передаваться любым персонажем, но применение к недопустимой расе блокируется.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</si>
  <si>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</si>
  <si>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Поля состояния: S| D| C| боевые действия| раса| навыки
Числа и сроки: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</si>
  <si>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Броски, ресурсы и выражения: S/D| C</t>
  </si>
  <si>
    <t xml:space="preserve">Числа и сроки: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</si>
  <si>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Application QA / Q-CHAR-014.</t>
  </si>
  <si>
    <t xml:space="preserve">Q-CHAR-014</t>
  </si>
  <si>
    <t xml:space="preserve">CORE-016
CORE-172</t>
  </si>
  <si>
    <t xml:space="preserve">AQA-015</t>
  </si>
  <si>
    <t xml:space="preserve">Можно ли после финального сохранения вернуться в мастер создания и поменять расу, класс, способ характеристик, начальные навыки, симбионтов или стартовые броски?</t>
  </si>
  <si>
    <t xml:space="preserve">мастер; игрок; НПС; инвентарь; симбионт; кампания; боевая ситуация; Создать вариант</t>
  </si>
  <si>
    <t xml:space="preserve">После финального сохранения механические поля создания неизменяемы
При попытке выполнить: после финального сохранения вернуться в мастер создания и поменять расу, класс, способ характеристик, начальные навыки, симбионтов или стартовые броски</t>
  </si>
  <si>
    <t xml:space="preserve">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t>
  </si>
  <si>
    <t xml:space="preserve">Поля состояния: раса| класс| навыки
Идентификаторы данных: UUID
Ссылки на правила: Q-CHAR-001
Числа и сроки: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
Выборы и условия: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t>
  </si>
  <si>
    <t xml:space="preserve">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Игрок может менять только отображаемое имя, описание и арт.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Все последующие механические изменения выполняются механизмами развития, заражения/операций, инвентаря или отдельной журналируемой коррекцией мастера.
Действие «Создать вариант» копирует только имя/описание/арт в новый черновик с новым UUID, без кампании и без случайных результатов. 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
[v1.3] Любое изменение EnemyTemplate выполняется только созданием полной новой EnemyTemplateVersion по CORE-195. Старые версии и экземпляры неизменны; арт входит в версию. In-place edit, archive и template draft отсутствуют.</t>
  </si>
  <si>
    <t xml:space="preserve">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Игрок может менять только отображаемое имя, описание и арт.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Все последующие механические изменения выполняются механизмами развития, заражения/операций, инвентаря или отдельной журналируемой коррекцией мастера.
Действие «Создать вариант» копирует только имя/описание/арт в новый черновик с новым UUID, без кампании и без случайных результатов.
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t>
  </si>
  <si>
    <t xml:space="preserve">Игрок может менять только отображаемое имя, описание и арт.
Действие «Создать вариант» копирует только имя/описание/арт в новый черновик с новым UUID, без кампании и без случайных результатов.</t>
  </si>
  <si>
    <t xml:space="preserve">Действие «Создать вариант» копирует только имя/описание/арт в новый черновик с новым UUID, без кампании и без случайных результатов.
Числа и сроки: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
Выборы и условия: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t>
  </si>
  <si>
    <t xml:space="preserve">Числа и сроки: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t>
  </si>
  <si>
    <t xml:space="preserve">Все последующие механические изменения выполняются механизмами развития, заражения/операций, инвентаря или отдельной журналируемой коррекцией мастера.
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t>
  </si>
  <si>
    <t xml:space="preserve">Application QA / Q-CHAR-015.
Кампания
Прямое уточнение пользователя 2026-07-28 — шаблоны врагов v1.3</t>
  </si>
  <si>
    <t xml:space="preserve">Q-CHAR-015
Q-ENEMY-P5
Q-ENEMY-P17</t>
  </si>
  <si>
    <t xml:space="preserve">CORE-193
CORE-194
CORE-195
CORE-213</t>
  </si>
  <si>
    <t xml:space="preserve">AQA-016</t>
  </si>
  <si>
    <t xml:space="preserve">Указанное при создании «количество игроков» является требуемым числом участников или только максимальной вместимостью? Можно ли создать кампанию без героев, запустить с незаполненными местами и кто обязан иметь статус «Готов»?</t>
  </si>
  <si>
    <t xml:space="preserve">Application QA / Кампания.</t>
  </si>
  <si>
    <t xml:space="preserve">мастер; игрок; персонаж; НПС; кампания; количество игроков; Готов</t>
  </si>
  <si>
    <t xml:space="preserve">После запуска свободные места доступны для позднего подключения по Q-CAMP-005
При разрешении сценария: Указанное при создании «количество игроков» является требуемым числом участников или только максимальной вместимостью; Можно ли создать кампанию без героев, запустить с незаполненными местами и кто обязан иметь статус «Готов»</t>
  </si>
  <si>
    <t xml:space="preserve">Значение от 1 до 5 задаёт максимальное число одновременно активных персонажей игроков, а не обязательный состав.
После запуска свободные места доступны для позднего подключения по Q-CAMP-005.</t>
  </si>
  <si>
    <t xml:space="preserve">Ссылки на правила: Q-CAMP-005
Числа и сроки: Значение от 1 до 5 задаёт максимальное число одновременно активных персонажей игроков, а не обязательный состав.| НПС и мастер без собственного персонажа в лимит не входят.|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
Выборы и условия: Значение от 1 до 5 задаёт максимальное число одновременно активных персонажей игроков, а не обязательный состав.| После запуска свободные места доступны для позднего подключения по Q-CAMP-005.</t>
  </si>
  <si>
    <t xml:space="preserve">Значение от 1 до 5 задаёт максимальное число одновременно активных персонажей игроков, а не обязательный состав. Кампанию можно создать и готовить при нуле персонажей. Сессию можно запустить, когда в составе есть хотя бы один валидный активный персонаж и все уже включённые персонажи имеют подтверждённую готовность управляющих устройств; свободные места запуск не блокируют. НПС и мастер без собственного персонажа в лимит не входят. Персонаж с хотя бы одной незакрытой обязательной строкой стартового имущества не может подтвердить готовность.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
[v1.3] Шаблоны врагов и созданные из них экземпляры не занимают места игроков, не получают управляющее устройство и не изменяют лимит 1–5.</t>
  </si>
  <si>
    <t xml:space="preserve">Значение от 1 до 5 задаёт максимальное число одновременно активных персонажей игроков, а не обязательный состав.
Кампанию можно создать и готовить при нуле персонажей.
Сессию можно запустить, когда в составе есть хотя бы один валидный активный персонаж и все уже включённые персонажи имеют подтверждённую готовность управляющих устройств; свободные места запуск не блокируют.
НПС и мастер без собственного персонажа в лимит не входят.
Персонаж с хотя бы одной незакрытой обязательной строкой стартового имущества не может подтвердить готовность.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t>
  </si>
  <si>
    <t xml:space="preserve">Мастер может изменить вместимость только вне активной сцены и при отсутствии незавершённой операции.</t>
  </si>
  <si>
    <t xml:space="preserve">Числа и сроки: Значение от 1 до 5 задаёт максимальное число одновременно активных персонажей игроков, а не обязательный состав.| НПС и мастер без собственного персонажа в лимит не входят.|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t>
  </si>
  <si>
    <t xml:space="preserve">Application QA / Q-CAMP-001.
Прямое уточнение пользователя 2026-07-28 — шаблоны врагов v1.3</t>
  </si>
  <si>
    <t xml:space="preserve">Q-CAMP-001
Q-ENEMY-P12</t>
  </si>
  <si>
    <t xml:space="preserve">CORE-198
CORE-213</t>
  </si>
  <si>
    <t xml:space="preserve">AQA-017</t>
  </si>
  <si>
    <t xml:space="preserve">Достаточно ли знать адрес сервера, подключение происходит автоматически или мастер должен подтвердить запрос? Используется ли пароль мастера для обычного игрока?</t>
  </si>
  <si>
    <t xml:space="preserve">мастер; игрок; персонаж; кампания</t>
  </si>
  <si>
    <t xml:space="preserve">До подтверждения мастером оно не получает права менять состояние кампании и не занимает место
При разрешении сценария: Достаточно ли знать адрес сервера, подключение происходит автоматически или мастер должен подтвердить запрос; Используется ли пароль мастера для обычного игрока</t>
  </si>
  <si>
    <t xml:space="preserve">Сервер обнаруживается в локальной сети либо открывается по адресу/QR-коду.</t>
  </si>
  <si>
    <t xml:space="preserve">Поля состояния: состояние
Выборы и условия: Сервер обнаруживается в локальной сети либо открывается по адресу/QR-коду.</t>
  </si>
  <si>
    <t xml:space="preserve">Сервер обнаруживается в локальной сети либо открывается по адресу/QR-коду. Устройство отправляет запрос с идентификатором устройства и выбранными валидными персонажами. До подтверждения мастером оно не получает права менять состояние кампании и не занимает место. Мастер принимает или отклоняет запрос и видит, сколько мест займут выбранные персонажи. Пароль мастера никогда не передаётся обычному игроку и используется только для переноса/восстановления роли мастера. В первой версии отдельного пароля игрока нет; безопасность подключения обеспечивается ручным подтверждением мастера.</t>
  </si>
  <si>
    <t xml:space="preserve">Сервер обнаруживается в локальной сети либо открывается по адресу/QR-коду.
Устройство отправляет запрос с идентификатором устройства и выбранными валидными персонажами.
До подтверждения мастером оно не получает права менять состояние кампании и не занимает место.
Мастер принимает или отклоняет запрос и видит, сколько мест займут выбранные персонажи.
Пароль мастера никогда не передаётся обычному игроку и используется только для переноса/восстановления роли мастера.
В первой версии отдельного пароля игрока нет; безопасность подключения обеспечивается ручным подтверждением мастера.</t>
  </si>
  <si>
    <t xml:space="preserve">Пароль мастера никогда не передаётся обычному игроку и используется только для переноса/восстановления роли мастера.</t>
  </si>
  <si>
    <t xml:space="preserve">Мастер принимает или отклоняет запрос и видит, сколько мест займут выбранные персонажи.</t>
  </si>
  <si>
    <t xml:space="preserve">В первой версии отдельного пароля игрока нет; безопасность подключения обеспечивается ручным подтверждением мастера.</t>
  </si>
  <si>
    <t xml:space="preserve">Application QA / Q-CAMP-002.</t>
  </si>
  <si>
    <t xml:space="preserve">Q-CAMP-002</t>
  </si>
  <si>
    <t xml:space="preserve">AQA-018</t>
  </si>
  <si>
    <t xml:space="preserve">Может ли один лист одновременно участвовать в двух активных кампаниях, быть дважды добавлен в одну кампанию или управляться двумя устройствами? Что означает «импортировать как копию»?</t>
  </si>
  <si>
    <t xml:space="preserve">персонаж; предмет; симбионт; кампания; импортировать как копию; как копию</t>
  </si>
  <si>
    <t xml:space="preserve">При первом добавлении в конкретную кампанию создаётся отдельный campaignCharacterId и снимок механического состояния
После завершения кампании пользователь может экспортировать её итоговый экземпляр как новую локальную версию или нового персонажа с новым UUID
При попытке выполнить или проверить: один лист одновременно участвовать в двух активных кампаниях, быть дважды добавлен в одну кампанию или управляться двумя устройствами; Что означает «импортировать как копию»</t>
  </si>
  <si>
    <t xml:space="preserve">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t>
  </si>
  <si>
    <t xml:space="preserve">Поля состояния: HP| ОЭ| состояние
Идентификаторы данных: UUID| campaignCharacterId
Броски, ресурсы и выражения: HP| ОЭ
Числа и сроки: Сохранённый вне кампании лист является исходным шаблоном с UUID.|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Автоматического слияния с исходным листом нет.
Выборы и условия: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t>
  </si>
  <si>
    <t xml:space="preserve">Сохранённый вне кампании лист является исходным шаблоном с UUID. При первом добавлении в конкретную кампанию создаётся отдельный campaignCharacterId и снимок механического состояния.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После завершения кампании пользователь может экспортировать её итоговый экземпляр как новую локальную версию или нового персонажа с новым UUID. Автоматического слияния с исходным листом нет. Импорт «как копию» всегда создаёт новый UUID и независимый журнал; совпадение отображаемого имени допустимо.
[v1.3] CampaignEnemyTemplate не является локальным пользовательским листом. Одну закреплённую версию разрешено инстанцировать в одной кампании многократно; каждый раз создаётся новый entityId и независимый снимок.</t>
  </si>
  <si>
    <t xml:space="preserve">Сохранённый вне кампании лист является исходным шаблоном с UUID.
При первом добавлении в конкретную кампанию создаётся отдельный campaignCharacterId и снимок механического состояния.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После завершения кампании пользователь может экспортировать её итоговый экземпляр как новую локальную версию или нового персонажа с новым UUID.
Автоматического слияния с исходным листом нет.
Импорт «как копию» всегда создаёт новый UUID и независимый журнал; совпадение отображаемого имени допустимо.</t>
  </si>
  <si>
    <t xml:space="preserve">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Запрет повторного импорта одного character UUID в кампанию не применяется к версии шаблона врага.</t>
  </si>
  <si>
    <t xml:space="preserve">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Поля состояния: HP| ОЭ| состояние
Броски, ресурсы и выражения: HP| ОЭ
Числа и сроки: Сохранённый вне кампании лист является исходным шаблоном с UUID.|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Автоматического слияния с исходным листом нет.
Выборы и условия: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t>
  </si>
  <si>
    <t xml:space="preserve">Числа и сроки: Сохранённый вне кампании лист является исходным шаблоном с UUID.|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Автоматического слияния с исходным листом нет.</t>
  </si>
  <si>
    <t xml:space="preserve">Числа и сроки: Сохранённый вне кампании лист является исходным шаблоном с UUID.|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Автоматического слияния с исходным листом нет.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Импорт «как копию» всегда создаёт новый UUID и независимый журнал; совпадение отображаемого имени допустимо.</t>
  </si>
  <si>
    <t xml:space="preserve">Application QA / Q-CAMP-004.
Прямое уточнение пользователя 2026-07-28 — шаблоны врагов v1.3</t>
  </si>
  <si>
    <t xml:space="preserve">Q-CAMP-004
Q-ENEMY-P1
Q-ENEMY-P6</t>
  </si>
  <si>
    <t xml:space="preserve">CORE-191
CORE-213</t>
  </si>
  <si>
    <t xml:space="preserve">AQA-019</t>
  </si>
  <si>
    <t xml:space="preserve">Чем отличается возврат ранее включённого героя от добавления нового героя после старта кампании, особенно во время боя?</t>
  </si>
  <si>
    <t xml:space="preserve">мастер; персонаж; цель; источник эффекта; существо; кампания</t>
  </si>
  <si>
    <t xml:space="preserve">Если момент входа ещё не наступил либо бой завершился раньше
При разрешении сценария: Чем отличается возврат ранее включённого героя от добавления нового героя после старта кампании, особенно во время боя</t>
  </si>
  <si>
    <t xml:space="preserve">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</si>
  <si>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Поля состояния: инициатива| координата/позиция| состояние| локация
Идентификаторы данных: campaignCharacterId
Числа и сроки: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
Выборы и условия: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</si>
  <si>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Повторно подключившееся управляющее устройство восстанавливает контроль уже существующего героя с текущего подтверждённого состояния и не требует нового места.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</si>
  <si>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Повторно подключившееся управляющее устройство восстанавливает контроль уже существующего героя с текущего подтверждённого состояния и не требует нового места.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</si>
  <si>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t>
  </si>
  <si>
    <t xml:space="preserve">Числа и сроки: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</si>
  <si>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Новый валидный персонаж при наличии свободного места может быть принят мастером и получает campaignCharacterId только после атомарного подтверждения.
Выборы и условия: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</si>
  <si>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Application QA / Q-CAMP-005.</t>
  </si>
  <si>
    <t xml:space="preserve">Q-CAMP-005</t>
  </si>
  <si>
    <t xml:space="preserve">AQA-020</t>
  </si>
  <si>
    <t xml:space="preserve">Что приложение делает с персонажем, если управляющее устройство отключилось или не отвечает в момент хода, защиты, выбора цели либо подтверждения?</t>
  </si>
  <si>
    <t xml:space="preserve">мастер; персонаж; цель</t>
  </si>
  <si>
    <t xml:space="preserve">При возврате устройство получает актуальный снимок и возвращает контроль на следующей безопасной границе
При определении: приложение делает с персонажем, если управляющее устройство отключилось или не отвечает в момент хода, защиты, выбора цели либо подтверждения</t>
  </si>
  <si>
    <t xml:space="preserve">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</si>
  <si>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Поля состояния: боевые действия
Ссылки на правила: Q-CORE-067
Числа и сроки: 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Выборы и условия: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</si>
  <si>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Глобального автоматического тайм-аута нет. Мастер явно выбирает: ждать, временно принять управление до безопасной границы либо завершить текущий ход без новых активных действий. Передача управления и принудительное завершение журналируются.
При возврате устройство получает актуальный снимок и возвращает контроль на следующей безопасной границе, не повторяя уже подтверждённую команду.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</si>
  <si>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Глобального автоматического тайм-аута нет.
Мастер явно выбирает: ждать, временно принять управление до безопасной границы либо завершить текущий ход без новых активных действий.
Передача управления и принудительное завершение журналируются.
При возврате устройство получает актуальный снимок и возвращает контроль на следующей безопасной границе, не повторяя уже подтверждённую команду.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</si>
  <si>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Поля состояния: боевые действия
Числа и сроки: 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Выборы и условия: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</si>
  <si>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Числа и сроки: 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Выборы и условия: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</si>
  <si>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При определении: приложение делает с персонажем, если управляющее устройство отключилось или не отвечает в момент хода, защиты, выбора цели либо подтверждения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Числа и сроки: 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Выборы и условия: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
Уже подтверждённая часть операции сохраняется на точном checkpoint; неподтверждённые поля не применяются.</t>
  </si>
  <si>
    <t xml:space="preserve">Передача управления и принудительное завершение журналируются.</t>
  </si>
  <si>
    <t xml:space="preserve">Application QA / Q-CAMP-006.</t>
  </si>
  <si>
    <t xml:space="preserve">Q-CAMP-006</t>
  </si>
  <si>
    <t xml:space="preserve">AQA-021</t>
  </si>
  <si>
    <t xml:space="preserve">Когда место освобождается, что сохраняется от прежнего героя и что переносится новому персонажу?</t>
  </si>
  <si>
    <t xml:space="preserve">мастер; игрок; персонаж; носитель; НПС; труп; симбионт; Хранитель; кампания</t>
  </si>
  <si>
    <t xml:space="preserve">После подтверждения мастером профиль игрока может принять нового валидного персонажа
После ввода нового героя прежний герой уже не может быть воскрешен
Если Хранитель окончательно занял тело персонажа другого игрока
Если занято тело НПС
Когда место освобождается, что сохраняется от прежнего героя и что переносится новому персонажу</t>
  </si>
  <si>
    <t xml:space="preserve">После ввода нового героя прежний герой уже не может быть воскрешен.
Если Хранитель окончательно занял тело персонажа другого игрока, занятое тело сохраняет свой campaignCharacterId, но его управляющий профиль меняется на игрока Хранителя; прежний экземпляр носителя Хранителя остаётся мёртвой исторической записью.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</si>
  <si>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Поля состояния: состояние
Идентификаторы данных: campaignCharacterId| UUID
Ссылки на правила: Q-CORE-064
Числа и сроки: Живого персонажа можно вывести из активного состава только вне боя и при отсутствии незавершённой операции с его участием.| Выведенный живой герой сохраняет campaignCharacterId в истории кампании и исходный лист в локальной библиотеке, отвязывается от активного места и управляющего устройства и не удаляется.| Окончательно мёртвый персонаж сначала полностью проходит жизненный цикл Q-CORE-064; труп, имущество и события симбионтов не исчезают из-за замены.| Новый герой сохраняет UUID своего исходного листа, получает отдельный campaignCharacterId и состояние и ничего механически не наследует от прежнего.
Выборы и условия: После ввода нового героя прежний герой уже не может быть воскрешен.| Если Хранитель окончательно занял тело персонажа другого игрока, занятое тело сохраняет свой campaignCharacterId, но его управляющий профиль меняется на игрока Хранителя; прежний экземпляр носителя Хранителя остаётся мёртвой исторической записью.|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</si>
  <si>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Живого персонажа можно вывести из активного состава только вне боя и при отсутствии незавершённой операции с его участием. Выведенный живой герой сохраняет campaignCharacterId в истории кампании и исходный лист в локальной библиотеке, отвязывается от активного места и управляющего устройства и не удаляется. Окончательно мёртвый персонаж сначала полностью проходит жизненный цикл Q-CORE-064; труп, имущество и события симбионтов не исчезают из-за замены. После подтверждения мастером профиль игрока может принять нового валидного персонажа. Новый герой сохраняет UUID своего исходного листа, получает отдельный campaignCharacterId и состояние и ничего механически не наследует от прежнего.
После ввода нового героя прежний герой уже не может быть воскрешен.
Если Хранитель окончательно занял тело персонажа другого игрока, занятое тело сохраняет свой campaignCharacterId, но его управляющий профиль меняется на игрока Хранителя; прежний экземпляр носителя Хранителя остаётся мёртвой исторической записью. Профиль прежнего владельца занятого тела становится пустым и может подать нового персонажа; до его принятия число активных персонажей не увеличивается.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</si>
  <si>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Живого персонажа можно вывести из активного состава только вне боя и при отсутствии незавершённой операции с его участием.
Выведенный живой герой сохраняет campaignCharacterId в истории кампании и исходный лист в локальной библиотеке, отвязывается от активного места и управляющего устройства и не удаляется.
Окончательно мёртвый персонаж сначала полностью проходит жизненный цикл Q-CORE-064; труп, имущество и события симбионтов не исчезают из-за замены.
После подтверждения мастером профиль игрока может принять нового валидного персонажа.
Новый герой сохраняет UUID своего исходного листа, получает отдельный campaignCharacterId и состояние и ничего механически не наследует от прежнего.
После ввода нового героя прежний герой уже не может быть воскрешен.
Если Хранитель окончательно занял тело персонажа другого игрока, занятое тело сохраняет свой campaignCharacterId, но его управляющий профиль меняется на игрока Хранителя; прежний экземпляр носителя Хранителя остаётся мёртвой исторической записью.
Профиль прежнего владельца занятого тела становится пустым и может подать нового персонажа; до его принятия число активных персонажей не увеличивается.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</si>
  <si>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Живого персонажа можно вывести из активного состава только вне боя и при отсутствии незавершённой операции с его участием.
Если занято тело НПС, оно преобразуется в персонажа игрока Хранителя и учитывается только в его месте, а не как дополнительное место игрока.</t>
  </si>
  <si>
    <t xml:space="preserve">Числа и сроки: Живого персонажа можно вывести из активного состава только вне боя и при отсутствии незавершённой операции с его участием.| Выведенный живой герой сохраняет campaignCharacterId в истории кампании и исходный лист в локальной библиотеке, отвязывается от активного места и управляющего устройства и не удаляется.| Окончательно мёртвый персонаж сначала полностью проходит жизненный цикл Q-CORE-064; труп, имущество и события симбионтов не исчезают из-за замены.| Новый герой сохраняет UUID своего исходного листа, получает отдельный campaignCharacterId и состояние и ничего механически не наследует от прежнего.</t>
  </si>
  <si>
    <t xml:space="preserve">Application QA / Q-CAMP-007.</t>
  </si>
  <si>
    <t xml:space="preserve">Q-CAMP-007</t>
  </si>
  <si>
    <t xml:space="preserve">AQA-022</t>
  </si>
  <si>
    <t xml:space="preserve">Как приложение ставит кампанию на паузу или закрывает хост посреди сцены/операции, и как затем безопасно продолжает игру либо передаёт роль мастера?</t>
  </si>
  <si>
    <t xml:space="preserve">мастер; игрок; персонаж; кампания; Завершить кампанию</t>
  </si>
  <si>
    <t xml:space="preserve">При следующем открытии восстанавливается точный подтверждённый этап
После успешной передачи прежний компьютер становится обычным игроком и сохраняет только назначенные ему персонажи
При выполнении или разрешении: приложение ставит кампанию на паузу или закрывает хост посреди сцены/операции, и как затем безопасно продолжает игру либо передаёт роль мастера</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</si>
  <si>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Для завершения требуется ввод пароля мастера.</t>
  </si>
  <si>
    <t xml:space="preserve">Поля состояния: боевые действия| таймер/срок
Числа и сроки: Пауза и закрытие хоста сначала атомарно сохраняют текущий транзакционный checkpoint, после чего замораживают виртуальное время, таймеры и новые команды.| «Завершить кампанию» — отдельная операция вне незавершённых действий; она переводит кампанию в неизменяемый архив и освобождает активные привязки.
Выборы и условия: Пауза и закрытие хоста сначала атомарно сохраняют текущий транзакционный checkpoint, после чего замораживают виртуальное время, таймеры и новые команды.|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Для завершения требуется ввод пароля мастера.</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</si>
  <si>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Кампанию можно закрыть посреди боя или многоэтапной операции.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Добровольная передача роли мастера разрешена только на безопасной границе после завершения либо штатной приостановки операции. Аварийный failover замораживает операцию и продолжает её на новом сервере из того же checkpoint. После успешной передачи прежний компьютер становится обычным игроком и сохраняет только назначенные ему персонажи. «Завершить кампанию» — отдельная операция вне незавершённых действий; она переводит кампанию в неизменяемый архив и освобождает активные привязки. Ставить кампанию на паузу и завершать ее может только мастер. Для завершения требуется ввод пароля мастера.
[v1.3] После передачи роли только новый текущий мастер вправе изменять каталоги врагов. Завершённая кампания неизменяема; пауза боя не разрешает изменение шаблонов.</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</si>
  <si>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Кампанию можно закрыть посреди боя или многоэтапной операции.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Добровольная передача роли мастера разрешена только на безопасной границе после завершения либо штатной приостановки операции.
Аварийный failover замораживает операцию и продолжает её на новом сервере из того же checkpoint.
После успешной передачи прежний компьютер становится обычным игроком и сохраняет только назначенные ему персонажи.
«Завершить кампанию» — отдельная операция вне незавершённых действий; она переводит кампанию в неизменяемый архив и освобождает активные привязки.
Ставить кампанию на паузу и завершать ее может только мастер.
Для завершения требуется ввод пароля мастера.</t>
  </si>
  <si>
    <t xml:space="preserve">Добровольная передача роли мастера разрешена только на безопасной границе после завершения либо штатной приостановки операции.
После успешной передачи прежний компьютер становится обычным игроком и сохраняет только назначенные ему персонажи.
Ставить кампанию на паузу и завершать ее может только мастер.</t>
  </si>
  <si>
    <t xml:space="preserve">Поля состояния: боевые действия| таймер/срок
Числа и сроки: Пауза и закрытие хоста сначала атомарно сохраняют текущий транзакционный checkpoint, после чего замораживают виртуальное время, таймеры и новые команды.| «Завершить кампанию» — отдельная операция вне незавершённых действий; она переводит кампанию в неизменяемый архив и освобождает активные привязки.
«Завершить кампанию» — отдельная операция вне незавершённых действий; она переводит кампанию в неизменяемый архив и освобождает активные привязки.</t>
  </si>
  <si>
    <t xml:space="preserve">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Выборы и условия: Пауза и закрытие хоста сначала атомарно сохраняют текущий транзакционный checkpoint, после чего замораживают виртуальное время, таймеры и новые команды.|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Для завершения требуется ввод пароля мастера.</t>
  </si>
  <si>
    <t xml:space="preserve">Поля состояния: боевые действия| таймер/срок
Числа и сроки: Пауза и закрытие хоста сначала атомарно сохраняют текущий транзакционный checkpoint, после чего замораживают виртуальное время, таймеры и новые команды.| «Завершить кампанию» — отдельная операция вне незавершённых действий; она переводит кампанию в неизменяемый архив и освобождает активные привязки.</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</si>
  <si>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Числа и сроки: Пауза и закрытие хоста сначала атомарно сохраняют текущий транзакционный checkpoint, после чего замораживают виртуальное время, таймеры и новые команды.| «Завершить кампанию» — отдельная операция вне незавершённых действий; она переводит кампанию в неизменяемый архив и освобождает активные привязки.
Выборы и условия: Пауза и закрытие хоста сначала атомарно сохраняют текущий транзакционный checkpoint, после чего замораживают виртуальное время, таймеры и новые команды.|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Для завершения требуется ввод пароля мастера.</t>
  </si>
  <si>
    <t xml:space="preserve">Application QA / Q-CAMP-009.
Действия мастера
Прямое уточнение пользователя 2026-07-28 — шаблоны врагов v1.3</t>
  </si>
  <si>
    <t xml:space="preserve">Q-CAMP-009
Q-ENEMY-P2
Q-ENEMY-P3</t>
  </si>
  <si>
    <t xml:space="preserve">CORE-192</t>
  </si>
  <si>
    <t xml:space="preserve">AQA-023</t>
  </si>
  <si>
    <t xml:space="preserve">Является ли время реальным, когда оно идёт, кто может его менять и как определяются день/ночь?</t>
  </si>
  <si>
    <t xml:space="preserve">Application QA / Действия мастера.</t>
  </si>
  <si>
    <t xml:space="preserve">После 21
При разрешении сценария: Является ли время реальным, когда оно идёт, кто может его менять и как определяются день/ночь</t>
  </si>
  <si>
    <t xml:space="preserve">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t>
  </si>
  <si>
    <t xml:space="preserve">Поля состояния: таймер/срок| освещение
Идентификаторы данных: lightState
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
Выборы и условия: 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t>
  </si>
  <si>
    <t xml:space="preserve">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t>
  </si>
  <si>
    <t xml:space="preserve">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t>
  </si>
  <si>
    <t xml:space="preserve">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
Выборы и условия: 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Кампания хранит монотонное виртуальное время, не связанное с системными часами.
По умолчанию 10 реальных минут = 1 игровому часу.</t>
  </si>
  <si>
    <t xml:space="preserve">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
По умолчанию 10 реальных минут = 1 игровому часу.</t>
  </si>
  <si>
    <t xml:space="preserve">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Поля состояния: таймер/срок| освещение
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
Выборы и условия: 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Кампания хранит монотонное виртуальное время, не связанное с системными часами.
По умолчанию 10 реальных минут = 1 игровому часу.</t>
  </si>
  <si>
    <t xml:space="preserve">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
Выборы и условия: 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t>
  </si>
  <si>
    <t xml:space="preserve">Application QA / Q-GM-001.</t>
  </si>
  <si>
    <t xml:space="preserve">Q-GM-001</t>
  </si>
  <si>
    <t xml:space="preserve">AQA-024</t>
  </si>
  <si>
    <t xml:space="preserve">В каком порядке исполняются одновременные тики болезней, урон, окончание эффектов, восстановление и смерть? Обрабатываются ли сущности вне текущей группы?</t>
  </si>
  <si>
    <t xml:space="preserve">мастер; персонаж; НПС; существо; кампания; группа</t>
  </si>
  <si>
    <t xml:space="preserve">Перед каждым событием приложение повторно проверяет его применимость к актуальному состоянию
При разрешении сценария: В каком порядке исполняются одновременные тики болезней, урон, окончание эффектов, восстановление и смерть; Обрабатываются ли сущности вне текущей группы</t>
  </si>
  <si>
    <t xml:space="preserve">Перед каждым событием приложение повторно проверяет его применимость к актуальному состоянию.</t>
  </si>
  <si>
    <t xml:space="preserve">Поля состояния: таймер/срок| состояние
Идентификаторы данных: createdAt| UUID
Числа и сроки: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Выборы и условия: Перед каждым событием приложение повторно проверяет его применимость к актуальному состоянию.</t>
  </si>
  <si>
    <t xml:space="preserve">Продвижение времени является одной транзакцией с остановками на каждой метке события и охватывает всех постоянных персонажей и НПС кампании. На одной метке сначала фиксируется неизменяемый список событий, существовавших до её обработки.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Перед каждым событием приложение повторно проверяет его применимость к актуальному состоянию. 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 Внутри одной фазы используется стабильный порядок createdAt, затем UUID.</t>
  </si>
  <si>
    <t xml:space="preserve">Продвижение времени является одной транзакцией с остановками на каждой метке события и охватывает всех постоянных персонажей и НПС кампании.
На одной метке сначала фиксируется неизменяемый список событий, существовавших до её обработки.
Затем: 1) списываются обязательные цены и выполняются периодические тики; 2) после каждого тика пересчитываются тяжёлые ранения, сознание и окончательная смерть со всеми немедленными триггерами; 3) завершаются операции, восстановления и отдых; 4) истекают эффекты, срок которых закончился на этой метке; 5) создаются запросы мастеру.
Новое событие с той же меткой добавляется в конец подходящей ещё не завершённой фазы и не возвращает обработку к прошлой фазе.
Перед каждым событием приложение повторно проверяет его применимость к актуальному состоянию.
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
Внутри одной фазы используется стабильный порядок createdAt, затем UUID.</t>
  </si>
  <si>
    <t xml:space="preserve">Окончательная смерть отменяет все ещё не выполненные личные тики, завершения отдыха и восстановления этой сущности на той же метке времени; продолжаются только прямо вызванные смертью события.</t>
  </si>
  <si>
    <t xml:space="preserve">Числа и сроки: Затем: 1) списываются обязательные цены и выполняются периодические тики
Затем: 1) списываются обязательные цены и выполняются периодические тики</t>
  </si>
  <si>
    <t xml:space="preserve">Поля состояния: таймер/срок| состояние
Числа и сроки: Затем: 1) списываются обязательные цены и выполняются периодические тики
4) истекают эффекты, срок которых закончился на этой метке</t>
  </si>
  <si>
    <t xml:space="preserve">Application QA / Q-GM-002.</t>
  </si>
  <si>
    <t xml:space="preserve">Q-GM-002</t>
  </si>
  <si>
    <t xml:space="preserve">CORE-063
CORE-153
MON-088</t>
  </si>
  <si>
    <t xml:space="preserve">AQA-025</t>
  </si>
  <si>
    <t xml:space="preserve">Нажатие игроком «Долгий отдых» само продвигает время или только отправляет запрос? Кто отдыхает и что считается прерыванием?</t>
  </si>
  <si>
    <t xml:space="preserve">мастер; игрок; персонаж; Единый; Долгий отдых; прервать отдых</t>
  </si>
  <si>
    <t xml:space="preserve">При разрешении сценария: Нажатие игроком «Долгий отдых» само продвигает время или только отправляет запрос; Кто отдыхает и что считается прерыванием</t>
  </si>
  <si>
    <t xml:space="preserve">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</si>
  <si>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Поля состояния: HP| ОЭ| таймер/срок
Броски, ресурсы и выражения: HP| ОЭ
Числа и сроки: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Не участвующие персонажи продолжают получать свои обычные временные события.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</si>
  <si>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Начало боя, полученный урон, применение боевой способности, принудительное перемещение либо явная команда мастера «прервать отдых» разрывают непрерывность; уже прошедшее мировое время не откатывается. Не участвующие персонажи продолжают получать свои обычные временные события.</t>
  </si>
  <si>
    <t xml:space="preserve">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Начало боя, полученный урон, применение боевой способности, принудительное перемещение либо явная команда мастера «прервать отдых» разрывают непрерывность; уже прошедшее мировое время не откатывается.
Не участвующие персонажи продолжают получать свои обычные временные события.</t>
  </si>
  <si>
    <t xml:space="preserve">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</si>
  <si>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Числа и сроки: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Не участвующие персонажи продолжают получать свои обычные временные события.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</si>
  <si>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Кнопка игрока создаёт запрос и указывает длительность отдыха, но не меняет HP, ОЭ или время.
Поля состояния: HP| ОЭ| таймер/срок
Броски, ресурсы и выражения: HP| ОЭ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</si>
  <si>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Кнопка игрока создаёт запрос и указывает длительность отдыха, но не меняет HP, ОЭ или время.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</si>
  <si>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Поля состояния: HP| ОЭ| таймер/срок
Числа и сроки: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Не участвующие персонажи продолжают получать свои обычные временные события.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</si>
  <si>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Мастер выбирает участников, момент начала и длительность, затем подтверждает единое продвижение мирового времени.
Числа и сроки: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Не участвующие персонажи продолжают получать свои обычные временные события.
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</si>
  <si>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Application QA / Q-GM-003.</t>
  </si>
  <si>
    <t xml:space="preserve">Q-GM-003</t>
  </si>
  <si>
    <t xml:space="preserve">AQA-026</t>
  </si>
  <si>
    <t xml:space="preserve">Продвигают ли боевые круги часы кампании и что происходит с начатым отдыхом и часовыми таймерами при открытии боя?</t>
  </si>
  <si>
    <t xml:space="preserve">кампания; боевая ситуация</t>
  </si>
  <si>
    <t xml:space="preserve">После завершения боя часы продолжают идти с временной точки
При разрешении сценария: Продвигают ли боевые круги часы кампании и что происходит с начатым отдыхом и часовыми таймерами при открытии боя</t>
  </si>
  <si>
    <t xml:space="preserve">Открытие боевой сцены останавливает ускоренное мировое время.</t>
  </si>
  <si>
    <t xml:space="preserve">Поля состояния: таймер/срок
Ссылки на правила: CORE-153
Числа и сроки: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
Выборы и условия: Открытие боевой сцены останавливает ускоренное мировое время.</t>
  </si>
  <si>
    <t xml:space="preserve">Открытие боевой сцены останавливает ускоренное мировое время.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t>
  </si>
  <si>
    <t xml:space="preserve">Открытие боевой сцены останавливает ускоренное мировое время.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t>
  </si>
  <si>
    <t xml:space="preserve">После завершения боя часы продолжают идти с временной точки
При разрешении сценария: Продвигают ли боевые круги часы кампании и что происходит с начатым отдыхом и часовыми таймерами при открытии боя
Числа и сроки: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t>
  </si>
  <si>
    <t xml:space="preserve">После завершения боя часы продолжают идти с временной точки
При разрешении сценария: Продвигают ли боевые круги часы кампании и что происходит с начатым отдыхом и часовыми таймерами при открытии боя
Поля состояния: таймер/срок
Числа и сроки: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t>
  </si>
  <si>
    <t xml:space="preserve">Application QA / Q-GM-004.</t>
  </si>
  <si>
    <t xml:space="preserve">Q-GM-004</t>
  </si>
  <si>
    <t xml:space="preserve">CORE-063
CORE-153</t>
  </si>
  <si>
    <t xml:space="preserve">AQA-027</t>
  </si>
  <si>
    <t xml:space="preserve">Должно ли приложение позволять мастеру запускать общую проверку вне боя, если сама мирная сцена не моделируется?</t>
  </si>
  <si>
    <t xml:space="preserve">мастер; персонаж; НПС; мирную проверку</t>
  </si>
  <si>
    <t xml:space="preserve">При проверке требования: ли приложение позволять мастеру запускать общую проверку вне боя, если сама мирная сцена не моделируется</t>
  </si>
  <si>
    <t xml:space="preserve">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</si>
  <si>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Поля состояния: навыки
Числа и сроки: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Выборы и условия: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</si>
  <si>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Да.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Их мастер применяет отдельной командой или заметкой.
В мирной ситуации original D20 natural 1/20 проходит тот же CORE-230, что и в бою.</t>
  </si>
  <si>
    <t xml:space="preserve">Да.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Их мастер применяет отдельной командой или заметкой.</t>
  </si>
  <si>
    <t xml:space="preserve">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</si>
  <si>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Числа и сроки: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</si>
  <si>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Бросок выполняется в текущем ручном/автоматическом режиме, использует общую критическую цепочку и сохраняется в журнале.
Выборы и условия: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</si>
  <si>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Бросок выполняется в текущем ручном/автоматическом режиме, использует общую критическую цепочку и сохраняется в журнале.
Выборы и условия: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Контекст PEACE сохраняется в событии.</t>
  </si>
  <si>
    <t xml:space="preserve">Application QA / Q-GM-005.
Прямое авторское решение Q-SYMBIONT-XP-001 — опыт симбионтов за natural 20/1, 2026-07-30</t>
  </si>
  <si>
    <t xml:space="preserve">Q-GM-005
Q-SYMBIONT-XP-001</t>
  </si>
  <si>
    <t xml:space="preserve">CORE-073
CORE-230</t>
  </si>
  <si>
    <t xml:space="preserve">AQA-028</t>
  </si>
  <si>
    <t xml:space="preserve">Какие параметры мастер вправе изменять напрямую и должны ли после этого срабатывать автоматические производные правила?</t>
  </si>
  <si>
    <t xml:space="preserve">мастер; экипировка; кампания</t>
  </si>
  <si>
    <t xml:space="preserve">После неё приложение всегда пересчитывает производные значения
При разрешении сценария: Какие параметры мастер вправе изменять напрямую и должны ли после этого срабатывать автоматические производные правила</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</si>
  <si>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Флаг dead=true является терминальным: обычное лечение HP, повышение HP или снятие состояния не возвращает сущность к жизни.</t>
  </si>
  <si>
    <t xml:space="preserve">Поля состояния: dead| HP| ОЭ| боевые действия| состояние| раса
Идентификаторы данных: dead
Броски, ресурсы и выражения: HP| ОЭ
Числа и сроки: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Выборы и условия: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Флаг dead=true является терминальным: обычное лечение HP, повышение HP или снятие состояния не возвращает сущность к жизни.</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</si>
  <si>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
К разрешённым прямым операциям мастера добавляется создание или изменение версии профиля конкретного оружия по CORE-187–CORE-190. После правки требования и валидность использования пересчитываются, но уже разрешённая атака не меняется.
[v1.3] Структурированные изменения экземпляра никогда не записываются в EnemyTemplateVersion. Для CustomMonster допустимы текущие HP/ОЭ, состояния и модификаторы характеристик, но нельзя создать inventory, skills или bodyZones; предел 35 к последующим модификаторам не применяется.</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</si>
  <si>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</si>
  <si>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Правка разрешена только на безопасной границе операции.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</si>
  <si>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Поля состояния: dead| HP| ОЭ| боевые действия| состояние| раса
Числа и сроки: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Выборы и условия: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Флаг dead=true является терминальным: обычное лечение HP, повышение HP или снятие состояния не возвращает сущность к жизни.</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</si>
  <si>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Флаг dead=true является терминальным: обычное лечение HP, повышение HP или снятие состояния не возвращает сущность к жизни.
Поля состояния: dead| HP| ОЭ| боевые действия| состояние| раса
Броски, ресурсы и выражения: HP| ОЭ
Числа и сроки: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t>
  </si>
  <si>
    <t xml:space="preserve">Флаг dead=true является терминальным: обычное лечение HP, повышение HP или снятие состояния не возвращает сущность к жизни.
Выборы и условия: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Флаг dead=true является терминальным: обычное лечение HP, повышение HP или снятие состояния не возвращает сущность к жизни.</t>
  </si>
  <si>
    <t xml:space="preserve">Числа и сроки: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t>
  </si>
  <si>
    <t xml:space="preserve">Мастер выбирает конкретный экземпляр, вариант атаки и изменяемые поля профиля.</t>
  </si>
  <si>
    <t xml:space="preserve">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</si>
  <si>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Application QA / Q-GM-006.
Прямое уточнение пользователя 2026-07-28
Прямое уточнение пользователя 2026-07-28 — шаблоны врагов v1.3</t>
  </si>
  <si>
    <t xml:space="preserve">Q-GM-006
Q-ENEMY-B1
Q-ENEMY-P13</t>
  </si>
  <si>
    <t xml:space="preserve">CORE-187
CORE-188
CORE-190
CORE-200
CORE-204
CORE-211
CORE-213</t>
  </si>
  <si>
    <t xml:space="preserve">AQA-029</t>
  </si>
  <si>
    <t xml:space="preserve">Когда сюжетная пометка должна влиять на расчёты и какие поля обязательны у механического эффекта?</t>
  </si>
  <si>
    <t xml:space="preserve">Application QA</t>
  </si>
  <si>
    <t xml:space="preserve">Действия мастера.; Application QA / Q-GM-007</t>
  </si>
  <si>
    <t xml:space="preserve">Когда сюжетная пометка должна влиять на расчёты и какие поля обязательны у механического эффекта</t>
  </si>
  <si>
    <t xml:space="preserve">Свободный текст создаёт только сюжетную пометку и никогда не влияет на числа или доступность действий.</t>
  </si>
  <si>
    <t xml:space="preserve">Поля состояния: боевые действия| раса
Числа и сроки: Свободный текст создаёт только сюжетную пометку и никогда не влияет на числа или доступность действий.
Выборы и условия: Свободный текст создаёт только сюжетную пометку и никогда не влияет на числа или доступность действий.</t>
  </si>
  <si>
    <t xml:space="preserve">Свободный текст создаёт только сюжетную пометку и никогда не влияет на числа или доступность действий.
Поля состояния: боевые действия| раса
Числа и сроки: Свободный текст создаёт только сюжетную пометку и никогда не влияет на числа или доступность действий.
Выборы и условия: Свободный текст создаёт только сюжетную пометку и никогда не влияет на числа или доступность действий.</t>
  </si>
  <si>
    <t xml:space="preserve">Числа и сроки: Свободный текст создаёт только сюжетную пометку и никогда не влияет на числа или доступность действий.</t>
  </si>
  <si>
    <t xml:space="preserve">Application QA / Q-GM-007.</t>
  </si>
  <si>
    <t xml:space="preserve">Q-GM-007</t>
  </si>
  <si>
    <t xml:space="preserve">AQA-030</t>
  </si>
  <si>
    <t xml:space="preserve">Может ли группа разделяться и как один маркер карты соотносится с местоположением отдельных персонажей?</t>
  </si>
  <si>
    <t xml:space="preserve">мастер; игрок; персонаж; НПС; кампания; группа; боевая ситуация</t>
  </si>
  <si>
    <t xml:space="preserve">При создании боя мастер выбирает одну или несколько подгрупп
При наведении мышки на точку на карте
При попытке выполнить или проверить: группа разделяться и как один маркер карты соотносится с местоположением отдельных персонажей</t>
  </si>
  <si>
    <t xml:space="preserve">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t>
  </si>
  <si>
    <t xml:space="preserve">Поля состояния: раса| локация
Числа и сроки: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Боевая ситуация происходит именно с выбранной группой.| По умолчанию (при создании кампании) группа одна и в нее входят все персонажи игроков.
Выборы и условия: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t>
  </si>
  <si>
    <t xml:space="preserve">Местоположение хранится у каждого постоянного персонажа и НПС. Сущности с одинаковой локацией и подлокацией автоматически образуют отображаемую подгруппу; мастер может перемещать выбранное подмножество, не двигая остальных. Карта показывает отдельный маркер каждой подгруппы, но не рассчитывает путь, скорость, препятствия или время дороги.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Игрок видит только ту группу, персонажей, к которой относится его персонаж и ее положение на карте. Мастер видит все группы, в которые собраны персонажи игроков, и их положение на карте. При наведении мышки на точку на карте, где отмечена группа, мастеру выводятся имена персонажей, относящихся к этой группе. Боевая ситуация происходит именно с выбранной группой. Группа из одного персонажа – возможна. Мастер администрирует (добавляет и убирает персонажей в/из каждой группы) вручную. По умолчанию (при создании кампании) группа одна и в нее входят все персонажи игроков. Мастер может отделить выбранного персонажа в отдельную группу. Максимальное число групп = числу игроков в компании.</t>
  </si>
  <si>
    <t xml:space="preserve">Местоположение хранится у каждого постоянного персонажа и НПС.
Сущности с одинаковой локацией и подлокацией автоматически образуют отображаемую подгруппу; мастер может перемещать выбранное подмножество, не двигая остальных.
Карта показывает отдельный маркер каждой подгруппы, но не рассчитывает путь, скорость, препятствия или время дороги.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Игрок видит только ту группу, персонажей, к которой относится его персонаж и ее положение на карте.
Мастер видит все группы, в которые собраны персонажи игроков, и их положение на карте.
При наведении мышки на точку на карте, где отмечена группа, мастеру выводятся имена персонажей, относящихся к этой группе.
Боевая ситуация происходит именно с выбранной группой.
Группа из одного персонажа – возможна.
Мастер администрирует (добавляет и убирает персонажей в/из каждой группы) вручную.
По умолчанию (при создании кампании) группа одна и в нее входят все персонажи игроков.
Мастер может отделить выбранного персонажа в отдельную группу.
Максимальное число групп = числу игроков в компании.</t>
  </si>
  <si>
    <t xml:space="preserve">Игрок видит только ту группу, персонажей, к которой относится его персонаж и ее положение на карте.</t>
  </si>
  <si>
    <t xml:space="preserve">Максимальное число групп = числу игроков в компании.</t>
  </si>
  <si>
    <t xml:space="preserve">Числа и сроки: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Боевая ситуация происходит именно с выбранной группой.| По умолчанию (при создании кампании) группа одна и в нее входят все персонажи игроков.</t>
  </si>
  <si>
    <t xml:space="preserve">При создании боя мастер выбирает одну или несколько подгрупп
При создании боя мастер выбирает одну или несколько подгрупп; участники из других мест не добавляются автоматически.
Числа и сроки: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Боевая ситуация происходит именно с выбранной группой.| По умолчанию (при создании кампании) группа одна и в нее входят все персонажи игроков.
Выборы и условия: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t>
  </si>
  <si>
    <t xml:space="preserve">Application QA / Q-GM-008.</t>
  </si>
  <si>
    <t xml:space="preserve">Q-GM-008</t>
  </si>
  <si>
    <t xml:space="preserve">AQA-031</t>
  </si>
  <si>
    <t xml:space="preserve">Что происходит, если при продвижении времени проходит несколько полных часов экспозиции или мастер закрывает запрос?</t>
  </si>
  <si>
    <t xml:space="preserve">мастер; персонаж; Чистый</t>
  </si>
  <si>
    <t xml:space="preserve">Если персонаж Чистый
Когда при продвижении времени проходит несколько полных часов экспозиции или мастер закрывает запрос</t>
  </si>
  <si>
    <t xml:space="preserve">Для каждого персонажа хранится отдельный непрерывный таймер экспозиции, который мастер запускает и останавливает вручную.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Если персонаж Чистый, защищён от заражения или не имеет допустимого слота, приложение показывает причину и закрывает событие без заражения.</t>
  </si>
  <si>
    <t xml:space="preserve">Поля состояния: таймер/срок| слоты
Числа и сроки: 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Выборы и условия: Для каждого персонажа хранится отдельный непрерывный таймер экспозиции, который мастер запускает и останавливает вручную.|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Если персонаж Чистый, защищён от заражения или не имеет допустимого слота, приложение показывает причину и закрывает событие без заражения.</t>
  </si>
  <si>
    <t xml:space="preserve">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Закрытие запроса не считается ответом и не позволяет продвинуть время дальше. Если персонаж Чистый, защищён от заражения или не имеет допустимого слота, приложение показывает причину и закрывает событие без заражения. Все решения журналируются.</t>
  </si>
  <si>
    <t xml:space="preserve">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Закрытие запроса не считается ответом и не позволяет продвинуть время дальше.
Если персонаж Чистый, защищён от заражения или не имеет допустимого слота, приложение показывает причину и закрывает событие без заражения.
Все решения журналируются.</t>
  </si>
  <si>
    <t xml:space="preserve">Когда при продвижении времени проходит несколько полных часов экспозиции или мастер закрывает запрос
Числа и сроки: 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Продвижение времени останавливается на каждом полном часу, для которого ещё нет решения.</t>
  </si>
  <si>
    <t xml:space="preserve">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Выборы и условия: Для каждого персонажа хранится отдельный непрерывный таймер экспозиции, который мастер запускает и останавливает вручную.|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Если персонаж Чистый, защищён от заражения или не имеет допустимого слота, приложение показывает причину и закрывает событие без заражения.</t>
  </si>
  <si>
    <t xml:space="preserve">Когда при продвижении времени проходит несколько полных часов экспозиции или мастер закрывает запрос
Поля состояния: таймер/срок| слоты
Числа и сроки: 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
Продвижение времени останавливается на каждом полном часу, для которого ещё нет решения.</t>
  </si>
  <si>
    <t xml:space="preserve">Все решения журналируются.</t>
  </si>
  <si>
    <t xml:space="preserve">Application QA / Q-GM-009.</t>
  </si>
  <si>
    <t xml:space="preserve">Q-GM-009</t>
  </si>
  <si>
    <t xml:space="preserve">AQA-032</t>
  </si>
  <si>
    <t xml:space="preserve">Какие операции с инвентарём доступны игроку и мастеру вне боя и в бою?</t>
  </si>
  <si>
    <t xml:space="preserve">мастер; игрок; персонаж; существо; предмет; инвентарь; экипировка</t>
  </si>
  <si>
    <t xml:space="preserve">При разрешении сценария: Какие операции с инвентарём доступны игроку и мастеру вне боя и в бою</t>
  </si>
  <si>
    <t xml:space="preserve">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</si>
  <si>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Поля состояния: боевые действия| локация
Числа и сроки: Игрок в бою может экипировать/снять предмет, потратив на это 1 боевое действие.| В бою универсальные передача, выбрасывание и изъятие недоступны, если конкретное формализованное действие или способность прямо их не разрешает.
Выборы и условия: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</si>
  <si>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Мастер может выдать, изъять, уничтожить или преобразовать в сюжетный предмет любой экземпляр с указанием причины; каждая операция сохраняет происхождение и владельца. Игрок вне боя может экипировать/снять предмет и передать его согласному персонажу в той же локации. Игрок в бою может экипировать/снять предмет, потратив на это 1 боевое действие. Передача атомарна: экземпляр не существует одновременно у двух владельцев. 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В бою универсальные передача, выбрасывание и изъятие недоступны, если конкретное формализованное действие или способность прямо их не разрешает.
Мастер может выдать новое готовое оружие либо изменить разрешённые характеристики существующего оружия в инвентаре любого игрока или НПС, включая оружие Чистых, по CORE-187/CORE-188. Обязательны причина и аудит CORE-190.
[v1.3] Для EntityKind=CUSTOM_MONSTER контейнер инвентаря отсутствует: выдача, подбор, экипировка, передача, изъятие и мародёрство отклоняются. Враг-мыслящий использует обычный инвентарь персонажа.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</si>
  <si>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Мастер может выдать, изъять, уничтожить или преобразовать в сюжетный предмет любой экземпляр с указанием причины; каждая операция сохраняет происхождение и владельца.
Игрок вне боя может экипировать/снять предмет и передать его согласному персонажу в той же локации.
Игрок в бою может экипировать/снять предмет, потратив на это 1 боевое действие.
Передача атомарна: экземпляр не существует одновременно у двух владельцев.
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</si>
  <si>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В бою универсальные передача, выбрасывание и изъятие недоступны, если конкретное формализованное действие или способность прямо их не разрешает.
Поля состояния: боевые действия| локация
Числа и сроки: Игрок в бою может экипировать/снять предмет, потратив на это 1 боевое действие.| В бою универсальные передача, выбрасывание и изъятие недоступны, если конкретное формализованное действие или способность прямо их не разрешает.
Выборы и условия: В бою универсальные передача, выбрасывание и изъятие недоступны, если конкретное формализованное действие или способность прямо их не разрешает.
Игрок в бою может экипировать/снять предмет, потратив на это 1 боевое действие.</t>
  </si>
  <si>
    <t xml:space="preserve">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MONSTER_INVENTORY_UNSUPPORTED для любой предметной операции над CustomMonster.</t>
  </si>
  <si>
    <t xml:space="preserve">Числа и сроки: Игрок в бою может экипировать/снять предмет, потратив на это 1 боевое действие.|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</si>
  <si>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Выбор экземпляра/типа оружия, владельца, варианта атаки и частичного patch профиля.</t>
  </si>
  <si>
    <t xml:space="preserve">Передача атомарна: экземпляр не существует одновременно у двух владельцев.</t>
  </si>
  <si>
    <t xml:space="preserve">Application QA / Q-GM-010.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</si>
  <si>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Q-GM-010
Q-ENEMY-P13
Q-PREDEV-009</t>
  </si>
  <si>
    <t xml:space="preserve">CORE-187
CORE-188
CORE-190
CORE-199
CORE-204
CQA-061
CORE-223</t>
  </si>
  <si>
    <t xml:space="preserve">AQA-033</t>
  </si>
  <si>
    <t xml:space="preserve">Создаёт ли добавление НПС/существа копию, влияют ли последующие правки шаблона на уже существующие экземпляры и можно ли одного НПС поместить в сцену дважды?</t>
  </si>
  <si>
    <t xml:space="preserve">мастер; НПС; существо; предмет; кампания</t>
  </si>
  <si>
    <t xml:space="preserve">Если мастер хочет сохранить экземпляр как постоянного НПС
При разрешении сценария: Создаёт ли добавление НПС/существа копию, влияют ли последующие правки шаблона на уже существующие экземпляры и можно ли одного НПС поместить в сцену дважды</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</si>
  <si>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t>
  </si>
  <si>
    <t xml:space="preserve">Поля состояния: HP| раса
Идентификаторы данных: UUID
Броски, ресурсы и выражения: HP
Числа и сроки: 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
Выборы и условия: 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</si>
  <si>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Бестиарий хранит шаблоны. Каждое добавление шаблона создаёт новый независимый экземпляр с новым UUID и снимком текущей версии шаблона. Позднее изменение шаблона не меняет уже созданные экземпляры, а изменения экземпляра не меняют шаблон. Если мастер хочет сохранить экземпляр как постоянного НПС, приложение переносит его текущую запись без восстановления HP или расходников.
[v1.3] Снимок врага закрепляет templateId+versionId. Повторное добавление одной версии разрешено и создаёт новый entityId; новая версия шаблона не затрагивает существующие экземпляры.
[v1.4] Каждое инстанцирование выполняет deep clone изменяемого графа по CORE-225: новые UUID получают entity, ItemInstance, WeaponProfileVersion экземпляра, symbiont instance, effect, cooldown, capture и mutable links; неизменяемые template/version refs могут разделяться.</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</si>
  <si>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Бестиарий хранит шаблоны.
Каждое добавление шаблона создаёт новый независимый экземпляр с новым UUID и снимком текущей версии шаблона.
Позднее изменение шаблона не меняет уже созданные экземпляры, а изменения экземпляра не меняют шаблон.
Если мастер хочет сохранить экземпляр как постоянного НПС, приложение переносит его текущую запись без восстановления HP или расходников.</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</si>
  <si>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
Поля состояния: HP| раса
Броски, ресурсы и выражения: HP
Числа и сроки: 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t>
  </si>
  <si>
    <t xml:space="preserve">Позднее изменение шаблона не меняет уже созданные экземпляры, а изменения экземпляра не меняют шаблон.</t>
  </si>
  <si>
    <t xml:space="preserve">Числа и сроки: 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Если мастер хочет сохранить экземпляр как постоянного НПС, приложение переносит его текущую запись без восстановления HP или расходников.</t>
  </si>
  <si>
    <t xml:space="preserve">Application QA / Q-GM-013.
Прямое уточнение пользователя 2026-07-28 — шаблоны врагов v1.3
Предразработочный QA и прямые ответы пользователя 2026-07-29</t>
  </si>
  <si>
    <t xml:space="preserve">Q-GM-013
Q-ENEMY-P5
Q-ENEMY-P6
Q-PREDEV-014</t>
  </si>
  <si>
    <t xml:space="preserve">CORE-195
CORE-213
CORE-225</t>
  </si>
  <si>
    <t xml:space="preserve">AQA-034</t>
  </si>
  <si>
    <t xml:space="preserve">Как должны работать «Отпустить», «Добавить НПС» и «Убить», и что сохраняется после сцены?</t>
  </si>
  <si>
    <t xml:space="preserve">цель; источник эффекта; НПС; труп; предмет; симбионт; боевая ситуация; Отпустить; Добавить НПС; Убить</t>
  </si>
  <si>
    <t xml:space="preserve">После сцены; разрешается: должны работать «Отпустить», «Добавить НПС» и «Убить», и что сохраняется</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</si>
  <si>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</si>
  <si>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Поля состояния: HP| инициатива| боевые действия| раса
Идентификаторы данных: UUID
Броски, ресурсы и выражения: HP
Ссылки на правила: Q-CORE-064
Числа и сроки: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Выборы и условия: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</si>
  <si>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[v1.3] «Добавить НПС», «Отпустить» и завершение сцены никогда не сохраняют экземпляр как многоразовый шаблон. Труп CustomMonster не содержит предметов.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</si>
  <si>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</si>
  <si>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Удаление/архивирование сущности блокируется, пока она является участником сцены, целью незавершённого действия или источником активного эффекта.
Поля состояния: HP| инициатива| боевые действия| раса
Числа и сроки: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Выборы и условия: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</si>
  <si>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Поля состояния: HP| инициатива| боевые действия| раса
Броски, ресурсы и выражения: HP
Числа и сроки: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Выборы и условия: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</si>
  <si>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«Отпустить» выводит участника из боевой сцены, сохраняет итог в истории и не создаёт постоянного НПС, если он не был им ранее.
Числа и сроки: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
Выборы и условия: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</si>
  <si>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Числа и сроки: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</si>
  <si>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Application QA / Q-GM-014.
Прямое уточнение пользователя 2026-07-28 — шаблоны врагов v1.3
Предразработочный QA и прямые ответы пользователя 2026-07-29</t>
  </si>
  <si>
    <t xml:space="preserve">Q-GM-014
Q-ENEMY-P7
Q-ENEMY-P13
Q-PREDEV-009</t>
  </si>
  <si>
    <t xml:space="preserve">CORE-064
CORE-204
CORE-213
CQA-061
CORE-223</t>
  </si>
  <si>
    <t xml:space="preserve">AQA-035</t>
  </si>
  <si>
    <t xml:space="preserve">Поддерживает ли бой более двух сторон и какие ошибки должны блокировать запуск?</t>
  </si>
  <si>
    <t xml:space="preserve">мастер; цель; предмет</t>
  </si>
  <si>
    <t xml:space="preserve">При разрешении сценария: Поддерживает ли бой более двух сторон и какие ошибки должны блокировать запуск</t>
  </si>
  <si>
    <t xml:space="preserve">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</si>
  <si>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Поля состояния: инициатива| координата/позиция| навыки
Идентификаторы данных: campaignCharacterId| entityId
Ссылки на правила: Q-CHAR-013| Q-CHAR-010| Q-CHAR-014| Q-CAMP-006
Числа и сроки: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
Выборы и условия: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</si>
  <si>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Первая версия боя поддерживает ровно две враждебные активные стороны.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Во всём составе боя, включая резерв, приложение блокирует повтор одного campaignCharacterId/entityId, мёртвые или архивные сущности и невалидные листы.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
[v1.3] Перед входом врага валидируется снимок его типа: SentientEnemy проходит обычную character validation с прямыми базовыми характеристиками; CustomMonster обязан иметь поля CORE-199 и не проверяет имущество/навыки. Устройства и слоты игроков не требуются.</t>
  </si>
  <si>
    <t xml:space="preserve">Первая версия боя поддерживает ровно две враждебные активные стороны.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Во всём составе боя, включая резерв, приложение блокирует повтор одного campaignCharacterId/entityId, мёртвые или архивные сущности и невалидные листы.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</si>
  <si>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Числа и сроки: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</si>
  <si>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Числа и сроки: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
Выборы и условия: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</si>
  <si>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Application QA / Q-GM-017.
Прямое уточнение пользователя 2026-07-28 — шаблоны врагов v1.3</t>
  </si>
  <si>
    <t xml:space="preserve">Q-GM-017
Q-ENEMY-P10
Q-ENEMY-P12
Q-ENEMY-P15</t>
  </si>
  <si>
    <t xml:space="preserve">CORE-196
CORE-199
CORE-202
CORE-213</t>
  </si>
  <si>
    <t xml:space="preserve">AQA-036</t>
  </si>
  <si>
    <t xml:space="preserve">Может ли мастер менять участника/цель/ресурс посреди операции или откатывать уже показанный бросок?</t>
  </si>
  <si>
    <t xml:space="preserve">После показа случайного результата или применения внешнего эффекта универсальный rewind запрещён
Если состояние стало несовместимым
При попытке выполнить или проверить: мастер менять участника/цель/ресурс посреди операции или откатывать уже показанный бросок</t>
  </si>
  <si>
    <t xml:space="preserve">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</si>
  <si>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Поля состояния: состояние| раса
Выборы и условия: 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</si>
  <si>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На время операции блокируются задействованные актор, цель, выбранный предмет/способность и зарезервированные ресурсы. Сетевая ошибка возобновляет операцию с последнего checkpoint.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 Более позднее исправление мастер делает компенсирующим аудированным событием.
[v1.3] Создание или новая версия шаблона врага запрещены при активном, поставленном на паузу или незавершённом бою и при любой незавершённой атомарной операции.</t>
  </si>
  <si>
    <t xml:space="preserve">На время операции блокируются задействованные актор, цель, выбранный предмет/способность и зарезервированные ресурсы.
Сетевая ошибка возобновляет операцию с последнего checkpoint.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
Более позднее исправление мастер делает компенсирующим аудированным событием.</t>
  </si>
  <si>
    <t xml:space="preserve">После показа случайного результата или применения внешнего эффекта универсальный rewind запрещён.
Полный атомарный rollback допустим только при программной ошибке до раскрытия любого случайного результата и до фиксации побочного эффекта.</t>
  </si>
  <si>
    <t xml:space="preserve">При попытке выполнить или проверить: мастер менять участника/цель/ресурс посреди операции или откатывать уже показанный бросок
На время операции блокируются задействованные актор, цель, выбранный предмет/способность и зарезервированные ресурсы.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Выборы и условия: 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</si>
  <si>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После показа случайного результата или применения внешнего эффекта универсальный rewind запрещён
После показа случайного результата или применения внешнего эффекта универсальный rewind запрещён.
Выборы и условия: 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</si>
  <si>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Полный атомарный rollback допустим только при программной ошибке до раскрытия любого случайного результата и до фиксации побочного эффекта.
Выборы и условия: 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</si>
  <si>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Application QA / Q-GM-018.
Прямое уточнение пользователя 2026-07-28 — шаблоны врагов v1.3</t>
  </si>
  <si>
    <t xml:space="preserve">Q-GM-018
Q-ENEMY-P3</t>
  </si>
  <si>
    <t xml:space="preserve">CORE-192
CORE-194
CORE-195</t>
  </si>
  <si>
    <t xml:space="preserve">AQA-037</t>
  </si>
  <si>
    <t xml:space="preserve">Кто считается победителем при сдаче/бегстве/мирном расхождении и какие автоматические последствия зависят от результата?</t>
  </si>
  <si>
    <t xml:space="preserve">мастер; игрок; персонаж; оружие; после победы; до конца боя</t>
  </si>
  <si>
    <t xml:space="preserve">При подтверждении конца боя мастер выбирает победившую сторону либо ничью и основание
Если победила сторона игроков
При поражении стороны игроков или ничьей автоматический доступ к мародёрству не открывается
При выборе ответственного: считается победителем при сдаче/бегстве/мирном расхождении и какие автоматические последствия зависят от результата</t>
  </si>
  <si>
    <t xml:space="preserve">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Если победила сторона игроков, фаза мародёрства доступна каждому игроку по Q-CORE-064 независимо от участия его персонажа в последнем бою.</t>
  </si>
  <si>
    <t xml:space="preserve">Поля состояния: раса
Ссылки на правила: Q-CORE-064| CORE-153
Числа и сроки: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Краткосрочные эффекты «до конца боя» завершаются в установленном порядке, а более долгие сохраняют остаток по CORE-153.
Выборы и условия: 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Если победила сторона игроков, фаза мародёрства доступна каждому игроку по Q-CORE-064 независимо от участия его персонажа в последнем бою.</t>
  </si>
  <si>
    <t xml:space="preserve">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При поражении стороны игроков или ничьей автоматический доступ к мародёрству не открывается.
Краткосрочные эффекты «до конца боя» завершаются в установленном порядке, а более долгие сохраняют остаток по CORE-153. Мастер закрывает фазу добычи отдельной командой.</t>
  </si>
  <si>
    <t xml:space="preserve">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При поражении стороны игроков или ничьей автоматический доступ к мародёрству не открывается.
Краткосрочные эффекты «до конца боя» завершаются в установленном порядке, а более долгие сохраняют остаток по CORE-153.
Мастер закрывает фазу добычи отдельной командой.</t>
  </si>
  <si>
    <t xml:space="preserve">Автоматический возврат разрешённого метательного оружия получают только относящиеся к нему участники победившей стороны.</t>
  </si>
  <si>
    <t xml:space="preserve">Числа и сроки: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Краткосрочные эффекты «до конца боя» завершаются в установленном порядке, а более долгие сохраняют остаток по CORE-153.
Краткосрочные эффекты «до конца боя» завершаются в установленном порядке, а более долгие сохраняют остаток по CORE-153.</t>
  </si>
  <si>
    <t xml:space="preserve">При подтверждении конца боя мастер выбирает победившую сторону либо ничью и основание
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Выборы и условия: 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Если победила сторона игроков, фаза мародёрства доступна каждому игроку по Q-CORE-064 независимо от участия его персонажа в последнем бою.</t>
  </si>
  <si>
    <t xml:space="preserve">Application QA / Q-GM-019.</t>
  </si>
  <si>
    <t xml:space="preserve">Q-GM-019</t>
  </si>
  <si>
    <t xml:space="preserve">CORE-064
CORE-086
CORE-153
CORE-178</t>
  </si>
  <si>
    <t xml:space="preserve">AQA-038</t>
  </si>
  <si>
    <t xml:space="preserve">Исчезает ли герой из кампании, меняет ли место и когда освобождает место игрока?</t>
  </si>
  <si>
    <t xml:space="preserve">мастер; игрок; противник; кампания; группа; пленник</t>
  </si>
  <si>
    <t xml:space="preserve">После боя мастер выбирает его группу/локацию
Если все активные участники стороны бежали или сдались
При разрешении сценария: Исчезает ли герой из кампании, меняет ли место и когда освобождает место игрока</t>
  </si>
  <si>
    <t xml:space="preserve">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t>
  </si>
  <si>
    <t xml:space="preserve">Поля состояния: инициатива| локация
Ссылки на правила: Q-GM-010
Числа и сроки: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 Имущество героя не передаётся противнику автоматически; изъятие оформляется по Q-GM-010.
Выборы и условия: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t>
  </si>
  <si>
    <t xml:space="preserve">Бегство или сдача удаляет героя только из текущей боевой инициативы и не освобождает место кампании, не архивирует и не заменяет его.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 Имущество героя не передаётся противнику автоматически; изъятие оформляется по Q-GM-010.</t>
  </si>
  <si>
    <t xml:space="preserve">Бегство или сдача удаляет героя только из текущей боевой инициативы и не освобождает место кампании, не архивирует и не заменяет его.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
Имущество героя не передаётся противнику автоматически; изъятие оформляется по Q-GM-010.</t>
  </si>
  <si>
    <t xml:space="preserve">Бегство или сдача удаляет героя только из текущей боевой инициативы и не освобождает место кампании, не архивирует и не заменяет его.</t>
  </si>
  <si>
    <t xml:space="preserve">Числа и сроки: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 Имущество героя не передаётся противнику автоматически; изъятие оформляется по Q-GM-010.</t>
  </si>
  <si>
    <t xml:space="preserve">После боя мастер выбирает его группу/локацию
После боя мастер выбирает его группу/локацию; для сдавшегося добавляется немеханическая пометка «пленник».
Выборы и условия: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t>
  </si>
  <si>
    <t xml:space="preserve">Application QA / Q-GM-020.</t>
  </si>
  <si>
    <t xml:space="preserve">Q-GM-020</t>
  </si>
  <si>
    <t xml:space="preserve">AQA-039</t>
  </si>
  <si>
    <t xml:space="preserve">Может ли мастер изменить ручной/автоматический режим после того, как игрок уже увидел запрос проверки?</t>
  </si>
  <si>
    <t xml:space="preserve">мастер; игрок</t>
  </si>
  <si>
    <t xml:space="preserve">При попытке выполнить или проверить: мастер изменить ручной/автоматический режим после того, как игрок уже увидел запрос проверки</t>
  </si>
  <si>
    <t xml:space="preserve">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t>
  </si>
  <si>
    <t xml:space="preserve">Числа и сроки: Режим броска фиксируется в момент создания конкретного запроса проверки и отображается всем участникам этой операции.
Выборы и условия: 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
rollSource=AUTO|MANUAL, server-validated rawFace.</t>
  </si>
  <si>
    <t xml:space="preserve">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
Manual и Auto используют одинаковую маршрутизацию CORE-230; источник хранится только для аудита.</t>
  </si>
  <si>
    <t xml:space="preserve">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t>
  </si>
  <si>
    <t xml:space="preserve">Изменение режима не создаёт бросок и не позволяет заменить уже введённое/сгенерированное значение.
Выборы и условия: 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t>
  </si>
  <si>
    <t xml:space="preserve">Числа и сроки: Режим броска фиксируется в момент создания конкретного запроса проверки и отображается всем участникам этой операции.</t>
  </si>
  <si>
    <t xml:space="preserve">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Выборы и условия: 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
Ручной rawFace валидировать на сервере как значение D20.</t>
  </si>
  <si>
    <t xml:space="preserve">Application QA / Q-GM-021.
Прямое авторское решение Q-SYMBIONT-XP-001 — опыт симбионтов за natural 20/1, 2026-07-30</t>
  </si>
  <si>
    <t xml:space="preserve">Q-GM-021
Q-SYMBIONT-XP-001</t>
  </si>
  <si>
    <t xml:space="preserve">AQA-040</t>
  </si>
  <si>
    <t xml:space="preserve">Кто выбирает действия и вводит броски для локальных героев мастера, постоянных НПС, противников и временно отключённого героя?</t>
  </si>
  <si>
    <t xml:space="preserve">мастер; игрок; персонаж; противник; НПС</t>
  </si>
  <si>
    <t xml:space="preserve">При выборе ответственного: выбирает действия и вводит броски для локальных героев мастера, постоянных НПС, противников и временно отключённого героя</t>
  </si>
  <si>
    <t xml:space="preserve">Клиент не может отправить команду за сущность, которой он не управляет, даже если её вкладка или лист доступны для просмотра.</t>
  </si>
  <si>
    <t xml:space="preserve">Поля состояния: боевые действия
Ссылки на правила: Q-CAMP-006
Числа и сроки: Постоянными НПС, противниками и экземплярами бестиария по умолчанию управляет роль мастера через мастерский ход.| Временно отключённого героя мастер может принять только явной аудированной командой по Q-CAMP-006; это не меняет постоянное назначение устройства.
Выборы и условия: Клиент не может отправить команду за сущность, которой он не управляет, даже если её вкладка или лист доступны для просмотра.</t>
  </si>
  <si>
    <t xml:space="preserve">Каждый персонаж игрока управляется назначенным устройством, включая локальные вкладки на компьютере мастера: мастер переключается в их вкладку и действует как игрок. Постоянными НПС, противниками и экземплярами бестиария по умолчанию управляет роль мастера через мастерский ход. Передача НПС обычному игроку не поддерживается. Временно отключённого героя мастер может принять только явной аудированной командой по Q-CAMP-006; это не меняет постоянное назначение устройства. Клиент не может отправить команду за сущность, которой он не управляет, даже если её вкладка или лист доступны для просмотра.
[v1.3] SentientEnemy и CustomMonster всегда назначены текущему мастеру и не получают клиентское устройство или место игрока.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</si>
  <si>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Каждый персонаж игрока управляется назначенным устройством, включая локальные вкладки на компьютере мастера: мастер переключается в их вкладку и действует как игрок.
Постоянными НПС, противниками и экземплярами бестиария по умолчанию управляет роль мастера через мастерский ход.
Передача НПС обычному игроку не поддерживается.
Временно отключённого героя мастер может принять только явной аудированной командой по Q-CAMP-006; это не меняет постоянное назначение устройства.
Клиент не может отправить команду за сущность, которой он не управляет, даже если её вкладка или лист доступны для просмотра.</t>
  </si>
  <si>
    <t xml:space="preserve">Временно отключённого героя мастер может принять только явной аудированной командой по Q-CAMP-006; это не меняет постоянное назначение устройства.</t>
  </si>
  <si>
    <t xml:space="preserve">При выборе ответственного: выбирает действия и вводит броски для локальных героев мастера, постоянных НПС, противников и временно отключённого героя
Поля состояния: боевые действия</t>
  </si>
  <si>
    <t xml:space="preserve">Числа и сроки: Постоянными НПС, противниками и экземплярами бестиария по умолчанию управляет роль мастера через мастерский ход.| Временно отключённого героя мастер может принять только явной аудированной командой по Q-CAMP-006; это не меняет постоянное назначение устройства.
Временно отключённого героя мастер может принять только явной аудированной командой по Q-CAMP-006; это не меняет постоянное назначение устройства.</t>
  </si>
  <si>
    <t xml:space="preserve">Числа и сроки: Постоянными НПС, противниками и экземплярами бестиария по умолчанию управляет роль мастера через мастерский ход.| Временно отключённого героя мастер может принять только явной аудированной командой по Q-CAMP-006; это не меняет постоянное назначение устройства.
Постоянными НПС, противниками и экземплярами бестиария по умолчанию управляет роль мастера через мастерский ход.</t>
  </si>
  <si>
    <t xml:space="preserve">Application QA / Q-GM-022.
Прямое уточнение пользователя 2026-07-28 — шаблоны врагов v1.3
Предразработочный QA и прямые ответы пользователя 2026-07-29</t>
  </si>
  <si>
    <t xml:space="preserve">Q-GM-022
Q-ENEMY-P12
Q-PREDEV-002
Q-PREDEV-006</t>
  </si>
  <si>
    <t xml:space="preserve">CORE-198
CORE-213
CORE-217
CORE-221</t>
  </si>
  <si>
    <t xml:space="preserve">AQA-041</t>
  </si>
  <si>
    <t xml:space="preserve">Кто и в какой момент подтверждает условия, которых приложение само не вычисляет: видимость, наличие огня/воды/растительности или укрытия, допустимость трупа, контакт и дистанцию вне боевой карты?</t>
  </si>
  <si>
    <t xml:space="preserve">мастер; цель; труп; предмет; да; нет; неизвестно</t>
  </si>
  <si>
    <t xml:space="preserve">До резервирования ОЭ
При необходимости: подтверждает условия, которых приложение само не вычисляет: видимость, наличие огня/воды/растительности или укрытия, допустимость трупа, контакт и дистанцию вне боевой карты</t>
  </si>
  <si>
    <t xml:space="preserve">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</si>
  <si>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Поля состояния: ОЭ| боевые действия| раса
Идентификаторы данных: masterPredicate| operationId
Броски, ресурсы и выражения: ОЭ
Числа и сроки: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
Выборы и условия: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</si>
  <si>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Каждое немоделируемое условие оформляется как явный masterPredicate. До резервирования ОЭ, боевых действий, предметов или других ресурсов приложение показывает мастеру конкретный вопрос с вариантами «да», «нет» и «неизвестно». «Неизвестно» и закрытие запроса блокируют продолжение; они не считаются успехом. Ответ прикрепляется к operationId и сохраняется в аудите.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</si>
  <si>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Каждое немоделируемое условие оформляется как явный masterPredicate.
До резервирования ОЭ, боевых действий, предметов или других ресурсов приложение показывает мастеру конкретный вопрос с вариантами «да», «нет» и «неизвестно».
«Неизвестно» и закрытие запроса блокируют продолжение; они не считаются успехом.
Ответ прикрепляется к operationId и сохраняется в аудите.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</si>
  <si>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</si>
  <si>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До резервирования ОЭ, боевых действий, предметов или других ресурсов приложение показывает мастеру конкретный вопрос с вариантами «да», «нет» и «неизвестно».
Поля состояния: ОЭ| боевые действия| раса
Числа и сроки: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
Выборы и условия: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</si>
  <si>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До резервирования ОЭ
До резервирования ОЭ, боевых действий, предметов или других ресурсов приложение показывает мастеру конкретный вопрос с вариантами «да», «нет» и «неизвестно».
Поля состояния: ОЭ| боевые действия| раса
Броски, ресурсы и выражения: ОЭ
Числа и сроки: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</si>
  <si>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Числа и сроки: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</si>
  <si>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Ответ прикрепляется к operationId и сохраняется в аудите.</t>
  </si>
  <si>
    <t xml:space="preserve">Application QA / Q-GM-023.</t>
  </si>
  <si>
    <t xml:space="preserve">Q-GM-023</t>
  </si>
  <si>
    <t xml:space="preserve">AQA-042</t>
  </si>
  <si>
    <t xml:space="preserve">Как применять способность с ценой «1 боевое действие» вне боевой ситуации, где нет ходов и пула действий?</t>
  </si>
  <si>
    <t xml:space="preserve">мастер; персонаж; цель; симбионт; группа; боевая ситуация; 1 боевое действие</t>
  </si>
  <si>
    <t xml:space="preserve">При выполнении или разрешении: применять способность с ценой «1 боевое действие» вне боевой ситуации, где нет ходов и пула действий</t>
  </si>
  <si>
    <t xml:space="preserve">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Список способностей симбионтов, которые автоматизируются приложением и которые доступны в мирной ситуации, должен быть явно формализован.</t>
  </si>
  <si>
    <t xml:space="preserve">Поля состояния: ОЭ| боевые действия| таймер/срок| раса
Броски, ресурсы и выражения: ОЭ
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Выборы и условия: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Список способностей симбионтов, которые автоматизируются приложением и которые доступны в мирной ситуации, должен быть явно формализован.</t>
  </si>
  <si>
    <t xml:space="preserve">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
Список способностей симбионтов, которые автоматизируются приложением и которые доступны в мирной ситуации, должен быть явно формализован. Предложи такой список в следующей итерации вопросов-ответов – я его провалидирую.</t>
  </si>
  <si>
    <t xml:space="preserve">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
Список способностей симбионтов, которые автоматизируются приложением и которые доступны в мирной ситуации, должен быть явно формализован.
Предложи такой список в следующей итерации вопросов-ответов – я его провалидирую.</t>
  </si>
  <si>
    <t xml:space="preserve">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t>
  </si>
  <si>
    <t xml:space="preserve">При выполнении или разрешении: применять способность с ценой «1 боевое действие» вне боевой ситуации, где нет ходов и пула действий
Поля состояния: ОЭ| боевые действия| таймер/срок| раса
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Вне боя отдельный пул боевых действий и искусственный личный ход не создаются.
Пометка «1 боевое действие» ограничивает только использование в бою и вне боя не создаёт дополнительной минутной длительности или лимита применений.</t>
  </si>
  <si>
    <t xml:space="preserve">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Поля состояния: ОЭ| боевые действия| таймер/срок| раса
Броски, ресурсы и выражения: ОЭ
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t>
  </si>
  <si>
    <t xml:space="preserve">Повторное применение вне боя разрешено, пока хватает ресурсов и не запрещают длительность, поддержание, восстановление или мастерский факт сцены.
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Выборы и условия: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Список способностей симбионтов, которые автоматизируются приложением и которые доступны в мирной ситуации, должен быть явно формализован.
Вне боя отдельный пул боевых действий и искусственный личный ход не создаются.
Пометка «1 боевое действие» ограничивает только использование в бою и вне боя не создаёт дополнительной минутной длительности или лимита применений.</t>
  </si>
  <si>
    <t xml:space="preserve">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Выборы и условия: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Список способностей симбионтов, которые автоматизируются приложением и которые доступны в мирной ситуации, должен быть явно формализован.</t>
  </si>
  <si>
    <t xml:space="preserve">Application QA / Q-GM-024.</t>
  </si>
  <si>
    <t xml:space="preserve">Q-GM-024</t>
  </si>
  <si>
    <t xml:space="preserve">AQA-043</t>
  </si>
  <si>
    <t xml:space="preserve">Ассистированное управление противником без автоматического выбора</t>
  </si>
  <si>
    <t xml:space="preserve">управляемый противник или НПС</t>
  </si>
  <si>
    <t xml:space="preserve">Мастер начинает допустимую команду, ход или реакцию управляемой сущности.</t>
  </si>
  <si>
    <t xml:space="preserve">Сущность может действовать; мастер выбрал её для управления.</t>
  </si>
  <si>
    <t xml:space="preserve">выбранные мастером цель, действие или способность, маршрут и конечная точка, ресурс и защитная реакция</t>
  </si>
  <si>
    <t xml:space="preserve">Режим является ассистированным, а не полным боевым ИИ. Мастер каждый раз выбирает цель, действие или способность, маршрут и конечную точку движения, расход ограниченного ресурса и защитную реакцию. Приложение только проверяет допустимость выбора, вычисляет доступность и формулы, выполняет броски и применяет последствия. Без полного выбора мастера новая команда не выполняется. Автоматический выбор или предложение цели отсутствуют.
[v1.3] Новые типы врагов не добавляют боевой ИИ: мастер явно выбирает каждую базовую, особую или симбиотическую атаку и все её цели.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</si>
  <si>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Выполнена ровно выбранная мастером допустимая команда либо команда отклонена без изменения игрового состояния.</t>
  </si>
  <si>
    <t xml:space="preserve">Полного боевого ИИ нет. Прямое правило конкретной сущности может ограничивать доступные мастеру варианты.</t>
  </si>
  <si>
    <t xml:space="preserve">Мастер начинает допустимую команду, ход или реакцию управляемой сущности.
выбранные мастером цель, действие или способность, маршрут и конечная точка, ресурс и защитная реакция
Мастер каждый раз выбирает цель, действие или способность, маршрут и конечную точку движения, расход ограниченного ресурса и защитную реакцию.</t>
  </si>
  <si>
    <t xml:space="preserve">выбранные мастером цель, действие или способность, маршрут и конечная точка, ресурс и защитная реакция
Мастер каждый раз выбирает цель, действие или способность, маршрут и конечную точку движения, расход ограниченного ресурса и защитную реакцию.</t>
  </si>
  <si>
    <t xml:space="preserve">Приложение только проверяет допустимость выбора, вычисляет доступность и формулы, выполняет броски и применяет последствия.</t>
  </si>
  <si>
    <t xml:space="preserve">Без полного выбора мастера новая команда не выполняется.
Выполнена ровно выбранная мастером допустимая команда либо команда отклонена без изменения игрового состояния.</t>
  </si>
  <si>
    <t xml:space="preserve">Application QA / Q-GM-025.
Прямое уточнение пользователя 2026-07-28 — шаблоны врагов v1.3
Предразработочный QA и прямые ответы пользователя 2026-07-29</t>
  </si>
  <si>
    <t xml:space="preserve">Q-GM-025
Q-ENEMY-P12
Q-PREDEV-002
Q-PREDEV-006</t>
  </si>
  <si>
    <t xml:space="preserve">CORE-208
CORE-209
CORE-213
CORE-215
CORE-217
CORE-221</t>
  </si>
  <si>
    <t xml:space="preserve">5.4. Финальные уточнения, операции мастера и длительный отдых</t>
  </si>
  <si>
    <t xml:space="preserve">Как определяется относительная «новизна» заражений, созданных одной массовой командой, если позднее уменьшившийся лимит должен сохранить самые поздние заражения?</t>
  </si>
  <si>
    <t xml:space="preserve">Application QA — раунд 2 / Уточнения к полученным ответам.</t>
  </si>
  <si>
    <t xml:space="preserve">мастер; игрок; цель; новизна</t>
  </si>
  <si>
    <t xml:space="preserve">Если мастер или игрок выбирал цели последовательно
При уменьшении лимита сохраняются newLimit записей с наибольшим infectionOrder
При newLimit=0 уничтожаются все
При выполнении или разрешении: определяется относительная «новизна» заражений, созданных одной массовой командой, если позднее уменьшившийся лимит должен сохранить самые поздние заражения</t>
  </si>
  <si>
    <t xml:space="preserve">Если мастер или игрок выбирал цели последовательно, номера соответствуют порядку подтверждения целей.</t>
  </si>
  <si>
    <t xml:space="preserve">Идентификаторы данных: infectionOrder| UUID| newLimit
Числа и сроки: При newLimit=0 уничтожаются все.
Выборы и условия: Если мастер или игрок выбирал цели последовательно, номера соответствуют порядку подтверждения целей.</t>
  </si>
  <si>
    <t xml:space="preserve">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</si>
  <si>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</si>
  <si>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При newLimit=0 уничтожаются все
Числа и сроки: При newLimit=0 уничтожаются все.
При newLimit=0 уничтожаются все.</t>
  </si>
  <si>
    <t xml:space="preserve">Числа и сроки: При newLimit=0 уничтожаются все.</t>
  </si>
  <si>
    <t xml:space="preserve">Для одной массовой операции без ручного порядка цели предварительно сортируются по UUID по возрастанию и получают номера в этом порядке.</t>
  </si>
  <si>
    <t xml:space="preserve">Application QA — раунд 2 / Q-MON-089.</t>
  </si>
  <si>
    <t xml:space="preserve">Q-MON-089</t>
  </si>
  <si>
    <t xml:space="preserve">MON-045
MON-054
MON-082
MON-083</t>
  </si>
  <si>
    <t xml:space="preserve">AQ2-002</t>
  </si>
  <si>
    <t xml:space="preserve">Что именно изменяет мастер при согласовании персонажа: исходные броски, базовые или итоговые характеристики; как проверяются изменённые навыки и затрагивается ли локальный лист?</t>
  </si>
  <si>
    <t xml:space="preserve">мастер; игрок; персонаж; симбионт; кампания</t>
  </si>
  <si>
    <t xml:space="preserve">При определении: именно изменяет мастер при согласовании персонажа: исходные броски, базовые или итоговые характеристики; как проверяются изменённые навыки и затрагивается ли локальный лист</t>
  </si>
  <si>
    <t xml:space="preserve">Мастер меняет только кампанийный экземпляр; локальный исходный лист и натуральные броски остаются неизменными.</t>
  </si>
  <si>
    <t xml:space="preserve">Поля состояния: раса| класс| навыки
Числа и сроки: Мастер меняет только кампанийный экземпляр; локальный исходный лист и натуральные броски остаются неизменными.| Итог каждой характеристики должен быть не меньше 1.
Выборы и условия: Мастер меняет только кампанийный экземпляр; локальный исходный лист и натуральные броски остаются неизменными.</t>
  </si>
  <si>
    <t xml:space="preserve">Мастер меняет только кампанийный экземпляр; локальный исходный лист и натуральные броски остаются неизменными. Изменение характеристики создаётся как постоянная мастерская поправка к принятой базе, после чего заново применяются раса, класс, симбионты, пределы и производные значения. Итог каждой характеристики должен быть не меньше 1. Мастер может удалить, заменить или добавить стартовый навык, но бесплатные расовые и классовые навыки не редактирует; требования навыков и вместимость стартового пула обязательны. Все отличия сохраняются в аудите. Игрок видит итоговый лист и может отказаться от добавления персонажа, но отдельного согласия на каждую правку не требуется.</t>
  </si>
  <si>
    <t xml:space="preserve">Мастер меняет только кампанийный экземпляр; локальный исходный лист и натуральные броски остаются неизменными.
Изменение характеристики создаётся как постоянная мастерская поправка к принятой базе, после чего заново применяются раса, класс, симбионты, пределы и производные значения.
Итог каждой характеристики должен быть не меньше 1.
Мастер может удалить, заменить или добавить стартовый навык, но бесплатные расовые и классовые навыки не редактирует; требования навыков и вместимость стартового пула обязательны.
Все отличия сохраняются в аудите.
Игрок видит итоговый лист и может отказаться от добавления персонажа, но отдельного согласия на каждую правку не требуется.</t>
  </si>
  <si>
    <t xml:space="preserve">Игрок видит итоговый лист и может отказаться от добавления персонажа, но отдельного согласия на каждую правку не требуется.</t>
  </si>
  <si>
    <t xml:space="preserve">Числа и сроки: Мастер меняет только кампанийный экземпляр; локальный исходный лист и натуральные броски остаются неизменными.| Итог каждой характеристики должен быть не меньше 1.</t>
  </si>
  <si>
    <t xml:space="preserve">Все отличия сохраняются в аудите.</t>
  </si>
  <si>
    <t xml:space="preserve">Application QA — раунд 2 / Q-CHAR-016.</t>
  </si>
  <si>
    <t xml:space="preserve">Q-CHAR-016</t>
  </si>
  <si>
    <t xml:space="preserve">AQ2-003</t>
  </si>
  <si>
    <t xml:space="preserve">Сколько именно выборов и бросков выполняется после разрешения брать любые предметы из базы, и является ли броня одним набором или несколькими независимыми заявками?</t>
  </si>
  <si>
    <t xml:space="preserve">предмет; оружие; броня</t>
  </si>
  <si>
    <t xml:space="preserve">При вычислении количества: именно выборов и бросков выполняется после разрешения брать любые предметы из базы, и является ли броня одним набором или несколькими независимыми заявками</t>
  </si>
  <si>
    <t xml:space="preserve">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</si>
  <si>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Поля состояния: D| координата/позиция
Идентификаторы данных: armorBundle
Броски, ресурсы и выражения: D20
Числа и сроки: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Выборы и условия: 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</si>
  <si>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
Операция выбора одного оружия включает его готовый профиль: для формульного не-Чистого оружия — профиль игрока после CORE-185, для оружия Чистых — неизменный шаблон.</t>
  </si>
  <si>
    <t xml:space="preserve">Броски, ресурсы и выражения: D20</t>
  </si>
  <si>
    <t xml:space="preserve">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Броски, ресурсы и выражения: D20
Числа и сроки: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Выборы и условия: 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</si>
  <si>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Числа и сроки: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t>
  </si>
  <si>
    <t xml:space="preserve">Application QA — раунд 2 / Q-CHAR-017.
Прямое уточнение пользователя 2026-07-28</t>
  </si>
  <si>
    <t xml:space="preserve">Q-CHAR-017</t>
  </si>
  <si>
    <t xml:space="preserve">CORE-184
CORE-185
CORE-186</t>
  </si>
  <si>
    <t xml:space="preserve">AQ2-004</t>
  </si>
  <si>
    <t xml:space="preserve">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t>
  </si>
  <si>
    <t xml:space="preserve">мастер; персонаж; предмет; инвентарь; кампания; Нельзя отклонить инвентарь целиком</t>
  </si>
  <si>
    <t xml:space="preserve">До мастерской проверки любой выбранный предмет и всё выбранное количество находятся в локальном инвентаре независимо от D20
При разрешении сценария: 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</si>
  <si>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Мастер обязан завершить проверку итоговым инвентарём, но вправе оставить отдельную категорию пустой или деньги равными нулю.</t>
  </si>
  <si>
    <t xml:space="preserve">Поля состояния: D| состояние
Броски, ресурсы и выражения: D20
Числа и сроки: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Выборы и условия: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Мастер обязан завершить проверку итоговым инвентарём, но вправе оставить отдельную категорию пустой или деньги равными нулю.</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</si>
  <si>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
В кампанийном экземпляре итог мастера определяет также эффективный профиль оружия; мастер может сохранить шаблон либо применить MASTER_OVERRIDE по CORE-187/CORE-188.</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</si>
  <si>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</si>
  <si>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В кампанийном экземпляре только итог мастера определяет предмет, количество, качество и деньги.</t>
  </si>
  <si>
    <t xml:space="preserve">До мастерской проверки любой выбранный предмет и всё выбранное количество находятся в локальном инвентаре независимо от D20
При разрешении сценария: 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
До мастерской проверки любой выбранный предмет и всё выбранное количество находятся в локальном инвентаре независимо от D20.
Броски, ресурсы и выражения: D20
Числа и сроки: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Выборы и условия: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Мастер обязан завершить проверку итоговым инвентарём, но вправе оставить отдельную категорию пустой или деньги равными нулю.</t>
  </si>
  <si>
    <t xml:space="preserve">Бросок не меняет количество и не даёт механических бонусов; он сохраняется как рекомендация качества по шкале V7 и показывается мастеру.
Числа и сроки: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Выборы и условия: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</si>
  <si>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Числа и сроки: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t>
  </si>
  <si>
    <t xml:space="preserve">Application QA — раунд 2 / Q-CHAR-018.
Прямое уточнение пользователя 2026-07-28</t>
  </si>
  <si>
    <t xml:space="preserve">Q-CHAR-018</t>
  </si>
  <si>
    <t xml:space="preserve">CORE-052
CORE-172
CORE-187
CORE-188
CORE-190</t>
  </si>
  <si>
    <t xml:space="preserve">AQ2-005</t>
  </si>
  <si>
    <t xml:space="preserve">Как задаётся и действует бонус к характеристике от описательного предмета в рюкзаке?</t>
  </si>
  <si>
    <t xml:space="preserve">мастер; предмет</t>
  </si>
  <si>
    <t xml:space="preserve">При выполнении или разрешении: задаётся и действует бонус к характеристике от описательного предмета в рюкзаке</t>
  </si>
  <si>
    <t xml:space="preserve">Свободный текст сам по себе не влияет на механику.</t>
  </si>
  <si>
    <t xml:space="preserve">Идентификаторы данных: customItem
Числа и сроки: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Выборы и условия: Свободный текст сам по себе не влияет на механику.</t>
  </si>
  <si>
    <t xml:space="preserve">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</si>
  <si>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</si>
  <si>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t>
  </si>
  <si>
    <t xml:space="preserve">Числа и сроки: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t>
  </si>
  <si>
    <t xml:space="preserve">Изменение обязательно журналируется.</t>
  </si>
  <si>
    <t xml:space="preserve">Application QA — раунд 2 / Q-CHAR-019.</t>
  </si>
  <si>
    <t xml:space="preserve">Q-CHAR-019</t>
  </si>
  <si>
    <t xml:space="preserve">AQ2-006</t>
  </si>
  <si>
    <t xml:space="preserve">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t>
  </si>
  <si>
    <t xml:space="preserve">мастер; кампания</t>
  </si>
  <si>
    <t xml:space="preserve">При создании кампании часы стоят
При проверке условия «Всегда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t>
  </si>
  <si>
    <t xml:space="preserve">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</si>
  <si>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Поля состояния: таймер/срок| состояние
Идентификаторы данных: clockMode
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Выборы и условия: 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</si>
  <si>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</si>
  <si>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</si>
  <si>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Бой временно замораживает автоматическое продвижение и запоминает прежний режим; после боя часы продолжаются только если до боя были running.</t>
  </si>
  <si>
    <t xml:space="preserve">При создании кампании часы стоят
При проверке условия «Всегда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
Бой временно замораживает автоматическое продвижение и запоминает прежний режим; после боя часы продолжаются только если до боя были running.
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Выборы и условия: 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</si>
  <si>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Кампания хранит clockMode=paused|running; скорость running фиксирована: 10 реальных минут = 1 игровой час.</t>
  </si>
  <si>
    <t xml:space="preserve">При создании кампании часы стоят
При проверке условия «Всегда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
Бой временно замораживает автоматическое продвижение и запоминает прежний режим; после боя часы продолжаются только если до боя были running.
Поля состояния: таймер/срок| состояние
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Выборы и условия: 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</si>
  <si>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При проверке условия «Всегда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
Ручная промотка временно приостанавливает реальный таймер, обрабатывается транзакционно, затем восстанавливает прежний режим.
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Выборы и условия: 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</si>
  <si>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Application QA — раунд 2 / Q-GM-026.</t>
  </si>
  <si>
    <t xml:space="preserve">Q-GM-026</t>
  </si>
  <si>
    <t xml:space="preserve">AQ2-007</t>
  </si>
  <si>
    <t xml:space="preserve">Может ли мастер отклонить смерть, возникшую при промотке, и откатывается ли уже обработанное время при закрытии окна или остановке промотки?</t>
  </si>
  <si>
    <t xml:space="preserve">При попытке выполнить или проверить: мастер отклонить смерть, возникшую при промотке, и откатывается ли уже обработанное время при закрытии окна или остановке промотки</t>
  </si>
  <si>
    <t xml:space="preserve">Мастер может разрешить доступную реакцию или воскрешение, продолжить промотку либо закончить её на текущей временной метке.</t>
  </si>
  <si>
    <t xml:space="preserve">Выборы и условия: Мастер может разрешить доступную реакцию или воскрешение, продолжить промотку либо закончить её на текущей временной метке.</t>
  </si>
  <si>
    <t xml:space="preserve">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t>
  </si>
  <si>
    <t xml:space="preserve">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t>
  </si>
  <si>
    <t xml:space="preserve">Мастер может разрешить доступную реакцию или воскрешение, продолжить промотку либо закончить её на текущей временной метке.
Выборы и условия: Мастер может разрешить доступную реакцию или воскрешение, продолжить промотку либо закончить её на текущей временной метке.</t>
  </si>
  <si>
    <t xml:space="preserve">Application QA — раунд 2 / Q-GM-027.</t>
  </si>
  <si>
    <t xml:space="preserve">Q-GM-027</t>
  </si>
  <si>
    <t xml:space="preserve">AQ2-008</t>
  </si>
  <si>
    <t xml:space="preserve">Автоматический день/ночь заменяет установленное мастером освещение или это два независимых признака?</t>
  </si>
  <si>
    <t xml:space="preserve">При разрешении сценария: Автоматический день/ночь заменяет установленное мастером освещение или это два независимых признака</t>
  </si>
  <si>
    <t xml:space="preserve">localLighting задаётся мастером для локации или сцены: естественный свет, темнота, сумерки, искусственный свет и т.</t>
  </si>
  <si>
    <t xml:space="preserve">Поля состояния: локация| освещение
Идентификаторы данных: dayPhase| localLighting| masterPredicate
Числа и сроки: dayPhase вычисляется автоматически: день — [06:00, 21:00), ночь — [21:00, 06:00).| Пересечение 06:00 или 21:00 меняет только dayPhase и не стирает локальное освещение.
Выборы и условия: localLighting задаётся мастером для локации или сцены: естественный свет, темнота, сумерки, искусственный свет и т.</t>
  </si>
  <si>
    <t xml:space="preserve">Хранятся два независимых поля. dayPhase вычисляется автоматически: день — [06:00, 21:00), ночь — [21:00, 06:00). localLighting задаётся мастером для локации или сцены: естественный свет, темнота, сумерки, искусственный свет и т. п. Пересечение 06:00 или 21:00 меняет только dayPhase и не стирает локальное освещение. Способности, прямо называющие день или ночь, используют dayPhase; видимость и наличие конкретного света используют localLighting либо masterPredicate.</t>
  </si>
  <si>
    <t xml:space="preserve">Хранятся два независимых поля.
dayPhase вычисляется автоматически: день — [06:00, 21:00), ночь — [21:00, 06:00).
localLighting задаётся мастером для локации или сцены: естественный свет, темнота, сумерки, искусственный свет и т.
п.
Пересечение 06:00 или 21:00 меняет только dayPhase и не стирает локальное освещение.
Способности, прямо называющие день или ночь, используют dayPhase; видимость и наличие конкретного света используют localLighting либо masterPredicate.</t>
  </si>
  <si>
    <t xml:space="preserve">Пересечение 06:00 или 21:00 меняет только dayPhase и не стирает локальное освещение.</t>
  </si>
  <si>
    <t xml:space="preserve">Числа и сроки: dayPhase вычисляется автоматически: день — [06:00, 21:00), ночь — [21:00, 06:00).| Пересечение 06:00 или 21:00 меняет только dayPhase и не стирает локальное освещение.</t>
  </si>
  <si>
    <t xml:space="preserve">Application QA — раунд 2 / Q-GM-028.</t>
  </si>
  <si>
    <t xml:space="preserve">Q-GM-028</t>
  </si>
  <si>
    <t xml:space="preserve">AQ2-009</t>
  </si>
  <si>
    <t xml:space="preserve">Поддерживает ли первая версия универсальный редактор произвольных механических эффектов или только предопределённые мастерские операции?</t>
  </si>
  <si>
    <t xml:space="preserve">мастер; цель; источник эффекта; кампания</t>
  </si>
  <si>
    <t xml:space="preserve">При разрешении сценария: Поддерживает ли первая версия универсальный редактор произвольных механических эффектов или только предопределённые мастерские операции</t>
  </si>
  <si>
    <t xml:space="preserve">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t>
  </si>
  <si>
    <t xml:space="preserve">Поля состояния: HP| ОЭ| состояние| раса
Броски, ресурсы и выражения: HP| ОЭ
Ссылки на правила: Q-GM-006
Числа и сроки: Мастер использует только структурированные операции Q-GM-006: HP, ОЭ, расходники, формализованное состояние и модификатор характеристики.
Выборы и условия: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t>
  </si>
  <si>
    <t xml:space="preserve">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</si>
  <si>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</si>
  <si>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Мастер использует только структурированные операции Q-GM-006: HP, ОЭ, расходники, формализованное состояние и модификатор характеристики.
Остальные механические исключения требуют отдельного версионированного правила кампании.</t>
  </si>
  <si>
    <t xml:space="preserve">Мастер использует только структурированные операции Q-GM-006: HP, ОЭ, расходники, формализованное состояние и модификатор характеристики.
Поля состояния: HP| ОЭ| состояние| раса
Броски, ресурсы и выражения: HP| ОЭ
Числа и сроки: Мастер использует только структурированные операции Q-GM-006: HP, ОЭ, расходники, формализованное состояние и модификатор характеристики.
Выборы и условия: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t>
  </si>
  <si>
    <t xml:space="preserve">Числа и сроки: Мастер использует только структурированные операции Q-GM-006: HP, ОЭ, расходники, формализованное состояние и модификатор характеристики.</t>
  </si>
  <si>
    <t xml:space="preserve">Application QA — раунд 2 / Q-GM-029.</t>
  </si>
  <si>
    <t xml:space="preserve">Q-GM-029</t>
  </si>
  <si>
    <t xml:space="preserve">AQ2-010</t>
  </si>
  <si>
    <t xml:space="preserve">По числу устройств, профилей или активных персонажей считается предел групп; куда попадает новый персонаж и что видит устройство, управляющее героями из разных групп?</t>
  </si>
  <si>
    <t xml:space="preserve">мастер; игрок; персонаж; НПС; существо; группа</t>
  </si>
  <si>
    <t xml:space="preserve">При принятии нового героя мастер выбирает существующую группу или создаёт новую
При разрешении сценария: По числу устройств, профилей или активных персонажей считается предел групп; куда попадает новый персонаж и что видит устройство, управляющее героями из разных групп</t>
  </si>
  <si>
    <t xml:space="preserve">При принятии нового героя мастер выбирает существующую группу или создаёт новую; без выбора герой попадает в стартовую группу.
Обычный запуск боя выбирает ровно одну группу игроков; другие группы автоматически не подключаются.</t>
  </si>
  <si>
    <t xml:space="preserve">Поля состояния: локация
Числа и сроки: Устройство, управляющее несколькими героями, видит каждую их группу и всех разрешённых участников каждой такой группы.| НПС не входят в это ограничение и хранят собственную локацию.
Выборы и условия: При принятии нового героя мастер выбирает существующую группу или создаёт новую; без выбора герой попадает в стартовую группу.| Обычный запуск боя выбирает ровно одну группу игроков; другие группы автоматически не подключаются.</t>
  </si>
  <si>
    <t xml:space="preserve">Группы образуют разбиение активных персонажей игроков: каждый персонаж состоит ровно в одной группе. Максимум непустых групп равен числу активных персонажей, а не устройств. При принятии нового героя мастер выбирает существующую группу или создаёт новую; без выбора герой попадает в стартовую группу. Устройство, управляющее несколькими героями, видит каждую их группу и всех разрешённых участников каждой такой группы. Мастер видит все группы. НПС не входят в это ограничение и хранят собственную локацию. Обычный запуск боя выбирает ровно одну группу игроков; другие группы автоматически не подключаются.</t>
  </si>
  <si>
    <t xml:space="preserve">Группы образуют разбиение активных персонажей игроков: каждый персонаж состоит ровно в одной группе.
Максимум непустых групп равен числу активных персонажей, а не устройств.
При принятии нового героя мастер выбирает существующую группу или создаёт новую; без выбора герой попадает в стартовую группу.
Устройство, управляющее несколькими героями, видит каждую их группу и всех разрешённых участников каждой такой группы.
Мастер видит все группы.
НПС не входят в это ограничение и хранят собственную локацию.
Обычный запуск боя выбирает ровно одну группу игроков; другие группы автоматически не подключаются.</t>
  </si>
  <si>
    <t xml:space="preserve">Числа и сроки: Устройство, управляющее несколькими героями, видит каждую их группу и всех разрешённых участников каждой такой группы.| НПС не входят в это ограничение и хранят собственную локацию.</t>
  </si>
  <si>
    <t xml:space="preserve">При принятии нового героя мастер выбирает существующую группу или создаёт новую
При принятии нового героя мастер выбирает существующую группу или создаёт новую; без выбора герой попадает в стартовую группу.
Выборы и условия: При принятии нового героя мастер выбирает существующую группу или создаёт новую; без выбора герой попадает в стартовую группу.| Обычный запуск боя выбирает ровно одну группу игроков; другие группы автоматически не подключаются.</t>
  </si>
  <si>
    <t xml:space="preserve">Application QA — раунд 2 / Q-GM-030.</t>
  </si>
  <si>
    <t xml:space="preserve">Q-GM-030</t>
  </si>
  <si>
    <t xml:space="preserve">AQ2-011</t>
  </si>
  <si>
    <t xml:space="preserve">Исключает ли формулировка «только персонажи-участники группы» НПС, существ, трупы, животных, предметы и поверхности, необходимые способностям, и как обрабатывается сопротивляющаяся цель?</t>
  </si>
  <si>
    <t xml:space="preserve">мастер; игрок; персонаж; носитель; цель; НПС; существо; труп; предмет; группа; только персонажи-участники группы</t>
  </si>
  <si>
    <t xml:space="preserve">При враждебном действии против дееспособной несогласной цели ресурсы ещё не списываются
При разрешении сценария: Исключает ли формулировка «только персонажи-участники группы» НПС, существ, трупы, животных, предметы и поверхности, необходимые способностям, и как обрабатывается сопротивляющаяся цель</t>
  </si>
  <si>
    <t xml:space="preserve">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</si>
  <si>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Поля состояния: боевые действия| локация
Числа и сроки: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Выборы и условия: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</si>
  <si>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Способность, требующая согласия или допускающая сопротивление, мирно разрешается только при согласии либо недееспособности цели.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</si>
  <si>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Способность, требующая согласия или допускающая сопротивление, мирно разрешается только при согласии либо недееспособности цели.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</si>
  <si>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Способность, требующая согласия или допускающая сопротивление, мирно разрешается только при согласии либо недееспособности цели.</t>
  </si>
  <si>
    <t xml:space="preserve">При враждебном действии против дееспособной несогласной цели ресурсы ещё не списываются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Поля состояния: боевые действия| локация
Числа и сроки: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Выборы и условия: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</si>
  <si>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При враждебном действии против дееспособной несогласной цели ресурсы ещё не списываются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Числа и сроки: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Выборы и условия: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</si>
  <si>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При разрешении сценария: Исключает ли формулировка «только персонажи-участники группы» НПС, существ, трупы, животных, предметы и поверхности, необходимые способностям, и как обрабатывается сопротивляющаяся цель</t>
  </si>
  <si>
    <t xml:space="preserve">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Числа и сроки: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Выборы и условия: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</si>
  <si>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Числа и сроки: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</si>
  <si>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Application QA — раунд 2 / Q-APP-001.</t>
  </si>
  <si>
    <t xml:space="preserve">Q-APP-001</t>
  </si>
  <si>
    <t xml:space="preserve">AQ2-012</t>
  </si>
  <si>
    <t xml:space="preserve">Какие автоматизированные способности доступны отдельной командой вне боя?</t>
  </si>
  <si>
    <t xml:space="preserve">предмет; броня; Хранитель; Трогр; Ткач; Химера; Кукловод; Чумной доктор; Советник; Пингвин; Сверчок; Крыса; Хамелеон; Жаба; Учитель; Дельфин; Клещ; Тайпан; Богомол; боевая ситуация</t>
  </si>
  <si>
    <t xml:space="preserve">При разрешении сценария: Какие автоматизированные способности доступны отдельной командой вне боя</t>
  </si>
  <si>
    <t xml:space="preserve">В первой версии доступны следующие мирные команды.
Любая не включённая активная способность доступна только после открытия боевой ситуации.</t>
  </si>
  <si>
    <t xml:space="preserve">Поля состояния: раса
Ссылки на правила: SYM-027| SYM-181| SYM-040| SYM-051| SYM-056| SYM-068| SYM-085| SYM-099| SYM-104| SYM-117| SYM-131| SYM-152| SYM-168| SYM-169| MON-004| MON-010| MON-032| MON-048| MON-050| MON-051| MON-053| MON-055| SYM-183| SYM-092| SYM-119
Числа и сроки: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MON-048, MON-050, MON-051, MON-053, MON-055.| Нормализация v1.0: отдельной операции нанесения активного яда Тайпана присвоен ID SYM-183.| SYM-092 и SYM-119 не входят в мирный whitelist.
Выборы и условия: В первой версии доступны следующие мирные команды.| Любая не включённая активная способность доступна только после открытия боевой ситуации.</t>
  </si>
  <si>
    <t xml:space="preserve">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MON-048, MON-050, MON-051, MON-053, MON-055.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Нормализация v1.0: отдельной операции нанесения активного яда Тайпана присвоен ID SYM-183. SYM-092 и SYM-119 не входят в мирный whitelist. У Трогра, Броненосца, Сверчка, Хамелеона, Угря, Жабы, Дельфина и Скунса отдельных мирных команд нет.</t>
  </si>
  <si>
    <t xml:space="preserve">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MON-048, MON-050, MON-051, MON-053, MON-055.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Нормализация v1.0: отдельной операции нанесения активного яда Тайпана присвоен ID SYM-183.
SYM-092 и SYM-119 не входят в мирный whitelist.
У Трогра, Броненосца, Сверчка, Хамелеона, Угря, Жабы, Дельфина и Скунса отдельных мирных команд нет.</t>
  </si>
  <si>
    <t xml:space="preserve">Исключённые из автоматизации способности не появляются.
Любая не включённая активная способность доступна только после открытия боевой ситуации.</t>
  </si>
  <si>
    <t xml:space="preserve">Числа и сроки: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MON-048, MON-050, MON-051, MON-053, MON-055.| Нормализация v1.0: отдельной операции нанесения активного яда Тайпана присвоен ID SYM-183.| SYM-092 и SYM-119 не входят в мирный whitelist.</t>
  </si>
  <si>
    <t xml:space="preserve">Application QA — раунд 2 / Q-APP-002.
Операции мастера с симбионтами</t>
  </si>
  <si>
    <t xml:space="preserve">Q-APP-002</t>
  </si>
  <si>
    <t xml:space="preserve">MON-004
MON-010
MON-032
MON-048
MON-050
MON-051
MON-053
MON-055
SYM-027
SYM-040
SYM-051
SYM-056
SYM-068
SYM-085
SYM-092
SYM-099
SYM-104
SYM-117
SYM-119
SYM-131
SYM-152
SYM-168
SYM-169
SYM-181
SYM-183</t>
  </si>
  <si>
    <t xml:space="preserve">AQ2-013</t>
  </si>
  <si>
    <t xml:space="preserve">Новая команда мастера моделирует буквальную операцию §5.3.5 — с донором, его смертью и удалением всех симбионтов сразу — либо административно изменяет состав после уже разрешённого сюжетом события?</t>
  </si>
  <si>
    <t xml:space="preserve">Application QA — раунд 2 / Операции мастера с симбионтами.</t>
  </si>
  <si>
    <t xml:space="preserve">мастер; симбионт; удалить только всех сразу</t>
  </si>
  <si>
    <t xml:space="preserve">Если по сюжету использовался донор
При разрешении сценария: Новая команда мастера моделирует буквальную операцию §5.3.5 — с донором, его смертью и удалением всех симбионтов сразу — либо административно изменяет состав после уже разрешённого сюжетом события</t>
  </si>
  <si>
    <t xml:space="preserve">Донор, врач, стоимость, регион и медицинская проверка приложением не моделируются.
Если по сюжету использовался донор, его смерть и прочие последствия мастер оформляет отдельно.</t>
  </si>
  <si>
    <t xml:space="preserve">Выборы и условия: Донор, врач, стоимость, регион и медицинская проверка приложением не моделируются.| Если по сюжету использовался донор, его смерть и прочие последствия мастер оформляет отдельно.</t>
  </si>
  <si>
    <t xml:space="preserve">Это административная мастерская операция, отражающая уже разрешённое мастером сюжетное событие. В одной атомарной операции можно удалить выбранные обычные симбионты, добавить один или несколько обычных симбионтов либо заменить выбранных симбионтов новым набором. Донор, врач, стоимость, регион и медицинская проверка приложением не моделируются. Ограничение рулбука «удалить только всех сразу» для этой команды не применяется. Если по сюжету использовался донор, его смерть и прочие последствия мастер оформляет отдельно.</t>
  </si>
  <si>
    <t xml:space="preserve">Это административная мастерская операция, отражающая уже разрешённое мастером сюжетное событие.
В одной атомарной операции можно удалить выбранные обычные симбионты, добавить один или несколько обычных симбионтов либо заменить выбранных симбионтов новым набором.
Донор, врач, стоимость, регион и медицинская проверка приложением не моделируются.
Ограничение рулбука «удалить только всех сразу» для этой команды не применяется.
Если по сюжету использовался донор, его смерть и прочие последствия мастер оформляет отдельно.</t>
  </si>
  <si>
    <t xml:space="preserve">Ограничение рулбука «удалить только всех сразу» для этой команды не применяется.</t>
  </si>
  <si>
    <t xml:space="preserve">Донор, врач, стоимость, регион и медицинская проверка приложением не моделируются.
Выборы и условия: Донор, врач, стоимость, регион и медицинская проверка приложением не моделируются.| Если по сюжету использовался донор, его смерть и прочие последствия мастер оформляет отдельно.</t>
  </si>
  <si>
    <t xml:space="preserve">В одной атомарной операции можно удалить выбранные обычные симбионты, добавить один или несколько обычных симбионтов либо заменить выбранных симбионтов новым набором.</t>
  </si>
  <si>
    <t xml:space="preserve">Application QA — раунд 2 / Q-GM-SYM-001.</t>
  </si>
  <si>
    <t xml:space="preserve">Q-GM-SYM-001</t>
  </si>
  <si>
    <t xml:space="preserve">AQ2-014</t>
  </si>
  <si>
    <t xml:space="preserve">Над какими персонажами и в каких состояниях можно проводить мастерскую операцию с симбионтами?</t>
  </si>
  <si>
    <t xml:space="preserve">мастер; игрок; персонаж; цель; симбионт; Единый; Вольный; Чистый</t>
  </si>
  <si>
    <t xml:space="preserve">При разрешении сценария: Над какими персонажами и в каких состояниях можно проводить мастерскую операцию с симбионтами</t>
  </si>
  <si>
    <t xml:space="preserve">Цель — живой неархивный персонаж игрока расы Единый или Вольный.
Регион, специалист, стоимость и длительность автоматически не проверяются; изменение применяется в текущий момент виртуального времени.</t>
  </si>
  <si>
    <t xml:space="preserve">Поля состояния: боевые действия| таймер/срок| состояние| раса
Числа и сроки: Операция недоступна Чистому, окончательно мёртвому персонажу, во время боя, незавершённого действия или другой операции.
Выборы и условия: Цель — живой неархивный персонаж игрока расы Единый или Вольный.| Регион, специалист, стоимость и длительность автоматически не проверяются; изменение применяется в текущий момент виртуального времени.</t>
  </si>
  <si>
    <t xml:space="preserve">Цель — живой неархивный персонаж игрока расы Единый или Вольный. Операция недоступна Чистому, окончательно мёртвому персонажу, во время боя, незавершённого действия или другой операции. Активный отдых сначала явно прерывается. Сознание цели и отключение удаляемого симбионта операцию не блокируют. Регион, специалист, стоимость и длительность автоматически не проверяются; изменение применяется в текущий момент виртуального времени. Согласие игрока не является предусловием, но результат немедленно показывается ему.
[v1.3] Эта post-creation операция не расширяется на монстра или врага-НПС. Выбор симбионта в payload CustomMonster — часть новой версии шаблона по CORE-203, а не пересадка экземпляру.</t>
  </si>
  <si>
    <t xml:space="preserve">Цель — живой неархивный персонаж игрока расы Единый или Вольный.
Операция недоступна Чистому, окончательно мёртвому персонажу, во время боя, незавершённого действия или другой операции.
Активный отдых сначала явно прерывается.
Сознание цели и отключение удаляемого симбионта операцию не блокируют.
Регион, специалист, стоимость и длительность автоматически не проверяются; изменение применяется в текущий момент виртуального времени.
Согласие игрока не является предусловием, но результат немедленно показывается ему.</t>
  </si>
  <si>
    <t xml:space="preserve">Поля состояния: боевые действия| таймер/срок| состояние| раса
Числа и сроки: Операция недоступна Чистому, окончательно мёртвому персонажу, во время боя, незавершённого действия или другой операции.
Операция недоступна Чистому, окончательно мёртвому персонажу, во время боя, незавершённого действия или другой операции.</t>
  </si>
  <si>
    <t xml:space="preserve">Регион, специалист, стоимость и длительность автоматически не проверяются; изменение применяется в текущий момент виртуального времени.
Выборы и условия: Цель — живой неархивный персонаж игрока расы Единый или Вольный.| Регион, специалист, стоимость и длительность автоматически не проверяются; изменение применяется в текущий момент виртуального времени.</t>
  </si>
  <si>
    <t xml:space="preserve">Поля состояния: боевые действия| таймер/срок| состояние| раса
Числа и сроки: Операция недоступна Чистому, окончательно мёртвому персонажу, во время боя, незавершённого действия или другой операции.</t>
  </si>
  <si>
    <t xml:space="preserve">Application QA — раунд 2 / Q-GM-SYM-002.
Прямое уточнение пользователя 2026-07-28 — шаблоны врагов v1.3</t>
  </si>
  <si>
    <t xml:space="preserve">Q-GM-SYM-002
Q-ENEMY-B9</t>
  </si>
  <si>
    <t xml:space="preserve">SYM-002
CORE-203
CORE-204</t>
  </si>
  <si>
    <t xml:space="preserve">AQ2-015</t>
  </si>
  <si>
    <t xml:space="preserve">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t>
  </si>
  <si>
    <t xml:space="preserve">персонаж; симбионт; Вольный; Чистый</t>
  </si>
  <si>
    <t xml:space="preserve">Когда Вольный впервые должен занять больше одного симбиотического слота
При разрешении сценария: 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t>
  </si>
  <si>
    <t xml:space="preserve">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</si>
  <si>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Поля состояния: S| M| Z| слоты
Идентификаторы данных: extraSymbiontSlotUnlocked
Броски, ресурсы и выражения: R6| S| M| Z
Числа и сроки: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Выборы и условия: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</si>
  <si>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Когда Вольный впервые должен занять больше одного симбиотического слота, операция навсегда устанавливает extraSymbiontSlotUnlocked=true и увеличивает вместимость с одного до двух слотов. Один чистый R6 одновременно вычитается из S, M и Z, но не ниже 1. Штраф постоянный и применяется ровно один раз за жизнь персонажа. Удаление второго симбионта не возвращает характеристики и не закрывает слот; последующая замена не требует нового R6. Естественное заражение может заполнить уже открытый свободный слот.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</si>
  <si>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Когда Вольный впервые должен занять больше одного симбиотического слота, операция навсегда устанавливает extraSymbiontSlotUnlocked=true и увеличивает вместимость с одного до двух слотов.
Один чистый R6 одновременно вычитается из S, M и Z, но не ниже 1.
Штраф постоянный и применяется ровно один раз за жизнь персонажа.
Удаление второго симбионта не возвращает характеристики и не закрывает слот; последующая замена не требует нового R6.
Естественное заражение может заполнить уже открытый свободный слот.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</si>
  <si>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</si>
  <si>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При разрешении сценария: 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
Броски, ресурсы и выражения: R6| S| M| Z
Выборы и условия: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</si>
  <si>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При разрешении сценария: 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Броски, ресурсы и выражения: R6| S| M| Z
Числа и сроки: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Выборы и условия: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
Когда Вольный впервые должен занять больше одного симбиотического слота, операция навсегда устанавливает extraSymbiontSlotUnlocked=true и увеличивает вместимость с одного до двух слотов.</t>
  </si>
  <si>
    <t xml:space="preserve">Числа и сроки: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t>
  </si>
  <si>
    <t xml:space="preserve">Штраф постоянный и применяется ровно один раз за жизнь персонажа.</t>
  </si>
  <si>
    <t xml:space="preserve">Application QA — раунд 2 / Q-GM-SYM-003.</t>
  </si>
  <si>
    <t xml:space="preserve">Q-GM-SYM-003</t>
  </si>
  <si>
    <t xml:space="preserve">AQ2-016</t>
  </si>
  <si>
    <t xml:space="preserve">Запрещено только добавлять, удалять и заменять само симбиотическое чудовище или запрещены любые операции над носителем Химеры, Кукловода либо Чумного доктора?</t>
  </si>
  <si>
    <t xml:space="preserve">мастер; носитель; симбионт; Химера; Кукловод; Чумной доктор; Пожирания</t>
  </si>
  <si>
    <t xml:space="preserve">При разрешении сценария: Запрещено только добавлять, удалять и заменять само симбиотическое чудовище или запрещены любые операции над носителем Химеры, Кукловода либо Чумного доктора</t>
  </si>
  <si>
    <t xml:space="preserve">Химера, Кукловод и Чумной доктор никогда не могут быть кандидатом добавления, удаления, замены или переноса.</t>
  </si>
  <si>
    <t xml:space="preserve">Поля состояния: слоты
Выборы и условия: Химера, Кукловод и Чумной доктор никогда не могут быть кандидатом добавления, удаления, замены или переноса.</t>
  </si>
  <si>
    <t xml:space="preserve">Химера, Кукловод и Чумной доктор никогда не могут быть кандидатом добавления, удаления, замены или переноса. 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 Само чудовище продолжает занимать четыре базовых слота. Даже мастерская операция не может удалить чудовище ценой смерти носителя.
[v1.3] Химера, Кукловод и Чумной доктор также запрещены в поле symbiont пользовательского монстра.</t>
  </si>
  <si>
    <t xml:space="preserve">Химера, Кукловод и Чумной доктор никогда не могут быть кандидатом добавления, удаления, замены или переноса.
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
Само чудовище продолжает занимать четыре базовых слота.
Даже мастерская операция не может удалить чудовище ценой смерти носителя.</t>
  </si>
  <si>
    <t xml:space="preserve">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t>
  </si>
  <si>
    <t xml:space="preserve">При разрешении сценария: Запрещено только добавлять, удалять и заменять само симбиотическое чудовище или запрещены любые операции над носителем Химеры, Кукловода либо Чумного доктора
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t>
  </si>
  <si>
    <t xml:space="preserve">Application QA — раунд 2 / Q-GM-SYM-004.
Прямое уточнение пользователя 2026-07-28 — шаблоны врагов v1.3</t>
  </si>
  <si>
    <t xml:space="preserve">Q-GM-SYM-004
Q-ENEMY-B9</t>
  </si>
  <si>
    <t xml:space="preserve">SYM-004
CORE-203</t>
  </si>
  <si>
    <t xml:space="preserve">AQ2-017</t>
  </si>
  <si>
    <t xml:space="preserve">Проверяются ли вместимость и совместимость до добавления или после разрешения всех межсимбионтных взаимодействий, и можно ли оставить пустые слоты?</t>
  </si>
  <si>
    <t xml:space="preserve">мастер; симбионт; Хранитель; Трогр; Советник; Пингвин; Учитель; Дельфин</t>
  </si>
  <si>
    <t xml:space="preserve">При разрешении сценария: Проверяются ли вместимость и совместимость до добавления или после разрешения всех межсимбионтных взаимодействий, и можно ли оставить пустые слоты</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</si>
  <si>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t>
  </si>
  <si>
    <t xml:space="preserve">Поля состояния: слоты
Числа и сроки: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
Выборы и условия: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</si>
  <si>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 Все уничтожаемые и подавляемые симбионты показываются мастеру до подтверждения. Пустые слоты допустимы.</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</si>
  <si>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
Все уничтожаемые и подавляемые симбионты показываются мастеру до подтверждения.
Пустые слоты допустимы.</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</si>
  <si>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t>
  </si>
  <si>
    <t xml:space="preserve">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Числа и сроки: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
Выборы и условия: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t>
  </si>
  <si>
    <t xml:space="preserve">Числа и сроки: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t>
  </si>
  <si>
    <t xml:space="preserve">Application QA — раунд 2 / Q-GM-SYM-005.</t>
  </si>
  <si>
    <t xml:space="preserve">Q-GM-SYM-005</t>
  </si>
  <si>
    <t xml:space="preserve">SYM-001
SYM-002
SYM-005
SYM-038
SYM-075</t>
  </si>
  <si>
    <t xml:space="preserve">AQ2-018</t>
  </si>
  <si>
    <t xml:space="preserve">Какие параметры задаёт мастер уже прокаченному добавляемому симбионту и какие значения он получает по умолчанию?</t>
  </si>
  <si>
    <t xml:space="preserve">мастер; персонаж; симбионт; Хранитель; Трогр; Крыса; Попутчиков</t>
  </si>
  <si>
    <t xml:space="preserve">При разрешении сценария: Какие параметры задаёт мастер уже прокаченному добавляемому симбионту и какие значения он получает по умолчанию</t>
  </si>
  <si>
    <t xml:space="preserve">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</si>
  <si>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Поля состояния: ОЭ| XP| уровень L| боевые действия
Идентификаторы данных: UUID
Броски, ресурсы и выражения: L| XP| ОЭ
Числа и сроки: Неизрасходованный XP по умолчанию равен 0, текущие ОЭ — 0, симбионт активен и не имеет кулдаунов, подготовленных действий или ранее созданных эффектов.| Специальная история пуста: Трогр ничего ранее не поглощал, Хранитель не имеет «Попутчиков», Крыса находится внутри тела и не имеет стаи.
Выборы и условия: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</si>
  <si>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Создаётся новый экземпляр с новым UUID.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 Обычные пассивы включаются после фиксации. Специальная история пуста: Трогр ничего ранее не поглощал, Хранитель не имеет «Попутчиков», Крыса находится внутри тела и не имеет стаи. Штрафы ручного выбора при создании персонажа повторно не применяются.
[v1.3] Для симбионта CustomMonster мастер сначала задаёт targetLevel, затем выбирает валидный граф узлов; вычисленный уровень обязан совпасть с targetLevel. XP-бюджет не проверяется, currentOE после создания экземпляра равен maxOE.</t>
  </si>
  <si>
    <t xml:space="preserve">Создаётся новый экземпляр с новым UUID.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
Обычные пассивы включаются после фиксации.
Специальная история пуста: Трогр ничего ранее не поглощал, Хранитель не имеет «Попутчиков», Крыса находится внутри тела и не имеет стаи.
Штрафы ручного выбора при создании персонажа повторно не применяются.</t>
  </si>
  <si>
    <t xml:space="preserve">Неизрасходованный XP по умолчанию равен 0, текущие ОЭ — 0, симбионт активен и не имеет кулдаунов, подготовленных действий или ранее созданных эффектов.
Поля состояния: ОЭ| XP| уровень L| боевые действия
Числа и сроки: Неизрасходованный XP по умолчанию равен 0, текущие ОЭ — 0, симбионт активен и не имеет кулдаунов, подготовленных действий или ранее созданных эффектов.| Специальная история пуста: Трогр ничего ранее не поглощал, Хранитель не имеет «Попутчиков», Крыса находится внутри тела и не имеет стаи.
Выборы и условия: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</si>
  <si>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Неизрасходованный XP по умолчанию равен 0, текущие ОЭ — 0, симбионт активен и не имеет кулдаунов, подготовленных действий или ранее созданных эффектов.
Поля состояния: ОЭ| XP| уровень L| боевые действия
Броски, ресурсы и выражения: L| XP| ОЭ
Числа и сроки: Неизрасходованный XP по умолчанию равен 0, текущие ОЭ — 0, симбионт активен и не имеет кулдаунов, подготовленных действий или ранее созданных эффектов.| Специальная история пуста: Трогр ничего ранее не поглощал, Хранитель не имеет «Попутчиков», Крыса находится внутри тела и не имеет стаи.
Выборы и условия: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</si>
  <si>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Числа и сроки: Неизрасходованный XP по умолчанию равен 0, текущие ОЭ — 0, симбионт активен и не имеет кулдаунов, подготовленных действий или ранее созданных эффектов.| Специальная история пуста: Трогр ничего ранее не поглощал, Хранитель не имеет «Попутчиков», Крыса находится внутри тела и не имеет стаи.</t>
  </si>
  <si>
    <t xml:space="preserve">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Выборы и условия: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
Штрафы ручного выбора при создании персонажа повторно не применяются.</t>
  </si>
  <si>
    <t xml:space="preserve">Application QA — раунд 2 / Q-GM-SYM-006.
Прямое уточнение пользователя 2026-07-28 — шаблоны врагов v1.3</t>
  </si>
  <si>
    <t xml:space="preserve">Q-GM-SYM-006
Q-ENEMY-B9</t>
  </si>
  <si>
    <t xml:space="preserve">SYM-006
SYM-020
CORE-203
SYM-009
SYM-024</t>
  </si>
  <si>
    <t xml:space="preserve">AQ2-019</t>
  </si>
  <si>
    <t xml:space="preserve">Удаление означает гибель симбионта, перенос с сохранением прогресса или появление извлечённого симбионта как отдельной сущности либо предмета?</t>
  </si>
  <si>
    <t xml:space="preserve">персонаж; носитель; предмет; симбионт</t>
  </si>
  <si>
    <t xml:space="preserve">При разрешении сценария: Удаление означает гибель симбионта, перенос с сохранением прогресса или появление извлечённого симбионта как отдельной сущности либо предмета</t>
  </si>
  <si>
    <t xml:space="preserve">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</si>
  <si>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Поля состояния: ОЭ| XP| таймер/срок
Броски, ресурсы и выражения: ОЭ| XP
Числа и сроки: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
Выборы и условия: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</si>
  <si>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Удалённый симбионт необратимо исключается из активного состава и сохраняется только как tombstone в аудите. Он не становится предметом или отдельной сущностью, не может быть подсажен другому персонажу и не запускает способности, срабатывающие от смерти носителя или обычной гибели симбионта.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 Повторное добавление того же вида создаёт новый экземпляр и ничего автоматически не восстанавливает.</t>
  </si>
  <si>
    <t xml:space="preserve">Удалённый симбионт необратимо исключается из активного состава и сохраняется только как tombstone в аудите.
Он не становится предметом или отдельной сущностью, не может быть подсажен другому персонажу и не запускает способности, срабатывающие от смерти носителя или обычной гибели симбионта.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
Повторное добавление того же вида создаёт новый экземпляр и ничего автоматически не восстанавливает.</t>
  </si>
  <si>
    <t xml:space="preserve">Удалённый симбионт необратимо исключается из активного состава и сохраняется только как tombstone в аудите.</t>
  </si>
  <si>
    <t xml:space="preserve">Его ОЭ, XP, способности, таймеры и внутренняя идентичность утрачиваются.
Поля состояния: ОЭ| XP| таймер/срок
Броски, ресурсы и выражения: ОЭ| XP
Числа и сроки: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
Выборы и условия: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</si>
  <si>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Поля состояния: ОЭ| XP| таймер/срок
Числа и сроки: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</si>
  <si>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Application QA — раунд 2 / Q-GM-SYM-007.</t>
  </si>
  <si>
    <t xml:space="preserve">Q-GM-SYM-007</t>
  </si>
  <si>
    <t xml:space="preserve">SYM-006
SYM-007
SYM-025</t>
  </si>
  <si>
    <t xml:space="preserve">AQ2-020</t>
  </si>
  <si>
    <t xml:space="preserve">Какие активные эффекты, подготовленные состояния, созданные объекты, симбиотическая анатомия и предметы сохраняются после удаления симбионта-источника?</t>
  </si>
  <si>
    <t xml:space="preserve">источник эффекта; предмет; инвентарь; оружие; броня; симбионт; Ткач; пока источник активен</t>
  </si>
  <si>
    <t xml:space="preserve">При разрешении сценария: Какие активные эффекты, подготовленные состояния, созданные объекты, симбиотическая анатомия и предметы сохраняются после удаления симбионта-источника</t>
  </si>
  <si>
    <t xml:space="preserve">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t>
  </si>
  <si>
    <t xml:space="preserve">Поля состояния: таймер/срок| состояние
Числа и сроки: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Выборы и условия: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t>
  </si>
  <si>
    <t xml:space="preserve">Сначала применяются специальные правила способности.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Самостоятельные физические объекты — готовая паутина, мины и аналоги — сохраняются.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Обычный инвентарь не меняется.</t>
  </si>
  <si>
    <t xml:space="preserve">Сначала применяются специальные правила способности.
По умолчанию пассивы, поддерживаемые режимы, управление телом, сенсорные связи и эффекты «пока источник активен» прекращаются немедленно; незавершённая способность отменяется без возврата затрат.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Самостоятельные физические объекты — готовая паутина, мины и аналоги — сохраняются.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Обычный инвентарь не меняется.</t>
  </si>
  <si>
    <t xml:space="preserve">Обычный инвентарь не меняется.</t>
  </si>
  <si>
    <t xml:space="preserve">Поля состояния: таймер/срок| состояние
Числа и сроки: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t>
  </si>
  <si>
    <t xml:space="preserve">Application QA — раунд 2 / Q-GM-SYM-008.</t>
  </si>
  <si>
    <t xml:space="preserve">Q-GM-SYM-008</t>
  </si>
  <si>
    <t xml:space="preserve">SYM-008
SYM-025</t>
  </si>
  <si>
    <t xml:space="preserve">AQ2-021</t>
  </si>
  <si>
    <t xml:space="preserve">Можно ли завершить операцию, если пересчёт характеристик нарушает требования навыков, уменьшает максимум HP либо делает экипировку невалидной?</t>
  </si>
  <si>
    <t xml:space="preserve">мастер; экипировка</t>
  </si>
  <si>
    <t xml:space="preserve">До фиксации показываются новые характеристики
Если постоянный итог нарушает прямое требование конкретного навыка
При попытке выполнить: завершить операцию, если пересчёт характеристик нарушает требования навыков, уменьшает максимум HP либо делает экипировку невалидной</t>
  </si>
  <si>
    <t xml:space="preserve">До фиксации показываются новые характеристики, maxHP, слоты навыков, доступные способности и экипировка.
Если постоянный итог нарушает прямое требование конкретного навыка, операция блокируется, пока мастер не выберет удаление или замену этого навыка в той же транзакции.</t>
  </si>
  <si>
    <t xml:space="preserve">Поля состояния: currentHP| maxHP| HP| W| слоты| навыки
Идентификаторы данных: maxHP| currentHP
Броски, ресурсы и выражения: HP| maxHP| W| currentHP
Ссылки на правила: Q-CORE-051
Числа и сроки: Уменьшение вместимости навыков из-за W не удаляет навыки: пул может стать переполненным по Q-CORE-051.
Выборы и условия: До фиксации показываются новые характеристики, maxHP, слоты навыков, доступные способности и экипировка.| Если постоянный итог нарушает прямое требование конкретного навыка, операция блокируется, пока мастер не выберет удаление или замену этого навыка в той же транзакции.</t>
  </si>
  <si>
    <t xml:space="preserve">До фиксации показываются новые характеристики, maxHP, слоты навыков, доступные способности и экипировка. Уменьшение вместимости навыков из-за W не удаляет навыки: пул может стать переполненным по Q-CORE-051. Если постоянный итог нарушает прямое требование конкретного навыка, операция блокируется, пока мастер не выберет удаление или замену этого навыка в той же транзакции. Снижение maxHP ограничивает currentHP новым максимумом; увеличение maxHP не лечит. Невалидная экипировка не уничтожается и не снимается автоматически: применяются уже формализованные штрафы.</t>
  </si>
  <si>
    <t xml:space="preserve">До фиксации показываются новые характеристики, maxHP, слоты навыков, доступные способности и экипировка.
Уменьшение вместимости навыков из-за W не удаляет навыки: пул может стать переполненным по Q-CORE-051.
Если постоянный итог нарушает прямое требование конкретного навыка, операция блокируется, пока мастер не выберет удаление или замену этого навыка в той же транзакции.
Снижение maxHP ограничивает currentHP новым максимумом; увеличение maxHP не лечит.
Невалидная экипировка не уничтожается и не снимается автоматически: применяются уже формализованные штрафы.</t>
  </si>
  <si>
    <t xml:space="preserve">При попытке выполнить: завершить операцию, если пересчёт характеристик нарушает требования навыков, уменьшает максимум HP либо делает экипировку невалидной
Поля состояния: currentHP| maxHP| HP| W| слоты| навыки
Броски, ресурсы и выражения: HP| maxHP| W| currentHP</t>
  </si>
  <si>
    <t xml:space="preserve">Числа и сроки: Уменьшение вместимости навыков из-за W не удаляет навыки: пул может стать переполненным по Q-CORE-051.</t>
  </si>
  <si>
    <t xml:space="preserve">Application QA — раунд 2 / Q-GM-SYM-009.</t>
  </si>
  <si>
    <t xml:space="preserve">Q-GM-SYM-009</t>
  </si>
  <si>
    <t xml:space="preserve">CORE-016
CORE-051
SYM-009
SYM-025</t>
  </si>
  <si>
    <t xml:space="preserve">AQ2-022</t>
  </si>
  <si>
    <t xml:space="preserve">Что именно означает правило «при удалении Трогра изменений в характеристиках носителя не происходит» для характеристик, maxHP, поглощённых и подавленных симбионтов?</t>
  </si>
  <si>
    <t xml:space="preserve">носитель; броня; симбионт; Трогр; Советник; Пингвин; Учитель; Дельфин; при удалении Трогра изменений в характеристиках носителя не происходит; Мой дубина — твой башка!</t>
  </si>
  <si>
    <t xml:space="preserve">В момент удаления текущий вклад Трогра в S
При определении: именно означает правило «при удалении Трогра изменений в характеристиках носителя не происходит» для характеристик, maxHP, поглощённых и подавленных симбионтов</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</si>
  <si>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t>
  </si>
  <si>
    <t xml:space="preserve">Поля состояния: currentHP| maxHP| уровень L| S| D| M| Z| I| W| C
Идентификаторы данных: maxHP| currentHP
Броски, ресурсы и выражения: maxHP| S| D| M| Z| I| W| C| currentHP
Числа и сроки: Бонус 20L к maxHP, броня, способности, пределы и остальные активные пассивы Трогра прекращаются; currentHP ограничивается новым максимумом.
Выборы и условия: 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</si>
  <si>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Бонус 20L к maxHP, броня, способности, пределы и остальные активные пассивы Трогра прекращаются; currentHP ограничивается новым максимумом. Навык от «Мой дубина — твой башка!» сохраняется. Поглощённые Учитель и Дельфин не восстанавливаются. Советник и Пингвин перестают быть подавленными; минимум подавленного Советника больше не действует, хотя снимковый вклад сохраняет фактическое I на момент удаления.</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</si>
  <si>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Бонус 20L к maxHP, броня, способности, пределы и остальные активные пассивы Трогра прекращаются; currentHP ограничивается новым максимумом.
Навык от «Мой дубина — твой башка!» сохраняется.
Поглощённые Учитель и Дельфин не восстанавливаются.
Советник и Пингвин перестают быть подавленными; минимум подавленного Советника больше не действует, хотя снимковый вклад сохраняет фактическое I на момент удаления.</t>
  </si>
  <si>
    <t xml:space="preserve">Броски, ресурсы и выражения: maxHP| S| D| M| Z| I| W| C| currentHP</t>
  </si>
  <si>
    <t xml:space="preserve">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
Выборы и условия: 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t>
  </si>
  <si>
    <t xml:space="preserve">Числа и сроки: Бонус 20L к maxHP, броня, способности, пределы и остальные активные пассивы Трогра прекращаются; currentHP ограничивается новым максимумом.</t>
  </si>
  <si>
    <t xml:space="preserve">Application QA — раунд 2 / Q-GM-SYM-010.</t>
  </si>
  <si>
    <t xml:space="preserve">Q-GM-SYM-010</t>
  </si>
  <si>
    <t xml:space="preserve">SYM-010</t>
  </si>
  <si>
    <t xml:space="preserve">AQ2-023</t>
  </si>
  <si>
    <t xml:space="preserve">Кампании</t>
  </si>
  <si>
    <t xml:space="preserve">Как создаётся и удаляется Советник при мастерской операции, особенно если он сразу подавлен Трогром или в момент удаления управляет телом?</t>
  </si>
  <si>
    <t xml:space="preserve">мастер; носитель; Трогр; Советник; Чистый; кампания</t>
  </si>
  <si>
    <t xml:space="preserve">После окончательного подтверждения добавления один раз выполняются два чистых R20 в текущем режиме кампании для I и W Советника
Если Советник сразу подавлен Трогром
При удалении Советника его управление телом немедленно прекращается без действия и ОЭ
При мастерской операции, особенно если он сразу подавлен Трогром или в момент удаления управляет телом; разрешается: создаётся и удаляется Советник</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</si>
  <si>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</si>
  <si>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Поля состояния: ОЭ| I| W| боевые действия| слоты| раса| навыки
Броски, ресурсы и выражения: R20| I| W| ОЭ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</si>
  <si>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Новый Советник получает новые броски и новую карточку.</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</si>
  <si>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Новый Советник получает новые броски и новую карточку.</t>
  </si>
  <si>
    <t xml:space="preserve">При удалении Советника его управление телом немедленно прекращается без действия и ОЭ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Поля состояния: ОЭ| I| W| боевые действия| слоты| раса| навыки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</si>
  <si>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При удалении Советника его управление телом немедленно прекращается без действия и ОЭ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Поля состояния: ОЭ| I| W| боевые действия| слоты| раса| навыки
Броски, ресурсы и выражения: R20| I| W| ОЭ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t>
  </si>
  <si>
    <t xml:space="preserve">После окончательного подтверждения добавления один раз выполняются два чистых R20 в текущем режиме кампании для I и W Советника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Броски, ресурсы и выражения: R20| I| W| ОЭ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</si>
  <si>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</si>
  <si>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</si>
  <si>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После окончательного подтверждения добавления один раз выполняются два чистых R20 в текущем режиме кампании для I и W Советника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Числа и сроки: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Личность, характеристики и навыки Советника удаляются и не переходят носителю.
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</si>
  <si>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Application QA — раунд 2 / Q-GM-SYM-011.</t>
  </si>
  <si>
    <t xml:space="preserve">Q-GM-SYM-011</t>
  </si>
  <si>
    <t xml:space="preserve">AQ2-024</t>
  </si>
  <si>
    <t xml:space="preserve">Как операция обрабатывает Хранителя и Крысу, когда они находятся снаружи тела, ожидают выхода, захватывают тело, перерождаются или управляют связанными сущностями?</t>
  </si>
  <si>
    <t xml:space="preserve">носитель; Хранитель; Крыса; Резервная копия</t>
  </si>
  <si>
    <t xml:space="preserve">При выполнении или разрешении: операция обрабатывает Хранителя и Крысу, когда они находятся снаружи тела, ожидают выхода, захватывают тело, перерождаются или управляют связанными сущностями</t>
  </si>
  <si>
    <t xml:space="preserve">Операция блокируется, если Хранитель уже вышел, ожидает выхода, захватывает тело или перезаписывает личность.</t>
  </si>
  <si>
    <t xml:space="preserve">Числа и сроки: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
Выборы и условия: Операция блокируется, если Хранитель уже вышел, ожидает выхода, захватывает тело или перезаписывает личность.</t>
  </si>
  <si>
    <t xml:space="preserve">Добавленный Хранитель начинает сохранять личность текущего носителя после фиксации.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</si>
  <si>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Добавленный Хранитель начинает сохранять личность текущего носителя после фиксации.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</si>
  <si>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Числа и сроки: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
Удаление крысы, находящейся вне тела, невозможно (операция заблокирована) до возвращения крысы в носителя.</t>
  </si>
  <si>
    <t xml:space="preserve">Числа и сроки: Его удаление из живого тела уничтожает Хранителя без выхода и без смерти носителя; «Резервная копия» не срабатывает.| Операция блокируется, если Хранитель уже вышел, ожидает выхода, захватывает тело или перезаписывает личность.| Удаление крысы, находящейся вне тела, невозможно (операция заблокирована) до возвращения крысы в носителя.</t>
  </si>
  <si>
    <t xml:space="preserve">Application QA — раунд 2 / Q-GM-SYM-012.</t>
  </si>
  <si>
    <t xml:space="preserve">Q-GM-SYM-012</t>
  </si>
  <si>
    <t xml:space="preserve">AQ2-025</t>
  </si>
  <si>
    <t xml:space="preserve">В какой момент операция становится необратимой и какие данные сохраняются, особенно если она содержит R6 Вольного или броски и заполнение карточки Советника?</t>
  </si>
  <si>
    <t xml:space="preserve">мастер; цель; симбионт; Советник; Вольный</t>
  </si>
  <si>
    <t xml:space="preserve">После финального подтверждения выполняются случайные броски
Если требуется заполнить Советника
При событии: операция становится необратимой и какие данные сохраняются, особенно если она содержит R6 Вольного или броски и заполнение карточки Советника</t>
  </si>
  <si>
    <t xml:space="preserve">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</si>
  <si>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Поля состояния: HP| ОЭ| XP| состояние| навыки
Идентификаторы данных: operationId| UUID
Броски, ресурсы и выражения: R6| XP| ОЭ| HP
Числа и сроки: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Выборы и условия: 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</si>
  <si>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Сначала мастер формирует черновик, выбирает цель, удаления, кандидатов, деревья развития и указывает обязательную причину. Приложение показывает все предсказуемые последствия.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Состав меняется одной транзакцией только после заполнения данных.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Исправление — только новой компенсирующей операцией.</t>
  </si>
  <si>
    <t xml:space="preserve">Сначала мастер формирует черновик, выбирает цель, удаления, кандидатов, деревья развития и указывает обязательную причину.
Приложение показывает все предсказуемые последствия.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Состав меняется одной транзакцией только после заполнения данных.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Исправление — только новой компенсирующей операцией.</t>
  </si>
  <si>
    <t xml:space="preserve">После финального подтверждения выполняются случайные броски; с показа первого результата отмена и выбор нового результата запрещены.
Состав меняется одной транзакцией только после заполнения данных.
Исправление — только новой компенсирующей операцией.</t>
  </si>
  <si>
    <t xml:space="preserve">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Поля состояния: HP| ОЭ| XP| состояние| навыки
Броски, ресурсы и выражения: R6| XP| ОЭ| HP
Числа и сроки: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Выборы и условия: 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</si>
  <si>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При событии: операция становится необратимой и какие данные сохраняются, особенно если она содержит R6 Вольного или броски и заполнение карточки Советника
Броски, ресурсы и выражения: R6| XP| ОЭ| HP</t>
  </si>
  <si>
    <t xml:space="preserve">После финального подтверждения выполняются случайные броски; с показа первого результата отмена и выбор нового результата запрещены.
Выборы и условия: 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</si>
  <si>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Числа и сроки: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</si>
  <si>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Числа и сроки: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
Выборы и условия: 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</si>
  <si>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Application QA — раунд 2 / Q-GM-SYM-013.
Длительный отдых и график дозоров</t>
  </si>
  <si>
    <t xml:space="preserve">Q-GM-SYM-013</t>
  </si>
  <si>
    <t xml:space="preserve">AQ2-026</t>
  </si>
  <si>
    <t xml:space="preserve">Кто создаёт и подтверждает график дежурств, можно ли изменить его после запуска промотки и что происходит с уже прошедшими интервалами?</t>
  </si>
  <si>
    <t xml:space="preserve">Application QA — раунд 2 / Длительный отдых и график дозоров.</t>
  </si>
  <si>
    <t xml:space="preserve">мастер; игрок; группа</t>
  </si>
  <si>
    <t xml:space="preserve">До подтверждения время не движется
После запуска график фиксируется
При выборе ответственного: создаёт и подтверждает график дежурств, можно ли изменить его после запуска промотки и что происходит с уже прошедшими интервалами</t>
  </si>
  <si>
    <t xml:space="preserve">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t>
  </si>
  <si>
    <t xml:space="preserve">Поля состояния: таймер/срок
Числа и сроки: Мастер выбирает участников, формирует или редактирует график и подтверждает запуск.
Выборы и условия: 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t>
  </si>
  <si>
    <t xml:space="preserve">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 До подтверждения время не движется. После запуска график фиксируется; мастер может изменить только ещё не наступившие смены, предварительно остановив промотку и указав причину. Прошедшие интервалы не пересчитываются.</t>
  </si>
  <si>
    <t xml:space="preserve">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
До подтверждения время не движется.
После запуска график фиксируется; мастер может изменить только ещё не наступившие смены, предварительно остановив промотку и указав причину.
Прошедшие интервалы не пересчитываются.</t>
  </si>
  <si>
    <t xml:space="preserve">После запуска график фиксируется; мастер может изменить только ещё не наступившие смены, предварительно остановив промотку и указав причину.</t>
  </si>
  <si>
    <t xml:space="preserve">Поля состояния: таймер/срок
Числа и сроки: Мастер выбирает участников, формирует или редактирует график и подтверждает запуск.</t>
  </si>
  <si>
    <t xml:space="preserve">Мастер выбирает участников, формирует или редактирует график и подтверждает запуск.
Числа и сроки: Мастер выбирает участников, формирует или редактирует график и подтверждает запуск.
Выборы и условия: 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t>
  </si>
  <si>
    <t xml:space="preserve">Application QA — раунд 2 / Q-REST-001.</t>
  </si>
  <si>
    <t xml:space="preserve">Q-REST-001</t>
  </si>
  <si>
    <t xml:space="preserve">AQ2-027</t>
  </si>
  <si>
    <t xml:space="preserve">Какова точность смен, допустимы ли перекрытия, несколько дозорных и интервалы без дозора?</t>
  </si>
  <si>
    <t xml:space="preserve">мастер; персонаж; Единый; группа</t>
  </si>
  <si>
    <t xml:space="preserve">При вычислении или разрешении: точность смен, допустимы ли перекрытия, несколько дозорных и интервалы без дозора</t>
  </si>
  <si>
    <t xml:space="preserve">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t>
  </si>
  <si>
    <t xml:space="preserve">Поля состояния: таймер/срок
Числа и сроки: График покрывает весь заявленный интервал отдыха [начало; конец) с точностью до целой игровой минуты.
Выборы и условия: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t>
  </si>
  <si>
    <t xml:space="preserve">График покрывает весь заявленный интервал отдыха [начало; конец) с точностью до целой игровой минуты. Каждая смена имеет положительную длительность и целиком лежит внутри интервала.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 Одновременно можно назначить любое число дозорных. Перекрытия разрешены; пересекающиеся смены одного персонажа считаются единым интервалом дозора и не создают дополнительных эффектов.</t>
  </si>
  <si>
    <t xml:space="preserve">График покрывает весь заявленный интервал отдыха [начало; конец) с точностью до целой игровой минуты.
Каждая смена имеет положительную длительность и целиком лежит внутри интервала.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
Одновременно можно назначить любое число дозорных.
Перекрытия разрешены; пересекающиеся смены одного персонажа считаются единым интервалом дозора и не создают дополнительных эффектов.</t>
  </si>
  <si>
    <t xml:space="preserve">Числа и сроки: График покрывает весь заявленный интервал отдыха [начало; конец) с точностью до целой игровой минуты.
График покрывает весь заявленный интервал отдыха [начало; конец) с точностью до целой игровой минуты.</t>
  </si>
  <si>
    <t xml:space="preserve">При вычислении или разрешении: точность смен, допустимы ли перекрытия, несколько дозорных и интервалы без дозора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
Выборы и условия: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
Одновременно можно назначить любое число дозорных.</t>
  </si>
  <si>
    <t xml:space="preserve">Перекрытия разрешены; пересекающиеся смены одного персонажа считаются единым интервалом дозора и не создают дополнительных эффектов.</t>
  </si>
  <si>
    <t xml:space="preserve">Поля состояния: таймер/срок
Числа и сроки: График покрывает весь заявленный интервал отдыха [начало; конец) с точностью до целой игровой минуты.
График покрывает весь заявленный интервал отдыха [начало; конец) с точностью до целой игровой минуты.</t>
  </si>
  <si>
    <t xml:space="preserve">Мастер выбирает режим отдыха группы: с дозором или без.
Выборы и условия: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t>
  </si>
  <si>
    <t xml:space="preserve">Application QA — раунд 2 / Q-REST-002.</t>
  </si>
  <si>
    <t xml:space="preserve">Q-REST-002</t>
  </si>
  <si>
    <t xml:space="preserve">AQ2-028</t>
  </si>
  <si>
    <t xml:space="preserve">Кого можно назначить дозорным и получает ли он отдых вне своей смены?</t>
  </si>
  <si>
    <t xml:space="preserve">мастер; персонаж; НПС; группа</t>
  </si>
  <si>
    <t xml:space="preserve">При разрешении сценария: Кого можно назначить дозорным и получает ли он отдых вне своей смены</t>
  </si>
  <si>
    <t xml:space="preserve">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t>
  </si>
  <si>
    <t xml:space="preserve">Поля состояния: инициатива| таймер/срок
Числа и сроки: Во время собственной смены дозорный не накапливает отдых, но мировое время, таймеры и периодические эффекты идут обычно.
Выборы и условия: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t>
  </si>
  <si>
    <t xml:space="preserve">Дозорным можно назначить только живого, неархивного и дееспособного персонажа той группы, которая заявила отдых.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 Вне смены он отдыхает на общих основаниях. Само дежурство не даёт модификаторов, преимуществ, бонуса инициативы или особого правила внезапности.</t>
  </si>
  <si>
    <t xml:space="preserve">Дозорным можно назначить только живого, неархивного и дееспособного персонажа той группы, которая заявила отдых.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
Вне смены он отдыхает на общих основаниях.
Само дежурство не даёт модификаторов, преимуществ, бонуса инициативы или особого правила внезапности.</t>
  </si>
  <si>
    <t xml:space="preserve">Дозорным можно назначить только живого, неархивного и дееспособного персонажа той группы, которая заявила отдых.
Персонажи других групп и временные сущности боя недоступны; постоянного НПС можно назначить только если мастер явно включил его в операцию отдыха.</t>
  </si>
  <si>
    <t xml:space="preserve">При разрешении сценария: Кого можно назначить дозорным и получает ли он отдых вне своей смены
Во время собственной смены дозорный не накапливает отдых, но мировое время, таймеры и периодические эффекты идут обычно.
Числа и сроки: Во время собственной смены дозорный не накапливает отдых, но мировое время, таймеры и периодические эффекты идут обычно.
Выборы и условия: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
Дозорным можно назначить только живого, неархивного и дееспособного персонажа той группы, которая заявила отдых.</t>
  </si>
  <si>
    <t xml:space="preserve">Поля состояния: инициатива| таймер/срок
Числа и сроки: Во время собственной смены дозорный не накапливает отдых, но мировое время, таймеры и периодические эффекты идут обычно.</t>
  </si>
  <si>
    <t xml:space="preserve">Application QA — раунд 2 / Q-REST-003.</t>
  </si>
  <si>
    <t xml:space="preserve">Q-REST-003</t>
  </si>
  <si>
    <t xml:space="preserve">AQ2-029</t>
  </si>
  <si>
    <t xml:space="preserve">Складываются ли отрезки сна до и после дежурства и что происходит на точной границе четырёх часов?</t>
  </si>
  <si>
    <t xml:space="preserve">персонаж; группа</t>
  </si>
  <si>
    <t xml:space="preserve">После окончания смены новый интервал начинается с нуля
При завершении групповой операции незаконченный прогресс удаляется
При разрешении сценария: Складываются ли отрезки сна до и после дежурства и что происходит на точной границе четырёх часов</t>
  </si>
  <si>
    <t xml:space="preserve">Для каждого персонажа ведётся отдельный непрерывный интервал сна.</t>
  </si>
  <si>
    <t xml:space="preserve">Выборы и условия: Для каждого персонажа ведётся отдельный непрерывный интервал сна.</t>
  </si>
  <si>
    <t xml:space="preserve">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t>
  </si>
  <si>
    <t xml:space="preserve">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t>
  </si>
  <si>
    <t xml:space="preserve">При разрешении сценария: Складываются ли отрезки сна до и после дежурства и что происходит на точной границе четырёх часов</t>
  </si>
  <si>
    <t xml:space="preserve">Начало его смены немедленно обнуляет незавершённый прогресс; интервалы до и после дозора складываются.</t>
  </si>
  <si>
    <t xml:space="preserve">Application QA — раунд 2 / Q-REST-004.</t>
  </si>
  <si>
    <t xml:space="preserve">Q-REST-004</t>
  </si>
  <si>
    <t xml:space="preserve">AQ2-030</t>
  </si>
  <si>
    <t xml:space="preserve">Какие события прерывают сон, когда именно бой разрывает отдых и можно ли продолжить прежний график после боя?</t>
  </si>
  <si>
    <t xml:space="preserve">мастер; персонаж; группа</t>
  </si>
  <si>
    <t xml:space="preserve">После боя мастер выбирает отмену либо продолжение оставшегося интервала
При разрешении сценария: Какие события прерывают сон, когда именно бой разрывает отдых и можно ли продолжить прежний график после боя</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</si>
  <si>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t>
  </si>
  <si>
    <t xml:space="preserve">Поля состояния: боевые действия
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Выборы и условия: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</si>
  <si>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</si>
  <si>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</si>
  <si>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Поля состояния: боевые действия
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Выборы и условия: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</si>
  <si>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Выборы и условия: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
Подтверждение мастером запуска боя прерывает сон всех персонажей выбранной группы; все они могут действовать по обычным правилам независимо от дозора.</t>
  </si>
  <si>
    <t xml:space="preserve">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Другие группы просто не накапливают время, пока мировые часы заморожены боем.</t>
  </si>
  <si>
    <t xml:space="preserve">После боя мастер выбирает отмену либо продолжение оставшегося интервала
После боя мастер выбирает отмену либо продолжение оставшегося интервала; при продолжении непрерывный сон участников боя начинается заново.
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Выборы и условия: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t>
  </si>
  <si>
    <t xml:space="preserve">Application QA — раунд 2 / Q-REST-005.</t>
  </si>
  <si>
    <t xml:space="preserve">Q-REST-005</t>
  </si>
  <si>
    <t xml:space="preserve">AQ2-031</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</si>
  <si>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t>
  </si>
  <si>
    <t xml:space="preserve">персонаж; симбионт; группа; Попутчиками</t>
  </si>
  <si>
    <t xml:space="preserve">После более приоритетных тиков
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t>
  </si>
  <si>
    <t xml:space="preserve">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</si>
  <si>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Поля состояния: HP| ОЭ| Z
Броски, ресурсы и выражения: HP| ОЭ| 24 часов| Z
Числа и сроки: 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
Выборы и условия: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</si>
  <si>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</si>
  <si>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</si>
  <si>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Частные исключения, включая ОЭ 0 у выращенных «Попутчиками», сильнее общего порядка.</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</si>
  <si>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</si>
  <si>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
2) если прошло не менее 24 часов после предыдущего восстановления, восстанавливает Z HP и заполняет ОЭ активных после шага 1 симбионтов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</si>
  <si>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t>
  </si>
  <si>
    <t xml:space="preserve">Application QA — раунд 2 / Q-REST-006.</t>
  </si>
  <si>
    <t xml:space="preserve">Q-REST-006</t>
  </si>
  <si>
    <t xml:space="preserve">AQ2-032</t>
  </si>
  <si>
    <t xml:space="preserve">Кому, когда и в каком объёме мастер может выдать последствия длительного отдыха без четырёх часов непрерывного сна, и обходится ли 24-часовой лимит?</t>
  </si>
  <si>
    <t xml:space="preserve">мастер; игрок; персонаж; НПС; Полноценный отдых — решение мастера</t>
  </si>
  <si>
    <t xml:space="preserve">Если персонаж участвует в текущей заявке
При разрешении сценария: Кому, когда и в каком объёме мастер может выдать последствия длительного отдыха без четырёх часов непрерывного сна, и обходится ли 24-часовой лимит</t>
  </si>
  <si>
    <t xml:space="preserve">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</si>
  <si>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Поля состояния: HP| ОЭ
Броски, ресурсы и выражения: HP| ОЭ| 24 часа
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</si>
  <si>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</si>
  <si>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</si>
  <si>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Оно не проматывает время и отменяет только требование четырёх часов; остальные предусловия специальных правил сохраняются.</t>
  </si>
  <si>
    <t xml:space="preserve">При разрешении сценария: Кому, когда и в каком объёме мастер может выдать последствия длительного отдыха без четырёх часов непрерывного сна, и обходится ли 24-часовой лимит
Ограничение восстановления HP/ОЭ раз в 24 часа не обходится.
Броски, ресурсы и выражения: HP| ОЭ| 24 часа
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</si>
  <si>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Ограничение восстановления HP/ОЭ раз в 24 часа не обходится.
Поля состояния: HP| ОЭ
Броски, ресурсы и выражения: HP| ОЭ| 24 часа
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</si>
  <si>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</si>
  <si>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При разрешении сценария: Кому, когда и в каком объёме мастер может выдать последствия длительного отдыха без четырёх часов непрерывного сна, и обходится ли 24-часовой лимит
Ограничение восстановления HP/ОЭ раз в 24 часа не обходится.
Броски, ресурсы и выражения: HP| ОЭ| 24 часа
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
Оно не проматывает время и отменяет только требование четырёх часов; остальные предусловия специальных правил сохраняются.</t>
  </si>
  <si>
    <t xml:space="preserve">Application QA — раунд 2 / Q-REST-007.</t>
  </si>
  <si>
    <t xml:space="preserve">Q-REST-007</t>
  </si>
  <si>
    <t xml:space="preserve">AQ2-033</t>
  </si>
  <si>
    <t xml:space="preserve">Что журналируется при ручном назначении последствий отдыха и можно ли отменить такое решение?</t>
  </si>
  <si>
    <t xml:space="preserve">мастер; персонаж</t>
  </si>
  <si>
    <t xml:space="preserve">До подтверждения приложение показывает полный предварительный результат
При определении: журналируется при ручном назначении последствий отдыха и можно ли отменить такое решение</t>
  </si>
  <si>
    <t xml:space="preserve">До подтверждения приложение показывает полный предварительный результат.</t>
  </si>
  <si>
    <t xml:space="preserve">Поля состояния: состояние
Идентификаторы данных: UUID
Числа и сроки: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Выборы и условия: До подтверждения приложение показывает полный предварительный результат.</t>
  </si>
  <si>
    <t xml:space="preserve">До подтверждения приложение показывает полный предварительный результат.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Ретроактивная дата и обычный откат запрещены; исправление выполняется отдельным компенсирующим аудированным событием.</t>
  </si>
  <si>
    <t xml:space="preserve">До подтверждения приложение показывает полный предварительный результат.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Ретроактивная дата и обычный откат запрещены; исправление выполняется отдельным компенсирующим аудированным событием.</t>
  </si>
  <si>
    <t xml:space="preserve">Ретроактивная дата и обычный откат запрещены; исправление выполняется отдельным компенсирующим аудированным событием.</t>
  </si>
  <si>
    <t xml:space="preserve">Числа и сроки: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t>
  </si>
  <si>
    <t xml:space="preserve">При определении: журналируется при ручном назначении последствий отдыха и можно ли отменить такое решение</t>
  </si>
  <si>
    <t xml:space="preserve">При определении: журналируется при ручном назначении последствий отдыха и можно ли отменить такое решение
Числа и сроки: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t>
  </si>
  <si>
    <t xml:space="preserve">Application QA — раунд 2 / Q-REST-008.</t>
  </si>
  <si>
    <t xml:space="preserve">Q-REST-008</t>
  </si>
  <si>
    <t xml:space="preserve">AQ3-001</t>
  </si>
  <si>
    <t xml:space="preserve">5.5. Последние решения: мирные способности и дозоры</t>
  </si>
  <si>
    <t xml:space="preserve">Как работает указанное в whitelist добровольное раскладывание клинков Богомола: можно разложить один или только оба клинка, сколько времени или действий это занимает и доступна ли отдельная команда в бою?</t>
  </si>
  <si>
    <t xml:space="preserve">Application QA — раунд 3 / Мирные команды способностей.</t>
  </si>
  <si>
    <t xml:space="preserve">носитель; Богомол; обычный; взведённый</t>
  </si>
  <si>
    <t xml:space="preserve">При выполнении или разрешении: работает указанное в whitelist добровольное раскладывание клинков Богомола: можно разложить один или только оба клинка, сколько времени или действий это занимает и доступна ли отдельная команда в бою</t>
  </si>
  <si>
    <t xml:space="preserve">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t>
  </si>
  <si>
    <t xml:space="preserve">Поля состояния: боевые действия| состояние| раса
Числа и сроки: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
Выборы и условия: 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t>
  </si>
  <si>
    <t xml:space="preserve">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 Двойная атака взведёнными клинками переводит в обычное состояние оба использованных клинка независимо от попадания.</t>
  </si>
  <si>
    <t xml:space="preserve">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
Двойная атака взведёнными клинками переводит в обычное состояние оба использованных клинка независимо от попадания.</t>
  </si>
  <si>
    <t xml:space="preserve">Команда только снимает подготовленный бонус.</t>
  </si>
  <si>
    <t xml:space="preserve">При выполнении или разрешении: работает указанное в whitelist добровольное раскладывание клинков Богомола: можно разложить один или только оба клинка, сколько времени или действий это занимает и доступна ли отдельная команда в бою
Поля состояния: боевые действия| состояние| раса
Числа и сроки: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
Складывание по-прежнему затрагивает оба клинка и занимает 20 секунд вне боя либо два последовательных боевых действия в бою.</t>
  </si>
  <si>
    <t xml:space="preserve">Числа и сроки: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
Складывание по-прежнему затрагивает оба клинка и занимает 20 секунд вне боя либо два последовательных боевых действия в бою.</t>
  </si>
  <si>
    <t xml:space="preserve">Application QA — раунд 3 / Q-APP-003.</t>
  </si>
  <si>
    <t xml:space="preserve">Q-APP-003</t>
  </si>
  <si>
    <t xml:space="preserve">SYM-064
SYM-111
SYM-168</t>
  </si>
  <si>
    <t xml:space="preserve">AQ3-002</t>
  </si>
  <si>
    <t xml:space="preserve">Как исполняется натуральная 1 «Анаболического форсажа», если SYM-032 применён вне боя, где нет личных ходов и заранее сформированного списка участников?</t>
  </si>
  <si>
    <t xml:space="preserve">Анаболического форсажа</t>
  </si>
  <si>
    <t xml:space="preserve">При активации SYM-032 вне боя 100 ОЭ списываются до броска
Если первый R20 даёт натуральную 1
При A≥2 способность исполняется штатно
При выполнении или разрешении: исполняется натуральная 1 «Анаболического форсажа», если SYM-032 применён вне боя, где нет личных ходов и заранее сформированного списка участников</t>
  </si>
  <si>
    <t xml:space="preserve">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t>
  </si>
  <si>
    <t xml:space="preserve">Поля состояния: ОЭ| S| D
Броски, ресурсы и выражения: 100 ОЭ| R20| S| D| ОЭ
Ссылки на правила: SYM-032
Числа и сроки: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При A≥2 способность исполняется штатно.| В бою ветвь натуральной 1 остаётся прежней.
Выборы и условия: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t>
  </si>
  <si>
    <t xml:space="preserve">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 При A≥2 способность исполняется штатно. В бою ветвь натуральной 1 остаётся прежней.</t>
  </si>
  <si>
    <t xml:space="preserve">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
При A≥2 способность исполняется штатно.
В бою ветвь натуральной 1 остаётся прежней.</t>
  </si>
  <si>
    <t xml:space="preserve">При активации SYM-032 вне боя 100 ОЭ списываются до броска
При активации SYM-032 вне боя 100 ОЭ списываются до броска.
Повторного броска и возврата ОЭ нет.
Поля состояния: ОЭ| S| D
Броски, ресурсы и выражения: 100 ОЭ| R20| S| D| ОЭ</t>
  </si>
  <si>
    <t xml:space="preserve">Если первый R20 даёт натуральную 1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Броски, ресурсы и выражения: 100 ОЭ| R20| S| D| ОЭ
Числа и сроки: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При A≥2 способность исполняется штатно.| В бою ветвь натуральной 1 остаётся прежней.
Выборы и условия: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t>
  </si>
  <si>
    <t xml:space="preserve">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Числа и сроки: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При A≥2 способность исполняется штатно.| В бою ветвь натуральной 1 остаётся прежней.
Выборы и условия: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t>
  </si>
  <si>
    <t xml:space="preserve">При выполнении или разрешении: исполняется натуральная 1 «Анаболического форсажа», если SYM-032 применён вне боя, где нет личных ходов и заранее сформированного списка участников
Числа и сроки: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При A≥2 способность исполняется штатно.| В бою ветвь натуральной 1 остаётся прежней.</t>
  </si>
  <si>
    <t xml:space="preserve">Application QA — раунд 3 / Q-APP-004.
Длительный отдых и дозоры</t>
  </si>
  <si>
    <t xml:space="preserve">Q-APP-004</t>
  </si>
  <si>
    <t xml:space="preserve">CORE-063
SYM-032
SYM-080</t>
  </si>
  <si>
    <t xml:space="preserve">AQ3-003</t>
  </si>
  <si>
    <t xml:space="preserve">Что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t>
  </si>
  <si>
    <t xml:space="preserve">Application QA — раунд 3 / Длительный отдых и дозоры.</t>
  </si>
  <si>
    <t xml:space="preserve">персонаж; группа; отрезки сна до и после дозора складываются</t>
  </si>
  <si>
    <t xml:space="preserve">После смены новый отрезок начинается с нуля и прибавляется к тому же накопленному итогу
Если 240-я минута завершается точно в момент начала смены
При завершении групповой операции незавершённый накопленный прогресс удаляется
При определении: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t>
  </si>
  <si>
    <t xml:space="preserve">Если 240-я минута завершается точно в момент начала смены, сначала полностью разрешается событие полноценного отдыха, затем персонаж переходит в дозор.</t>
  </si>
  <si>
    <t xml:space="preserve">Идентификаторы данных: accumulatedRestMinutes
Ссылки на правила: Q-REST-005
Числа и сроки: Начало плановой смены дозора завершает текущий отрезок, но уже накопленные минуты не удаляет; во время смены новые минуты отдыха не начисляются.|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Выборы и условия: Если 240-я минута завершается точно в момент начала смены, сначала полностью разрешается событие полноценного отдыха, затем персонаж переходит в дозор.</t>
  </si>
  <si>
    <t xml:space="preserve">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</si>
  <si>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</si>
  <si>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t>
  </si>
  <si>
    <t xml:space="preserve">Если 240-я минута завершается точно в момент начала смены
При определении: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
Если 240-я минута завершается точно в момент начала смены, сначала полностью разрешается событие полноценного отдыха, затем персонаж переходит в дозор.
Числа и сроки: Начало плановой смены дозора завершает текущий отрезок, но уже накопленные минуты не удаляет; во время смены новые минуты отдыха не начисляются.|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Выборы и условия: Если 240-я минута завершается точно в момент начала смены, сначала полностью разрешается событие полноценного отдыха, затем персонаж переходит в дозор.</t>
  </si>
  <si>
    <t xml:space="preserve">При определении: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
Если 240-я минута завершается точно в момент начала смены, сначала полностью разрешается событие полноценного отдыха, затем персонаж переходит в дозор.
Числа и сроки: Начало плановой смены дозора завершает текущий отрезок, но уже накопленные минуты не удаляет; во время смены новые минуты отдыха не начисляются.|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Выборы и условия: Если 240-я минута завершается точно в момент начала смены, сначала полностью разрешается событие полноценного отдыха, затем персонаж переходит в дозор.
Начало плановой смены дозора завершает текущий отрезок, но уже накопленные минуты не удаляет; во время смены новые минуты отдыха не начисляются.</t>
  </si>
  <si>
    <t xml:space="preserve">При определении: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t>
  </si>
  <si>
    <t xml:space="preserve">Если 240-я минута завершается точно в момент начала смены
При определении: именно означает формулировка «отрезки сна до и после дозора складываются»: обнуляется только текущий отрезок или весь накопленный прогресс, является ли плановый дозор исключением из требования непрерывности и что происходит на точной границе четырёх часов
Если 240-я минута завершается точно в момент начала смены, сначала полностью разрешается событие полноценного отдыха, затем персонаж переходит в дозор.
Числа и сроки: Начало плановой смены дозора завершает текущий отрезок, но уже накопленные минуты не удаляет; во время смены новые минуты отдыха не начисляются.|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Выборы и условия: Если 240-я минута завершается точно в момент начала смены, сначала полностью разрешается событие полноценного отдыха, затем персонаж переходит в дозор.
Начало плановой смены дозора завершает текущий отрезок, но уже накопленные минуты не удаляет; во время смены новые минуты отдыха не начисляются.</t>
  </si>
  <si>
    <t xml:space="preserve">Application QA — раунд 3 / Q-REST-009.</t>
  </si>
  <si>
    <t xml:space="preserve">Q-REST-009</t>
  </si>
  <si>
    <t xml:space="preserve">CORE-002</t>
  </si>
  <si>
    <t xml:space="preserve">Приложение А. Решения по прежним кандидатам</t>
  </si>
  <si>
    <t xml:space="preserve">Персонаж, предметы и базовая механика — Раса и класс</t>
  </si>
  <si>
    <t xml:space="preserve">Усталость от последовательных ходов</t>
  </si>
  <si>
    <t xml:space="preserve">бой / выносливость.</t>
  </si>
  <si>
    <t xml:space="preserve">любой боевой участник</t>
  </si>
  <si>
    <t xml:space="preserve">начало личного хода после исчерпания безопасных ходов.</t>
  </si>
  <si>
    <t xml:space="preserve">персонаж не сбрасывал усталость полным пропуском хода.</t>
  </si>
  <si>
    <t xml:space="preserve">текущее M, число последовательных личных ходов после последнего сброса.</t>
  </si>
  <si>
    <t xml:space="preserve">Нормативная база (действует во всей непротиворечащей части):
safeTurns=max(1, round_math(M/5)); первые safeTurns личных ходов не штрафуются; в начале следующего личного хода fatiguePenalty=1, затем увеличивается на 1 в каждом последующем личном ходу; combatActions=max(0, baseSeries+bonuses−fatiguePenalty).
Приоритетные авторские дельты (заменяют только прямо пересекающиеся ветви):
[Q-CORE-001] Это ошибка в правилах. В приложении будет допущение: мы в принципе никак не учитываем усталость, игнорируем формулу.</t>
  </si>
  <si>
    <t xml:space="preserve">хранить consecutiveTurnCount, fatiguePenalty; серия не ниже 0.</t>
  </si>
  <si>
    <t xml:space="preserve">сцена нападения не считается обычным ходом для усталости; область действия правила требует подтверждения Q-CORE-001.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</si>
  <si>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сцена нападения не считается обычным ходом для усталости; область действия правила требует подтверждения Q-CORE-001.</t>
  </si>
  <si>
    <t xml:space="preserve">safeTurns=max(1, round_math(M/5)); первые safeTurns личных ходов не штрафуются; в начале следующего личного хода fatiguePenalty=1, затем увеличивается на 1 в каждом последующем личном ходу; combatActions=max(0, baseSeries+bonuses−fatiguePenalty).
В приложении будет допущение: мы в принципе никак не учитываем усталость, игнорируем формулу.</t>
  </si>
  <si>
    <t xml:space="preserve">начало личного хода после исчерпания безопасных ходов.
персонаж не сбрасывал усталость полным пропуском хода.
текущее M, число последовательных личных ходов после последнего сброса.
Нормативная база (действует во всей непротиворечащей части):
safeTurns=max(1, round_math(M/5)); первые safeTurns личных ходов не штрафуются; в начале следующего личного хода fatiguePenalty=1, затем увеличивается на 1 в каждом последующем личном ходу; combatActions=max(0, baseSeries+bonuses−fatiguePenalty).
сцена нападения не считается обычным ходом для усталости; область действия правила требует подтверждения Q-CORE-001.</t>
  </si>
  <si>
    <t xml:space="preserve">§3.2.6.1, стр. 48; §5.1, стр. 85.</t>
  </si>
  <si>
    <t xml:space="preserve">Q-CORE-001</t>
  </si>
  <si>
    <t xml:space="preserve">CORE-003</t>
  </si>
  <si>
    <t xml:space="preserve">Полный сброс усталости</t>
  </si>
  <si>
    <t xml:space="preserve">субъект, на которого распространяется механика усталости</t>
  </si>
  <si>
    <t xml:space="preserve">счётчик усталости.</t>
  </si>
  <si>
    <t xml:space="preserve">добровольное решение пропустить весь личный ход.</t>
  </si>
  <si>
    <t xml:space="preserve">в этом ходу не совершены боевые, небоевые и защитные действия.</t>
  </si>
  <si>
    <t xml:space="preserve">факт полного пропуска.</t>
  </si>
  <si>
    <t xml:space="preserve">Нормативная база (действует во всей непротиворечащей части):
завершить ход без действий и реакций; установить consecutiveTurnCount=0, fatiguePenalty=0; новый отсчёт начинается со следующего личного хода.
Приоритетные авторские дельты (заменяют только прямо пересекающиеся ветви):
[Q-CORE-001] Это ошибка в правилах. В приложении будет допущение: мы в принципе никак не учитываем усталость, игнорируем формулу.</t>
  </si>
  <si>
    <t xml:space="preserve">усталость полностью снята.</t>
  </si>
  <si>
    <t xml:space="preserve">частичный пропуск или ход с любой защитой сброса не даёт; область субъектов должна совпадать с ответом по CORE-002.
Поздние дельты применяются по приоритету AQ3 &gt; AQ2 &gt; AQA/CQA &gt; базовая карточка; локальное исключение сильнее общего.</t>
  </si>
  <si>
    <t xml:space="preserve">в этом ходу не совершены боевые, небоевые и защитные действия.
Нормативная база (действует во всей непротиворечащей части):
завершить ход без действий и реакций; установить consecutiveTurnCount=0, fatiguePenalty=0; новый отсчёт начинается со следующего личного хода.
частичный пропуск или ход с любой защитой сброса не даёт; область субъектов должна совпадать с ответом по CORE-002.</t>
  </si>
  <si>
    <t xml:space="preserve">завершить ход без действий и реакций; установить consecutiveTurnCount=0, fatiguePenalty=0; новый отсчёт начинается со следующего личного хода.
В приложении будет допущение: мы в принципе никак не учитываем усталость, игнорируем формулу.</t>
  </si>
  <si>
    <t xml:space="preserve">добровольное решение пропустить весь личный ход.
в этом ходу не совершены боевые, небоевые и защитные действия.
Нормативная база (действует во всей непротиворечащей части):
завершить ход без действий и реакций; установить consecutiveTurnCount=0, fatiguePenalty=0; новый отсчёт начинается со следующего личного хода.
частичный пропуск или ход с любой защитой сброса не даёт; область субъектов должна совпадать с ответом по CORE-002.</t>
  </si>
  <si>
    <t xml:space="preserve">CORE-008</t>
  </si>
  <si>
    <t xml:space="preserve">Выбор класса Чистого</t>
  </si>
  <si>
    <t xml:space="preserve">класс / создание.</t>
  </si>
  <si>
    <t xml:space="preserve">класс.</t>
  </si>
  <si>
    <t xml:space="preserve">создание персонажа Чистого.</t>
  </si>
  <si>
    <t xml:space="preserve">раса = Чистый.</t>
  </si>
  <si>
    <t xml:space="preserve">class ∈ {Искатель, Сталкер, Солдат}.</t>
  </si>
  <si>
    <t xml:space="preserve">Нормативная база (действует во всей непротиворечащей части):
выбрать ровно один класс; применить соответствующие CORE-009/010/013 и обязательный классовый навык, занимающий 1 слот.
Приоритетные авторские дельты (заменяют только прямо пересекающиеся ветви):
[Q-CORE-002] 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t>
  </si>
  <si>
    <t xml:space="preserve">класс, поправки, обязательный навык.</t>
  </si>
  <si>
    <t xml:space="preserve">порядок резервирования обязательного слота требует Q-CORE-002.
Поздние дельты применяются по приоритету AQ3 &gt; AQ2 &gt; AQA/CQA &gt; базовая карточка; локальное исключение сильнее общего.</t>
  </si>
  <si>
    <t xml:space="preserve">§3.4.6, стр. 62–64.</t>
  </si>
  <si>
    <t xml:space="preserve">Q-CORE-002</t>
  </si>
  <si>
    <t xml:space="preserve">CORE-011</t>
  </si>
  <si>
    <t xml:space="preserve">Сталкер: оценить тварь</t>
  </si>
  <si>
    <t xml:space="preserve">класс / активная способность.</t>
  </si>
  <si>
    <t xml:space="preserve">Чистый Сталкер</t>
  </si>
  <si>
    <t xml:space="preserve">вид твари ничейных земель.</t>
  </si>
  <si>
    <t xml:space="preserve">заявление оценки.</t>
  </si>
  <si>
    <t xml:space="preserve">одна попытка на вид твари не израсходована.</t>
  </si>
  <si>
    <t xml:space="preserve">чистый R20.</t>
  </si>
  <si>
    <t xml:space="preserve">Нормативная база (действует во всей непротиворечащей части):
7+ раскрывает все характеристики цели; 12+ дополнительно все способности; 17+ дополнительно слабые места, попадание по которым наносит двойной урон.
Приоритетные авторские дельты (заменяют только прямо пересекающиеся ветви):
[Q-CORE-003] Игровая условность: не учитываем это правило при проектировании приложения.</t>
  </si>
  <si>
    <t xml:space="preserve">сохранить раскрытые сведения и флаг использованной попытки для данного вида.</t>
  </si>
  <si>
    <t xml:space="preserve">стоимость, допустимый момент применения и срок знания не заданы.
Поздние дельты применяются по приоритету AQ3 &gt; AQ2 &gt; AQA/CQA &gt; базовая карточка; локальное исключение сильнее общего.</t>
  </si>
  <si>
    <t xml:space="preserve">стоимость, допустимый момент применения и срок знания не заданы.</t>
  </si>
  <si>
    <t xml:space="preserve">Нормативная база (действует во всей непротиворечащей части):
стоимость, допустимый момент применения и срок знания не заданы.</t>
  </si>
  <si>
    <t xml:space="preserve">§3.4.7.2.2, стр. 65.</t>
  </si>
  <si>
    <t xml:space="preserve">Q-CORE-003</t>
  </si>
  <si>
    <t xml:space="preserve">CORE-012</t>
  </si>
  <si>
    <t xml:space="preserve">Сталкер: оценить ландшафт</t>
  </si>
  <si>
    <t xml:space="preserve">локация ничейных земель.</t>
  </si>
  <si>
    <t xml:space="preserve">одна попытка на локацию не израсходована.</t>
  </si>
  <si>
    <t xml:space="preserve">R20 (тип проверки/модификаторы не названы).</t>
  </si>
  <si>
    <t xml:space="preserve">Нормативная база (действует во всей непротиворечащей части):
итог 10+ раскрывает ключевые опасности; отметить попытку использованной.
Приоритетные авторские дельты (заменяют только прямо пересекающиеся ветви):
[Q-CORE-003] Игровая условность: не учитываем это правило при проектировании приложения.</t>
  </si>
  <si>
    <t xml:space="preserve">раскрытая мастером информация.</t>
  </si>
  <si>
    <t xml:space="preserve">стоимость и модификаторы не заданы.
Поздние дельты применяются по приоритету AQ3 &gt; AQ2 &gt; AQA/CQA &gt; базовая карточка; локальное исключение сильнее общего.</t>
  </si>
  <si>
    <t xml:space="preserve">стоимость и модификаторы не заданы.</t>
  </si>
  <si>
    <t xml:space="preserve">CORE-014</t>
  </si>
  <si>
    <t xml:space="preserve">Персонаж, предметы и базовая механика — Общие правила предметов и крафта</t>
  </si>
  <si>
    <t xml:space="preserve">Расчёт предмета при создании</t>
  </si>
  <si>
    <t xml:space="preserve">создаваемый предмет.</t>
  </si>
  <si>
    <t xml:space="preserve">начало изготовления предмета с формулами.</t>
  </si>
  <si>
    <t xml:space="preserve">мастер подтвердил материалы и инструменты.</t>
  </si>
  <si>
    <t xml:space="preserve">W, S и бонус «Крафта» изготовителя; независимые дайсы формул.</t>
  </si>
  <si>
    <t xml:space="preserve">Нормативная база (действует во всей непротиворечащей части):
рассчитать параметры строго в пронумерованной очередности; каждый символ дайса бросить отдельно; L=итоговый бонус Крафта; требования округлить вверх; для Rs/Rd без собственного минимума применить min=1.
Приоритетные авторские дельты (заменяют только прямо пересекающиеся ветви):
[Q-CORE-059] В Windows-приложении мы не рассматриваем механику крафта, она не автоматизируется с помощью windows приложения
[Прямое уточнение 2026-07-28] Карточка остаётся tombstone для изготовления. Формулы являются только нормативным источником области допустимости по CORE-185: система ищет доказательство достижимости профиля, но не выполняет производственные броски, не рассчитывает материалы/время и не создаёт предмет.</t>
  </si>
  <si>
    <t xml:space="preserve">неизменяемые параметры экземпляра предмета.</t>
  </si>
  <si>
    <t xml:space="preserve">фиксированные заводские предметы используют собственные параметры и условия производства; создание без навыка «Крафт» требует Q-CORE-059.
Поздние дельты применяются по приоритету AQ3 &gt; AQ2 &gt; AQA/CQA &gt; базовая карточка; локальное исключение сильнее общего.
FORMULA_MODE=VALIDATION_ONLY; generationEnabled=false. Это исключение не восстанавливает крафт.</t>
  </si>
  <si>
    <t xml:space="preserve">начало изготовления предмета с формулами.
W, S и бонус «Крафта» изготовителя; независимые дайсы формул.
L=итоговый бонус Крафта; требования округлить вверх; для Rs/Rd без собственного минимума применить min=1.
Производственные дайсы существуют только внутри validationWitness и фактически не бросаются.</t>
  </si>
  <si>
    <t xml:space="preserve">§4.1, стр. 67–68.
Прямое уточнение пользователя 2026-07-28</t>
  </si>
  <si>
    <t xml:space="preserve">CORE-183
CORE-184
CORE-185</t>
  </si>
  <si>
    <t xml:space="preserve">CORE-016</t>
  </si>
  <si>
    <t xml:space="preserve">Штраф за невыполненное требование снаряжения</t>
  </si>
  <si>
    <t xml:space="preserve">предмет / валидация использования.</t>
  </si>
  <si>
    <t xml:space="preserve">действия со снаряжением.</t>
  </si>
  <si>
    <t xml:space="preserve">действие предметом или ношение брони при характеристике ниже требования.</t>
  </si>
  <si>
    <t xml:space="preserve">хотя бы одно требование не выполнено.</t>
  </si>
  <si>
    <t xml:space="preserve">statRequirements активной версии профиля и текущие характеристики пользователя.</t>
  </si>
  <si>
    <t xml:space="preserve">Нормативная база (действует во всей непротиворечащей части):
для брони: суммировать S-требования всех отдельных элементов; цельный костюм учитывать один раз, дополнительные слои прибавлять; при дефиците penalty=2×(requiredS−S) ко всем физическим действиям, перемещению и активным защитам. Способ объединения нескольких дефицитов оружия не определён.
Приоритетные авторские дельты (заменяют только прямо пересекающиеся ветви):
[Q-CORE-004] Суммировать (если например оружие требует 14 силы и 13 ловкости, а у персонажа 12 силы и 12 ловкости, дефицит = 3, штраф = 6)
Для оружия использовать полный MAP требований активной версии профиля. Суммировать положительные дефициты по всем указанным характеристикам S/D/I/W/M/Z/C и применить действующий множитель штрафа; пустая карта означает отсутствие требований.</t>
  </si>
  <si>
    <t xml:space="preserve">контекстный штраф.</t>
  </si>
  <si>
    <t xml:space="preserve">собственные штрафы предмета и классовые исключения применяются дополнительно/вместо согласно конкретному описанию.
Поздние дельты применяются по приоритету AQ3 &gt; AQ2 &gt; AQA/CQA &gt; базовая карточка; локальное исключение сильнее общего.</t>
  </si>
  <si>
    <t xml:space="preserve">действие предметом или ношение брони при характеристике ниже требования.
Нормативная база (действует во всей непротиворечащей части):
для брони: суммировать S-требования всех отдельных элементов; цельный костюм учитывать один раз, дополнительные слои прибавлять; при дефиците penalty=2×(requiredS−S) ко всем физическим действиям, перемещению и активным защитам.</t>
  </si>
  <si>
    <t xml:space="preserve">для брони: суммировать S-требования всех отдельных элементов; цельный костюм учитывать один раз, дополнительные слои прибавлять; при дефиците penalty=2×(requiredS−S) ко всем физическим действиям, перемещению и активным защитам.
[Q-CORE-004] Суммировать (если например оружие требует 14 силы и 13 ловкости, а у персонажа 12 силы и 12 ловкости, дефицит = 3, штраф = 6)</t>
  </si>
  <si>
    <t xml:space="preserve">для брони: суммировать S-требования всех отдельных элементов; цельный костюм учитывать один раз, дополнительные слои прибавлять; при дефиците penalty=2×(requiredS−S) ко всем физическим действиям, перемещению и активным защитам.</t>
  </si>
  <si>
    <t xml:space="preserve">§5.1, стр. 85; §5.4.7, стр. 103.
Прямое уточнение пользователя 2026-07-28</t>
  </si>
  <si>
    <t xml:space="preserve">Q-CORE-004</t>
  </si>
  <si>
    <t xml:space="preserve">CORE-188
CORE-190</t>
  </si>
  <si>
    <t xml:space="preserve">CORE-020</t>
  </si>
  <si>
    <t xml:space="preserve">Модификаторы оружейного навыка</t>
  </si>
  <si>
    <t xml:space="preserve">оружие / проверка.</t>
  </si>
  <si>
    <t xml:space="preserve">точность и урон.</t>
  </si>
  <si>
    <t xml:space="preserve">атака оружием.</t>
  </si>
  <si>
    <t xml:space="preserve">выбран тип оружия.</t>
  </si>
  <si>
    <t xml:space="preserve">итоговый бонус подходящего навыка, S/D, специальные штрафы.
accuracyBonus снимка активной версии профиля оружия.</t>
  </si>
  <si>
    <t xml:space="preserve">Нормативная база (действует во всей непротиворечащей части):
подходящий навык прибавляется к тем проверкам, которые каталог называет модифицируемыми; для большинства ближнего оружия — точность и урон, для стрелкового — точность. При отсутствии применять только явно указанный штраф; если штраф не задан — 0.
Приоритетные авторские дельты (заменяют только прямо пересекающиеся ветви):
[Q-CORE-005] Только к броскам на меткость
Если в активном профиле задан accuracyBonus, он отдельным аддитивным слагаемым прибавляется к проверке меткости; это не заменяет и не отменяет обычные характеристики, навыки, штрафы и специальные модификаторы.</t>
  </si>
  <si>
    <t xml:space="preserve">модификаторы этапов атаки.</t>
  </si>
  <si>
    <t xml:space="preserve">метание накладывает собственные совокупные штрафы CORE-128/CORE-129; смысл «к ролу» у ряда предметов требует Q-CORE-005.
Поздние дельты применяются по приоритету AQ3 &gt; AQ2 &gt; AQA/CQA &gt; базовая карточка; локальное исключение сильнее общего.</t>
  </si>
  <si>
    <t xml:space="preserve">§4.2–4.4, стр. 68–80; §6.2, стр. 106–108.
Прямое уточнение пользователя 2026-07-28</t>
  </si>
  <si>
    <t xml:space="preserve">Q-CORE-005</t>
  </si>
  <si>
    <t xml:space="preserve">CORE-128
CORE-129
CORE-188
CORE-189
CORE-190</t>
  </si>
  <si>
    <t xml:space="preserve">CORE-026</t>
  </si>
  <si>
    <t xml:space="preserve">Персонаж, предметы и базовая механика — Каталог оружия</t>
  </si>
  <si>
    <t xml:space="preserve">Айнцберн</t>
  </si>
  <si>
    <t xml:space="preserve">Айнцберн.</t>
  </si>
  <si>
    <t xml:space="preserve">S≥22,D≥22,I≥12, в колонке требований указана «Стрельба» среднего уровня и выше; классовый навык Сталкера/Солдата для отсутствия −15.</t>
  </si>
  <si>
    <t xml:space="preserve">точность, R20 пробития, отдельный R20 урона; при абсолютной «Стрельбе» дополнительный R6.</t>
  </si>
  <si>
    <t xml:space="preserve">Нормативная база (действует во всей непротиворечащей части):
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в оружейной лаборатории Айнцберна: дальность 100 м; Pr=R20+20; damage=R20+30; перезарядка 2 действия; без классового навыка −15 к точности. При абсолютной «Стрельбе» R6&gt;2 означает попадание туда, куда целился стрелок.
Приоритетные авторские дельты (заменяют только прямо пересекающиеся ветви):
[Q-CORE-055] 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
[Q-CORE-056] Требование к уровню навыка является жёстким условием использования: из Айнцберна нельзя стрелять без навыка «Стрельба» среднего уровня или выше. Штраф вместо невыполненного требования не применяется; особое точное попадание по-прежнему доступно только на абсолютном уровне.</t>
  </si>
  <si>
    <t xml:space="preserve">выстрел и разряженность; при специальном результате — точное попадание.</t>
  </si>
  <si>
    <t xml:space="preserve">точная семантика специального R6 требует Q-CORE-006; оплата двух действий Q-CORE-055; смысл невыполненного требования навыка Q-CORE-056.
Поздние дельты применяются по приоритету AQ3 &gt; AQ2 &gt; AQA/CQA &gt; базовая карточка; локальное исключение сильнее общего.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</si>
  <si>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Нормативная база (действует во всей непротиворечащей части):
Pr=R20+20; damage=R20+30; перезарядка 2 действия; без классового навыка −15 к точности.
[Q-CORE-055] 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
точная семантика специального R6 требует Q-CORE-006; оплата двух действий Q-CORE-055; смысл невыполненного требования навыка Q-CORE-056.</t>
  </si>
  <si>
    <t xml:space="preserve">[Q-CORE-055] Цена действия атомарна: все 2 боевых действия должны быть доступны и списываются в одном личном ходу при объявлении перезарядки.</t>
  </si>
  <si>
    <t xml:space="preserve">точность, R20 пробития, отдельный R20 урона; при абсолютной «Стрельбе» дополнительный R6.
Pr=R20+20; damage=R20+30; перезарядка 2 действия; без классового навыка −15 к точности.
При абсолютной «Стрельбе» R6&gt;2 означает попадание туда, куда целился стрелок.
точная семантика специального R6 требует Q-CORE-006; оплата двух действий Q-CORE-055; смысл невыполненного требования навыка Q-CORE-056.</t>
  </si>
  <si>
    <t xml:space="preserve">Нормативная база (действует во всей непротиворечащей части):
[Q-CORE-055] 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t>
  </si>
  <si>
    <t xml:space="preserve">Q-CORE-006
Q-CORE-055
Q-CORE-056</t>
  </si>
  <si>
    <t xml:space="preserve">CORE-027</t>
  </si>
  <si>
    <t xml:space="preserve">Лёгкий лук</t>
  </si>
  <si>
    <t xml:space="preserve">оружие / лук.</t>
  </si>
  <si>
    <t xml:space="preserve">лёгкий лук.</t>
  </si>
  <si>
    <t xml:space="preserve">навык «Стрельба из лука» для бонуса; без него −5 по таблице навыков.</t>
  </si>
  <si>
    <t xml:space="preserve">L,Lw, независимые дайсы, уровень стрельбы из лука.</t>
  </si>
  <si>
    <t xml:space="preserve">Dm=R6+L; Rn=R12+Dm+L; Rs=max(5,ceil(Dm×Rn/(R20+2.5×Lw))); Rd=max(5,ceil(3×Rn/(Lw+R6))); Pr=R12 на выстрел; перезарядка 1 действие. С высокого уровня перезарядка не расходует действие; с абсолютного R6&gt;2 даёт точное попадание.</t>
  </si>
  <si>
    <t xml:space="preserve">фиксированные характеристики, динамическое пробитие.</t>
  </si>
  <si>
    <t xml:space="preserve">семантика точного попадания Q-CORE-006.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</si>
  <si>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Pr=R12 на выстрел; перезарядка 1 действие.
С высокого уровня перезарядка не расходует действие; с абсолютного R6&gt;2 даёт точное попадание.</t>
  </si>
  <si>
    <t xml:space="preserve">Dm=R6+L
Rn=R12+Dm+L
Rs=max(5,ceil(Dm×Rn/(R20+2.5×Lw)))
Rd=max(5,ceil(3×Rn/(Lw+R6)))
Pr=R12 на выстрел; перезарядка 1 действие.
С высокого уровня перезарядка не расходует действие; с абсолютного R6&gt;2 даёт точное попадание.
FORMULA_MODE=VALIDATION_ONLY; generationEnabled=false. Производственные дайсы не бросаются.</t>
  </si>
  <si>
    <t xml:space="preserve">§4.3, таблица 2, стр. 71.
Прямое уточнение пользователя 2026-07-28</t>
  </si>
  <si>
    <t xml:space="preserve">Q-CORE-006</t>
  </si>
  <si>
    <t xml:space="preserve">CORE-028</t>
  </si>
  <si>
    <t xml:space="preserve">Тяжёлый лук</t>
  </si>
  <si>
    <t xml:space="preserve">тяжёлый лук.</t>
  </si>
  <si>
    <t xml:space="preserve">как CORE-027.</t>
  </si>
  <si>
    <t xml:space="preserve">L,Lw, дайсы, уровень навыка.</t>
  </si>
  <si>
    <t xml:space="preserve">Dm=R12+L; Rn=R12+Dm+L; Rs=max(6,ceil(Dm×Rn/(R20+2×Lw))); Rd=max(7,ceil(4×Rn/(Lw+R6))); Pr=R20; перезарядка 1 действие; высокий/абсолютный уровень действует как CORE-027.</t>
  </si>
  <si>
    <t xml:space="preserve">параметры и заряженность.</t>
  </si>
  <si>
    <t xml:space="preserve">Q-CORE-006 для точного попадания.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</si>
  <si>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Pr=R20; перезарядка 1 действие; высокий/абсолютный уровень действует как CORE-027.</t>
  </si>
  <si>
    <t xml:space="preserve">Dm=R12+L
Rn=R12+Dm+L
Rs=max(6,ceil(Dm×Rn/(R20+2×Lw)))
Rd=max(7,ceil(4×Rn/(Lw+R6)))
Pr=R20; перезарядка 1 действие; высокий/абсолютный уровень действует как CORE-027.
FORMULA_MODE=VALIDATION_ONLY; generationEnabled=false. Производственные дайсы не бросаются.</t>
  </si>
  <si>
    <t xml:space="preserve">CORE-027
CORE-183
CORE-184
CORE-185
CORE-189</t>
  </si>
  <si>
    <t xml:space="preserve">CORE-029</t>
  </si>
  <si>
    <t xml:space="preserve">Длинный лук</t>
  </si>
  <si>
    <t xml:space="preserve">длинный лук.</t>
  </si>
  <si>
    <t xml:space="preserve">Dm=R20+L; Rn=R20+Dm+1.5×L; Rs=max(8,ceil(Dm×Rn/(R20+1.5×Lw))); Rd=max(9,ceil(5×Rn/(Lw+R6))); Pr=R12; перезарядка 1 действие; высокий/абсолютный навык действует как CORE-027.</t>
  </si>
  <si>
    <t xml:space="preserve">Pr=R12; перезарядка 1 действие; высокий/абсолютный навык действует как CORE-027.</t>
  </si>
  <si>
    <t xml:space="preserve">Dm=R20+L
Rn=R20+Dm+1.5×L
Rs=max(8,ceil(Dm×Rn/(R20+1.5×Lw)))
Rd=max(9,ceil(5×Rn/(Lw+R6)))
Pr=R12; перезарядка 1 действие; высокий/абсолютный навык действует как CORE-027.
FORMULA_MODE=VALIDATION_ONLY; generationEnabled=false. Производственные дайсы не бросаются.</t>
  </si>
  <si>
    <t xml:space="preserve">§4.3, таблица 2, стр. 72.
Прямое уточнение пользователя 2026-07-28</t>
  </si>
  <si>
    <t xml:space="preserve">Дальность стрелкового оружия</t>
  </si>
  <si>
    <t xml:space="preserve">оружие / дальность.</t>
  </si>
  <si>
    <t xml:space="preserve">объявление выстрела.</t>
  </si>
  <si>
    <t xml:space="preserve">у оружия есть Rn/фиксированная дальность.</t>
  </si>
  <si>
    <t xml:space="preserve">фактическая дистанция и rangeMeters снимка активной версии профиля оружия.</t>
  </si>
  <si>
    <t xml:space="preserve">Нормативная база (действует во всей непротиворечащей части):
каталог задаёт дальность, но последствия стрельбы дальше значения не заданы.
Приоритетные авторские дельты (заменяют только прямо пересекающиеся ветви):
[Q-CORE-007] Если цель находится дальше максимальной дальности стрельбы, сделать выстрел невозможно
Для конкретного экземпляра максимальная дальность берётся из снимка активной версии профиля; мастерский rangeMeters имеет приоритет над шаблонным.</t>
  </si>
  <si>
    <t xml:space="preserve">Выстрел разрешён либо отклонён по rangeMeters активной версии профиля.</t>
  </si>
  <si>
    <t xml:space="preserve">отсутствуют.
Поздние дельты применяются по приоритету AQ3 &gt; AQ2 &gt; AQA/CQA &gt; базовая карточка; локальное исключение сильнее общего.</t>
  </si>
  <si>
    <t xml:space="preserve">[Q-CORE-007] Если цель находится дальше максимальной дальности стрельбы, сделать выстрел невозможно
автоматическая валидация невозможна.</t>
  </si>
  <si>
    <t xml:space="preserve">§4.2–4.3, стр. 68–72; §5.4.5.1, стр. 99.
Прямое уточнение пользователя 2026-07-28</t>
  </si>
  <si>
    <t xml:space="preserve">Q-CORE-007</t>
  </si>
  <si>
    <t xml:space="preserve">CORE-031</t>
  </si>
  <si>
    <t xml:space="preserve">Грубое оружие</t>
  </si>
  <si>
    <t xml:space="preserve">дубина, дрын, булава, кистень или молот.</t>
  </si>
  <si>
    <t xml:space="preserve">навык «Владение грубым оружием» либо штраф.</t>
  </si>
  <si>
    <t xml:space="preserve">L,Lw; S,D, цель.</t>
  </si>
  <si>
    <t xml:space="preserve">Нормативная база (действует во всей непротиворечащей части):
Rs=max(11,ceil((80−Lw)/(R4+L))); Rd=max(6,ceil((40−Lw)/(R4+L))); точность модифицирует D, урон S; без навыка −3; на атаке Pr=R12, damage=R12+модификаторы; если броня не пробита, всё равно проходит половина конечного урона; если урон более чем втрое превышает Z цели, цель бросает чистый D20, при &lt;10 оглушена на 3 своих хода.
Приоритетные авторские дельты (заменяют только прямо пересекающиеся ветви):
[Q-CORE-008] Если урон, нанесенный цели, в 3 или более раза превышает показатель ее характеристики «Здоровье», цель бросает D20. При выпадении значения меньше 10, цель пропускает следующие 3 боевых круга</t>
  </si>
  <si>
    <t xml:space="preserve">HP цели; возможно оглушение.</t>
  </si>
  <si>
    <t xml:space="preserve">момент/база сравнения тройного урона требует Q-CORE-008.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</si>
  <si>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Rs=max(11,ceil((80−Lw)/(R4+L)))
Rd=max(6,ceil((40−Lw)/(R4+L))); точность модифицирует D, урон S; без навыка −3; на атаке Pr=R12, damage=R12+модификаторы; если броня не пробита, всё равно проходит половина конечного урона; если урон более чем втрое превышает Z цели, цель бросает чистый D20, при &lt;10 оглушена на 3 своих хода.
[Q-CORE-008] Если урон, нанесенный цели, в 3 или более раза превышает показатель ее характеристики «Здоровье», цель бросает D20.
FORMULA_MODE=VALIDATION_ONLY; generationEnabled=false. Производственные дайсы не бросаются.</t>
  </si>
  <si>
    <t xml:space="preserve">Нормативная база (действует во всей непротиворечащей части):
Rd=max(6,ceil((40−Lw)/(R4+L))); точность модифицирует D, урон S; без навыка −3; на атаке Pr=R12, damage=R12+модификаторы; если броня не пробита, всё равно проходит половина конечного урона; если урон более чем втрое превышает Z цели, цель бросает чистый D20, при &lt;10 оглушена на 3 своих хода.
При выпадении значения меньше 10, цель пропускает следующие 3 боевых круга</t>
  </si>
  <si>
    <t xml:space="preserve">Q-CORE-008</t>
  </si>
  <si>
    <t xml:space="preserve">CORE-033</t>
  </si>
  <si>
    <t xml:space="preserve">Полуторный меч</t>
  </si>
  <si>
    <t xml:space="preserve">полуторный меч.</t>
  </si>
  <si>
    <t xml:space="preserve">создание; выбор хвата; атака.</t>
  </si>
  <si>
    <t xml:space="preserve">L,Lw,Ls, хват oneHand/twoHands.</t>
  </si>
  <si>
    <t xml:space="preserve">Нормативная база (действует во всей непротиворечащей части):
одна рука: Rs=max(13,ceil((100−(Lw+Ls)/2)/(R4+L))), Rd=max(9,ceil((50−(Lw+Ls)/2)/(R4+L))); две руки: Rs=max(9,ceil((60−(Lw+Ls)/2)/(R4+L))), Rd как выше. На атаке Pr=R20, базовый damage=R20, точность D, урон S.
Приоритетные авторские дельты (заменяют только прямо пересекающиеся ветви):
[Q-CORE-009] В приложении не нужно учитывать возможность смены хвата полуторного меча</t>
  </si>
  <si>
    <t xml:space="preserve">активный хват определяет требования.</t>
  </si>
  <si>
    <t xml:space="preserve">смена находящегося в руках оружия/состояния обычно стоит действие; цена смены хвата прямо не задана.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</si>
  <si>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Нормативная база (действует во всей непротиворечащей части):
смена находящегося в руках оружия/состояния обычно стоит действие; цена смены хвата прямо не задана.</t>
  </si>
  <si>
    <t xml:space="preserve">смена находящегося в руках оружия/состояния обычно стоит действие; цена смены хвата прямо не задана.</t>
  </si>
  <si>
    <t xml:space="preserve">одна рука: Rs=max(13,ceil((100−(Lw+Ls)/2)/(R4+L))), Rd=max(9,ceil((50−(Lw+Ls)/2)/(R4+L))); две руки: Rs=max(9,ceil((60−(Lw+Ls)/2)/(R4+L))), Rd как выше.
На атаке Pr=R20, базовый damage=R20, точность D, урон S.
FORMULA_MODE=VALIDATION_ONLY; generationEnabled=false. Производственные дайсы не бросаются.</t>
  </si>
  <si>
    <t xml:space="preserve">Q-CORE-009</t>
  </si>
  <si>
    <t xml:space="preserve">CORE-037</t>
  </si>
  <si>
    <t xml:space="preserve">Кинжал</t>
  </si>
  <si>
    <t xml:space="preserve">кинжал или пара.</t>
  </si>
  <si>
    <t xml:space="preserve">«Владение коротким оружием» либо −5.</t>
  </si>
  <si>
    <t xml:space="preserve">L,Lw,Ls, D, уровень навыка.</t>
  </si>
  <si>
    <t xml:space="preserve">Нормативная база (действует во всей непротиворечащей части):
Rs=max(6,ceil((50−(Lw+Ls)/2)/(R6+L))); Rd=max(11,ceil((80−(Lw+Ls)/2)/(R4+L))); Pr=R6, базовый damage=R12; D модифицирует точность и урон. Если итог названного «рола» ≥40 и броня пробита, базовый урон установить 20, затем применить модификаторы. Высокий навык с двумя кинжалами даёт 2 отдельных удара за одно действие не чаще раза в личный ход.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</si>
  <si>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один/два результата атаки.</t>
  </si>
  <si>
    <t xml:space="preserve">какой именно рол сравнивается с 40 — 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</si>
  <si>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Нормативная база (действует во всей непротиворечащей части):
Высокий навык с двумя кинжалами даёт 2 отдельных удара за одно действие не чаще раза в личный ход.</t>
  </si>
  <si>
    <t xml:space="preserve">Rs=max(6,ceil((50−(Lw+Ls)/2)/(R6+L)))
Rd=max(11,ceil((80−(Lw+Ls)/2)/(R4+L)))
Pr=R6, базовый damage=R12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</si>
  <si>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t>
  </si>
  <si>
    <t xml:space="preserve">Q-CORE-010</t>
  </si>
  <si>
    <t xml:space="preserve">CORE-038</t>
  </si>
  <si>
    <t xml:space="preserve">Мизерикордия</t>
  </si>
  <si>
    <t xml:space="preserve">мизерикордия.</t>
  </si>
  <si>
    <t xml:space="preserve">Нормативная база (действует во всей непротиворечащей части):
Rs=max(7,ceil((60−(Lw+Ls)/2)/(R6+L))); Rd=max(11,ceil((80−(Lw+Ls)/2)/(R4+L))); Pr=R20, базовый damage=R6; D модифицирует точность/урон. При названном итоговом «роле» ≥40 броня игнорируется, базовый урон = 20, затем модифицируется.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</si>
  <si>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обычная или особая атака.</t>
  </si>
  <si>
    <t xml:space="preserve">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</si>
  <si>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Rs=max(7,ceil((60−(Lw+Ls)/2)/(R6+L)))
Rd=max(11,ceil((80−(Lw+Ls)/2)/(R4+L)))
Pr=R20, базовый damage=R6
При названном итоговом «роле» ≥40 броня игнорируется, базовый урон = 20, затем модифицируется.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</si>
  <si>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§4.4, таблица 3, стр. 75.
Прямое уточнение пользователя 2026-07-28</t>
  </si>
  <si>
    <t xml:space="preserve">CORE-039</t>
  </si>
  <si>
    <t xml:space="preserve">Одноручный топор</t>
  </si>
  <si>
    <t xml:space="preserve">одноручный топор.</t>
  </si>
  <si>
    <t xml:space="preserve">«Владение топорами» либо −5.</t>
  </si>
  <si>
    <t xml:space="preserve">Нормативная база (действует во всей непротиворечащей части):
Rs=max(10,ceil((90−(Lw+Ls)/2)/(R6+L))); Rd=max(9,ceil((80−(Lw+Ls)/2)/(R6+L))); Pr=R20, базовый damage=R12; при названном итоговом «роле» ≥41 броня игнорируется и базовый урон =20;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</si>
  <si>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Rs=max(10,ceil((90−(Lw+Ls)/2)/(R6+L)))
Rd=max(9,ceil((80−(Lw+Ls)/2)/(R6+L)))
Pr=R20, базовый damage=R12; при названном итоговом «роле» ≥41 броня игнорируется и базовый урон =20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</si>
  <si>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CORE-040</t>
  </si>
  <si>
    <t xml:space="preserve">Клевец</t>
  </si>
  <si>
    <t xml:space="preserve">клевец.</t>
  </si>
  <si>
    <t xml:space="preserve">Нормативная база (действует во всей непротиворечащей части):
Rs=max(12,ceil((100−(Lw+Ls)/2)/(R6+L))); Rd=max(9,ceil((90−(Lw+Ls)/2)/(R6+L))); Pr=R20+5, базовый damage=R6; при названном итоговом «роле» ≥35 игнорировать броню и установить базовый урон 20;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</si>
  <si>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Rs=max(12,ceil((100−(Lw+Ls)/2)/(R6+L)))
Rd=max(9,ceil((90−(Lw+Ls)/2)/(R6+L)))
Pr=R20+5, базовый damage=R6; при названном итоговом «роле» ≥35 игнорировать броню и установить базовый урон 20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</si>
  <si>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CORE-041</t>
  </si>
  <si>
    <t xml:space="preserve">Двуручный топор</t>
  </si>
  <si>
    <t xml:space="preserve">двуручный топор.</t>
  </si>
  <si>
    <t xml:space="preserve">Нормативная база (действует во всей непротиворечащей части):
Rs=max(14,ceil((100−(Lw+Ls)/2)/(R4+L))); Rd=max(9,ceil((80−(Lw+Ls)/2)/(R4+L))); Pr=R20+10, базовый damage=R20; при названном итоговом «роле» ≥37 броня игнорируется и базовый урон =20; метание дополнительно −10;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</si>
  <si>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Rs=max(14,ceil((100−(Lw+Ls)/2)/(R4+L)))
Rd=max(9,ceil((80−(Lw+Ls)/2)/(R4+L)))
Pr=R20+10, базовый damage=R20; при названном итоговом «роле» ≥37 броня игнорируется и базовый урон =20; метание дополнительно −10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</si>
  <si>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CORE-043</t>
  </si>
  <si>
    <t xml:space="preserve">Деревянный круглый щит</t>
  </si>
  <si>
    <t xml:space="preserve">оружие / щит.</t>
  </si>
  <si>
    <t xml:space="preserve">изготовитель и пользователь</t>
  </si>
  <si>
    <t xml:space="preserve">создание; удар; блок.</t>
  </si>
  <si>
    <t xml:space="preserve">L,Lw, S,D, навык.</t>
  </si>
  <si>
    <t xml:space="preserve">Нормативная база (действует во всей непротиворечащей части):
Rs=max(10,ceil((90−Lw)/(R6+L))); Rd=max(9,ceil((80−Lw)/(R6+L))); атака: Pr=R6, базовый damage=R6, при итоговом роле ≥30 цель получает −1 к следующей серии; защита: +3 к блоку, HP=60. S модифицирует урон, D точность; владение CORE-019.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</si>
  <si>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урон/потрясение либо износ щита.</t>
  </si>
  <si>
    <t xml:space="preserve">какой рол проверяется на 30 — 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</si>
  <si>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Rd=max(9,ceil((80−Lw)/(R6+L))); атака: Pr=R6, базовый damage=R6, при итоговом роле ≥30 цель получает −1 к следующей серии; защита: +3 к блоку, HP=60.</t>
  </si>
  <si>
    <t xml:space="preserve">Rs=max(10,ceil((90−Lw)/(R6+L)))
Rd=max(9,ceil((80−Lw)/(R6+L))); атака: Pr=R6, базовый damage=R6, при итоговом роле ≥30 цель получает −1 к следующей серии; защита: +3 к блоку, HP=60.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</si>
  <si>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§4.4, таблица 3, стр. 77.
Прямое уточнение пользователя 2026-07-28</t>
  </si>
  <si>
    <t xml:space="preserve">CORE-019
CORE-183
CORE-184
CORE-185
CORE-189</t>
  </si>
  <si>
    <t xml:space="preserve">CORE-044</t>
  </si>
  <si>
    <t xml:space="preserve">Железный круглый щит</t>
  </si>
  <si>
    <t xml:space="preserve">Нормативная база (действует во всей непротиворечащей части):
Rs=max(12,ceil((100−(Lw+Ls)/2)/(R4+L))); Rd=max(9,ceil((80−(Lw+Ls)/2)/(R6+L))); атака Pr=R6, базовый damage=R6, при итоговом роле ≥30 потрясение −1 к следующей серии; блок +3, HP=100.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</si>
  <si>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как CORE-043.</t>
  </si>
  <si>
    <t xml:space="preserve">Rd=max(9,ceil((80−(Lw+Ls)/2)/(R6+L))); атака Pr=R6, базовый damage=R6, при итоговом роле ≥30 потрясение −1 к следующей серии; блок +3, HP=100.</t>
  </si>
  <si>
    <t xml:space="preserve">Rs=max(12,ceil((100−(Lw+Ls)/2)/(R4+L)))
Rd=max(9,ceil((80−(Lw+Ls)/2)/(R6+L))); атака Pr=R6, базовый damage=R6, при итоговом роле ≥30 потрясение −1 к следующей серии; блок +3, HP=100.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</si>
  <si>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CORE-043
CORE-183
CORE-184
CORE-185
CORE-189</t>
  </si>
  <si>
    <t xml:space="preserve">CORE-045</t>
  </si>
  <si>
    <t xml:space="preserve">Деревянный треугольный щит</t>
  </si>
  <si>
    <t xml:space="preserve">L,Lw, S,D.</t>
  </si>
  <si>
    <t xml:space="preserve">Нормативная база (действует во всей непротиворечащей части):
Rs=max(11,ceil((100−Lw)/(R4+L))); Rd=max(9,ceil((80−Lw)/(R6+L))); атака Pr=R6, базовый damage=R6+3, при итоговом роле ≥30 потрясение −1 к следующей серии; блок +3, HP=80.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</si>
  <si>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атака/защита.</t>
  </si>
  <si>
    <t xml:space="preserve">Rd=max(9,ceil((80−Lw)/(R6+L))); атака Pr=R6, базовый damage=R6+3, при итоговом роле ≥30 потрясение −1 к следующей серии; блок +3, HP=80.</t>
  </si>
  <si>
    <t xml:space="preserve">Rs=max(11,ceil((100−Lw)/(R4+L)))
Rd=max(9,ceil((80−Lw)/(R6+L))); атака Pr=R6, базовый damage=R6+3, при итоговом роле ≥30 потрясение −1 к следующей серии; блок +3, HP=80.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</si>
  <si>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§4.4, таблица 3, стр. 78.
Прямое уточнение пользователя 2026-07-28</t>
  </si>
  <si>
    <t xml:space="preserve">CORE-046</t>
  </si>
  <si>
    <t xml:space="preserve">Железный треугольный щит</t>
  </si>
  <si>
    <t xml:space="preserve">Нормативная база (действует во всей непротиворечащей части):
Rs=max(14,ceil((120−Lw)/(R4+L))); Rd=max(9,ceil((80−Lw)/(R6+L))); атака Pr=R6, базовый damage=R6+3, при итоговом роле ≥30 потрясение −1 к следующей серии; блок +3, HP=130.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</si>
  <si>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Rd=max(9,ceil((80−Lw)/(R6+L))); атака Pr=R6, базовый damage=R6+3, при итоговом роле ≥30 потрясение −1 к следующей серии; блок +3, HP=130.</t>
  </si>
  <si>
    <t xml:space="preserve">Rs=max(14,ceil((120−Lw)/(R4+L)))
Rd=max(9,ceil((80−Lw)/(R6+L))); атака Pr=R6, базовый damage=R6+3, при итоговом роле ≥30 потрясение −1 к следующей серии; блок +3, HP=130.
[Q-CORE-010] Порог 30+/35+/37+/40+/41+ сравнивается с итоговой проверкой меткости R20+D+профильный навык+все применимые модификаторы.
FORMULA_MODE=VALIDATION_ONLY; generationEnabled=false. Производственные дайсы не бросаются.</t>
  </si>
  <si>
    <t xml:space="preserve">CORE-047</t>
  </si>
  <si>
    <t xml:space="preserve">Корнадора</t>
  </si>
  <si>
    <t xml:space="preserve">оружие / заводской комплект меч+щит.</t>
  </si>
  <si>
    <t xml:space="preserve">пользователь</t>
  </si>
  <si>
    <t xml:space="preserve">Корнадора.</t>
  </si>
  <si>
    <t xml:space="preserve">атака, блок, метание.</t>
  </si>
  <si>
    <t xml:space="preserve">S≥22,D≥16; без «Солдата Последнего Рассвета» −15 к ролам; «Фехтование» и «Владение щитом» дают свои бонусы.</t>
  </si>
  <si>
    <t xml:space="preserve">S,D, навыки, HP щита.</t>
  </si>
  <si>
    <t xml:space="preserve">канонический комплект фиксирован для заявки игрока; мастер может изменить конкретный экземпляр по CORE-187/CORE-188. Вне такого override комплект создаётся только на конвейерной линии оружейного завода Корнадоры; S модифицирует урон, D — точность. Меч: Pr=R20, базовый damage=R20; щит: блок +3, HP=400. При успешной защите с итогом ≥40 немедленно выполнить одну контратаку вне очереди; общий предел дополнительных атак CORE-099. Можно метнуть меч либо щит.</t>
  </si>
  <si>
    <t xml:space="preserve">урон/контратака/износ щита.</t>
  </si>
  <si>
    <t xml:space="preserve">точная процедура контратаки — Q-CORE-011.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</si>
  <si>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S,D, навыки, HP щита.
Меч: Pr=R20, базовый damage=R20; щит: блок +3, HP=400.</t>
  </si>
  <si>
    <t xml:space="preserve">Меч: Pr=R20, базовый damage=R20; щит: блок +3, HP=400.</t>
  </si>
  <si>
    <t xml:space="preserve">§4.4, таблица 3, стр. 79.
Прямое уточнение пользователя 2026-07-28</t>
  </si>
  <si>
    <t xml:space="preserve">Q-CORE-011</t>
  </si>
  <si>
    <t xml:space="preserve">CORE-099
CORE-186
CORE-187
CORE-188
CORE-189
CORE-190</t>
  </si>
  <si>
    <t xml:space="preserve">CORE-048</t>
  </si>
  <si>
    <t xml:space="preserve">Бларадэ</t>
  </si>
  <si>
    <t xml:space="preserve">оружие / заводской комплект шпага+щит.</t>
  </si>
  <si>
    <t xml:space="preserve">Бларадэ.</t>
  </si>
  <si>
    <t xml:space="preserve">удар щитом/шпагой, защита, метание.</t>
  </si>
  <si>
    <t xml:space="preserve">S≥15,D≥22; без «Солдата Последнего Рассвета» −15 к ролам; применимы «Фехтование» и «Владение щитом».</t>
  </si>
  <si>
    <t xml:space="preserve">вид атаки, навыки, HP щита.</t>
  </si>
  <si>
    <t xml:space="preserve">Нормативная база (действует во всей непротиворечащей части):
канонический комплект фиксирован для заявки игрока; мастер может изменить конкретный экземпляр по CORE-187/CORE-188. Вне такого override комплект создаётся только на конвейерной линии оружейного завода Бларадэ; S модифицирует урон щитом, D — урон шпагой и точность. Щит: Pr=R12, базовый damage=R12, при итоговом роле ≥30 потрясение −1 к следующей серии; шпага: Pr=R20, базовый damage=R12; «после атаки щитом» атака шпагой получает +5 к точности, урону и пробитию; защита +5 к парированию, +3 к блоку; HP щита=200; можно метать любую часть.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
[Q-CORE-012] После разрешения атаки щитом, независимо от попадания, следующая атака шпагой той же Бларадэ в этом же личном ходу получает +5 к меткости, пробитию и урону. После этой атаки бонус расходуется; в конце хода неиспользованный бонус сгорает.</t>
  </si>
  <si>
    <t xml:space="preserve">атака/комбо/защита.</t>
  </si>
  <si>
    <t xml:space="preserve">окно и потребление бонуса комбо не заданы.
Поздние дельты применяются по приоритету AQ3 &gt; AQ2 &gt; AQA/CQA &gt; базовая карточка; локальное исключение сильнее общего.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</si>
  <si>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Нормативная база (действует во всей непротиворечащей части):
HP щита=200; можно метать любую часть.</t>
  </si>
  <si>
    <t xml:space="preserve">вид атаки, навыки, HP щита.
HP щита=200; можно метать любую часть.</t>
  </si>
  <si>
    <t xml:space="preserve">Щит: Pr=R12, базовый damage=R12, при итоговом роле ≥30 потрясение −1 к следующей серии; шпага: Pr=R20, базовый damage=R12; «после атаки щитом» атака шпагой получает +5 к точности, урону и пробитию; защита +5 к парированию, +3 к блоку
HP щита=200; можно метать любую часть.
[Q-CORE-010] Порог 30+/35+/37+/40+/41+ сравнивается с итоговой проверкой меткости R20+D+профильный навык+все применимые модификаторы.</t>
  </si>
  <si>
    <t xml:space="preserve">Нормативная база (действует во всей непротиворечащей части):
HP щита=200; можно метать любую часть.
[Q-CORE-012] После разрешения атаки щитом, независимо от попадания, следующая атака шпагой той же Бларадэ в этом же личном ходу получает +5 к меткости, пробитию и урону.
После этой атаки бонус расходуется; в конце хода неиспользованный бонус сгорает.</t>
  </si>
  <si>
    <t xml:space="preserve">§4.4, таблица 3, стр. 80.
Прямое уточнение пользователя 2026-07-28</t>
  </si>
  <si>
    <t xml:space="preserve">Q-CORE-010
Q-CORE-012</t>
  </si>
  <si>
    <t xml:space="preserve">CORE-050</t>
  </si>
  <si>
    <t xml:space="preserve">Персонаж, предметы и базовая механика — Доспехи</t>
  </si>
  <si>
    <t xml:space="preserve">Бригантина</t>
  </si>
  <si>
    <t xml:space="preserve">бригантина.</t>
  </si>
  <si>
    <t xml:space="preserve">экипировка, перемещение/акробатика, удушение, попадание.</t>
  </si>
  <si>
    <t xml:space="preserve">S=3 за элемент.</t>
  </si>
  <si>
    <t xml:space="preserve">число элементов и покрытые зоны.</t>
  </si>
  <si>
    <t xml:space="preserve">Нормативная база (действует во всей непротиворечащей части):
каждый слой закрытой зоны armor+=R12; шлем не закрывает лицо; одновременно голова+корпус дают «Твёрдую защиту шеи» (иммунитет к удушающему приёму); −1 к бегу и акробатике за элемент; если элементов &gt;2, M−=3 один раз.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</si>
  <si>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одноимённые комплекты/слои — Q-CORE-013.
Поздние дельты применяются по приоритету AQ3 &gt; AQ2 &gt; AQA/CQA &gt; базовая карточка; локальное исключение сильнее общего.</t>
  </si>
  <si>
    <t xml:space="preserve">S=3 за элемент.
каждый слой закрытой зоны armor+=R12; шлем не закрывает лицо; одновременно голова+корпус дают «Твёрдую защиту шеи» (иммунитет к удушающему приёму); −1 к бегу и акробатике за элемент; если элементов &gt;2, M−=3 один раз.</t>
  </si>
  <si>
    <t xml:space="preserve">каждый слой закрытой зоны armor+=R12; шлем не закрывает лицо; одновременно голова+корпус дают «Твёрдую защиту шеи» (иммунитет к удушающему приёму); −1 к бегу и акробатике за элемент; если элементов &gt;2, M−=3 один раз.
Условный штраф к M каждого типа доспеха применяется один раз, когда выполнен порог числа элементов этого типа; штрафы разных типов складываются.</t>
  </si>
  <si>
    <t xml:space="preserve">Q-CORE-013</t>
  </si>
  <si>
    <t xml:space="preserve">CORE-051</t>
  </si>
  <si>
    <t xml:space="preserve">Кольчуга</t>
  </si>
  <si>
    <t xml:space="preserve">кольчуга.</t>
  </si>
  <si>
    <t xml:space="preserve">экипировка, попадание, порция электрического урона.</t>
  </si>
  <si>
    <t xml:space="preserve">слои зоны, число элементов, R12 брони/снижения.</t>
  </si>
  <si>
    <t xml:space="preserve">Нормативная база (действует во всей непротиворечащей части):
каждый слой зоны armor+=R12; при электрическом уроне уменьшить порцию на R12; −1 к бегу/акробатике за элемент; если элементов &gt;2, M−=3 один раз.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</si>
  <si>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броня и снижение урона.</t>
  </si>
  <si>
    <t xml:space="preserve">складывание электрозащиты нескольких элементов/слоёв требует Q-CORE-013.
Поздние дельты применяются по приоритету AQ3 &gt; AQ2 &gt; AQA/CQA &gt; базовая карточка; локальное исключение сильнее общего.</t>
  </si>
  <si>
    <t xml:space="preserve">S=3 за элемент.
слои зоны, число элементов, R12 брони/снижения.
каждый слой зоны armor+=R12; при электрическом уроне уменьшить порцию на R12; −1 к бегу/акробатике за элемент; если элементов &gt;2, M−=3 один раз.</t>
  </si>
  <si>
    <t xml:space="preserve">каждый слой зоны armor+=R12; при электрическом уроне уменьшить порцию на R12; −1 к бегу/акробатике за элемент; если элементов &gt;2, M−=3 один раз.
Условный штраф к M каждого типа доспеха применяется один раз, когда выполнен порог числа элементов этого типа; штрафы разных типов складываются.</t>
  </si>
  <si>
    <t xml:space="preserve">CORE-053</t>
  </si>
  <si>
    <t xml:space="preserve">Нэйт</t>
  </si>
  <si>
    <t xml:space="preserve">защитный костюм / герметичность.</t>
  </si>
  <si>
    <t xml:space="preserve">цельный костюм.</t>
  </si>
  <si>
    <t xml:space="preserve">экипировка, воздействие, повреждение.</t>
  </si>
  <si>
    <t xml:space="preserve">S≥6; надевается только целиком; состояние sealed=true.</t>
  </si>
  <si>
    <t xml:space="preserve">тип воздействия, фактически потерянные HP, отдельное повреждение костюма.</t>
  </si>
  <si>
    <t xml:space="preserve">Нормативная база (действует во всей непротиворечащей части):
пока герметичен: сопротивление 20 заражению, болезням, химическим воздействиям, ядовитым испарениям, электрическим и псионическим воздействиям; полностью блокирует вдыхание феромонов/заражённых испарений; ментальный урон уменьшается на 20 и к встречным псионическим проверкам +20. 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 Физической бронёй не является.
Приоритетные авторские дельты (заменяют только прямо пересекающиеся ветви):
[Q-CORE-014] 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t>
  </si>
  <si>
    <t xml:space="preserve">защита или потеря герметичности.</t>
  </si>
  <si>
    <t xml:space="preserve">точная семантика сопротивления 20 для нементальных категорий не определена.
Поздние дельты применяются по приоритету AQ3 &gt; AQ2 &gt; AQA/CQA &gt; базовая карточка; локальное исключение сильнее общего.</t>
  </si>
  <si>
    <t xml:space="preserve">тип воздействия, фактически потерянные HP, отдельное повреждение костюма.
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t>
  </si>
  <si>
    <t xml:space="preserve">S≥6; надевается только целиком; состояние sealed=true.
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t>
  </si>
  <si>
    <t xml:space="preserve">§4.5, таблица 4, стр. 82; §5.4.3.4, §5.4.3.6, стр. 96–98.</t>
  </si>
  <si>
    <t xml:space="preserve">Q-CORE-014</t>
  </si>
  <si>
    <t xml:space="preserve">CORE-057</t>
  </si>
  <si>
    <t xml:space="preserve">Элементы и зоны доспеха</t>
  </si>
  <si>
    <t xml:space="preserve">броня / экипировка.</t>
  </si>
  <si>
    <t xml:space="preserve">элементы брони.</t>
  </si>
  <si>
    <t xml:space="preserve">экипировка/снятие.</t>
  </si>
  <si>
    <t xml:space="preserve">анатомическая зона существует.</t>
  </si>
  <si>
    <t xml:space="preserve">тип элемента, зона, слои.</t>
  </si>
  <si>
    <t xml:space="preserve">Нормативная база (действует во всей непротиворечащей части):
каждый элемент привязать к одной зоне; только слои поражённой зоны участвуют в броне; требования отдельных элементов суммируются; цельные костюмы учитываются один раз.
Приоритетные авторские дельты (заменяют только прямо пересекающиеся ветви):
[Q-CORE-015] 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</si>
  <si>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карта покрытия зон.</t>
  </si>
  <si>
    <t xml:space="preserve">перечень допустимых элементов/покрытие цельного костюма в таблице не перечислены явно.
Поздние дельты применяются по приоритету AQ3 &gt; AQ2 &gt; AQA/CQA &gt; базовая карточка; локальное исключение сильнее общего.</t>
  </si>
  <si>
    <t xml:space="preserve">каждый элемент привязать к одной зоне; только слои поражённой зоны участвуют в броне; требования отдельных элементов суммируются; цельные костюмы учитываются один раз.</t>
  </si>
  <si>
    <t xml:space="preserve">§4.5, стр. 81–83; §5.4.4.1, стр. 98.</t>
  </si>
  <si>
    <t xml:space="preserve">Q-CORE-015</t>
  </si>
  <si>
    <t xml:space="preserve">CORE-058</t>
  </si>
  <si>
    <t xml:space="preserve">Персонаж, предметы и базовая механика — Фармацевтика</t>
  </si>
  <si>
    <t xml:space="preserve">Общие правила фармацевтики</t>
  </si>
  <si>
    <t xml:space="preserve">предмет / препарат.</t>
  </si>
  <si>
    <t xml:space="preserve">принимающий персонаж</t>
  </si>
  <si>
    <t xml:space="preserve">препарат и эффект.</t>
  </si>
  <si>
    <t xml:space="preserve">приём дозы.</t>
  </si>
  <si>
    <t xml:space="preserve">раса разрешена, суточный лимит не исчерпан, в текущем боевом ходу препарат ещё не принимался.</t>
  </si>
  <si>
    <t xml:space="preserve">препарат, доза, временная метка.</t>
  </si>
  <si>
    <t xml:space="preserve">Нормативная база (действует во всей непротиворечащей части):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
[Q-CORE-060] Применение к себе либо введение соседней согласной или беспомощной цели требует 1 боевого действия и 1 дозы и автоматически успешно. Для дееспособного персонажа другого игрока согласие запрашивается до объявления и списания; отказ ничего не расходует. Согласие дееспособного NPC до списания подтверждает мастер. Передача соседней согласной цели требует 1 действия и перемещает дозу в её инвентарь без активации. Принудительное введение сопротивляющейся цели доступно только после захвата: при объявлении списываются 1 действие и доза, затем выполняется встречная проверка борьбы; при провале ресурсы не возвращаются.</t>
  </si>
  <si>
    <t xml:space="preserve">списаны доза/действие; обновлён журнал доз и эффект.</t>
  </si>
  <si>
    <t xml:space="preserve">K одновременных доз и лимит одного препарата — Q-CORE-016; процедура передачи/принудительного введения — Q-CORE-060.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</si>
  <si>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[Q-CORE-060] Применение к себе либо введение соседней согласной или беспомощной цели требует 1 боевого действия и 1 дозы и автоматически успешно.
Передача соседней согласной цели требует 1 действия и перемещает дозу в её инвентарь без активации.</t>
  </si>
  <si>
    <t xml:space="preserve">приём дозы.
препарат, доза, временная метка.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</si>
  <si>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t>
  </si>
  <si>
    <t xml:space="preserve">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Для дееспособного персонажа другого игрока согласие запрашивается до объявления и списания; отказ ничего не расходует.</t>
  </si>
  <si>
    <t xml:space="preserve">раса разрешена, суточный лимит не исчерпан, в текущем боевом ходу препарат ещё не принимался.
Нормативная база (действует во всей непротиворечащей части):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</si>
  <si>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§4.6, стр. 83–84; §5.4.2.5, стр. 95.</t>
  </si>
  <si>
    <t xml:space="preserve">Q-CORE-016
Q-CORE-060</t>
  </si>
  <si>
    <t xml:space="preserve">Антисептик</t>
  </si>
  <si>
    <t xml:space="preserve">фармацевтика / профилактика.</t>
  </si>
  <si>
    <t xml:space="preserve">обработанная рана</t>
  </si>
  <si>
    <t xml:space="preserve">болезнь.</t>
  </si>
  <si>
    <t xml:space="preserve">попытка болезни поразить через обработанную рану.</t>
  </si>
  <si>
    <t xml:space="preserve">антисептик применён к этой ране.</t>
  </si>
  <si>
    <t xml:space="preserve">рол болезни.</t>
  </si>
  <si>
    <t xml:space="preserve">Нормативная база (действует во всей непротиворечащей части):
diseaseRoll−=10.
Приоритетные авторские дельты (заменяют только прямо пересекающиеся ветви):
[Q-CORE-017] Одна обработка расходует одну дозу антисептика и применяется к одной выбранной ране. В бою обработка своей раны или раны соседней согласной цели требует одного боевого действия; принудительное применение разрешается по процедуре Q-CORE-060. Антисептик даёт −10 только к следующей попытке болезни проникнуть через эту рану и прекращает действовать сразу после этой попытки.</t>
  </si>
  <si>
    <t xml:space="preserve">модифицированная попытка заражения.</t>
  </si>
  <si>
    <t xml:space="preserve">расход действия вне боя/длительность обработки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</si>
  <si>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В бою обработка своей раны или раны соседней согласной цели требует одного боевого действия; принудительное применение разрешается по процедуре Q-CORE-060.
расход действия вне боя/длительность обработки не заданы.</t>
  </si>
  <si>
    <t xml:space="preserve">[Q-CORE-017] Одна обработка расходует одну дозу антисептика и применяется к одной выбранной ране.</t>
  </si>
  <si>
    <t xml:space="preserve">diseaseRoll−=10.</t>
  </si>
  <si>
    <t xml:space="preserve">§4.6, таблица 5, стр. 83.</t>
  </si>
  <si>
    <t xml:space="preserve">Q-CORE-017</t>
  </si>
  <si>
    <t xml:space="preserve">CORE-061</t>
  </si>
  <si>
    <t xml:space="preserve">Снотворное</t>
  </si>
  <si>
    <t xml:space="preserve">фармацевтика / контроль.</t>
  </si>
  <si>
    <t xml:space="preserve">вводящий препарат</t>
  </si>
  <si>
    <t xml:space="preserve">выпившая цель.</t>
  </si>
  <si>
    <t xml:space="preserve">единовременное введение K доз.</t>
  </si>
  <si>
    <t xml:space="preserve">каждая доза в лимите 3/24ч.</t>
  </si>
  <si>
    <t xml:space="preserve">один чистый R20 вводящего, K, проверка Z цели.</t>
  </si>
  <si>
    <t xml:space="preserve">Нормативная база (действует во всей непротиворечащей части):
вычислить sleepAttack=(R20+5)×K; если он строго превышает R20+Z+модификаторы цели, цель спит 1 час; получение любого урона немедленно будит; CORE-060 прекращает сон.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</si>
  <si>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сон с таймером.</t>
  </si>
  <si>
    <t xml:space="preserve">K и бой — Q-CORE-016.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</si>
  <si>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вычислить sleepAttack=(R20+5)×K; если он строго превышает R20+Z+модификаторы цели, цель спит 1 час; получение любого урона немедленно будит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t>
  </si>
  <si>
    <t xml:space="preserve">единовременное введение K доз.
каждая доза в лимите 3/24ч.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</si>
  <si>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один чистый R20 вводящего, K, проверка Z цели.
вычислить sleepAttack=(R20+5)×K; если он строго превышает R20+Z+модификаторы цели, цель спит 1 час; получение любого урона немедленно будит</t>
  </si>
  <si>
    <t xml:space="preserve">Нормативная база (действует во всей непротиворечащей части):
вычислить sleepAttack=(R20+5)×K; если он строго превышает R20+Z+модификаторы цели, цель спит 1 час; получение любого урона немедленно будит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</si>
  <si>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Q-CORE-016</t>
  </si>
  <si>
    <t xml:space="preserve">CORE-062</t>
  </si>
  <si>
    <t xml:space="preserve">Отвар-паралитик</t>
  </si>
  <si>
    <t xml:space="preserve">вводящий</t>
  </si>
  <si>
    <t xml:space="preserve">R20, K, проверка Z цели.</t>
  </si>
  <si>
    <t xml:space="preserve">Нормативная база (действует во всей непротиворечащей части):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 CORE-060 снимает.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</si>
  <si>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состояние «парализован».</t>
  </si>
  <si>
    <t xml:space="preserve">K и бой — Q-CORE-016; ментальные действия CORE-103.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</si>
  <si>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K и бой — Q-CORE-016; ментальные действия CORE-103.</t>
  </si>
  <si>
    <t xml:space="preserve">R20, K, проверка Z цели.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t>
  </si>
  <si>
    <t xml:space="preserve">Нормативная база (действует во всей непротиворечащей части):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</si>
  <si>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CORE-060
CORE-103</t>
  </si>
  <si>
    <t xml:space="preserve">CORE-063</t>
  </si>
  <si>
    <t xml:space="preserve">Кровоостанавливающий отвар</t>
  </si>
  <si>
    <t xml:space="preserve">фармацевтика / состояние.</t>
  </si>
  <si>
    <t xml:space="preserve">кровотечение.</t>
  </si>
  <si>
    <t xml:space="preserve">≤5 доз/24ч.</t>
  </si>
  <si>
    <t xml:space="preserve">активные кровотечения.</t>
  </si>
  <si>
    <t xml:space="preserve">Нормативная база (действует во всей непротиворечащей части):
остановить кровотечение.
Приоритетные авторские дельты (заменяют только прямо пересекающиеся ветви):
[Q-CORE-018] Одна доза кровоостанавливающего отвара прекращает все имеющиеся у персонажа в данный момент кровотечения.</t>
  </si>
  <si>
    <t xml:space="preserve">эффект кровотечения прекращён.</t>
  </si>
  <si>
    <t xml:space="preserve">множественные источники и охват одной дозы не указаны.
Поздние дельты применяются по приоритету AQ3 &gt; AQ2 &gt; AQA/CQA &gt; базовая карточка; локальное исключение сильнее общего.</t>
  </si>
  <si>
    <t xml:space="preserve">≤5 доз/24ч.
[Q-CORE-018] Одна доза кровоостанавливающего отвара прекращает все имеющиеся у персонажа в данный момент кровотечения.
множественные источники и охват одной дозы не указаны.</t>
  </si>
  <si>
    <t xml:space="preserve">Q-CORE-018</t>
  </si>
  <si>
    <t xml:space="preserve">CORE-065</t>
  </si>
  <si>
    <t xml:space="preserve">Симбиотический отвар</t>
  </si>
  <si>
    <t xml:space="preserve">фармацевтика / ОЭ.</t>
  </si>
  <si>
    <t xml:space="preserve">энергия симбионта.</t>
  </si>
  <si>
    <t xml:space="preserve">≤4 доз/24ч.</t>
  </si>
  <si>
    <t xml:space="preserve">текущие/максимальные ОЭ.</t>
  </si>
  <si>
    <t xml:space="preserve">Нормативная база (действует во всей непротиворечащей части):
OE=min(maxOE,OE+50).
Приоритетные авторские дельты (заменяют только прямо пересекающиеся ветви):
[Q-CORE-019] При применении одной дозы игрок выбирает одного симбионта носителя; только его текущий запас ОЭ увеличивается на 50, но не выше его максимума. Делить восстановление между симбионтами или применять его ко всем нельзя.</t>
  </si>
  <si>
    <t xml:space="preserve">восстановление ОЭ.</t>
  </si>
  <si>
    <t xml:space="preserve">у нескольких симбионтов адресат восстановления не указан.
Поздние дельты применяются по приоритету AQ3 &gt; AQ2 &gt; AQA/CQA &gt; базовая карточка; локальное исключение сильнее общего.</t>
  </si>
  <si>
    <t xml:space="preserve">≤4 доз/24ч.
текущие/максимальные ОЭ.
[Q-CORE-019] При применении одной дозы игрок выбирает одного симбионта носителя; только его текущий запас ОЭ увеличивается на 50, но не выше его максимума.
восстановление ОЭ.</t>
  </si>
  <si>
    <t xml:space="preserve">OE=min(maxOE,OE+50).</t>
  </si>
  <si>
    <t xml:space="preserve">Q-CORE-019</t>
  </si>
  <si>
    <t xml:space="preserve">CORE-068</t>
  </si>
  <si>
    <t xml:space="preserve">Таблетка ледяного спокойствия</t>
  </si>
  <si>
    <t xml:space="preserve">фармацевтика / бой и состояние.</t>
  </si>
  <si>
    <t xml:space="preserve">точность и эмоции.</t>
  </si>
  <si>
    <t xml:space="preserve">R20 длительности.</t>
  </si>
  <si>
    <t xml:space="preserve">Нормативная база (действует во всей непротиворечащей части):
на max(1,round_math(R20/3)) личных ходов +3 к проверкам точности и полная безэмоциональность; повтор обновляет.
Приоритетные авторские дельты (заменяют только прямо пересекающиеся ветви):
[Q-CORE-020] Безэмоциональность является только нарративным состоянием и сама по себе не даёт иммунитетов, автоматических успехов или штрафов. Механический эффект таблетки ограничивается указанным бонусом +3 к меткости.</t>
  </si>
  <si>
    <t xml:space="preserve">временный бонус/флаг.</t>
  </si>
  <si>
    <t xml:space="preserve">механические последствия «безэмоциональности» не определены.
Поздние дельты применяются по приоритету AQ3 &gt; AQ2 &gt; AQA/CQA &gt; базовая карточка; локальное исключение сильнее общего.</t>
  </si>
  <si>
    <t xml:space="preserve">R20 длительности.
на max(1,round_math(R20/3)) личных ходов +3 к проверкам точности и полная безэмоциональность; повтор обновляет.</t>
  </si>
  <si>
    <t xml:space="preserve">Нормативная база (действует во всей непротиворечащей части):
на max(1,round_math(R20/3)) личных ходов +3 к проверкам точности и полная безэмоциональность; повтор обновляет.</t>
  </si>
  <si>
    <t xml:space="preserve">Q-CORE-020</t>
  </si>
  <si>
    <t xml:space="preserve">CORE-069</t>
  </si>
  <si>
    <t xml:space="preserve">Таблетка взрывной мощи</t>
  </si>
  <si>
    <t xml:space="preserve">следующее действие и тяжёлое ранение.</t>
  </si>
  <si>
    <t xml:space="preserve">следующее действие; состояние боя.</t>
  </si>
  <si>
    <t xml:space="preserve">Нормативная база (действует во всей непротиворечащей части):
следующее действие получает +6 к ролу на S; до конца текущего боя персонаж сохраняет дееспособность при тяжёлом ранении.
Приоритетные авторские дельты (заменяют только прямо пересекающиеся ветви):
[Q-CORE-021] Бонус +6 применяется к первой следующей проверке, модификатором которой является S; действие без проверки S его не расходует. После одной такой проверки или при окончании боя неиспользованный бонус прекращается.</t>
  </si>
  <si>
    <t xml:space="preserve">одноразовый бонус и временное исключение смерти.</t>
  </si>
  <si>
    <t xml:space="preserve">потребление/срок «следующего действия» требует Q-CORE-021; новый урон всё равно добивает тяжело раненного по CORE-155.
Поздние дельты применяются по приоритету AQ3 &gt; AQ2 &gt; AQA/CQA &gt; базовая карточка; локальное исключение сильнее общего.</t>
  </si>
  <si>
    <t xml:space="preserve">следующее действие; состояние боя.
Нормативная база (действует во всей непротиворечащей части):
следующее действие получает +6 к ролу на S; до конца текущего боя персонаж сохраняет дееспособность при тяжёлом ранении.
[Q-CORE-021] Бонус +6 применяется к первой следующей проверке, модификатором которой является S; действие без проверки S его не расходует.
потребление/срок «следующего действия» требует Q-CORE-021; новый урон всё равно добивает тяжело раненного по CORE-155.</t>
  </si>
  <si>
    <t xml:space="preserve">Нормативная база (действует во всей непротиворечащей части):
следующее действие получает +6 к ролу на S; до конца текущего боя персонаж сохраняет дееспособность при тяжёлом ранении.
потребление/срок «следующего действия» требует Q-CORE-021; новый урон всё равно добивает тяжело раненного по CORE-155.</t>
  </si>
  <si>
    <t xml:space="preserve">Q-CORE-021</t>
  </si>
  <si>
    <t xml:space="preserve">CORE-072</t>
  </si>
  <si>
    <t xml:space="preserve">Таблетка неудержимости</t>
  </si>
  <si>
    <t xml:space="preserve">фармацевтика / сопротивление контролю.</t>
  </si>
  <si>
    <t xml:space="preserve">проверки сопротивления.</t>
  </si>
  <si>
    <t xml:space="preserve">приём; проверка против эффекта контроля.</t>
  </si>
  <si>
    <t xml:space="preserve">раса Чистый; ≤3 доз/24ч; существующий бой.</t>
  </si>
  <si>
    <t xml:space="preserve">проверка сопротивления.</t>
  </si>
  <si>
    <t xml:space="preserve">Нормативная база (действует во всей непротиворечащей части):
до конца боя +5 ко всем проверкам сопротивления эффектам контроля; повтор не складывает.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</si>
  <si>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временный бонус.</t>
  </si>
  <si>
    <t xml:space="preserve">перечень эффектов, считающихся «контролем», не закрыт.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</si>
  <si>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t>
  </si>
  <si>
    <t xml:space="preserve">Нормативная база (действует во всей непротиворечащей части):
до конца боя +5 ко всем проверкам сопротивления эффектам контроля; повтор не складывает.</t>
  </si>
  <si>
    <t xml:space="preserve">Q-CORE-022</t>
  </si>
  <si>
    <t xml:space="preserve">CORE-080</t>
  </si>
  <si>
    <t xml:space="preserve">Персонаж, предметы и базовая механика — Базовые проверки, значения и критичность</t>
  </si>
  <si>
    <t xml:space="preserve">Сложение эффектов</t>
  </si>
  <si>
    <t xml:space="preserve">эффект / стек.</t>
  </si>
  <si>
    <t xml:space="preserve">активные эффекты.</t>
  </si>
  <si>
    <t xml:space="preserve">добавление повторного эффекта.</t>
  </si>
  <si>
    <t xml:space="preserve">эффект не содержит собственного правила.</t>
  </si>
  <si>
    <t xml:space="preserve">имя, источник, значение, длительность.</t>
  </si>
  <si>
    <t xml:space="preserve">Нормативная база (действует во всей непротиворечащей части):
одноимённые эффекты одного источника не складываются: оставить наиболее сильное значение, повтором обновить длительность; разноимённые эффекты разных источников складываются.
Приоритетные авторские дельты (заменяют только прямо пересекающиеся ветви):
[Q-CORE-023] Одноимённые эффекты не суммируются независимо от источника: действует наибольшее числовое значение, а сроки каждого источника отсчитываются отдельно. 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</si>
  <si>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нормализованный список эффектов.</t>
  </si>
  <si>
    <t xml:space="preserve">фармацевтика запрещает сложение одноимённых эффектов в целом; конкретное правило сильнее.
Поздние дельты применяются по приоритету AQ3 &gt; AQ2 &gt; AQA/CQA &gt; базовая карточка; локальное исключение сильнее общего.</t>
  </si>
  <si>
    <t xml:space="preserve">фармацевтика запрещает сложение одноимённых эффектов в целом; конкретное правило сильнее.</t>
  </si>
  <si>
    <t xml:space="preserve">Нормативная база (действует во всей непротиворечащей части):
[Q-CORE-023] Одноимённые эффекты не суммируются независимо от источника: действует наибольшее числовое значение, а сроки каждого источника отсчитываются отдельно.
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</si>
  <si>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Q-CORE-023</t>
  </si>
  <si>
    <t xml:space="preserve">CORE-081</t>
  </si>
  <si>
    <t xml:space="preserve">Слоты навыков от Мудрости</t>
  </si>
  <si>
    <t xml:space="preserve">навык / вместимость.</t>
  </si>
  <si>
    <t xml:space="preserve">два пула слотов.</t>
  </si>
  <si>
    <t xml:space="preserve">создание и изменение W.</t>
  </si>
  <si>
    <t xml:space="preserve">постоянное W на соответствующий момент.</t>
  </si>
  <si>
    <t xml:space="preserve">Нормативная база (действует во всей непротиворечащей части):
startSlots=ceil(W/2); отдельный trainingSlots=floor(W/2); повышение W после выбора навыков не добавляет стартовых слотов — новые считаются учебными; снижение W не удаляет уже полученные навыки.
Приоритетные авторские дельты (заменяют только прямо пересекающиеся ветви):
[Q-CORE-024] После выбора стартовых навыков фиксируется максимальное постоянное W, достигнутое персонажем.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</si>
  <si>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ёмкости пулов и занятые слоты.</t>
  </si>
  <si>
    <t xml:space="preserve">поведение динамического учебного пула при последующем снижении/повышении W — Q-CORE-024.
Поздние дельты применяются по приоритету AQ3 &gt; AQ2 &gt; AQA/CQA &gt; базовая карточка; локальное исключение сильнее общего.</t>
  </si>
  <si>
    <t xml:space="preserve">startSlots=ceil(W/2); отдельный trainingSlots=floor(W/2); повышение W после выбора навыков не добавляет стартовых слотов — новые считаются учебными; снижение W не удаляет уже полученные навыки.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</si>
  <si>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Q-CORE-024</t>
  </si>
  <si>
    <t xml:space="preserve">CORE-085</t>
  </si>
  <si>
    <t xml:space="preserve">Счётчик критов и рост характеристики</t>
  </si>
  <si>
    <t xml:space="preserve">развитие / крит.</t>
  </si>
  <si>
    <t xml:space="preserve">характеристика-модификатор проверки.</t>
  </si>
  <si>
    <t xml:space="preserve">подтверждённый критический успех или провал значимой проверки.</t>
  </si>
  <si>
    <t xml:space="preserve">характеристика действительно была прибавлена.</t>
  </si>
  <si>
    <t xml:space="preserve">Подтверждённая критическая градация и характеристика для отдельного события роста характеристики; symbiontXpEvent обрабатывается независимо CORE-230.</t>
  </si>
  <si>
    <t xml:space="preserve">Сохранить действующую механику роста характеристик за подтверждённые криты. Новый symbiontXpProgressPoints не является её общим крит-счётчиком и не заменяет characteristic progression.</t>
  </si>
  <si>
    <t xml:space="preserve">Событие роста характеристики и не более одного события опыта симбионтов могут сосуществовать у одного originRollId как разные типы событий.</t>
  </si>
  <si>
    <t xml:space="preserve">Запрет Q-CORE-025 на общий счётчик относится только к росту характеристик; он отменён новым решением лишь в части отдельного счётчика опыта симбионтов.</t>
  </si>
  <si>
    <t xml:space="preserve">характеристика действительно была прибавлена.
Нормативная база (действует во всей непротиворечащей части):
если характеристика одна — адресовать ей отметки; если несколько — равновероятно выбрать одну из действительно прибавленных; counter+=grade; за каждые 10 отметок characteristic+=1, остаток сохранить.</t>
  </si>
  <si>
    <t xml:space="preserve">grade (Crit=1, Double=2, Triple=3, Ultra=4, Rampage=5), список участвовавших характеристик.
если характеристика одна — адресовать ей отметки; если несколько — равновероятно выбрать одну из действительно прибавленных; counter+=grade; за каждые 10 отметок characteristic+=1, остаток сохранить.</t>
  </si>
  <si>
    <t xml:space="preserve">Смешивать symbiontXpProgressPoints со счётчиками характеристик; взаимно дедуплицировать разные типы событий.</t>
  </si>
  <si>
    <t xml:space="preserve">Раздельные eventType, state path и idempotency key для CHARACTERISTIC_PROGRESS и SYMBIONT_XP.</t>
  </si>
  <si>
    <t xml:space="preserve">§5.2.1, стр. 87.
Прямое уточнение пользователя 2026-07-29 — боевой приоритет критов
Прямое авторское решение Q-SYMBIONT-XP-001 — опыт симбионтов за natural 20/1, 2026-07-30</t>
  </si>
  <si>
    <t xml:space="preserve">Q-CORE-025
Q-COMBAT-CRIT-001
Q-SYMBIONT-XP-001</t>
  </si>
  <si>
    <t xml:space="preserve">CORE-229
CORE-075
SYM-021
CORE-230
CORE-231
CORE-233</t>
  </si>
  <si>
    <t xml:space="preserve">CORE-088</t>
  </si>
  <si>
    <t xml:space="preserve">Персонаж, предметы и базовая механика — Боевая ситуация, инициатива и действия</t>
  </si>
  <si>
    <t xml:space="preserve">Сцена нападения</t>
  </si>
  <si>
    <t xml:space="preserve">бой / засада.</t>
  </si>
  <si>
    <t xml:space="preserve">обнаруженные атакующие</t>
  </si>
  <si>
    <t xml:space="preserve">предварительная сцена.</t>
  </si>
  <si>
    <t xml:space="preserve">успешная засада.</t>
  </si>
  <si>
    <t xml:space="preserve">сторона инициировала неожиданное нападение.</t>
  </si>
  <si>
    <t xml:space="preserve">атакующие, чистые R20 их взаимного порядка.</t>
  </si>
  <si>
    <t xml:space="preserve">Нормативная база (действует во всей непротиворечащей части):
для учёта сцена атакующей стороны имеет инициативу 21; каждый обнаруженный атакующий получает ровно 1 боевое действие; серии и небоевого действия нет; внутренний порядок атакующих определяется чистым R20, ничья перебрасывается; затем все бросают обычную инициативу; сцена не считается обычным кругом для длительностей/усталости.
Приоритетные авторские дельты (заменяют только прямо пересекающиеся ветви):
[Q-CORE-026] В сцене нападения атакованная цель может применять обычные доступные активные защиты и пассивную броню, если конкретная атака не запрещает защиту.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</si>
  <si>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предварительные действия и переход в очередь.</t>
  </si>
  <si>
    <t xml:space="preserve">возможность активной защиты внезапно атакованной цели требует Q-CORE-026.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</si>
  <si>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для учёта сцена атакующей стороны имеет инициативу 21; каждый обнаруженный атакующий получает ровно 1 боевое действие; серии и небоевого действия нет; внутренний порядок атакующих определяется чистым R20, ничья перебрасывается; затем все бросают обычную инициативу; сцена не считается обычным кругом для длительностей/усталости.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
предварительные действия и переход в очередь.</t>
  </si>
  <si>
    <t xml:space="preserve">атакующие, чистые R20 их взаимного порядка.
для учёта сцена атакующей стороны имеет инициативу 21; каждый обнаруженный атакующий получает ровно 1 боевое действие; серии и небоевого действия нет; внутренний порядок атакующих определяется чистым R20, ничья перебрасывается; затем все бросают обычную инициативу; сцена не считается обычным кругом для длительностей/усталости.</t>
  </si>
  <si>
    <t xml:space="preserve">[Q-CORE-026] В сцене нападения атакованная цель может применять обычные доступные активные защиты и пассивную броню, если конкретная атака не запрещает защиту.</t>
  </si>
  <si>
    <t xml:space="preserve">Нормативная база (действует во всей непротиворечащей части):
для учёта сцена атакующей стороны имеет инициативу 21; каждый обнаруженный атакующий получает ровно 1 боевое действие; серии и небоевого действия нет; внутренний порядок атакующих определяется чистым R20, ничья перебрасывается; затем все бросают обычную инициативу; сцена не считается обычным кругом для длительностей/усталости.</t>
  </si>
  <si>
    <t xml:space="preserve">§5.4.1, стр. 92–94.</t>
  </si>
  <si>
    <t xml:space="preserve">Q-CORE-026</t>
  </si>
  <si>
    <t xml:space="preserve">CORE-090</t>
  </si>
  <si>
    <t xml:space="preserve">Скрытое вступление в бой</t>
  </si>
  <si>
    <t xml:space="preserve">бой / подкрепление.</t>
  </si>
  <si>
    <t xml:space="preserve">не обнаруженный персонаж.</t>
  </si>
  <si>
    <t xml:space="preserve">добровольное вступление.</t>
  </si>
  <si>
    <t xml:space="preserve">на момент действия действительно не обнаружен; один раз на вступление.</t>
  </si>
  <si>
    <t xml:space="preserve">действие сцены нападения, затем R20 инициативы.</t>
  </si>
  <si>
    <t xml:space="preserve">Нормативная база (действует во всей непротиворечащей части):
получить одну собственную сцену нападения/одно действие; немедленно бросить инициативу и вставить в очередь; если новая позиция текущего круга уже прошла, первый обычный ход — следующий круг.
Приоритетные авторские дельты (заменяют только прямо пересекающиеся ветви):
[Q-CORE-026] В сцене нападения атакованная цель может применять обычные доступные активные защиты и пассивную броню, если конкретная атака не запрещает защиту.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</si>
  <si>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участник добавлен.</t>
  </si>
  <si>
    <t xml:space="preserve">реакция других участников на эту сцену — Q-CORE-026.
Поздние дельты применяются по приоритету AQ3 &gt; AQ2 &gt; AQA/CQA &gt; базовая карточка; локальное исключение сильнее общего.</t>
  </si>
  <si>
    <t xml:space="preserve">на момент действия действительно не обнаружен; один раз на вступление.
действие сцены нападения, затем R20 инициативы.
Нормативная база (действует во всей непротиворечащей части):
получить одну собственную сцену нападения/одно действие; немедленно бросить инициативу и вставить в очередь; если новая позиция текущего круга уже прошла, первый обычный ход — следующий круг.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</si>
  <si>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Нормативная база (действует во всей непротиворечащей части):
получить одну собственную сцену нападения/одно действие; немедленно бросить инициативу и вставить в очередь; если новая позиция текущего круга уже прошла, первый обычный ход — следующий круг.</t>
  </si>
  <si>
    <t xml:space="preserve">CORE-091</t>
  </si>
  <si>
    <t xml:space="preserve">Штраф от нескольких ближних противников</t>
  </si>
  <si>
    <t xml:space="preserve">бой / окружение.</t>
  </si>
  <si>
    <t xml:space="preserve">защиты от ближних атак.</t>
  </si>
  <si>
    <t xml:space="preserve">первая атака нового ближнего противника в текущем круге.</t>
  </si>
  <si>
    <t xml:space="preserve">противник совершил ≥1 ближнюю атаку и остаётся на ближней дистанции.</t>
  </si>
  <si>
    <t xml:space="preserve">множество разных таких противников.</t>
  </si>
  <si>
    <t xml:space="preserve">против первого штраф 0; второго −4; третьего −8; далее −4×(ordinal−1) ко всем защитам от ближних атак этих участников; число атак одного не увеличивает; новый круг очищает множество.</t>
  </si>
  <si>
    <t xml:space="preserve">круговой счётчик и штраф защиты.</t>
  </si>
  <si>
    <t xml:space="preserve">не применяется к дальним атакам, метанию и способностям участников вне окружения; действие текущей ступени штрафа на последующие атаки ранее учтённого противника требует Q-CORE-053.</t>
  </si>
  <si>
    <t xml:space="preserve">первая атака нового ближнего противника в текущем круге.
против первого штраф 0; второго −4; третьего −8; далее −4×(ordinal−1) ко всем защитам от ближних атак этих участников; число атак одного не увеличивает; новый круг очищает множество.
круговой счётчик и штраф защиты.</t>
  </si>
  <si>
    <t xml:space="preserve">Q-CORE-053</t>
  </si>
  <si>
    <t xml:space="preserve">CORE-093</t>
  </si>
  <si>
    <t xml:space="preserve">Перемещение</t>
  </si>
  <si>
    <t xml:space="preserve">позиция.</t>
  </si>
  <si>
    <t xml:space="preserve">расход 1 боевого действия на перемещение.</t>
  </si>
  <si>
    <t xml:space="preserve">персонаж может двигаться.</t>
  </si>
  <si>
    <t xml:space="preserve">R20,D,En, тип местности и трёхмерный путь.</t>
  </si>
  <si>
    <t xml:space="preserve">Нормативная база (действует во всей непротиворечащей части):
distance=max(0,R20+D−10×En) м, где En — число разных противников на дистанции рукопашной атаки в начале; сложная местность, плавание, карабканье или ползком делят итог на 2; вертикаль входит в путь. Нулевая дистанция всё равно расходует действие.
Приоритетные авторские дельты (заменяют только прямо пересекающиеся ветви):
[Q-CORE-027] В бою приложение хранит двумерные координаты центра каждого участника (x, y) в метрах. Прямая дистанция, радиусы и попадание точки участника в линию или область рассчитываются автоматически по этим координатам. Рукопашное взаимодействие доступно при прямой дистанции не более 2 метров. Приложение не контролирует доступность пути, считаем все пути возможными. особая дальность оружия или способности имеет приоритет. Препятствия, укрытия, перепады высоты и поиск маршрута приложение автоматически не моделирует: мастер на них так же не влияет.</t>
  </si>
  <si>
    <t xml:space="preserve">новая позиция/матрица расстояний.</t>
  </si>
  <si>
    <t xml:space="preserve">порог «дистанции рукопашной атаки» и модель позиции не заданы.
Поздние дельты применяются по приоритету AQ3 &gt; AQ2 &gt; AQA/CQA &gt; базовая карточка; локальное исключение сильнее общего.</t>
  </si>
  <si>
    <t xml:space="preserve">расход 1 боевого действия на перемещение.
Нормативная база (действует во всей непротиворечащей части):
Нулевая дистанция всё равно расходует действие.</t>
  </si>
  <si>
    <t xml:space="preserve">R20,D,En, тип местности и трёхмерный путь.
distance=max(0,R20+D−10×En) м, где En — число разных противников на дистанции рукопашной атаки в начале; сложная местность, плавание, карабканье или ползком делят итог на 2; вертикаль входит в путь.</t>
  </si>
  <si>
    <t xml:space="preserve">Q-CORE-027</t>
  </si>
  <si>
    <t xml:space="preserve">Общие длительности и периодика</t>
  </si>
  <si>
    <t xml:space="preserve">бой / эффект.</t>
  </si>
  <si>
    <t xml:space="preserve">источник/цель</t>
  </si>
  <si>
    <t xml:space="preserve">длительный эффект.</t>
  </si>
  <si>
    <t xml:space="preserve">эффект создан.</t>
  </si>
  <si>
    <t xml:space="preserve">расчётная длительность &gt;0.</t>
  </si>
  <si>
    <t xml:space="preserve">N, источник в инициативе, формулировка минут/ходов.</t>
  </si>
  <si>
    <t xml:space="preserve">Нормативная база (действует во всей непротиворечащей части):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
Приоритетные авторские дельты (заменяют только прямо пересекающиеся ветви):
[Q-CORE-062] 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Таймер или периодический эффект, созданный в текущем разрешении, в этот же момент не уменьшается и впервые срабатывает в следующий предусмотренный правилами момент. Порции урона остаются отдельными для сопротивлений и триггеров, но изменение HP применяется до единой проверки состояния.
[Q-CORE-063] 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t>
  </si>
  <si>
    <t xml:space="preserve">таймер/тики.</t>
  </si>
  <si>
    <t xml:space="preserve">конкретно указанный момент сильнее; порядок нескольких эффектов одного момента — Q-CORE-062; переход между боевым/мирным режимом — Q-CORE-063.
Поздние дельты применяются по приоритету AQ3 &gt; AQ2 &gt; AQA/CQA &gt; базовая карточка; локальное исключение сильнее общего.</t>
  </si>
  <si>
    <t xml:space="preserve">N, источник в инициативе, формулировка минут/ходов.
Нормативная база (действует во всей непротиворечащей части):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
Для обычного эффекта 1 ход равен 1 минуте; для тяжёлого ранения 1 ход равен 5 минутам.</t>
  </si>
  <si>
    <t xml:space="preserve">[Q-CORE-062] 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Порции урона остаются отдельными для сопротивлений и триггеров, но изменение HP применяется до единой проверки состояния.</t>
  </si>
  <si>
    <t xml:space="preserve">N, источник в инициативе, формулировка минут/ходов.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t>
  </si>
  <si>
    <t xml:space="preserve">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t>
  </si>
  <si>
    <t xml:space="preserve">N, источник в инициативе, формулировка минут/ходов.
Нормативная база (действует во всей непротиворечащей части):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t>
  </si>
  <si>
    <t xml:space="preserve">[Q-CORE-062] 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t>
  </si>
  <si>
    <t xml:space="preserve">Q-CORE-062
Q-CORE-063</t>
  </si>
  <si>
    <t xml:space="preserve">CORE-106</t>
  </si>
  <si>
    <t xml:space="preserve">Персонаж, предметы и базовая механика — Виды урона, раны и травмы</t>
  </si>
  <si>
    <t xml:space="preserve">Шрам от ударного урона</t>
  </si>
  <si>
    <t xml:space="preserve">урон / долгосрочное последствие.</t>
  </si>
  <si>
    <t xml:space="preserve">получившая удар цель</t>
  </si>
  <si>
    <t xml:space="preserve">одна порция фактически полученного ударного урона &gt;30.</t>
  </si>
  <si>
    <t xml:space="preserve">цель пережила разрешение урона.</t>
  </si>
  <si>
    <t xml:space="preserve">чистый R20 возникновения, второй чистый R20 локализации.</t>
  </si>
  <si>
    <t xml:space="preserve">Нормативная база (действует во всей непротиворечащей части):
если первый R20&lt;2, создать шрам на атакованной части; второй R20: чем ниже, тем виднее; при втором 19–20 игрок сам выбирает локализацию и шрам даёт контекстное C+1; иначе видимый шрам даёт контекстное C−2 при общении с НПС.
Приоритетные авторские дельты (заменяют только прямо пересекающиеся ветви):
[Q-CORE-028] В windows приложении мы не учитываем шрамы, ожоги и их видимость</t>
  </si>
  <si>
    <t xml:space="preserve">запись шрама, зона, видимость, charismaDelta.</t>
  </si>
  <si>
    <t xml:space="preserve">точная карта локализации не задана; социальное применение вне охвата.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</si>
  <si>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если первый R20&lt;2, создать шрам на атакованной части; второй R20: чем ниже, тем виднее; при втором 19–20 игрок сам выбирает локализацию и шрам даёт контекстное C+1; иначе видимый шрам даёт контекстное C−2 при общении с НПС.</t>
  </si>
  <si>
    <t xml:space="preserve">чистый R20 возникновения, второй чистый R20 локализации.
если первый R20&lt;2, создать шрам на атакованной части; второй R20: чем ниже, тем виднее; при втором 19–20 игрок сам выбирает локализацию и шрам даёт контекстное C+1; иначе видимый шрам даёт контекстное C−2 при общении с НПС.</t>
  </si>
  <si>
    <t xml:space="preserve">§5.4.3.1, стр. 96.</t>
  </si>
  <si>
    <t xml:space="preserve">Q-CORE-028</t>
  </si>
  <si>
    <t xml:space="preserve">CORE-110</t>
  </si>
  <si>
    <t xml:space="preserve">Пищевое и алкогольное отравление</t>
  </si>
  <si>
    <t xml:space="preserve">пища/алкоголь</t>
  </si>
  <si>
    <t xml:space="preserve">подтверждённое отравление.</t>
  </si>
  <si>
    <t xml:space="preserve">соответствующий источник.</t>
  </si>
  <si>
    <t xml:space="preserve">Z, независимые R4/R12/R20.</t>
  </si>
  <si>
    <t xml:space="preserve">Нормативная база (действует во всей непротиворечащей части):
пища: порция R4, частота R12 раз в сутки, срок R20×2−Z часов; если срок ≤0, эффект не возникает. Алкоголь/некачественный алкоголь: 5 HP в час, срок 30−Z часов, при ≤0 не возникает.
Приоритетные авторские дельты (заменяют только прямо пересекающиеся ветви):
[Q-CORE-029] В windows приложении мы не учитываем пищевое отравление</t>
  </si>
  <si>
    <t xml:space="preserve">расписание тиков.</t>
  </si>
  <si>
    <t xml:space="preserve">распределение R12 тиков внутри суток не задано.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</si>
  <si>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пища: порция R4, частота R12 раз в сутки, срок R20×2−Z часов; если срок ≤0, эффект не возникает.
Алкоголь/некачественный алкоголь: 5 HP в час, срок 30−Z часов, при ≤0 не возникает.</t>
  </si>
  <si>
    <t xml:space="preserve">Алкоголь/некачественный алкоголь: 5 HP в час, срок 30−Z часов, при ≤0 не возникает.</t>
  </si>
  <si>
    <t xml:space="preserve">Z, независимые R4/R12/R20.
пища: порция R4, частота R12 раз в сутки, срок R20×2−Z часов; если срок ≤0, эффект не возникает.
распределение R12 тиков внутри суток не задано.</t>
  </si>
  <si>
    <t xml:space="preserve">пища: порция R4, частота R12 раз в сутки, срок R20×2−Z часов; если срок ≤0, эффект не возникает.
Алкоголь/некачественный алкоголь: 5 HP в час, срок 30−Z часов, при ≤0 не возникает.</t>
  </si>
  <si>
    <t xml:space="preserve">Нормативная база (действует во всей непротиворечащей части):
пища: порция R4, частота R12 раз в сутки, срок R20×2−Z часов; если срок ≤0, эффект не возникает.
Алкоголь/некачественный алкоголь: 5 HP в час, срок 30−Z часов, при ≤0 не возникает.
распределение R12 тиков внутри суток не задано.</t>
  </si>
  <si>
    <t xml:space="preserve">Q-CORE-029</t>
  </si>
  <si>
    <t xml:space="preserve">CORE-111</t>
  </si>
  <si>
    <t xml:space="preserve">Урон электричеством и ожог</t>
  </si>
  <si>
    <t xml:space="preserve">урон / электричество.</t>
  </si>
  <si>
    <t xml:space="preserve">электрический источник</t>
  </si>
  <si>
    <t xml:space="preserve">порция электрического урона.</t>
  </si>
  <si>
    <t xml:space="preserve">воздействие достигло цели.</t>
  </si>
  <si>
    <t xml:space="preserve">damage, кольчуга/Нэйт, зона, чистые R20.</t>
  </si>
  <si>
    <t xml:space="preserve">Нормативная база (действует во всей непротиворечащей части):
игнорировать всю броню кроме кольчуги и Нэйта; применить их снижение; травму не проверять. Если фактически полученная порция &gt;30, чистый R20: при &lt;4 создать ожог в зоне; второй R20 определяет видимость качественно; видимый ожог имеет C−5 при общении с НПС.
Приоритетные авторские дельты (заменяют только прямо пересекающиеся ветви):
[Q-CORE-014] 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
[Q-CORE-028] В windows приложении мы не учитываем шрамы, ожоги и их видимость</t>
  </si>
  <si>
    <t xml:space="preserve">HP и, возможно, ожог.</t>
  </si>
  <si>
    <t xml:space="preserve">точная защита Нэйта Q-CORE-014; локализация Q-CORE-028.
Поздние дельты применяются по приоритету AQ3 &gt; AQ2 &gt; AQA/CQA &gt; базовая карточка; локальное исключение сильнее общего.</t>
  </si>
  <si>
    <t xml:space="preserve">damage, кольчуга/Нэйт, зона, чистые R20.
Если фактически полученная порция &gt;30, чистый R20: при &lt;4 создать ожог в зоне; второй R20 определяет видимость качественно; видимый ожог имеет C−5 при общении с НПС.</t>
  </si>
  <si>
    <t xml:space="preserve">§5.4.3.4, стр. 96–97.</t>
  </si>
  <si>
    <t xml:space="preserve">Q-CORE-014
Q-CORE-028</t>
  </si>
  <si>
    <t xml:space="preserve">CORE-112</t>
  </si>
  <si>
    <t xml:space="preserve">Базовое горение</t>
  </si>
  <si>
    <t xml:space="preserve">урон / огонь.</t>
  </si>
  <si>
    <t xml:space="preserve">возгорание</t>
  </si>
  <si>
    <t xml:space="preserve">персонаж и экипировка.</t>
  </si>
  <si>
    <t xml:space="preserve">цель загорелась.</t>
  </si>
  <si>
    <t xml:space="preserve">есть горящий материал/плоть.</t>
  </si>
  <si>
    <t xml:space="preserve">число закрытых одеждой/бронёй частей тела, рюкзак.</t>
  </si>
  <si>
    <t xml:space="preserve">Нормативная база (действует во всей непротиворечащей части):
огонь игнорирует броню, не травмирует; наносит 10 урона раз в минуту/в конце каждого боевого хода цели; длительность увеличивается на 2 минуты/хода за каждую закрытую часть тела и ещё 2 за рюкзак; предмет, не потушенный 2 минуты/хода, негоден, включая содержимое рюкзака, кроме предметов без горючих элементов.
Приоритетные авторские дельты (заменяют только прямо пересекающиеся ветви):
[Q-CORE-030] 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</si>
  <si>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горение, HP, уничтожение предметов.</t>
  </si>
  <si>
    <t xml:space="preserve">базовая длительность, распространение и состав горящих предметов не заданы.
Поздние дельты применяются по приоритету AQ3 &gt; AQ2 &gt; AQA/CQA &gt; базовая карточка; локальное исключение сильнее общего.</t>
  </si>
  <si>
    <t xml:space="preserve">число закрытых одеждой/бронёй частей тела, рюкзак.
Нормативная база (действует во всей непротиворечащей части):
огонь игнорирует броню, не травмирует; наносит 10 урона раз в минуту/в конце каждого боевого хода цели; длительность увеличивается на 2 минуты/хода за каждую закрытую часть тела и ещё 2 за рюкзак; предмет, не потушенный 2 минуты/хода, негоден, включая содержимое рюкзака, кроме предметов без горючих элементов.
Досрочное тушение обычными действиями отдельно не рассчитывается: после его разрешения по сцене мастер снимает статус вручную.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</si>
  <si>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есть горящий материал/плоть.
горение, HP, уничтожение предметов.</t>
  </si>
  <si>
    <t xml:space="preserve">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</si>
  <si>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Повторное возгорание не создаёт второй статус и не наносит немедленный тик: остаток становится равным максимуму текущей и новой длительности.</t>
  </si>
  <si>
    <t xml:space="preserve">число закрытых одеждой/бронёй частей тела, рюкзак.
Нормативная база (действует во всей непротиворечащей части):
огонь игнорирует броню, не травмирует; наносит 10 урона раз в минуту/в конце каждого боевого хода цели; длительность увеличивается на 2 минуты/хода за каждую закрытую часть тела и ещё 2 за рюкзак; предмет, не потушенный 2 минуты/хода, негоден, включая содержимое рюкзака, кроме предметов без горючих элементов.
[Q-CORE-030] 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t>
  </si>
  <si>
    <t xml:space="preserve">Самообладание при полном возгорании</t>
  </si>
  <si>
    <t xml:space="preserve">огонь / контроль действий.</t>
  </si>
  <si>
    <t xml:space="preserve">полностью горящий персонаж</t>
  </si>
  <si>
    <t xml:space="preserve">текущие действия.</t>
  </si>
  <si>
    <t xml:space="preserve">вся экипировка охвачена огнём.</t>
  </si>
  <si>
    <t xml:space="preserve">начало/момент необходимости действовать.</t>
  </si>
  <si>
    <t xml:space="preserve">R20+M+mods (Единый +15), R20+10 мастера.</t>
  </si>
  <si>
    <t xml:space="preserve">Нормативная база (действует во всей непротиворечащей части):
если персонаж строго превышает мастера — свобода действий; иначе все доступные действия тратятся на избавление от горящих частей/тушение при воде или горящей плоти; сложность отдельных действий назначает мастер.
Приоритетные авторские дельты (заменяют только прямо пересекающиеся ветви):
[Q-CORE-031] В начале каждого личного хода горящего персонажа выполняется проверка самообладания. При успехе действия используются обычно. При провале персонаж бросает обычную серию действий и автоматически тратит каждое полученное действие на уменьшение remainingTurns горения на 1. Если remainingTurns достигает нуля раньше исчерпания серии, горение снимается, а оставшиеся действия этого хода доступны обычно. Полный автоматический пропуск хода не применяется.</t>
  </si>
  <si>
    <t xml:space="preserve">свободный ход либо принудительный план действий.</t>
  </si>
  <si>
    <t xml:space="preserve">точный момент повторения проверки не задан.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</si>
  <si>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если персонаж строго превышает мастера — свобода действий; иначе все доступные действия тратятся на избавление от горящих частей/тушение при воде или горящей плоти; сложность отдельных действий назначает мастер.
При успехе действия используются обычно.
При провале персонаж бросает обычную серию действий и автоматически тратит каждое полученное действие на уменьшение remainingTurns горения на 1.
Если remainingTurns достигает нуля раньше исчерпания серии, горение снимается, а оставшиеся действия этого хода доступны обычно.</t>
  </si>
  <si>
    <t xml:space="preserve">Нормативная база (действует во всей непротиворечащей части):
если персонаж строго превышает мастера — свобода действий; иначе все доступные действия тратятся на избавление от горящих частей/тушение при воде или горящей плоти; сложность отдельных действий назначает мастер.
[Q-CORE-031] В начале каждого личного хода горящего персонажа выполняется проверка самообладания.
Если remainingTurns достигает нуля раньше исчерпания серии, горение снимается, а оставшиеся действия этого хода доступны обычно.
Полный автоматический пропуск хода не применяется.
свободный ход либо принудительный план действий.</t>
  </si>
  <si>
    <t xml:space="preserve">§5.4.3.5, стр. 97; §3.2.6.1.1, стр. 48.</t>
  </si>
  <si>
    <t xml:space="preserve">Q-CORE-030
Q-CORE-031</t>
  </si>
  <si>
    <t xml:space="preserve">CORE-115</t>
  </si>
  <si>
    <t xml:space="preserve">Ожоги от огня</t>
  </si>
  <si>
    <t xml:space="preserve">огонь / долгосрочное последствие.</t>
  </si>
  <si>
    <t xml:space="preserve">горящая цель</t>
  </si>
  <si>
    <t xml:space="preserve">поражённые зоны.</t>
  </si>
  <si>
    <t xml:space="preserve">каждые накопленные 30 урона от одного возгорания.</t>
  </si>
  <si>
    <t xml:space="preserve">возгорание активно/учёт его накопления.</t>
  </si>
  <si>
    <t xml:space="preserve">чистый R20; D6 зоны, если зон несколько; второй R20 локализации.</t>
  </si>
  <si>
    <t xml:space="preserve">Нормативная база (действует во всей непротиворечащей части):
на каждом пороге 30 бросить R20; при &lt;5 создать ожог; при нескольких зонах случайно D6 выбрать одну; второй R20 задаёт качественную видимость; видимый ожог C−5 при общении с НПС.
Приоритетные авторские дельты (заменяют только прямо пересекающиеся ветви):
[Q-CORE-028] В windows приложении мы не учитываем шрамы, ожоги и их видимость
[Q-CORE-032] 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t>
  </si>
  <si>
    <t xml:space="preserve">счётчик урона возгорания, ожог.</t>
  </si>
  <si>
    <t xml:space="preserve">D6-карта для произвольного множества/не-гуманоида и точная локализация не заданы.
Поздние дельты применяются по приоритету AQ3 &gt; AQ2 &gt; AQA/CQA &gt; базовая карточка; локальное исключение сильнее общего.</t>
  </si>
  <si>
    <t xml:space="preserve">чистый R20
D6 зоны, если зон несколько; второй R20 локализации.
на каждом пороге 30 бросить R20; при &lt;5 создать ожог; при нескольких зонах случайно D6 выбрать одну; второй R20 задаёт качественную видимость; видимый ожог C−5 при общении с НПС.
D6-карта для произвольного множества/не-гуманоида и точная локализация не заданы.</t>
  </si>
  <si>
    <t xml:space="preserve">Q-CORE-028
Q-CORE-032</t>
  </si>
  <si>
    <t xml:space="preserve">CORE-119</t>
  </si>
  <si>
    <t xml:space="preserve">Травма ноги/руки</t>
  </si>
  <si>
    <t xml:space="preserve">травма / конечность.</t>
  </si>
  <si>
    <t xml:space="preserve">гуманоид/четвероногое</t>
  </si>
  <si>
    <t xml:space="preserve">конкретная конечность.</t>
  </si>
  <si>
    <t xml:space="preserve">CORE-117 по конечности.</t>
  </si>
  <si>
    <t xml:space="preserve">зона конечности.</t>
  </si>
  <si>
    <t xml:space="preserve">независимый R12, Z.</t>
  </si>
  <si>
    <t xml:space="preserve">Нормативная база (действует во всей непротиворечащей части):
injury=max(0,round_math(R12−Z/3)); нога — штраф injury к перемещению/уклонению (штрафы двух ног суммируются); рука — штраф injury к атаке/защите при использовании этой руки. Если injury&gt;6: конечность не действует и общий −5 ко всем проверкам; такие общие штрафы нескольких тяжёлых конечностей суммируются. Отключение конечности симбионтом даёт аналогичный эффект.
Приоритетные авторские дельты (заменяют только прямо пересекающиеся ветви):
[Q-CORE-033] Значения повторных травм одной конечности складываются в её общий штраф. Если суммарная травма превышает 6, конечность становится недействующей; общий штраф −5 применяется один раз за каждую недействующую конечность.</t>
  </si>
  <si>
    <t xml:space="preserve">травма/недееспособность/штрафы.</t>
  </si>
  <si>
    <t xml:space="preserve">повторные травмы одной конечности не регламентированы.
Поздние дельты применяются по приоритету AQ3 &gt; AQ2 &gt; AQA/CQA &gt; базовая карточка; локальное исключение сильнее общего.</t>
  </si>
  <si>
    <t xml:space="preserve">независимый R12, Z.
injury=max(0,round_math(R12−Z/3)); нога — штраф injury к перемещению/уклонению (штрафы двух ног суммируются); рука — штраф injury к атаке/защите при использовании этой руки.</t>
  </si>
  <si>
    <t xml:space="preserve">Если суммарная травма превышает 6, конечность становится недействующей; общий штраф −5 применяется один раз за каждую недействующую конечность.</t>
  </si>
  <si>
    <t xml:space="preserve">§5.4.4.1.1, стр. 98; уточнение стр. 99.</t>
  </si>
  <si>
    <t xml:space="preserve">Q-CORE-033</t>
  </si>
  <si>
    <t xml:space="preserve">CORE-120</t>
  </si>
  <si>
    <t xml:space="preserve">Травма головы гуманоида</t>
  </si>
  <si>
    <t xml:space="preserve">травма / голова.</t>
  </si>
  <si>
    <t xml:space="preserve">следующее действие и ход.</t>
  </si>
  <si>
    <t xml:space="preserve">CORE-117 по голове.</t>
  </si>
  <si>
    <t xml:space="preserve">injury=max(0,round_math(R12−Z/3)).</t>
  </si>
  <si>
    <t xml:space="preserve">Нормативная база (действует во всей непротиворечащей части):
наложить прямой −injury на следующее действие цели; если injury&gt;6 — оглушить: пропуск следующего хода в бою / отключение на 5 минут вне боя. Любая активная защита головы получает +5.
Приоритетные авторские дельты (заменяют только прямо пересекающиеся ветви):
[Q-CORE-034] 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Действие без проверочного броска штраф не расходует.</t>
  </si>
  <si>
    <t xml:space="preserve">одноразовый штраф и, возможно, оглушение.</t>
  </si>
  <si>
    <t xml:space="preserve">что считается «следующим действием» при реакции до своего хода — Q-CORE-034.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</si>
  <si>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наложить прямой −injury на следующее действие цели; если injury&gt;6 — оглушить: пропуск следующего хода в бою / отключение на 5 минут вне боя.
[Q-CORE-034] 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Действие без проверочного броска штраф не расходует.
что считается «следующим действием» при реакции до своего хода — Q-CORE-034.</t>
  </si>
  <si>
    <t xml:space="preserve">Нормативная база (действует во всей непротиворечащей части):
наложить прямой −injury на следующее действие цели; если injury&gt;6 — оглушить: пропуск следующего хода в бою / отключение на 5 минут вне боя.
[Q-CORE-034] 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что считается «следующим действием» при реакции до своего хода — Q-CORE-034.</t>
  </si>
  <si>
    <t xml:space="preserve">§5.4.4.1.2, стр. 98–99.</t>
  </si>
  <si>
    <t xml:space="preserve">Q-CORE-034</t>
  </si>
  <si>
    <t xml:space="preserve">CORE-122</t>
  </si>
  <si>
    <t xml:space="preserve">Зоны многоконечного существа</t>
  </si>
  <si>
    <t xml:space="preserve">существо с &gt;4 конечностями</t>
  </si>
  <si>
    <t xml:space="preserve">зона.</t>
  </si>
  <si>
    <t xml:space="preserve">случайная зона стрельбы.</t>
  </si>
  <si>
    <t xml:space="preserve">чистый D4; список конечностей.</t>
  </si>
  <si>
    <t xml:space="preserve">Нормативная база (действует во всей непротиворечащей части):
1 голова/головогрудь; 2 корпус/грудь/брюшко; 3 случайная перемещающая конечность; 4 случайная атакующая конечность.
Приоритетные авторские дельты (заменяют только прямо пересекающиеся ветви):
[Q-CORE-035] В windows приложении мы используем только классическую анатомию</t>
  </si>
  <si>
    <t xml:space="preserve">targetZone/limbId.</t>
  </si>
  <si>
    <t xml:space="preserve">если конечность относится к обеим группам или допустимых нет — не задано.
Поздние дельты применяются по приоритету AQ3 &gt; AQ2 &gt; AQA/CQA &gt; базовая карточка; локальное исключение сильнее общего.</t>
  </si>
  <si>
    <t xml:space="preserve">§5.4.4.2, стр. 98–99.</t>
  </si>
  <si>
    <t xml:space="preserve">Q-CORE-035</t>
  </si>
  <si>
    <t xml:space="preserve">CORE-123</t>
  </si>
  <si>
    <t xml:space="preserve">Травма конечности многоконечного существа</t>
  </si>
  <si>
    <t xml:space="preserve">травма / многоконечное.</t>
  </si>
  <si>
    <t xml:space="preserve">существо</t>
  </si>
  <si>
    <t xml:space="preserve">конечность.</t>
  </si>
  <si>
    <t xml:space="preserve">тип конечности известен.</t>
  </si>
  <si>
    <t xml:space="preserve">Li общее число, Ht число нетравмированных, R12,Z для атакующей.</t>
  </si>
  <si>
    <t xml:space="preserve">Нормативная база (действует во всей непротиворечащей части):
перемещающая конечность: штраф к перемещению round_math(Li/Ht); при Ht=0 движение этими конечностями невозможно и деления нет. Атакующая: штраф атак этой конечностью max(0,round_math(R12−Z/3)).
Приоритетные авторские дельты (заменяют только прямо пересекающиеся ветви):
[Q-CORE-036] Штраф к перемещению является одним динамическим значением Li/Ht и не суммируется отдельно за каждую травму. После изменения числа нетравмированных перемещающих конечностей Ht он пересчитывается; при Ht=0 такое перемещение невозможно.</t>
  </si>
  <si>
    <t xml:space="preserve">штраф/невозможность.</t>
  </si>
  <si>
    <t xml:space="preserve">складывание штрафа за несколько травмированных перемещающих конечностей не определено.
Поздние дельты применяются по приоритету AQ3 &gt; AQ2 &gt; AQA/CQA &gt; базовая карточка; локальное исключение сильнее общего.</t>
  </si>
  <si>
    <t xml:space="preserve">Li общее число, Ht число нетравмированных, R12,Z для атакующей.
перемещающая конечность: штраф к перемещению round_math(Li/Ht); при Ht=0 движение этими конечностями невозможно и деления нет.
Атакующая: штраф атак этой конечностью max(0,round_math(R12−Z/3)).
После изменения числа нетравмированных перемещающих конечностей Ht он пересчитывается; при Ht=0 такое перемещение невозможно.</t>
  </si>
  <si>
    <t xml:space="preserve">перемещающая конечность: штраф к перемещению round_math(Li/Ht); при Ht=0 движение этими конечностями невозможно и деления нет.
После изменения числа нетравмированных перемещающих конечностей Ht он пересчитывается; при Ht=0 такое перемещение невозможно.
штраф/невозможность.</t>
  </si>
  <si>
    <t xml:space="preserve">§5.4.4.2.1, стр. 99.</t>
  </si>
  <si>
    <t xml:space="preserve">Q-CORE-035
Q-CORE-036</t>
  </si>
  <si>
    <t xml:space="preserve">CORE-124</t>
  </si>
  <si>
    <t xml:space="preserve">Травма корпуса/головы многоконечного</t>
  </si>
  <si>
    <t xml:space="preserve">HP или боевой дух.</t>
  </si>
  <si>
    <t xml:space="preserve">CORE-117 по корпусу/голове.</t>
  </si>
  <si>
    <t xml:space="preserve">для корпуса R12,Z; для головы чистый D12 и, при 12, чистый R20.</t>
  </si>
  <si>
    <t xml:space="preserve">Нормативная база (действует во всей непротиворечащей части):
корпус — добавить один раз max(0,round_math(R12−Z/3)) урона без рекурсии; голова — D12 1–11 добавить выпавшее к урону, D12=12 не добавляет это число, а запускает чистую проверку боевого духа R20: &lt;10 — существо обращается в бегство.
Приоритетные авторские дельты (заменяют только прямо пересекающиеся ветви):
[Q-CORE-037] Флаг «бегство» устанавливается добровольно в начале личного хода либо принудительно эффектом правила.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 Ближайший противник определяется заново перед каждым перемещением, равенство разрешается случайно. Атаки запрещены, доступные защитные реакции сохраняются. Когда после перемещения расстояние до ближайшего противника становится больше 150 метров, существо немедленно исключается из боя.</t>
  </si>
  <si>
    <t xml:space="preserve">HP/состояние бегства.</t>
  </si>
  <si>
    <t xml:space="preserve">автоматическое поведение «бегство» и его завершение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</si>
  <si>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
Атаки запрещены, доступные защитные реакции сохраняются.</t>
  </si>
  <si>
    <t xml:space="preserve">для корпуса R12,Z; для головы чистый D12 и, при 12, чистый R20.
корпус — добавить один раз max(0,round_math(R12−Z/3)) урона без рекурсии; голова — D12 1–11 добавить выпавшее к урону, D12=12 не добавляет это число, а запускает чистую проверку боевого духа R20: &lt;10 — существо обращается в бегство.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t>
  </si>
  <si>
    <t xml:space="preserve">Атаки запрещены, доступные защитные реакции сохраняются.</t>
  </si>
  <si>
    <t xml:space="preserve">Нормативная база (действует во всей непротиворечащей части):
[Q-CORE-037] Флаг «бегство» устанавливается добровольно в начале личного хода либо принудительно эффектом правила.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t>
  </si>
  <si>
    <t xml:space="preserve">корпус — добавить один раз max(0,round_math(R12−Z/3)) урона без рекурсии; голова — D12 1–11 добавить выпавшее к урону, D12=12 не добавляет это число, а запускает чистую проверку боевого духа R20: &lt;10 — существо обращается в бегство.</t>
  </si>
  <si>
    <t xml:space="preserve">§5.4.4.2.2–5.4.4.2.3, стр. 99.</t>
  </si>
  <si>
    <t xml:space="preserve">Q-CORE-035
Q-CORE-037</t>
  </si>
  <si>
    <t xml:space="preserve">CORE-127</t>
  </si>
  <si>
    <t xml:space="preserve">Персонаж, предметы и базовая механика — Атаки, борьба, защита и броня</t>
  </si>
  <si>
    <t xml:space="preserve">Стрельба по неживой цели</t>
  </si>
  <si>
    <t xml:space="preserve">неживой объект.</t>
  </si>
  <si>
    <t xml:space="preserve">выстрел.</t>
  </si>
  <si>
    <t xml:space="preserve">цель допустима.</t>
  </si>
  <si>
    <t xml:space="preserve">проверка точности, сложность мастера, прочность/броня объекта.</t>
  </si>
  <si>
    <t xml:space="preserve">Нормативная база (действует во всей непротиворечащей части):
попасть при строгом превышении назначенной сложности; затем применить Pr/урон, если объект имеет броню/HP.
Приоритетные авторские дельты (заменяют только прямо пересекающиеся ветви):
[Q-CORE-038] В windows приложении мы не учитываем не живые объекты в боевых ситуациях</t>
  </si>
  <si>
    <t xml:space="preserve">повреждение объекта.</t>
  </si>
  <si>
    <t xml:space="preserve">модель прочности неживых объектов не определена в охваченных разделах.
Поздние дельты применяются по приоритету AQ3 &gt; AQ2 &gt; AQA/CQA &gt; базовая карточка; локальное исключение сильнее общего.</t>
  </si>
  <si>
    <t xml:space="preserve">попасть при строгом превышении назначенной сложности; затем применить Pr/урон, если объект имеет броню/HP.</t>
  </si>
  <si>
    <t xml:space="preserve">§5.4.5.1, стр. 99.</t>
  </si>
  <si>
    <t xml:space="preserve">Q-CORE-038</t>
  </si>
  <si>
    <t xml:space="preserve">CORE-128</t>
  </si>
  <si>
    <t xml:space="preserve">Метание оружия: дальность и зона</t>
  </si>
  <si>
    <t xml:space="preserve">атака / метание.</t>
  </si>
  <si>
    <t xml:space="preserve">оружие ближнего боя и цель.</t>
  </si>
  <si>
    <t xml:space="preserve">заявление метания.</t>
  </si>
  <si>
    <t xml:space="preserve">описание оружия не запрещает; действие после броска дальности отменить нельзя.</t>
  </si>
  <si>
    <t xml:space="preserve">R12, бонус «Метания» L, S, фактическая дистанция; D6/D4 зоны.</t>
  </si>
  <si>
    <t xml:space="preserve">Нормативная база (действует во всей непротиворечащей части):
range=max(0,round_math(R12+L+S/4+applicablePenalties)); если оружие не долетает, действие/оружие всё равно разрешаются по траектории и отмены нет; если живой объект достижим — случайно определить зону.
Приоритетные авторские дельты (заменяют только прямо пересекающиеся ветви):
[Q-CORE-061] Стрелы и болты всегда расходуются и объектами карты не становятся. Каждый брошенный предмет является уникальным экземпляром: при объявлении он удаляется из инвентаря и после разрешения создаётся объектом карты. При недолёте он оказывается на максимальной рассчитанной дальности по направлению к цели; при промахе отклоняется от цели на R6 метров в направлении D12 по циферблату с ограничением дальностью броска. Соседний персонаж может подобрать объект за 1 действие. После победы экземпляр возвращается исходному владельцу только если всё ещё лежит в доступной точке и не был подобран; при поражении, ничьей или бегстве автоматического возврата нет.</t>
  </si>
  <si>
    <t xml:space="preserve">дальность полёта/зона/позиция оружия.</t>
  </si>
  <si>
    <t xml:space="preserve">без «Метания» общий штраф −3 ко всем проверкам метания; конечная позиция оружия/боеприпаса Q-CORE-061.
Поздние дельты применяются по приоритету AQ3 &gt; AQ2 &gt; AQA/CQA &gt; базовая карточка; локальное исключение сильнее общего.</t>
  </si>
  <si>
    <t xml:space="preserve">описание оружия не запрещает; действие после броска дальности отменить нельзя.
Нормативная база (действует во всей непротиворечащей части):
range=max(0,round_math(R12+L+S/4+applicablePenalties)); если оружие не долетает, действие/оружие всё равно разрешаются по траектории и отмены нет; если живой объект достижим — случайно определить зону.
Соседний персонаж может подобрать объект за 1 действие.</t>
  </si>
  <si>
    <t xml:space="preserve">R12, бонус «Метания» L, S, фактическая дистанция
D6/D4 зоны.
range=max(0,round_math(R12+L+S/4+applicablePenalties)); если оружие не долетает, действие/оружие всё равно разрешаются по траектории и отмены нет; если живой объект достижим — случайно определить зону.
При недолёте он оказывается на максимальной рассчитанной дальности по направлению к цели; при промахе отклоняется от цели на R6 метров в направлении D12 по циферблату с ограничением дальностью броска.</t>
  </si>
  <si>
    <t xml:space="preserve">описание оружия не запрещает; действие после броска дальности отменить нельзя.
При недолёте он оказывается на максимальной рассчитанной дальности по направлению к цели; при промахе отклоняется от цели на R6 метров в направлении D12 по циферблату с ограничением дальностью броска.</t>
  </si>
  <si>
    <t xml:space="preserve">§5.4.5.2, стр. 99–100.</t>
  </si>
  <si>
    <t xml:space="preserve">Q-CORE-061</t>
  </si>
  <si>
    <t xml:space="preserve">CORE-129</t>
  </si>
  <si>
    <t xml:space="preserve">Метание оружия: попадание и урон</t>
  </si>
  <si>
    <t xml:space="preserve">оружие долетает.</t>
  </si>
  <si>
    <t xml:space="preserve">CORE-128.</t>
  </si>
  <si>
    <t xml:space="preserve">R20+D+weaponSkill+mods+accuracyBonus активного профиля, защита/сложность, penetrationDefinition, S и damageDefinition.</t>
  </si>
  <si>
    <t xml:space="preserve">Нормативная база (действует во всей непротиворечащей части):
точность модифицируют D и навык ближнего владения оружием; живую цель строго превысить, неживую — сложность; урон модифицирует S; Pr по каталогу; без навыка оружия −5 ко всем проверкам метания, без «Метания» ещё −3; штрафы складываются. Для двуручного меча/шпаги/двуручного топора/кастета ещё −10.
Приоритетные авторские дельты (заменяют только прямо пересекающиеся ветви):
[Q-CORE-039] При метании оружия к его урону добавляется только S, как прямо установлено разделом метания. Оружейный навык влияет только на меткость в соответствии с ответом Q-CORE-005; навыки «Метание» и обращения с оружием к урону не прибавляются.
[Q-CORE-057] Специальное правило метания является явным исключением из Q-CORE-005. При отсутствии навыка обращения с метаемым оружием применяется один штраф −5 вместо предметного штрафа за отсутствие того же навыка; при отсутствии навыка «Метание» дополнительно применяется −3. Оба штрафа изменяют каждую прямо названную проверку в процедуре метания — дальность, меткость и пробитие, — но не бросок урона. Предметный штраф повторно не добавляется. При метании оружия оно покинет инвентарь, перестанет быть доступно и вернется в инвентарь только после окончания боевой ситуации в случае победы
Базовые урон, пробитие и accuracyBonus берутся из снимка активной версии профиля и разрешаются по CORE-189; правила метания добавляют свои модификаторы поверх этого снимка.</t>
  </si>
  <si>
    <t xml:space="preserve">урон/позиция брошенного оружия.</t>
  </si>
  <si>
    <t xml:space="preserve">добавляется ли бонус оружейного навыка к урону — Q-CORE-039; соотношение общего и предметного штрафа отсутствия владения — Q-CORE-057.
Поздние дельты применяются по приоритету AQ3 &gt; AQ2 &gt; AQA/CQA &gt; базовая карточка; локальное исключение сильнее общего.</t>
  </si>
  <si>
    <t xml:space="preserve">R20+D+weaponSkill+mods, защита/сложность, Pr оружия, S и базовый damage.</t>
  </si>
  <si>
    <t xml:space="preserve">§5.4.5.2, стр. 100.
Прямое уточнение пользователя 2026-07-28</t>
  </si>
  <si>
    <t xml:space="preserve">Q-CORE-039
Q-CORE-057</t>
  </si>
  <si>
    <t xml:space="preserve">CORE-005
CORE-128
CORE-188
CORE-189
CORE-190</t>
  </si>
  <si>
    <t xml:space="preserve">CORE-133</t>
  </si>
  <si>
    <t xml:space="preserve">Бросание персонажа как предмета</t>
  </si>
  <si>
    <t xml:space="preserve">атака / бросание персонажа.</t>
  </si>
  <si>
    <t xml:space="preserve">захваченный персонаж.</t>
  </si>
  <si>
    <t xml:space="preserve">бросок на дальность.</t>
  </si>
  <si>
    <t xml:space="preserve">цель взята в захват; если сопротивляется — успешно пройти борьбу; масса Mkg≤2×S.</t>
  </si>
  <si>
    <t xml:space="preserve">формулы бросания, масса цели, которую игрок цели задаёт в физиологических границах расы.</t>
  </si>
  <si>
    <t xml:space="preserve">Нормативная база (действует во всей непротиворечащей части):
бросить как CORE-130/131; при ударе цели о первое препятствие именно брошенный персонаж получает damage=R12+S+Mkg.
Приоритетные авторские дельты (заменяют только прямо пересекающиеся ветви):
[Q-CORE-040] В windows приложении мы не реализуем механику бросания персонажей (кроме борцовских бросков)</t>
  </si>
  <si>
    <t xml:space="preserve">позиция и HP брошенного.</t>
  </si>
  <si>
    <t xml:space="preserve">урон препятствию/второй цели не указан.
Поздние дельты применяются по приоритету AQ3 &gt; AQ2 &gt; AQA/CQA &gt; базовая карточка; локальное исключение сильнее общего.</t>
  </si>
  <si>
    <t xml:space="preserve">цель взята в захват; если сопротивляется — успешно пройти борьбу; масса Mkg≤2×S.
формулы бросания, масса цели, которую игрок цели задаёт в физиологических границах расы.
бросить как CORE-130/131; при ударе цели о первое препятствие именно брошенный персонаж получает damage=R12+S+Mkg.</t>
  </si>
  <si>
    <t xml:space="preserve">§5.4.5.3, стр. 100; уточнение стр. 102.</t>
  </si>
  <si>
    <t xml:space="preserve">Q-CORE-040</t>
  </si>
  <si>
    <t xml:space="preserve">CORE-137</t>
  </si>
  <si>
    <t xml:space="preserve">Общая проверка борьбы</t>
  </si>
  <si>
    <t xml:space="preserve">атака / борьба.</t>
  </si>
  <si>
    <t xml:space="preserve">выбор опции борьбы.</t>
  </si>
  <si>
    <t xml:space="preserve">цель достижима.</t>
  </si>
  <si>
    <t xml:space="preserve">R20+(S+D)/2+Борьба+Солдат+mods, защита цели.</t>
  </si>
  <si>
    <t xml:space="preserve">Нормативная база (действует во всей непротиворечащей части):
без «Борьбы» и без «Солдата» применить −5; цель выбирает борьбу, уклонение −15 или упреждающий удар −10; атакующий должен строго превысить результат; цена по умолчанию 1 действие.
Приоритетные авторские дельты (заменяют только прямо пересекающиеся ветви):
[Q-CORE-041] При защите от борьбы специальные значения заменяют общий штраф вида защиты: уклонение получает итоговый штраф −15, упреждающий удар — −10. Иные независимые ситуационные модификаторы применяются дополнительно.</t>
  </si>
  <si>
    <t xml:space="preserve">выбранная опция или провал.</t>
  </si>
  <si>
    <t xml:space="preserve">обычные штрафы вида защиты заменены указанными специальными штрафами или складываются — неясно.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</si>
  <si>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без «Борьбы» и без «Солдата» применить −5; цель выбирает борьбу, уклонение −15 или упреждающий удар −10; атакующий должен строго превысить результат; цена по умолчанию 1 действие.</t>
  </si>
  <si>
    <t xml:space="preserve">без «Борьбы» и без «Солдата» применить −5; цель выбирает борьбу, уклонение −15 или упреждающий удар −10; атакующий должен строго превысить результат; цена по умолчанию 1 действие.</t>
  </si>
  <si>
    <t xml:space="preserve">§5.4.5.5.3, стр. 101–102.</t>
  </si>
  <si>
    <t xml:space="preserve">Q-CORE-041</t>
  </si>
  <si>
    <t xml:space="preserve">CORE-138</t>
  </si>
  <si>
    <t xml:space="preserve">Захват и освобождение</t>
  </si>
  <si>
    <t xml:space="preserve">захваченная цель.</t>
  </si>
  <si>
    <t xml:space="preserve">успешная опция «взять в захват».</t>
  </si>
  <si>
    <t xml:space="preserve">CORE-137.</t>
  </si>
  <si>
    <t xml:space="preserve">сохранённый итог проверки захвата.</t>
  </si>
  <si>
    <t xml:space="preserve">Нормативная база (действует во всей непротиворечащей части):
цель не может уклоняться; −5 ко всем её атакующим/защитным действиям кроме способностей симбионтов; борец получает −8 на противодействие всем, кроме захваченного. Освобождение =1 действие и встречная борьба против сохранённого результата захвата со всеми модификаторами; равенство сохраняет захват.
Приоритетные авторские дельты (заменяют только прямо пересекающиеся ветви):
[Q-CORE-042] Один захват занимает одну свободную хватательную конечность; добровольно отпустить цель можно бесплатно. Одновременно удерживать можно не больше целей, чем есть свободных хватательных конечностей, однако двигаться разрешено только с одной удерживаемой целью: перед перемещением остальные захваты нужно прекратить. 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 При успехе оба перемещаются не более чем на половину обычной дистанции удерживающего, при провале позиции не меняются.</t>
  </si>
  <si>
    <t xml:space="preserve">связь grappler-target, сохранённый DC, штрафы.</t>
  </si>
  <si>
    <t xml:space="preserve">движение пары и возможность нескольких захватов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</si>
  <si>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цель не может уклоняться; −5 ко всем её атакующим/защитным действиям кроме способностей симбионтов; борец получает −8 на противодействие всем, кроме захваченного.
Освобождение =1 действие и встречная борьба против сохранённого результата захвата со всеми модификаторами; равенство сохраняет захват.
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t>
  </si>
  <si>
    <t xml:space="preserve">Освобождение =1 действие и встречная борьба против сохранённого результата захвата со всеми модификаторами; равенство сохраняет захват.</t>
  </si>
  <si>
    <t xml:space="preserve">При успехе оба перемещаются не более чем на половину обычной дистанции удерживающего, при провале позиции не меняются.</t>
  </si>
  <si>
    <t xml:space="preserve">§5.4.5.5.3(1), стр. 101–102.</t>
  </si>
  <si>
    <t xml:space="preserve">Q-CORE-042</t>
  </si>
  <si>
    <t xml:space="preserve">CORE-139</t>
  </si>
  <si>
    <t xml:space="preserve">Борцовский бросок</t>
  </si>
  <si>
    <t xml:space="preserve">борьба / приём.</t>
  </si>
  <si>
    <t xml:space="preserve">цель захвачена; масса ≤5×S; не более 1 борцовского броска в личный ход.</t>
  </si>
  <si>
    <t xml:space="preserve">проверка борьбы −5, противодействие; чистый D20 цели.</t>
  </si>
  <si>
    <t xml:space="preserve">Нормативная база (действует во всей непротиворечащей части):
при успехе цель получает 10 урона борьбы; затем чистый D20, при &lt;3 без сознания на 5 минут/1 личный боевой ход.
Приоритетные авторские дельты (заменяют только прямо пересекающиеся ветви):
[Q-CORE-043] После успешного борцовского броска захват прекращается, цель оказывается лежащей в пределах дистанции рукопашной атаки от борца, а борец остаётся на месте. Чтобы встать, цели требуется обычное одно боевое действие.</t>
  </si>
  <si>
    <t xml:space="preserve">HP/сознание; обновить лимит.</t>
  </si>
  <si>
    <t xml:space="preserve">сохраняется ли захват/меняется позиция после броска — не задано.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</si>
  <si>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успехе цель получает 10 урона борьбы; затем чистый D20, при &lt;3 без сознания на 5 минут/1 личный боевой ход.
Чтобы встать, цели требуется обычное одно боевое действие.</t>
  </si>
  <si>
    <t xml:space="preserve">цель захвачена; масса ≤5×S; не более 1 борцовского броска в личный ход.
проверка борьбы −5, противодействие; чистый D20 цели.
при успехе цель получает 10 урона борьбы; затем чистый D20, при &lt;3 без сознания на 5 минут/1 личный боевой ход.</t>
  </si>
  <si>
    <t xml:space="preserve">цель захвачена; масса ≤5×S; не более 1 борцовского броска в личный ход.
Нормативная база (действует во всей непротиворечащей части):
при успехе цель получает 10 урона борьбы; затем чистый D20, при &lt;3 без сознания на 5 минут/1 личный боевой ход.</t>
  </si>
  <si>
    <t xml:space="preserve">§5.4.5.5.3(2), стр. 102.</t>
  </si>
  <si>
    <t xml:space="preserve">Q-CORE-043</t>
  </si>
  <si>
    <t xml:space="preserve">CORE-140</t>
  </si>
  <si>
    <t xml:space="preserve">Выгодная позиция</t>
  </si>
  <si>
    <t xml:space="preserve">борьба / подготовка.</t>
  </si>
  <si>
    <t xml:space="preserve">следующая проверка борьбы.</t>
  </si>
  <si>
    <t xml:space="preserve">Нормативная база (действует во всей непротиворечащей части):
создать одноразовый +5 к следующему действию/проверке борьбы.
Приоритетные авторские дельты (заменяют только прямо пересекающиеся ветви):
[Q-CORE-044] Выгодную позицию можно занять только против уже захваченной цели; она сохраняется, пока этот захват не прекращён. +5 применяется и расходуется на следующей проверке борьбы против той же цели, а удушающий приём дополнительно требует действующего состояния выгодной позиции.</t>
  </si>
  <si>
    <t xml:space="preserve">флаг преимущества.</t>
  </si>
  <si>
    <t xml:space="preserve">срок, потребление при провале и необходимость захвата не указаны.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</si>
  <si>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создать одноразовый +5 к следующему действию/проверке борьбы.</t>
  </si>
  <si>
    <t xml:space="preserve">Нормативная база (действует во всей непротиворечащей части):
срок, потребление при провале и необходимость захвата не указаны.</t>
  </si>
  <si>
    <t xml:space="preserve">§5.4.5.5.3(3), стр. 102.</t>
  </si>
  <si>
    <t xml:space="preserve">Q-CORE-044</t>
  </si>
  <si>
    <t xml:space="preserve">CORE-143</t>
  </si>
  <si>
    <t xml:space="preserve">Болевой приём и выдавливание глаз</t>
  </si>
  <si>
    <t xml:space="preserve">борьба / контроль.</t>
  </si>
  <si>
    <t xml:space="preserve">удерживаемая незащищённая часть.</t>
  </si>
  <si>
    <t xml:space="preserve">успешный болевой приём.</t>
  </si>
  <si>
    <t xml:space="preserve">было удержание; зона не прикрыта бронёй.</t>
  </si>
  <si>
    <t xml:space="preserve">10 урона, проверка M цели против проверки приёма.</t>
  </si>
  <si>
    <t xml:space="preserve">Нормативная база (действует во всей непротиворечащей части):
нанести 10 урона борьбы; если Mcheck цели строго превышает результат приёма — свобода действий; иначе цель до снятия может делать только защитные действия борьбы для устранения источника боли. Одна попытка освобождения стоит 1 боевое действие и является встречной борьбой; равенство сохраняет приём. Выдавливание глаз требует, чтобы борьба атакующего превысила доступную защиту цели минимум на 15 и лицо не было закрыто прочной бронёй; при успехе цель теряет зрение.
Приоритетные авторские дельты (заменяют только прямо пересекающиеся ветви):
[Q-CORE-045] В windows приложении мы не реализуем механику выдавливания глаз</t>
  </si>
  <si>
    <t xml:space="preserve">ограничение действий/слепота.</t>
  </si>
  <si>
    <t xml:space="preserve">анатомический смысл «удержания конечности» для глаз и обратимость слепоты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</si>
  <si>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нанести 10 урона борьбы; если Mcheck цели строго превышает результат приёма — свобода действий; иначе цель до снятия может делать только защитные действия борьбы для устранения источника боли.
Одна попытка освобождения стоит 1 боевое действие и является встречной борьбой; равенство сохраняет приём.
ограничение действий/слепота.</t>
  </si>
  <si>
    <t xml:space="preserve">§5.4.5.5.3(6), стр. 102.</t>
  </si>
  <si>
    <t xml:space="preserve">Q-CORE-045</t>
  </si>
  <si>
    <t xml:space="preserve">CORE-144</t>
  </si>
  <si>
    <t xml:space="preserve">Удушающий приём</t>
  </si>
  <si>
    <t xml:space="preserve">борьба / контроль сознания.</t>
  </si>
  <si>
    <t xml:space="preserve">успешное наложение удушения.</t>
  </si>
  <si>
    <t xml:space="preserve">ранее занята выгодная позиция; цель не имеет защиты шеи/иммунитета.</t>
  </si>
  <si>
    <t xml:space="preserve">M цели, завершённые ходы K, попытки борьбы.</t>
  </si>
  <si>
    <t xml:space="preserve">Нормативная база (действует во всей непротиворечащей части):
required=max(1,round_math(M/5)); первый завершённый ход считать в конце хода наложения; при достижении required цель отключается до конца боя/на 5 минут; раз в свой ход цель может потратить действие на освобождение с штрафом −5×K, где K — уже завершённые ходы, минимум 1.
Приоритетные авторские дельты (заменяют только прямо пересекающиеся ветви):
[Q-CORE-046] Удушающий приём выполняется только по цепочке: действующий захват этой цели → успешное занятие выгодной позиции → отдельное действие удушения. Прекращение захвата на любом этапе отменяет выгодную позицию и удушение.</t>
  </si>
  <si>
    <t xml:space="preserve">choking timer/бессознательность.</t>
  </si>
  <si>
    <t xml:space="preserve">требуется ли базовый захват помимо выгодной позиции — Q-CORE-046.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</si>
  <si>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required=max(1,round_math(M/5)); первый завершённый ход считать в конце хода наложения; при достижении required цель отключается до конца боя/на 5 минут; раз в свой ход цель может потратить действие на освобождение с штрафом −5×K, где K — уже завершённые ходы, минимум 1.
[Q-CORE-046] Удушающий приём выполняется только по цепочке: действующий захват этой цели → успешное занятие выгодной позиции → отдельное действие удушения.</t>
  </si>
  <si>
    <t xml:space="preserve">required=max(1,round_math(M/5)); первый завершённый ход считать в конце хода наложения; при достижении required цель отключается до конца боя/на 5 минут; раз в свой ход цель может потратить действие на освобождение с штрафом −5×K, где K — уже завершённые ходы, минимум 1.</t>
  </si>
  <si>
    <t xml:space="preserve">M цели, завершённые ходы K, попытки борьбы.
Нормативная база (действует во всей непротиворечащей части):
required=max(1,round_math(M/5)); первый завершённый ход считать в конце хода наложения; при достижении required цель отключается до конца боя/на 5 минут; раз в свой ход цель может потратить действие на освобождение с штрафом −5×K, где K — уже завершённые ходы, минимум 1.</t>
  </si>
  <si>
    <t xml:space="preserve">§5.4.5.5.3(7), стр. 102.</t>
  </si>
  <si>
    <t xml:space="preserve">Q-CORE-046</t>
  </si>
  <si>
    <t xml:space="preserve">CORE-147</t>
  </si>
  <si>
    <t xml:space="preserve">Парирование</t>
  </si>
  <si>
    <t xml:space="preserve">защита / ближняя реакция.</t>
  </si>
  <si>
    <t xml:space="preserve">цель с клинковым оружием</t>
  </si>
  <si>
    <t xml:space="preserve">атакующий.</t>
  </si>
  <si>
    <t xml:space="preserve">клинковое оружие в руках, I≥5, попытка парирования в этом круге не потрачена.</t>
  </si>
  <si>
    <t xml:space="preserve">R20+D+Фехтование+weaponBonus−7+mods, точность атаки.</t>
  </si>
  <si>
    <t xml:space="preserve">при defense≥attack исходная атака отменяется; атакующий получает ответный удар без активной защиты, броня и обычное пробитие работают; отметить попытку и общий лимит дополнительной атаки.</t>
  </si>
  <si>
    <t xml:space="preserve">отмена и, возможно, ответный урон.</t>
  </si>
  <si>
    <t xml:space="preserve">зона, проверка точности и ресурсы ответного удара не заданы.</t>
  </si>
  <si>
    <t xml:space="preserve">§5.4.6.2, стр. 103.</t>
  </si>
  <si>
    <t xml:space="preserve">Упреждающий удар как защита</t>
  </si>
  <si>
    <t xml:space="preserve">I≥8; попытка в круге не использована.</t>
  </si>
  <si>
    <t xml:space="preserve">R20+(D+I)/2+Аналитическое мышление+weaponBonus−8+mods, результат атаки; выбранная физическая атака или наносящая урон способность ценой ≤1 действия.</t>
  </si>
  <si>
    <t xml:space="preserve">при defense≥attack исходную атаку сбить; выполнить выбранный удар/способность без активной защиты цели, но с обычной бронёй; попытка бесплатна, обновить круговые лимиты.</t>
  </si>
  <si>
    <t xml:space="preserve">отмена атаки и ответ.</t>
  </si>
  <si>
    <t xml:space="preserve">процедура попадания, оплата ОЭ/боеприпаса и зона ответа требуют Q-CORE-011.</t>
  </si>
  <si>
    <t xml:space="preserve">I≥8; попытка в круге не использована.
при defense≥attack исходную атаку сбить; выполнить выбранный удар/способность без активной защиты цели, но с обычной бронёй; попытка бесплатна, обновить круговые лимиты.</t>
  </si>
  <si>
    <t xml:space="preserve">Наслаивание брони</t>
  </si>
  <si>
    <t xml:space="preserve">слои зоны.</t>
  </si>
  <si>
    <t xml:space="preserve">экипировка слоя.</t>
  </si>
  <si>
    <t xml:space="preserve">силы достаточно либо принимается штраф CORE-016.</t>
  </si>
  <si>
    <t xml:space="preserve">зона и элементы.</t>
  </si>
  <si>
    <t xml:space="preserve">Нормативная база (действует во всей непротиворечащей части):
разрешить несколько слоёв; суммировать их спасброски в CORE-150; требования элементов суммировать.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
[Q-CORE-015] 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</si>
  <si>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ordered/unordered layers.</t>
  </si>
  <si>
    <t xml:space="preserve">физическая совместимость, максимум слоёв и складывание побочных свойств не заданы.
Поздние дельты применяются по приоритету AQ3 &gt; AQ2 &gt; AQA/CQA &gt; базовая карточка; локальное исключение сильнее общего.</t>
  </si>
  <si>
    <t xml:space="preserve">Условный штраф к M каждого типа доспеха применяется один раз, когда выполнен порог числа элементов этого типа; штрафы разных типов складываются.</t>
  </si>
  <si>
    <t xml:space="preserve">§5.4.4.1, стр. 98; §5.4.7, стр. 103.</t>
  </si>
  <si>
    <t xml:space="preserve">Q-CORE-013
Q-CORE-015</t>
  </si>
  <si>
    <t xml:space="preserve">CORE-016
CORE-023
CORE-150</t>
  </si>
  <si>
    <t xml:space="preserve">CORE-152</t>
  </si>
  <si>
    <t xml:space="preserve">Персонаж, предметы и базовая механика — Тяжёлое ранение и смерть</t>
  </si>
  <si>
    <t xml:space="preserve">Базовый запас HP и вход в тяжёлое ранение</t>
  </si>
  <si>
    <t xml:space="preserve">смерть / состояние.</t>
  </si>
  <si>
    <t xml:space="preserve">HP и жизненно важный орган.</t>
  </si>
  <si>
    <t xml:space="preserve">HP снижается до 0.</t>
  </si>
  <si>
    <t xml:space="preserve">симбиотическое улучшение не меняет максимум; базовый maxHP=100.</t>
  </si>
  <si>
    <t xml:space="preserve">урон, maxHP, дубли органов.</t>
  </si>
  <si>
    <t xml:space="preserve">Нормативная база (действует во всей непротиворечащей части):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Приоритетные авторские дельты (заменяют только прямо пересекающиеся ветви):
[Q-CORE-047] 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
[v1.3] База 100 не применяется к CustomMonster; его baseMaxHP задаёт мастер по CORE-202, а затем применяются симбиотические модификаторы.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</si>
  <si>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severelyWounded=true, HP=0, organ damaged.</t>
  </si>
  <si>
    <t xml:space="preserve">способ определения органа не задан; особая дееспособность CORE-154/таблетка CORE-069.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</si>
  <si>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</si>
  <si>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HP снижается до 0.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severelyWounded=true, HP=0, organ damaged.</t>
  </si>
  <si>
    <t xml:space="preserve">симбиотическое улучшение не меняет максимум; базовый maxHP=100.
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
severelyWounded=true, HP=0, organ damaged.</t>
  </si>
  <si>
    <t xml:space="preserve">Нормативная база (действует во всей непротиворечащей части):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</si>
  <si>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§5.5, стр. 104.
Прямое уточнение пользователя 2026-07-28 — шаблоны врагов v1.3
Предразработочный QA и прямые ответы пользователя 2026-07-29</t>
  </si>
  <si>
    <t xml:space="preserve">Q-CORE-047
Q-ENEMY-B11
Q-PREDEV-008</t>
  </si>
  <si>
    <t xml:space="preserve">CORE-069
CORE-154
CORE-202
CORE-207
CORE-222</t>
  </si>
  <si>
    <t xml:space="preserve">CORE-153</t>
  </si>
  <si>
    <t xml:space="preserve">Таймер смерти</t>
  </si>
  <si>
    <t xml:space="preserve">смерть / таймер.</t>
  </si>
  <si>
    <t xml:space="preserve">тяжело раненный</t>
  </si>
  <si>
    <t xml:space="preserve">жизнь.</t>
  </si>
  <si>
    <t xml:space="preserve">вход в тяжёлое ранение.</t>
  </si>
  <si>
    <t xml:space="preserve">ещё не окончательно мёртв.</t>
  </si>
  <si>
    <t xml:space="preserve">D6, наличие функционального дубля.</t>
  </si>
  <si>
    <t xml:space="preserve">Нормативная база (действует во всей непротиворечащей части):
в бою remainingTurns=D6, в конце каждого последующего собственного хода −1, при 0 смерть; вне боя отдельный D6×5 минут. При функциональном дубле на входе исходный таймер ×4 один раз.
Приоритетные авторские дельты (заменяют только прямо пересекающиеся ветви):
[Q-CORE-063] 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</si>
  <si>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таймер/окончательная смерть.</t>
  </si>
  <si>
    <t xml:space="preserve">несколько дублей не перемножаются; прекращение временного дубля не пересчитывает таймер; смена режима боя Q-CORE-063.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</si>
  <si>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в бою remainingTurns=D6, в конце каждого последующего собственного хода −1, при 0 смерть; вне боя отдельный D6×5 минут.
Для обычного эффекта 1 ход равен 1 минуте; для тяжёлого ранения 1 ход равен 5 минутам.</t>
  </si>
  <si>
    <t xml:space="preserve">D6, наличие функционального дубля.
в бою remainingTurns=D6, в конце каждого последующего собственного хода −1, при 0 смерть; вне боя отдельный D6×5 минут.
При функциональном дубле на входе исходный таймер ×4 один раз.</t>
  </si>
  <si>
    <t xml:space="preserve">Нормативная база (действует во всей непротиворечащей части):
в бою remainingTurns=D6, в конце каждого последующего собственного хода −1, при 0 смерть; вне боя отдельный D6×5 минут.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t>
  </si>
  <si>
    <t xml:space="preserve">При функциональном дубле на входе исходный таймер ×4 один раз.</t>
  </si>
  <si>
    <t xml:space="preserve">§5.5, стр. 104.
Предразработочный QA и прямые ответы пользователя 2026-07-29</t>
  </si>
  <si>
    <t xml:space="preserve">Q-CORE-063
Q-PREDEV-008</t>
  </si>
  <si>
    <t xml:space="preserve">CORE-222</t>
  </si>
  <si>
    <t xml:space="preserve">Дубль жизненно важного органа</t>
  </si>
  <si>
    <t xml:space="preserve">смерть / исключение.</t>
  </si>
  <si>
    <t xml:space="preserve">дееспособность.</t>
  </si>
  <si>
    <t xml:space="preserve">повреждённый орган имеет действующий функциональный дубль.</t>
  </si>
  <si>
    <t xml:space="preserve">дубль активен при входе.</t>
  </si>
  <si>
    <t xml:space="preserve">organId, duplicates.</t>
  </si>
  <si>
    <t xml:space="preserve">Нормативная база (действует во всей непротиворечащей части):
разрешить действовать в тяжёлом ранении; таймер ×4; если временный дубль исчез — запретить действия, таймер оставить. Урон всё равно добивает.
Приоритетные авторские дельты (заменяют только прямо пересекающиеся ветви):
[Q-CORE-047] 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</si>
  <si>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conditional capable.</t>
  </si>
  <si>
    <t xml:space="preserve">несколько дублей не усиливают; Химера «вдвое дольше» в уточнении унифицирована как ×4.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</si>
  <si>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разрешить действовать в тяжёлом ранении; таймер ×4; если временный дубль исчез — запретить действия, таймер оставить.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</si>
  <si>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разрешить действовать в тяжёлом ранении; таймер ×4; если временный дубль исчез — запретить действия, таймер оставить.
Химера «вдвое дольше» в уточнении унифицирована как ×4.</t>
  </si>
  <si>
    <t xml:space="preserve">Q-CORE-047</t>
  </si>
  <si>
    <t xml:space="preserve">CORE-159</t>
  </si>
  <si>
    <t xml:space="preserve">Персонаж, предметы и базовая механика — Создание персонажа</t>
  </si>
  <si>
    <t xml:space="preserve">Последовательность этапов создания</t>
  </si>
  <si>
    <t xml:space="preserve">создание / workflow.</t>
  </si>
  <si>
    <t xml:space="preserve">новый персонаж.</t>
  </si>
  <si>
    <t xml:space="preserve">начало создания.</t>
  </si>
  <si>
    <t xml:space="preserve">выбрана доступная игровая раса.</t>
  </si>
  <si>
    <t xml:space="preserve">раса/класс, метод характеристик, навыки, симбионты, имущество.</t>
  </si>
  <si>
    <t xml:space="preserve">Нормативная база (действует во всей непротиворечащей части):
1) получить/распределить 7 характеристик; 2) применить поправки выбранной расы (и класса Чистого); 3) рассчитать стартовые слоты и выбрать навыки; 4) Вольному/Единому выбрать симбионта(ов), применить их поправки; новые слоты W от симбионтов считать учебными; 5) определить стартовое имущество; финально проверить все характеристики ≥1, кроме специального пола случайных симбионтов.
Приоритетные авторские дельты (заменяют только прямо пересекающиеся ветви):
[Q-CORE-002] 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
[v1.3] Ветвь SENTIENT_ENEMY повторяет процесс персонажа с заменой только этапа характеристик по CORE-197. Ветвь CUSTOM_MONSTER использует отдельный payload CORE-199 и пропускает навыки/имущество.</t>
  </si>
  <si>
    <t xml:space="preserve">валидный персонаж.</t>
  </si>
  <si>
    <t xml:space="preserve">текст одновременно говорит применять поправки расы и симбионтов после распределения, но симбионты выбираются после навыков; порядок классового навыка/слота Q-CORE-002.
Поздние дельты применяются по приоритету AQ3 &gt; AQ2 &gt; AQA/CQA &gt; базовая карточка; локальное исключение сильнее общего.</t>
  </si>
  <si>
    <t xml:space="preserve">§6.1–6.4, стр. 105–110; §3.4.6–3.4.7, стр. 62–66.
Прямое уточнение пользователя 2026-07-28 — шаблоны врагов v1.3</t>
  </si>
  <si>
    <t xml:space="preserve">Q-CORE-002
Q-ENEMY-P9
Q-ENEMY-P10</t>
  </si>
  <si>
    <t xml:space="preserve">CORE-196
CORE-197
CORE-199</t>
  </si>
  <si>
    <t xml:space="preserve">CORE-160</t>
  </si>
  <si>
    <t xml:space="preserve">Классический способ характеристик</t>
  </si>
  <si>
    <t xml:space="preserve">создание / характеристики.</t>
  </si>
  <si>
    <t xml:space="preserve">7 базовых значений.</t>
  </si>
  <si>
    <t xml:space="preserve">выбор «Классический».</t>
  </si>
  <si>
    <t xml:space="preserve">7 независимых D20 и критические цепочки для 1/20.</t>
  </si>
  <si>
    <t xml:space="preserve">Нормативная база (действует во всей непротиворечащей части):
бросить один набор 7; после просмотра либо принять и биективно распределить по 7 характеристикам, либо безвозвратно отвергнуть и вручную распределить ровно 90 очков, не более 20 в одну.
Приоритетные авторские дельты (заменяют только прямо пересекающиеся ветви):
[Q-CORE-048] 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</si>
  <si>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базовые характеристики и постоянные крит-модификаторы.</t>
  </si>
  <si>
    <t xml:space="preserve">минимальное ручное значение до поправок и момент подтверждения критов относительно решения — Q-CORE-048/Q-CORE-049.
Поздние дельты применяются по приоритету AQ3 &gt; AQ2 &gt; AQA/CQA &gt; базовая карточка; локальное исключение сильнее общего.</t>
  </si>
  <si>
    <t xml:space="preserve">При отказе от набора все его значения и последствия критов полностью отбрасываются.</t>
  </si>
  <si>
    <t xml:space="preserve">[Q-CORE-048] При ручном распределении исходное значение характеристики не может быть меньше единицы, и не может быть отрицательным или превышать 20.
минимальное ручное значение до поправок и момент подтверждения критов относительно решения — Q-CORE-048/Q-CORE-049.</t>
  </si>
  <si>
    <t xml:space="preserve">§6.1.1.1, стр. 105.</t>
  </si>
  <si>
    <t xml:space="preserve">Q-CORE-048
Q-CORE-049</t>
  </si>
  <si>
    <t xml:space="preserve">CORE-161</t>
  </si>
  <si>
    <t xml:space="preserve">Авантюристский способ характеристик</t>
  </si>
  <si>
    <t xml:space="preserve">набор.</t>
  </si>
  <si>
    <t xml:space="preserve">выбор «Авантюристский».</t>
  </si>
  <si>
    <t xml:space="preserve">до двух наборов по 7 D20.</t>
  </si>
  <si>
    <t xml:space="preserve">Нормативная база (действует во всей непротиворечащей части):
после первого либо принять, либо навсегда отказаться и бросить второй; второй либо принять, либо вручную распределить ровно 85 очков (max20 до поправок).
Приоритетные авторские дельты (заменяют только прямо пересекающиеся ветви):
[Q-CORE-048] 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</si>
  <si>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базовые значения.</t>
  </si>
  <si>
    <t xml:space="preserve">Q-CORE-048/Q-CORE-049.
Поздние дельты применяются по приоритету AQ3 &gt; AQ2 &gt; AQA/CQA &gt; базовая карточка; локальное исключение сильнее общего.</t>
  </si>
  <si>
    <t xml:space="preserve">после первого либо принять, либо навсегда отказаться и бросить второй; второй либо принять, либо вручную распределить ровно 85 очков (max20 до поправок).
При отказе от набора все его значения и последствия критов полностью отбрасываются.</t>
  </si>
  <si>
    <t xml:space="preserve">[Q-CORE-048] При ручном распределении исходное значение характеристики не может быть меньше единицы, и не может быть отрицательным или превышать 20.</t>
  </si>
  <si>
    <t xml:space="preserve">§6.1.1.2, стр. 105.</t>
  </si>
  <si>
    <t xml:space="preserve">CORE-162</t>
  </si>
  <si>
    <t xml:space="preserve">«Всё или ничего»</t>
  </si>
  <si>
    <t xml:space="preserve">выбор метода.</t>
  </si>
  <si>
    <t xml:space="preserve">до 5 наборов по 7 D20.</t>
  </si>
  <si>
    <t xml:space="preserve">Нормативная база (действует во всей непротиворечащей части):
после наборов 1–4 принять текущий либо безвозвратно перейти к следующему; пятый обязателен; ручного распределения нет.
Приоритетные авторские дельты (заменяют только прямо пересекающиеся ветви):
[Q-CORE-049] 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</si>
  <si>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принятый набор.</t>
  </si>
  <si>
    <t xml:space="preserve">Q-CORE-049 о времени критического подтверждения.
Поздние дельты применяются по приоритету AQ3 &gt; AQ2 &gt; AQA/CQA &gt; базовая карточка; локальное исключение сильнее общего.</t>
  </si>
  <si>
    <t xml:space="preserve">после наборов 1–4 принять текущий либо безвозвратно перейти к следующему; пятый обязателен; ручного распределения нет.</t>
  </si>
  <si>
    <t xml:space="preserve">§6.1.1.3, стр. 105.</t>
  </si>
  <si>
    <t xml:space="preserve">Q-CORE-049</t>
  </si>
  <si>
    <t xml:space="preserve">CORE-163</t>
  </si>
  <si>
    <t xml:space="preserve">Критические 20/1 при создании характеристик</t>
  </si>
  <si>
    <t xml:space="preserve">создание / крит.</t>
  </si>
  <si>
    <t xml:space="preserve">значение случайного набора</t>
  </si>
  <si>
    <t xml:space="preserve">назначенная характеристика.</t>
  </si>
  <si>
    <t xml:space="preserve">D20 базового значения =20 или 1.</t>
  </si>
  <si>
    <t xml:space="preserve">специальное правило создания, обычный успех/провал не требуется.</t>
  </si>
  <si>
    <t xml:space="preserve">цепочка подтверждения 15–20 для 20 или 1–5 для 1; grade 1..5.</t>
  </si>
  <si>
    <t xml:space="preserve">Нормативная база (действует во всей непротиворечащей части):
подтверждённая 20: базовое значение 20+grade (Rampage=25); подтверждённая 1: характеристика остаётся базово 1, но добавить постоянный штраф −grade ко всем проверкам этой характеристики; неподтверждённая остаётся 20/1 без эффекта.
Приоритетные авторские дельты (заменяют только прямо пересекающиеся ветви):
[Q-CORE-050] Криты этапа создания применяют только специальные последствия §6.1 и не записываются в обычный счётчик развития характеристик. Счётчики развития начинают заполняться после завершения создания персонажа.
[v1.3] Создание SentientEnemy не бросает характеристики, а системные R20 CustomMonster не считаются creation checks; критические последствия этой карточки не применяются.
D20 создания персонажа, стартовых предметов и генерации их свойств имеют rollKind=CHARACTER_CREATION и маршрут NEVER_PROGRESSION.</t>
  </si>
  <si>
    <t xml:space="preserve">значение или отдельный creationCriticalPenalty.</t>
  </si>
  <si>
    <t xml:space="preserve">не записывать эти криты в обычный счётчик §5.2, если не указано иное; это не определено прямо.
Поздние дельты применяются по приоритету AQ3 &gt; AQ2 &gt; AQA/CQA &gt; базовая карточка; локальное исключение сильнее общего.
Натуральная 1/20 здесь не создаёт XP и баллы.</t>
  </si>
  <si>
    <t xml:space="preserve">D20 базового значения =20 или 1.
подтверждённая 20: базовое значение 20+grade (Rampage=25); подтверждённая 1: характеристика остаётся базово 1, но добавить постоянный штраф −grade ко всем проверкам этой характеристики; неподтверждённая остаётся 20/1 без эффекта.</t>
  </si>
  <si>
    <t xml:space="preserve">§6.1, стр. 105; §5.2, стр. 87–88.
Прямое уточнение пользователя 2026-07-28 — шаблоны врагов v1.3
Прямое авторское решение Q-SYMBIONT-XP-001 — опыт симбионтов за natural 20/1, 2026-07-30</t>
  </si>
  <si>
    <t xml:space="preserve">Q-CORE-050
Q-ENEMY-B2
Q-ENEMY-P9
Q-SYMBIONT-XP-001</t>
  </si>
  <si>
    <t xml:space="preserve">CORE-197
CORE-201
CORE-230</t>
  </si>
  <si>
    <t xml:space="preserve">CORE-166</t>
  </si>
  <si>
    <t xml:space="preserve">Требования и потеря доступа к навыку</t>
  </si>
  <si>
    <t xml:space="preserve">навык / валидация.</t>
  </si>
  <si>
    <t xml:space="preserve">выученный навык.</t>
  </si>
  <si>
    <t xml:space="preserve">изучение или изменение характеристики.</t>
  </si>
  <si>
    <t xml:space="preserve">все перечисленные требования соединены AND, если нет «или».</t>
  </si>
  <si>
    <t xml:space="preserve">постоянные/временные характеристики.</t>
  </si>
  <si>
    <t xml:space="preserve">Нормативная база (действует во всей непротиворечащей части):
изучить только при всех требованиях; временное снижение ниже требования не стирает навык, а отключает навык/бонус до восстановления; постоянное снижение по основному тексту «забывает» навык; снижение W/дефицит слотов само навыки не удаляет; отсутствие навыка без явно указанного штрафа = бонус 0, штраф 0.
Приоритетные авторские дельты (заменяют только прямо пересекающиеся ветви):
[Q-CORE-051] 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</si>
  <si>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active/inactive/forgotten.</t>
  </si>
  <si>
    <t xml:space="preserve">освобождаются ли слоты забытого навыка и возвращается ли он после восстановления постоянной характеристики — Q-CORE-051.
Поздние дельты применяются по приоритету AQ3 &gt; AQ2 &gt; AQA/CQA &gt; базовая карточка; локальное исключение сильнее общего.</t>
  </si>
  <si>
    <t xml:space="preserve">изучить только при всех требованиях; временное снижение ниже требования не стирает навык, а отключает навык/бонус до восстановления; постоянное снижение по основному тексту «забывает» навык; снижение W/дефицит слотов само навыки не удаляет; отсутствие навыка без явно указанного штрафа = бонус 0, штраф 0.</t>
  </si>
  <si>
    <t xml:space="preserve">§6.2, стр. 105, 108.</t>
  </si>
  <si>
    <t xml:space="preserve">Q-CORE-051</t>
  </si>
  <si>
    <t xml:space="preserve">Базовые броски стартового имущества</t>
  </si>
  <si>
    <t xml:space="preserve">игрок/мастер</t>
  </si>
  <si>
    <t xml:space="preserve">одежда, оружие, деньги.</t>
  </si>
  <si>
    <t xml:space="preserve">этап 4.</t>
  </si>
  <si>
    <t xml:space="preserve">мастер объявил доступные предметы происхождения и категории.</t>
  </si>
  <si>
    <t xml:space="preserve">D20 для качества одежды, оружия, количества денег; кампания/таблица.</t>
  </si>
  <si>
    <t xml:space="preserve">Нормативная база (действует во всей непротиворечащей части):
результаты интерпретирует/озвучивает мастер либо таблица кампании; точное число бросков и отображение шкалы качества на деньги не определены.
Приоритетные авторские дельты (заменяют только прямо пересекающиеся ветви):
[Q-CORE-052] До бросков игрок выбирает по одному конкретному виду одежды и оружия из стартового списка. Для одежды, оружия и денег выполняются три независимых D20. Для одежды и оружия результат задаёт описательный уровень качества по шкале PDF; сам тег не меняет характеристики без отдельной таблицы кампании. Для денег диапазоны означают: 1–4 — нет денег; 5–9 — малая сумма; 10–14 — обычная; 15–18 — крупная; 19 — исключительная; 20 — редкое состояние. Выбранные предметы и уровень денег создаются у персонажа и до входа в кампанию направляются мастеру. Мастер может одобрить, отклонить или заменить предмет и подтвердить либо скорректировать деньги.
D20 качества не изменяет механические характеристики профиля оружия. Готовый профиль проходит отдельный путь CORE-184–CORE-188.
D20 создания персонажа, стартовых предметов и генерации их свойств имеют rollKind=CHARACTER_CREATION и маршрут NEVER_PROGRESSION.</t>
  </si>
  <si>
    <t xml:space="preserve">стартовые категории имущества.</t>
  </si>
  <si>
    <t xml:space="preserve">требования предметов сохраняются, уникальные артефакты автоматически не возникают.
Поздние дельты применяются по приоритету AQ3 &gt; AQ2 &gt; AQA/CQA &gt; базовая карточка; локальное исключение сильнее общего.
Натуральная 1/20 здесь не создаёт XP и баллы.</t>
  </si>
  <si>
    <t xml:space="preserve">D20 для качества одежды, оружия, количества денег; кампания/таблица.
Для одежды, оружия и денег выполняются три независимых D20.</t>
  </si>
  <si>
    <t xml:space="preserve">Для одежды и оружия результат задаёт описательный уровень качества по шкале PDF; сам тег не меняет характеристики без отдельной таблицы кампании.
Мастер может одобрить, отклонить или заменить предмет и подтвердить либо скорректировать деньги.</t>
  </si>
  <si>
    <t xml:space="preserve">§6.4, стр. 110.
Прямое уточнение пользователя 2026-07-28
Прямое авторское решение Q-SYMBIONT-XP-001 — опыт симбионтов за natural 20/1, 2026-07-30</t>
  </si>
  <si>
    <t xml:space="preserve">Q-CORE-052
Q-SYMBIONT-XP-001</t>
  </si>
  <si>
    <t xml:space="preserve">CORE-184
CORE-185
CORE-186
CORE-187
CORE-188
CORE-230</t>
  </si>
  <si>
    <t xml:space="preserve">CORE-175</t>
  </si>
  <si>
    <t xml:space="preserve">Ручной выбор симбионтов при создании</t>
  </si>
  <si>
    <t xml:space="preserve">создание / симбионты.</t>
  </si>
  <si>
    <t xml:space="preserve">доступные слоты.</t>
  </si>
  <si>
    <t xml:space="preserve">игрок выбрал ручной, а не случайный способ.</t>
  </si>
  <si>
    <t xml:space="preserve">раса допускает симбионтов; применяются более высокие расовые штрафы CORE-001/006.</t>
  </si>
  <si>
    <t xml:space="preserve">выбранные виды и их slotCost.</t>
  </si>
  <si>
    <t xml:space="preserve">Нормативная база (действует во всей непротиворечащей части):
Вольному разрешить состав в пределах 1 слота; Единому — в пределах 4, включая одно доступное только Единому симбиотическое чудовище ценой 4; не допускать повтор вида CORE-171; затем применить эффекты симбионтов из отдельного каталога.
Приоритетные авторские дельты (заменяют только прямо пересекающиеся ветви):
[Q-CORE-054] При ручном выборе Вольный обязан выбрать ровно одного обычного симбионта. Единый обязан либо выбрать четыре разных обычных симбионта, либо выбрать одно симбиотическое чудовище, которое занимает все четыре слота; пустые слоты при создании не допускаются. В случайном режиме чудовище по-прежнему получается только по подтверждённому криту первого результативного броска.</t>
  </si>
  <si>
    <t xml:space="preserve">выбранный вручную состав.</t>
  </si>
  <si>
    <t xml:space="preserve">обязан ли игрок заполнить все доступные слоты и может ли вручную выбрать чудовище при создании, требует Q-CORE-054.
Поздние дельты применяются по приоритету AQ3 &gt; AQ2 &gt; AQA/CQA &gt; базовая карточка; локальное исключение сильнее общего.</t>
  </si>
  <si>
    <t xml:space="preserve">игрок выбрал ручной, а не случайный способ.
[Q-CORE-054] При ручном выборе Вольный обязан выбрать ровно одного обычного симбионта.</t>
  </si>
  <si>
    <t xml:space="preserve">§6.3, стр. 108; §3.2.6.2 стр. 48; §3.3.6.2 стр. 55.</t>
  </si>
  <si>
    <t xml:space="preserve">Q-CORE-054</t>
  </si>
  <si>
    <t xml:space="preserve">CORE-001
CORE-171</t>
  </si>
  <si>
    <t xml:space="preserve">CORE-177</t>
  </si>
  <si>
    <t xml:space="preserve">Известные ограничения занятости рук</t>
  </si>
  <si>
    <t xml:space="preserve">экипировка / руки.</t>
  </si>
  <si>
    <t xml:space="preserve">оружие и щит в руках.</t>
  </si>
  <si>
    <t xml:space="preserve">экипировка или смена хвата.</t>
  </si>
  <si>
    <t xml:space="preserve">требуемые конечности действуют.</t>
  </si>
  <si>
    <t xml:space="preserve">тип предмета/комплект.</t>
  </si>
  <si>
    <t xml:space="preserve">Нормативная база (действует во всей непротиворечащей части):
Кенси — единственный арбалет, прямо разрешающий одновременное использование двух экземпляров, по одному в каждой руке; обычный щит прямо совместим с одноручным либо полуторным оружием (полуторный использует требования хвата одной рукой); Корнадора/Бларадэ экипируются как собственные пары. Прочая занятость рук выводится из названия только после ответа Q-CORE-058.
Приоритетные авторские дельты (заменяют только прямо пересекающиеся ветви):
[Q-CORE-058] Одну руку занимают Кенси, грубое и всё названное одноручным оружие, кинжал, мизерикордия, шпага, клевец, кастет и обычный щит; две руки — остальные арбалеты (кроме Кенси), все луки, копьё и всё названное двуручным оружие. Для полуторного меча при экипировке выбирается фиксированный хват на одну или две руки без последующей смены в приложении; Корнадора и Бларадэ как полный комплект занимают две руки. В Windows-приложении мы не рассматриваем вариант возникновения дополнительной хватательной конечности и считаем его невозможным</t>
  </si>
  <si>
    <t xml:space="preserve">handSlots/activeGrip.</t>
  </si>
  <si>
    <t xml:space="preserve">анатомия с дополнительными руками и точные handCost не описаны.
Поздние дельты применяются по приоритету AQ3 &gt; AQ2 &gt; AQA/CQA &gt; базовая карточка; локальное исключение сильнее общего.</t>
  </si>
  <si>
    <t xml:space="preserve">В Windows-приложении мы не рассматриваем вариант возникновения дополнительной хватательной конечности и считаем его невозможным</t>
  </si>
  <si>
    <t xml:space="preserve">§4.2 стр. 69; §4.4 стр. 73, 77–80.</t>
  </si>
  <si>
    <t xml:space="preserve">Q-CORE-058</t>
  </si>
  <si>
    <t xml:space="preserve">SYM-004</t>
  </si>
  <si>
    <t xml:space="preserve">Обыкновенные симбионты — Общие правила симбионтов и развития</t>
  </si>
  <si>
    <t xml:space="preserve">Периодичность проверки естественного заражения</t>
  </si>
  <si>
    <t xml:space="preserve">заражение / игровое время.</t>
  </si>
  <si>
    <t xml:space="preserve">не-Чистый персонаж</t>
  </si>
  <si>
    <t xml:space="preserve">среда.</t>
  </si>
  <si>
    <t xml:space="preserve">непрерывный контакт с незащищённой внешней средой.</t>
  </si>
  <si>
    <t xml:space="preserve">есть свободный слот; персонаж не Чистый.</t>
  </si>
  <si>
    <t xml:space="preserve">длительность непрерывного контакта, наличие защиты, свободные слоты.</t>
  </si>
  <si>
    <t xml:space="preserve">Нормативная база (действует во всей непротиворечащей части):
разрешать не более одной проверки за каждый игровой час непрерывного контакта; отдельные касания внутри этого часа не создают дополнительные проверки.
Приоритетные авторские дельты (заменяют только прямо пересекающиеся ветви):
[Q-SYM-001] 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</si>
  <si>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инициируется проверка заражения по таблице/механике, не приведённой в 7.1–7.5.20.</t>
  </si>
  <si>
    <t xml:space="preserve">без свободного слота проверка не проводится.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</si>
  <si>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разрешать не более одной проверки за каждый игровой час непрерывного контакта; отдельные касания внутри этого часа не создают дополнительные проверки.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</si>
  <si>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разрешать не более одной проверки за каждый игровой час непрерывного контакта; отдельные касания внутри этого часа не создают дополнительные проверки.</t>
  </si>
  <si>
    <t xml:space="preserve">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</si>
  <si>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Q-SYM-001</t>
  </si>
  <si>
    <t xml:space="preserve">SYM-005</t>
  </si>
  <si>
    <t xml:space="preserve">Переброс занятого вида при естественном заражении</t>
  </si>
  <si>
    <t xml:space="preserve">заражение / случайный выбор.</t>
  </si>
  <si>
    <t xml:space="preserve">результат выбора вида.</t>
  </si>
  <si>
    <t xml:space="preserve">таблица заражения выдала уже занятый вид.</t>
  </si>
  <si>
    <t xml:space="preserve">проверка заражения состоялась; есть доступные обычные виды.</t>
  </si>
  <si>
    <t xml:space="preserve">выпавший вид, занятые и доступные обычные виды.</t>
  </si>
  <si>
    <t xml:space="preserve">Нормативная база (действует во всей непротиворечащей части):
повторять случайный выбор только среди доступных обыкновенных симбионтов до получения незанятого вида.
Приоритетные авторские дельты (заменяют только прямо пересекающиеся ветви):
[Q-SYM-001] 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</si>
  <si>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добавляется доступный обычный симбионт.</t>
  </si>
  <si>
    <t xml:space="preserve">симбиотическое чудовище не возникает, кроме прямо заданного мастером сюжетного события.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</si>
  <si>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</si>
  <si>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симбиотическое чудовище не возникает, кроме прямо заданного мастером сюжетного события.</t>
  </si>
  <si>
    <t xml:space="preserve">Полноценный отдых и частота его пользы</t>
  </si>
  <si>
    <t xml:space="preserve">восстановление / игровое время.</t>
  </si>
  <si>
    <t xml:space="preserve">персонаж и его активные симбионты.</t>
  </si>
  <si>
    <t xml:space="preserve">завершены не менее 4 непрерывных часов сна в условиях, позволяющих отдыхать.</t>
  </si>
  <si>
    <t xml:space="preserve">персонаж не получал пользу полного восстановления в текущем 24-часовом игровом периоде.</t>
  </si>
  <si>
    <t xml:space="preserve">Z, текущий/максимальный HP, текущий/максимальный ОЭ активных симбионтов, журнал отдыха.</t>
  </si>
  <si>
    <t xml:space="preserve">Нормативная база (действует во всей непротиворечащей части):
восстановить персонажу Z HP с применением общего предела HP; каждому активному симбионту установить currentOE=maxOE; зафиксировать использование восстановления.
Приоритетные авторские дельты (заменяют только прямо пересекающиеся ветви):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
[AQ3-003] В одной подтверждённой заявке отдыха полноценный отдых наступает при накоплении 240 минут. 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 Пауза приложения и остановка виртуального времени ничего не начисляют и не обнуляют. Скользящий 24-часовой лимит пользы не меняется.</t>
  </si>
  <si>
    <t xml:space="preserve">HP увеличен, ОЭ активных симбионтов полны.</t>
  </si>
  <si>
    <t xml:space="preserve">повторный 4-часовой сон в те же 24 игровых часа не повторяет HP/ОЭ-восстановление, но может иметь сюжетный эффект.
Поздние дельты применяются по приоритету AQ3 &gt; AQ2 &gt; AQA/CQA &gt; базовая карточка; локальное исключение сильнее общего.</t>
  </si>
  <si>
    <t xml:space="preserve">завершены не менее 4 непрерывных часов сна в условиях, позволяющих отдыхать.
персонаж не получал пользу полного восстановления в текущем 24-часовом игровом периоде.
Нормативная база (действует во всей непротиворечащей части):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t>
  </si>
  <si>
    <t xml:space="preserve">Z, текущий/максимальный HP, текущий/максимальный ОЭ активных симбионтов, журнал отдыха.
восстановить персонажу Z HP с применением общего предела HP; каждому активному симбионту установить currentOE=maxOE; зафиксировать использование восстановления.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
HP увеличен, ОЭ активных симбионтов полны.</t>
  </si>
  <si>
    <t xml:space="preserve">восстановить персонажу Z HP с применением общего предела HP; каждому активному симбионту установить currentOE=maxOE; зафиксировать использование восстановления.</t>
  </si>
  <si>
    <t xml:space="preserve">Скользящий 24-часовой лимит пользы не меняется.</t>
  </si>
  <si>
    <t xml:space="preserve">завершены не менее 4 непрерывных часов сна в условиях, позволяющих отдыхать.
персонаж не получал пользу полного восстановления в текущем 24-часовом игровом периоде.
Нормативная база (действует во всей непротиворечащей части):
[Q-SYM-002]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
[AQ3-003] В одной подтверждённой заявке отдыха полноценный отдых наступает при накоплении 240 минут.</t>
  </si>
  <si>
    <t xml:space="preserve">Q-SYM-002</t>
  </si>
  <si>
    <t xml:space="preserve">AQ2-030
AQ3-003</t>
  </si>
  <si>
    <t xml:space="preserve">Максимальный и текущий запас ОЭ</t>
  </si>
  <si>
    <t xml:space="preserve">получение симбионта, изменение уровня или специальной формулы запаса.</t>
  </si>
  <si>
    <t xml:space="preserve">известны L и формула профиля.</t>
  </si>
  <si>
    <t xml:space="preserve">уровень, формула maxOE, текущие ОЭ.</t>
  </si>
  <si>
    <t xml:space="preserve">Нормативная база (действует во всей непротиворечащей части):
пересчитать maxOE; при повышении уровня не восстанавливать текущие ОЭ; при снижении/смене максимума установить currentOE=min(currentOE,maxOE).
Приоритетные авторские дельты (заменяют только прямо пересекающиеся ветви):
[Q-SYM-003] 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
[v1.3] Симбионт экземпляра CustomMonster начинает с currentOE=maxOE для заявленного и проверенного уровня CORE-203.</t>
  </si>
  <si>
    <t xml:space="preserve">обновлён максимум и при необходимости обрезан текущий запас.</t>
  </si>
  <si>
    <t xml:space="preserve">Кромсатель Хранителя заменяет формулу на 200×L.
Поздние дельты применяются по приоритету AQ3 &gt; AQ2 &gt; AQA/CQA &gt; базовая карточка; локальное исключение сильнее общего.</t>
  </si>
  <si>
    <t xml:space="preserve">уровень, формула maxOE, текущие ОЭ.
пересчитать maxOE; при повышении уровня не восстанавливать текущие ОЭ; при снижении/смене максимума установить currentOE=min(currentOE,maxOE).
[Q-SYM-003] 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t>
  </si>
  <si>
    <t xml:space="preserve">получение симбионта, изменение уровня или специальной формулы запаса.
известны L и формула профиля.
уровень, формула maxOE, текущие ОЭ.
пересчитать maxOE; при повышении уровня не восстанавливать текущие ОЭ; при снижении/смене максимума установить currentOE=min(currentOE,maxOE).
Кромсатель Хранителя заменяет формулу на 200×L.</t>
  </si>
  <si>
    <t xml:space="preserve">7.1–7.2, стр. 111–113; профили 7.5.1–7.5.20.
Прямое уточнение пользователя 2026-07-28 — шаблоны врагов v1.3</t>
  </si>
  <si>
    <t xml:space="preserve">Q-SYM-003
Q-ENEMY-B9
Q-ENEMY-P15</t>
  </si>
  <si>
    <t xml:space="preserve">CORE-203
CORE-207</t>
  </si>
  <si>
    <t xml:space="preserve">Дефолтная цена активной способности</t>
  </si>
  <si>
    <t xml:space="preserve">стоимость действия.</t>
  </si>
  <si>
    <t xml:space="preserve">активная способность симбионта.</t>
  </si>
  <si>
    <t xml:space="preserve">объявление способности, для которой не указана стоимость и которая не названа пассивной.</t>
  </si>
  <si>
    <t xml:space="preserve">способность доступна и симбионт активен.</t>
  </si>
  <si>
    <t xml:space="preserve">явная цена действий/ОЭ, тип способности.</t>
  </si>
  <si>
    <t xml:space="preserve">Нормативная база (действует во всей непротиворечащей части):
если цена не указана, назначить 1 боевое действие + 0 ОЭ.
Приоритетные авторские дельты (заменяют только прямо пересекающиеся ветви):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 Убирать действия в подготовку можно только в свой ход.</t>
  </si>
  <si>
    <t xml:space="preserve">резервируется/списывается одно действие.</t>
  </si>
  <si>
    <t xml:space="preserve">явно указанная цена, подготовка, защитная реакция или пассивность имеют приоритет.
Поздние дельты применяются по приоритету AQ3 &gt; AQ2 &gt; AQA/CQA &gt; базовая карточка; локальное исключение сильнее общего.</t>
  </si>
  <si>
    <t xml:space="preserve">явная цена действий/ОЭ, тип способности.
Нормативная база (действует во всей непротиворечащей части):
если цена не указана, назначить 1 боевое действие + 0 ОЭ.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t>
  </si>
  <si>
    <t xml:space="preserve">объявление способности, для которой не указана стоимость и которая не названа пассивной.
явная цена действий/ОЭ, тип способности.
если цена не указана, назначить 1 боевое действие + 0 ОЭ.
[Q-SYM-004]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явно указанная цена, подготовка, защитная реакция или пассивность имеют приоритет.</t>
  </si>
  <si>
    <t xml:space="preserve">Нормативная база (действует во всей непротиворечащей части):
Защитное действие не расходует боевые действия своего хода, если способность прямо не говорит обратное.
Убирать действия в подготовку можно только в свой ход.</t>
  </si>
  <si>
    <t xml:space="preserve">Q-SYM-004</t>
  </si>
  <si>
    <t xml:space="preserve">SYM-018</t>
  </si>
  <si>
    <t xml:space="preserve">Диапазоны и порядок операций</t>
  </si>
  <si>
    <t xml:space="preserve">вычислитель.</t>
  </si>
  <si>
    <t xml:space="preserve">оценка порога/формулы.</t>
  </si>
  <si>
    <t xml:space="preserve">есть числовое выражение.</t>
  </si>
  <si>
    <t xml:space="preserve">границы и операции.</t>
  </si>
  <si>
    <t xml:space="preserve">Нормативная база (действует во всей непротиворечащей части):
5+ включает 5; 5- включает 5; диапазон включает обе границы; порядок: скобки → степень → умножение/деление → сложение/вычитание.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</si>
  <si>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детерминированное значение/ветвь.</t>
  </si>
  <si>
    <t xml:space="preserve">способ округления большинства дробей не задан.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</si>
  <si>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</si>
  <si>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оценка порога/формулы.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</si>
  <si>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</si>
  <si>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Q-SYM-005</t>
  </si>
  <si>
    <t xml:space="preserve">SYM-019</t>
  </si>
  <si>
    <t xml:space="preserve">Динамический параметр L</t>
  </si>
  <si>
    <t xml:space="preserve">формулы / уровень.</t>
  </si>
  <si>
    <t xml:space="preserve">эффект симбионта.</t>
  </si>
  <si>
    <t xml:space="preserve">расчёт формулы с L.</t>
  </si>
  <si>
    <t xml:space="preserve">текущий уровень соответствующего симбионта.</t>
  </si>
  <si>
    <t xml:space="preserve">Нормативная база (действует во всей непротиворечащей части):
подставлять текущий L; числовые эффекты становятся мощнее с ростом уровня.
Приоритетные авторские дельты (заменяют только прямо пересекающиеся ветви):
[Q-SYM-006] Одноразовый уже вычисленный результат не пересчитывается. Для продолжающегося эффекта каждое применение его числовой величины использует текущий L; уже определённая броском длительность не перебрасывается. Пассивы, ауры и поддерживаемые режимы также пересчитываются сразу после изменения L.</t>
  </si>
  <si>
    <t xml:space="preserve">рассчитано значение эффекта.</t>
  </si>
  <si>
    <t xml:space="preserve">единоразово зафиксированные результаты прямо помечены как такие.
Поздние дельты применяются по приоритету AQ3 &gt; AQ2 &gt; AQA/CQA &gt; базовая карточка; локальное исключение сильнее общего.</t>
  </si>
  <si>
    <t xml:space="preserve">Q-SYM-006</t>
  </si>
  <si>
    <t xml:space="preserve">SYM-028</t>
  </si>
  <si>
    <t xml:space="preserve">Обыкновенные симбионты — Обыкновенные симбионты</t>
  </si>
  <si>
    <t xml:space="preserve">Замена органа</t>
  </si>
  <si>
    <t xml:space="preserve">тяжёлое ранение / активная и автоматическая.</t>
  </si>
  <si>
    <t xml:space="preserve">носитель с уничтоженным внутренним органом.</t>
  </si>
  <si>
    <t xml:space="preserve">ручное объявление либо автоматическая потеря сознания от тяжёлого ранения; цена 50 ОЭ.</t>
  </si>
  <si>
    <t xml:space="preserve">способность изучена, ОЭ≥50, есть уничтоженный внутренний орган.</t>
  </si>
  <si>
    <t xml:space="preserve">Нормативная база (действует во всей непротиворечащей части):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При R≥15 после окончания должен быть полностью восстановлен орган и лечение тяжёлого ранения не требуется.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Сам Ткач остаётся в теле. Любая новая потеря хотя бы 1 HP во время тяжёлого ранения вызывает окончательную смерть.
[Q-SYM-008] 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</si>
  <si>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временная функция органа, продление таймера смерти; возможно постоянное восстановление.</t>
  </si>
  <si>
    <t xml:space="preserve">автоприменение только при достаточных ОЭ.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</si>
  <si>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R=1: Ткач отключён на 30 минут/4 хода.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[Q-SYM-008] Способность немедленно и без расходования действий носителя объявляется при потере сознания от тяжёлого ранения</t>
  </si>
  <si>
    <t xml:space="preserve">ручное объявление либо автоматическая потеря сознания от тяжёлого ранения; цена 50 ОЭ.
способность изучена, ОЭ≥50, есть уничтоженный внутренний орган.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
Любая новая потеря хотя бы 1 HP во время тяжёлого ранения вызывает окончательную смерть.</t>
  </si>
  <si>
    <t xml:space="preserve">один чистый R20 R.
R=1: Ткач отключён на 30 минут/4 хода.
R=2: активация неуспешна.
R≥3: клетки заменяют функцию органа на R/3 ходов; носитель сохраняет дееспособность в тяжёлом ранении, время до смерти ×4.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
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t>
  </si>
  <si>
    <t xml:space="preserve">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t>
  </si>
  <si>
    <t xml:space="preserve">Нормативная база (действует во всей непротиворечащей части):
R=1: Ткач отключён на 30 минут/4 хода.
R≥3: клетки заменяют функцию органа на R/3 ходов; носитель сохраняет дееспособность в тяжёлом ранении, время до смерти ×4.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t>
  </si>
  <si>
    <t xml:space="preserve">На 1 эффект не возникает и Ткач отключается на 4 хода; на 2 эффекта нет; на 3–14 функция органа заменяется на R20/3 личных хода, носитель сохраняет дееспособность, а исходный таймер смерти один раз умножается на 4 без гарантии дожить до конца замены.</t>
  </si>
  <si>
    <t xml:space="preserve">7.5.1.3.1, стр. 116.</t>
  </si>
  <si>
    <t xml:space="preserve">Q-SYM-005
Q-SYM-007
Q-SYM-008</t>
  </si>
  <si>
    <t xml:space="preserve">SYM-030</t>
  </si>
  <si>
    <t xml:space="preserve">Дублирование органов</t>
  </si>
  <si>
    <t xml:space="preserve">защитный длительный эффект.</t>
  </si>
  <si>
    <t xml:space="preserve">объявление; цена 50 ОЭ и 1 действие.</t>
  </si>
  <si>
    <t xml:space="preserve">ОЭ≥50.</t>
  </si>
  <si>
    <t xml:space="preserve">Нормативная база (действует во всей непротиворечащей части):
R≥2: наложить «Задвоенные органы» на R/2 ходов.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</si>
  <si>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одноразовое предотвращение тяжёлого ранения либо штраф симбионту.</t>
  </si>
  <si>
    <t xml:space="preserve">эффект расходуется первым срабатыванием.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</si>
  <si>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Дополнительное отключение наступает только там, где оно прямо указано, в частности у Ткача при неудаче «Дублирования органов».</t>
  </si>
  <si>
    <t xml:space="preserve">объявление; цена 50 ОЭ и 1 действие.
ОЭ≥50.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[Q-SYM-009] При обязательной потере ОЭ текущий запас уменьшается не ниже 0; энергетический долг не создаётся.</t>
  </si>
  <si>
    <t xml:space="preserve">один чистый R20 R.
Если при эффекте HP должны стать ≤0, вместо тяжёлого ранения установить HP=1 и снять эффект.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</si>
  <si>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[Q-SYM-009] При обязательной потере ОЭ текущий запас уменьшается не ниже 0; энергетический долг не создаётся.</t>
  </si>
  <si>
    <t xml:space="preserve">Нормативная база (действует во всей непротиворечащей части):
R≥2: наложить «Задвоенные органы» на R/2 ходов.
R=1: дополнительно сжечь 100 ОЭ; если 100 больше оставшегося запаса, установить недееспособность Ткача до 4 часов сна.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Дополнительное отключение наступает только там, где оно прямо указано, в частности у Ткача при неудаче «Дублирования органов».</t>
  </si>
  <si>
    <t xml:space="preserve">7.5.1.4.1, стр. 116.</t>
  </si>
  <si>
    <t xml:space="preserve">Q-SYM-005
Q-SYM-009</t>
  </si>
  <si>
    <t xml:space="preserve">SYM-031</t>
  </si>
  <si>
    <t xml:space="preserve">Выстрел регенерона</t>
  </si>
  <si>
    <t xml:space="preserve">дальняя лечебная/атакующая способность.</t>
  </si>
  <si>
    <t xml:space="preserve">выбранная цель.</t>
  </si>
  <si>
    <t xml:space="preserve">объявление выстрела; цена 40 ОЭ и 1 действие.</t>
  </si>
  <si>
    <t xml:space="preserve">валидная дальняя цель; ОЭ≥40.</t>
  </si>
  <si>
    <t xml:space="preserve">активационный R20 R; категория контакта; при R=1 — два новых независимых R20: R_damage и R_penetration.</t>
  </si>
  <si>
    <t xml:space="preserve">Нормативная база (действует во всей непротиворечащей части):
R=2–4: нет эффекта. R≥5 и попадание: голая кожа → +2R HP; проницаемая одежда → +R HP; герметичная одежда → 0. R=1: вместо лечения кристаллизованная колючка наносит 2×R_damage урона, пробитие = R_penetration.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</si>
  <si>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лечение либо атака колючкой.</t>
  </si>
  <si>
    <t xml:space="preserve">стандартные дальняя атака/защита; активационная единица только выбирает ветку осложнения и не подставляется в формулы урона/пробития.
Поздние дельты применяются по приоритету AQ3 &gt; AQ2 &gt; AQA/CQA &gt; базовая карточка; локальное исключение сильнее общего.</t>
  </si>
  <si>
    <t xml:space="preserve">объявление выстрела; цена 40 ОЭ и 1 действие.
Нормативная база (действует во всей непротиворечащей части):</t>
  </si>
  <si>
    <t xml:space="preserve">объявление выстрела; цена 40 ОЭ и 1 действие.
ОЭ≥40.
R≥5 и попадание: голая кожа → +2R HP; проницаемая одежда → +R HP; герметичная одежда → 0.</t>
  </si>
  <si>
    <t xml:space="preserve">активационный R20 R; категория контакта; при R=1 — два новых независимых R20: R_damage и R_penetration.
R=2–4: нет эффекта.
R=1: вместо лечения кристаллизованная колючка наносит 2×R_damage урона, пробитие = R_penetration.
стандартные дальняя атака/защита; активационная единица только выбирает ветку осложнения и не подставляется в формулы урона/пробития.</t>
  </si>
  <si>
    <t xml:space="preserve">7.5.1.4.2, стр. 116.</t>
  </si>
  <si>
    <t xml:space="preserve">Q-SYM-010</t>
  </si>
  <si>
    <t xml:space="preserve">SYM-032</t>
  </si>
  <si>
    <t xml:space="preserve">Анаболический форсаж</t>
  </si>
  <si>
    <t xml:space="preserve">усиление / длительный эффект.</t>
  </si>
  <si>
    <t xml:space="preserve">ОЭ≥100.</t>
  </si>
  <si>
    <t xml:space="preserve">первый R20 A (активация/бонус), отдельный R20 T (длительность).</t>
  </si>
  <si>
    <t xml:space="preserve">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100 ОЭ остаются израсходованными, повторного броска нет. В бою ветвь натуральной 1 действует по CQA-007.
В бою при натуральной 1 обязательная случайная атака и выбор цели разрешаются только по CQA-007. Вне боя специальная ветвь не возникает; затраты 100 ОЭ не возвращаются.</t>
  </si>
  <si>
    <t xml:space="preserve">временные модификаторы и при единице потеря самоконтроля.</t>
  </si>
  <si>
    <t xml:space="preserve">цель случайной атаки может быть любой видимой.
Поздние дельты применяются по приоритету AQ3 &gt; AQ2 &gt; AQA/CQA &gt; базовая карточка; локальное исключение сильнее общего.</t>
  </si>
  <si>
    <t xml:space="preserve">объявление; цена 100 ОЭ и 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</si>
  <si>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100 ОЭ и 1 действие.
ОЭ≥100.
100 ОЭ остаются израсходованными, повторного броска нет.
Вне боя специальная ветвь не возникает; затраты 100 ОЭ не возвращаются.</t>
  </si>
  <si>
    <t xml:space="preserve">первый R20 A (активация/бонус), отдельный R20 T (длительность).
A≥2: S += A/2, D += A/2 на T/4 ходов.
A=1: вместо этого S +=20, D +=20 на 5 ходов и каждый ход носитель атакует случайную цель в поле зрения.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</si>
  <si>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
Вне боя специальная ветвь не возникает; затраты 100 ОЭ не возвращаются.</t>
  </si>
  <si>
    <t xml:space="preserve">Нормативная база (действует во всей непротиворечащей части):
A≥2: S += A/2, D += A/2 на T/4 ходов.
A=1: вместо этого S +=20, D +=20 на 5 ходов и каждый ход носитель атакует случайную цель в поле зрения.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t>
  </si>
  <si>
    <t xml:space="preserve">7.5.1.5.1, стр. 116–117.</t>
  </si>
  <si>
    <t xml:space="preserve">Q-SYM-005
Q-SYM-011</t>
  </si>
  <si>
    <t xml:space="preserve">AQ3-002
CORE-023
CQA-007</t>
  </si>
  <si>
    <t xml:space="preserve">SYM-033</t>
  </si>
  <si>
    <t xml:space="preserve">Адреналиновая реанимация</t>
  </si>
  <si>
    <t xml:space="preserve">дальняя реанимация / атака шипом.</t>
  </si>
  <si>
    <t xml:space="preserve">цель в тяжёлом ранении.</t>
  </si>
  <si>
    <t xml:space="preserve">ОЭ≥100; цель допустима.</t>
  </si>
  <si>
    <t xml:space="preserve">чистый R20 R, одновременно активация и пробитие=3R.</t>
  </si>
  <si>
    <t xml:space="preserve">Нормативная база (действует во всей непротиворечащей части):
R=2–4: активация неуспешна. R≥5: выполнить попадание и пробитие; если шип достиг плоти, вывести цель из тяжёлого ранения, установить HP=1. R=1: «добить цель».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[Q-SYM-012] 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</si>
  <si>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реанимация либо фатальный исход.</t>
  </si>
  <si>
    <t xml:space="preserve">броня должна быть пробита.
Поздние дельты применяются по приоритету AQ3 &gt; AQ2 &gt; AQA/CQA &gt; базовая карточка; локальное исключение сильнее общего.</t>
  </si>
  <si>
    <t xml:space="preserve">объявление; цена 100 ОЭ и 1 действие.
Нормативная база (действует во всей непротиворечащей части):</t>
  </si>
  <si>
    <t xml:space="preserve">объявление; цена 100 ОЭ и 1 действие.
ОЭ≥100; цель допустима.
R≥5: выполнить попадание и пробитие; если шип достиг плоти, вывести цель из тяжёлого ранения, установить HP=1.</t>
  </si>
  <si>
    <t xml:space="preserve">чистый R20 R, одновременно активация и пробитие=3R.
R=2–4: активация неуспешна.
R≥5: выполнить попадание и пробитие; если шип достиг плоти, вывести цель из тяжёлого ранения, установить HP=1.
R=1: «добить цель».</t>
  </si>
  <si>
    <t xml:space="preserve">7.5.1.5.2, стр. 117.</t>
  </si>
  <si>
    <t xml:space="preserve">Q-SYM-010
Q-SYM-012</t>
  </si>
  <si>
    <t xml:space="preserve">SYM-034</t>
  </si>
  <si>
    <t xml:space="preserve">Абсолютная регенерация</t>
  </si>
  <si>
    <t xml:space="preserve">предельная защита / длительный эффект.</t>
  </si>
  <si>
    <t xml:space="preserve">объявление; списать весь текущий ОЭ, но команда допустима только при ОЭ≥200; 1 действие.</t>
  </si>
  <si>
    <t xml:space="preserve">Нормативная база (действует во всей непротиворечащей части):
R=2–3: нет основного эффекта, вся энергия потрачена.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
[Q-SYM-014] 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</si>
  <si>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временный режим абсолютной регенерации либо деградация.</t>
  </si>
  <si>
    <t xml:space="preserve">цена — вся энергия, не фиксированные 200.
Поздние дельты применяются по приоритету AQ3 &gt; AQ2 &gt; AQA/CQA &gt; базовая карточка; локальное исключение сильнее общего.</t>
  </si>
  <si>
    <t xml:space="preserve">1 действие.
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</si>
  <si>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списать весь текущий ОЭ, но команда допустима только при ОЭ≥200
R≥4: на R/4 ходов установить количество HP носителя 1000, запретить потерю дееспособности; каждая рана регенерирует через 2 хода.
[Q-SYM-013] После окончания способности временное значение 1000 снимается, а текущие HP становятся равны min(текущие HP при эффекте, обычный максимум HP).
Ткач становится 4 уровня; изученные узлы 5–6 уровней помечаются утраченными и недоступны, ранее потраченный на них опыт не возвращается.
цена — вся энергия, не фиксированные 200.</t>
  </si>
  <si>
    <t xml:space="preserve">один чистый R20 R.
R=2–3: нет основного эффекта, вся энергия потрачена.
R=1: Ткач отключён на сутки и деградирует до L=4.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[Q-SYM-013] После окончания способности временное значение 1000 снимается, а текущие HP становятся равны min(текущие HP при эффекте, обычный максимум HP).</t>
  </si>
  <si>
    <t xml:space="preserve">Нормативная база (действует во всей непротиворечащей части):
R≥4: на R/4 ходов установить количество HP носителя 1000, запретить потерю дееспособности; каждая рана регенерирует через 2 хода.
R=1: Ткач отключён на сутки и деградирует до L=4.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t>
  </si>
  <si>
    <t xml:space="preserve">7.5.1.6.1, стр. 117.</t>
  </si>
  <si>
    <t xml:space="preserve">Q-SYM-005
Q-SYM-013
Q-SYM-014</t>
  </si>
  <si>
    <t xml:space="preserve">SYM-035</t>
  </si>
  <si>
    <t xml:space="preserve">Абсолютная реанимация</t>
  </si>
  <si>
    <t xml:space="preserve">воскрешение.</t>
  </si>
  <si>
    <t xml:space="preserve">погибший персонаж.</t>
  </si>
  <si>
    <t xml:space="preserve">контактное применение; цена 150 ОЭ и 1 действие.</t>
  </si>
  <si>
    <t xml:space="preserve">ОЭ≥150; известен T — время с момента смерти.</t>
  </si>
  <si>
    <t xml:space="preserve">чистый R20 R, T в ходах/минутах.</t>
  </si>
  <si>
    <t xml:space="preserve">Нормативная база (действует во всей непротиворечащей части):
если R=1, цель любой степени повреждения воскресает с I=1 независимо от формулы. Иначе воскрешение успешно только если R − 4T &gt; 0.
Приоритетные авторские дельты (заменяют только прямо пересекающиеся ветви):
[Q-SYM-015] 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</si>
  <si>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цель возвращается к жизни либо остаётся мёртвой; Ткач вводится в тело цели по описанию.</t>
  </si>
  <si>
    <t xml:space="preserve">натуральная 1 — прямое исключение.
Поздние дельты применяются по приоритету AQ3 &gt; AQ2 &gt; AQA/CQA &gt; базовая карточка; локальное исключение сильнее общего.</t>
  </si>
  <si>
    <t xml:space="preserve">контактное применение; цена 150 ОЭ и 1 действие.
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</si>
  <si>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контактное применение; цена 150 ОЭ и 1 действие.
ОЭ≥150; известен T — время с момента смерти.
[Q-SYM-015] Сохранение мозга и части тела не проверяется – это игровая условность; цель воскресает с 1 HP вне тяжёлого ранения, Ткач сохраняется в носителе.</t>
  </si>
  <si>
    <t xml:space="preserve">чистый R20 R, T в ходах/минутах.
если R=1, цель любой степени повреждения воскресает с I=1 независимо от формулы.</t>
  </si>
  <si>
    <t xml:space="preserve">чистый R20 R, T в ходах/минутах.
Нормативная база (действует во всей непротиворечащей части):
[Q-SYM-015] Сохранение мозга и части тела не проверяется – это игровая условность; цель воскресает с 1 HP вне тяжёлого ранения, Ткач сохраняется в носителе.
T считается в ходах в бою и полных минутах вне боя по правилу перехода режимов Q-CORE-063.</t>
  </si>
  <si>
    <t xml:space="preserve">7.5.1.6.2 и уточнение, стр. 117.</t>
  </si>
  <si>
    <t xml:space="preserve">Q-SYM-015</t>
  </si>
  <si>
    <t xml:space="preserve">Несовместимость Тайпана и Жабы</t>
  </si>
  <si>
    <t xml:space="preserve">межсимбионтное взаимодействие.</t>
  </si>
  <si>
    <t xml:space="preserve">Тайпан в том же теле.</t>
  </si>
  <si>
    <t xml:space="preserve">оба вида оказываются в одном носителе.</t>
  </si>
  <si>
    <t xml:space="preserve">проверка состава пройдена.</t>
  </si>
  <si>
    <t xml:space="preserve">наличие Жабы и Тайпана.</t>
  </si>
  <si>
    <t xml:space="preserve">Нормативная база (действует во всей непротиворечащей части):
установить Тайпану состояние подавления: запретить получение XP и выработку ядов.
Приоритетные авторские дельты (заменяют только прямо пересекающиеся ветви):
[Q-SYM-016] Тайпан и Жаба могут находиться в одном теле, но Жаба подавляет Тайпана: он не получает опыт, не вырабатывает яд и не применяет зависящие от яда способности. Уже наложенные на других персонажей эффекты яда продолжаются до окончания своего срока.
Подавленный Taipan не является кандидатом DIRECT_SYMBIONT и не может получать распределяемый XP.</t>
  </si>
  <si>
    <t xml:space="preserve">ядовитые режимы Тайпана не создают яд; развитие остановлено.</t>
  </si>
  <si>
    <t xml:space="preserve">текст говорит, что виды «не могут существовать» вместе, но одновременно описывает состояние сосуществования.
Поздние дельты применяются по приоритету AQ3 &gt; AQ2 &gt; AQA/CQA &gt; базовая карточка; локальное исключение сильнее общего.
Событие при отсутствии иных кандидатов идёт в CHARACTER_PROGRESS_COUNTER.</t>
  </si>
  <si>
    <t xml:space="preserve">[Q-SYM-016] Тайпан и Жаба могут находиться в одном теле, но Жаба подавляет Тайпана: он не получает опыт, не вырабатывает яд и не применяет зависящие от яда способности.</t>
  </si>
  <si>
    <t xml:space="preserve">Нормативная база (действует во всей непротиворечащей части):
Уже наложенные на других персонажей эффекты яда продолжаются до окончания своего срока.</t>
  </si>
  <si>
    <t xml:space="preserve">7.5.2, стр. 118; 7.5.16, стр. 150.
Прямое авторское решение Q-SYMBIONT-XP-001 — опыт симбионтов за natural 20/1, 2026-07-30</t>
  </si>
  <si>
    <t xml:space="preserve">Q-SYM-016
Q-SYMBIONT-XP-001</t>
  </si>
  <si>
    <t xml:space="preserve">CORE-230
CORE-232</t>
  </si>
  <si>
    <t xml:space="preserve">SYM-181</t>
  </si>
  <si>
    <t xml:space="preserve">Переключение типа яда Тайпана</t>
  </si>
  <si>
    <t xml:space="preserve">переключаемый пассив / режим.</t>
  </si>
  <si>
    <t xml:space="preserve">яд в крови носителя.</t>
  </si>
  <si>
    <t xml:space="preserve">игрок выбирает другой изученный тип яда.</t>
  </si>
  <si>
    <t xml:space="preserve">есть как минимум два изученных типа; Тайпан не подавлен Жабой.</t>
  </si>
  <si>
    <t xml:space="preserve">текущий тип, выбранный тип, таймер.</t>
  </si>
  <si>
    <t xml:space="preserve">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Приоритетные авторские дельты (заменяют только прямо пересекающиеся ветви):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t>
  </si>
  <si>
    <t xml:space="preserve">по завершении activePoisonType заменён новым; способности доставки используют тип, превалирующий в момент объявления.</t>
  </si>
  <si>
    <t xml:space="preserve">во время подавления яд не вырабатывается.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</si>
  <si>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одновременно вырабатывать один тип из {смертельный, ослабляющий, парализующий}; смена завершается через 1 игровой час/6 боевых ходов.
[Q-SYM-076]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t>
  </si>
  <si>
    <t xml:space="preserve">7.5.2.2.1, 7.5.2.5.1, 7.5.2.8.1, стр. 119–120.</t>
  </si>
  <si>
    <t xml:space="preserve">Q-SYM-076</t>
  </si>
  <si>
    <t xml:space="preserve">SYM-183</t>
  </si>
  <si>
    <t xml:space="preserve">Инвентарь</t>
  </si>
  <si>
    <t xml:space="preserve">Нанесение активного яда на предмет или пищу</t>
  </si>
  <si>
    <t xml:space="preserve">мирная команда Тайпана / подготовка яда.</t>
  </si>
  <si>
    <t xml:space="preserve">носитель Тайпана</t>
  </si>
  <si>
    <t xml:space="preserve">допустимые оружие, снаряд, предмет или пища.</t>
  </si>
  <si>
    <t xml:space="preserve">игрок выбирает команду нанесения текущего активного яда вне боя.</t>
  </si>
  <si>
    <t xml:space="preserve">Тайпан активен; выбранный вид яда уже действует в крови; цель допустима по профильному правилу.</t>
  </si>
  <si>
    <t xml:space="preserve">текущий вид яда, выбранный экземпляр предмета или пищи, профиль SYM-039/SYM-042/SYM-045.</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</si>
  <si>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</si>
  <si>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предмет или пища получает ссылку на вид яда и профиль его применения.</t>
  </si>
  <si>
    <t xml:space="preserve">Смена вида яда разрешается по SYM-181; до завершения перехода активным остаётся прежний тип. Прямые параметры профиля имеют приоритет.</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</si>
  <si>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</si>
  <si>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t>
  </si>
  <si>
    <t xml:space="preserve">Без расхода ОЭ выполнить одну атомарную мирную операцию и зафиксировать на выбранном экземпляре одну дозу текущего яда.</t>
  </si>
  <si>
    <t xml:space="preserve">§7.5.2.2.1, §7.5.2.5.1, §7.5.2.8.1, стр. 119–120; ROUND2/Q-APP-002.</t>
  </si>
  <si>
    <t xml:space="preserve">SYM-039
SYM-042
SYM-045
SYM-181</t>
  </si>
  <si>
    <t xml:space="preserve">SYM-039</t>
  </si>
  <si>
    <t xml:space="preserve">Смертельный яд</t>
  </si>
  <si>
    <t xml:space="preserve">переключаемый пассив / яд.</t>
  </si>
  <si>
    <t xml:space="preserve">носитель и отравленная цель.</t>
  </si>
  <si>
    <t xml:space="preserve">выбран режим «смертельный»; яд попал в кровоток либо проглоченную пищу цели.</t>
  </si>
  <si>
    <t xml:space="preserve">Тайпан не подавлен Жабой.</t>
  </si>
  <si>
    <t xml:space="preserve">L; отдельный R20 урона, отдельный R20 длительности; способ доставки.</t>
  </si>
  <si>
    <t xml:space="preserve">Нормативная база (действует во всей непротиворечащей части):
носитель иммунен к смертельному яду Тайпана. Цель получает за ход R20/5 + L урона в течение R20/2 ходов. При нанесении на оружие урон за ход делится пополам; остальные параметры неизменны.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</si>
  <si>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создаётся периодический эффект с зафиксированными величиной и сроком; повторное применение обновляет, а не складывает эффект.</t>
  </si>
  <si>
    <t xml:space="preserve">общие вопросы дозы/тика и округления — Q-SYM-005, Q-SYM-017.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</si>
  <si>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t>
  </si>
  <si>
    <t xml:space="preserve">[Q-SYM-017]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общие вопросы дозы/тика и округления — Q-SYM-005, Q-SYM-017.</t>
  </si>
  <si>
    <t xml:space="preserve">L; отдельный R20 урона, отдельный R20 длительности; способ доставки.
Цель получает за ход R20/5 + L урона в течение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</si>
  <si>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Нормативная база (действует во всей непротиворечащей части):
Цель получает за ход R20/5 + L урона в течение R20/2 ходов.
При нанесении на оружие урон за ход делится пополам; остальные параметры неизменны.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создаётся периодический эффект с зафиксированными величиной и сроком; повторное применение обновляет, а не складывает эффект.</t>
  </si>
  <si>
    <t xml:space="preserve">7.5.2.2.1 и уточнение, стр. 119.</t>
  </si>
  <si>
    <t xml:space="preserve">Q-SYM-005
Q-SYM-017</t>
  </si>
  <si>
    <t xml:space="preserve">SYM-040</t>
  </si>
  <si>
    <t xml:space="preserve">Проницаемая кожа</t>
  </si>
  <si>
    <t xml:space="preserve">контактная доставка яда.</t>
  </si>
  <si>
    <t xml:space="preserve">выбранная область тела и цель.</t>
  </si>
  <si>
    <t xml:space="preserve">объявление; цена 10 ОЭ и 1 действие.</t>
  </si>
  <si>
    <t xml:space="preserve">в крови вырабатывается яд; ОЭ≥10.</t>
  </si>
  <si>
    <t xml:space="preserve">чистый R20 активации, область тела.</t>
  </si>
  <si>
    <t xml:space="preserve">Нормативная база (действует во всей непротиворечащей части):
R≥4: выбранная область пропускает текущий яд; при контакте этой области с голой кожей цели применить текущий яд. R=2–3: нет эффекта. R=1: носитель получает −1 к серии приёмов на 1 час/до конца боя.
Приоритетные авторские дельты (заменяют только прямо пересекающиеся ветви):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</si>
  <si>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подготовлена контактная зона либо наложен штраф серии.</t>
  </si>
  <si>
    <t xml:space="preserve">срок существования проницаемой зоны не указан.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</si>
  <si>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
R=1: носитель получает −1 к серии приёмов на 1 час/до конца боя.</t>
  </si>
  <si>
    <t xml:space="preserve">объявление; цена 10 ОЭ и 1 действие.
ОЭ≥10.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t>
  </si>
  <si>
    <t xml:space="preserve">чистый R20 активации, область тела.
R=2–3: нет эффекта.
R=1: носитель получает −1 к серии приёмов на 1 час/до конца боя.</t>
  </si>
  <si>
    <t xml:space="preserve">Нормативная база (действует во всей непротиворечащей части):
R=1: носитель получает −1 к серии приёмов на 1 час/до конца боя.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срок существования проницаемой зоны не указан.</t>
  </si>
  <si>
    <t xml:space="preserve">Один раз за каждую успешную безоружную атаку или успешную проверку борьбы цели накладывается яд, активный в крови носителя в момент контакта.</t>
  </si>
  <si>
    <t xml:space="preserve">7.5.2.3.1, стр. 119.</t>
  </si>
  <si>
    <t xml:space="preserve">Q-SYM-018</t>
  </si>
  <si>
    <t xml:space="preserve">SYM-041</t>
  </si>
  <si>
    <t xml:space="preserve">Плевок ядом</t>
  </si>
  <si>
    <t xml:space="preserve">дальняя доставка яда.</t>
  </si>
  <si>
    <t xml:space="preserve">Тайпан не подавлен; выбран яд; ОЭ≥10.</t>
  </si>
  <si>
    <t xml:space="preserve">отдельный R20 активации; R12 пробития; текущий яд.</t>
  </si>
  <si>
    <t xml:space="preserve">Нормативная база (действует во всей непротиворечащей части):
R20≥4: выполнить дальнюю атаку; пробитие=R12; если сгусток достиг кожи, наложить текущий яд. R20=2–3: нет эффекта. R20=1: носитель теряет 10 HP.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
[Q-SYM-075] 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</si>
  <si>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яд на цели либо самоповреждение; при контакте слизь инициирует неопределённый коррозионный эффект на одежде/лёгкой броне.</t>
  </si>
  <si>
    <t xml:space="preserve">числовые последствия коррозии не заданы и не могут быть отброшены как художественное описание.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</si>
  <si>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t>
  </si>
  <si>
    <t xml:space="preserve">объявление; цена 10 ОЭ и 1 действие.
ОЭ≥10.
R20=1: носитель теряет 10 HP.</t>
  </si>
  <si>
    <t xml:space="preserve">отдельный R20 активации
R12 пробития; текущий яд.
R20≥4: выполнить дальнюю атаку; пробитие=R12; если сгусток достиг кожи, наложить текущий яд.
R20=2–3: нет эффекта.
R20=1: носитель теряет 10 HP.
[Q-SYM-075] При попадании Плевка ядом немедленно уничтожается внешний элемент обычной одежды или лёгкой брони со спасброском не выше R6.</t>
  </si>
  <si>
    <t xml:space="preserve">7.5.2.4.1, стр. 119.</t>
  </si>
  <si>
    <t xml:space="preserve">Q-SYM-010
Q-SYM-075</t>
  </si>
  <si>
    <t xml:space="preserve">SYM-042</t>
  </si>
  <si>
    <t xml:space="preserve">Ослабляющий яд</t>
  </si>
  <si>
    <t xml:space="preserve">переключаемый пассив / дебафф характеристик.</t>
  </si>
  <si>
    <t xml:space="preserve">яд попал в кровоток/пищу.</t>
  </si>
  <si>
    <t xml:space="preserve">выбран ослабляющий режим; Тайпан не подавлен.</t>
  </si>
  <si>
    <t xml:space="preserve">L, Z_target, R20 величины, отдельный R20 длительности, способ доставки.</t>
  </si>
  <si>
    <t xml:space="preserve">Нормативная база (действует во всей непротиворечащей части):
носитель иммунен. Рассчитать K=R20+L−Z_target; снизить S,D,M цели на K, но ни одну не ниже 1; срок R20/2 ходов. На оружии K делится пополам. Повторное применение обновляет длительность.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[Q-SYM-019] Сила снижения K рассчитывается как max(0, R20 + L − Z). При K=0 яд считается попавшим, но характеристики цели не изменяются.</t>
  </si>
  <si>
    <t xml:space="preserve">временные модификаторы S,D,M.</t>
  </si>
  <si>
    <t xml:space="preserve">при неположительном K текст не определяет, применять ли 0 либо повышение.
Поздние дельты применяются по приоритету AQ3 &gt; AQ2 &gt; AQA/CQA &gt; базовая карточка; локальное исключение сильнее общего.</t>
  </si>
  <si>
    <t xml:space="preserve">[Q-SYM-017]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t>
  </si>
  <si>
    <t xml:space="preserve">L, Z_target, R20 величины, отдельный R20 длительности, способ доставки.
Рассчитать K=R20+L−Z_target; снизить S,D,M цели на K, но ни одну не ниже 1; срок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[Q-SYM-019] Сила снижения K рассчитывается как max(0, R20 + L − Z).
При K=0 яд считается попавшим, но характеристики цели не изменяются.</t>
  </si>
  <si>
    <t xml:space="preserve">Нормативная база (действует во всей непротиворечащей части):
Рассчитать K=R20+L−Z_target; снизить S,D,M цели на K, но ни одну не ниже 1; срок R20/2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</si>
  <si>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7.5.2.5.1 и уточнение, стр. 119.</t>
  </si>
  <si>
    <t xml:space="preserve">Q-SYM-005
Q-SYM-017
Q-SYM-019</t>
  </si>
  <si>
    <t xml:space="preserve">SYM-043</t>
  </si>
  <si>
    <t xml:space="preserve">Ядовитый шип</t>
  </si>
  <si>
    <t xml:space="preserve">дальняя атака / яд.</t>
  </si>
  <si>
    <t xml:space="preserve">ОЭ≥30.</t>
  </si>
  <si>
    <t xml:space="preserve">один чистый R20 R, текущий яд.</t>
  </si>
  <si>
    <t xml:space="preserve">Нормативная база (действует во всей непротиворечащей части):
R≥4: дальняя атака, пробитие=R+L, урон=R+L одной проверкой; если нанесён урон, наложить текущий яд. R=2–3: нет эффекта. R=1: Тайпан отключён на 1 час/6 ходов.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</si>
  <si>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урон/яд либо отключение.</t>
  </si>
  <si>
    <t xml:space="preserve">дальность не задана.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</si>
  <si>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R=1: Тайпан отключён на 1 час/6 ходов.</t>
  </si>
  <si>
    <t xml:space="preserve">один чистый R20 R, текущий яд.
R≥4: дальняя атака, пробитие=R+L, урон=R+L одной проверкой; если нанесён урон, наложить текущий яд.
R=2–3: нет эффекта.
R=1: Тайпан отключён на 1 час/6 ходов.</t>
  </si>
  <si>
    <t xml:space="preserve">Нормативная база (действует во всей непротиворечащей части):
R=1: Тайпан отключён на 1 час/6 ходов.</t>
  </si>
  <si>
    <t xml:space="preserve">7.5.2.6.1, стр. 119–120.</t>
  </si>
  <si>
    <t xml:space="preserve">SYM-044</t>
  </si>
  <si>
    <t xml:space="preserve">Кумулятивный шип</t>
  </si>
  <si>
    <t xml:space="preserve">первый R20 A (активация/пробитие), отдельный R20 D (урон), текущий яд.</t>
  </si>
  <si>
    <t xml:space="preserve">Нормативная база (действует во всей непротиворечащей части):
A≥4: пробитие=(A+L)×2, урон=D+L; при нанесении урона наложить текущий яд. A=2–3: нет эффекта. A=1: носитель получает 20 урона и оглушение на 40 минут/3 хода.
Приоритетные авторские дельты (заменяют только прямо пересекающиеся ветви):
[Q-SYM-010] 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</si>
  <si>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атака либо самоповреждение/оглушение.</t>
  </si>
  <si>
    <t xml:space="preserve">объявление; цена 50 ОЭ и 1 действие.
Нормативная база (действует во всей непротиворечащей части):
A=1: носитель получает 20 урона и оглушение на 40 минут/3 хода.</t>
  </si>
  <si>
    <t xml:space="preserve">объявление; цена 50 ОЭ и 1 действие.
ОЭ≥50.</t>
  </si>
  <si>
    <t xml:space="preserve">первый R20 A (активация/пробитие), отдельный R20 D (урон), текущий яд.
A≥4: пробитие=(A+L)×2, урон=D+L; при нанесении урона наложить текущий яд.
A=2–3: нет эффекта.
A=1: носитель получает 20 урона и оглушение на 40 минут/3 хода.</t>
  </si>
  <si>
    <t xml:space="preserve">Нормативная база (действует во всей непротиворечащей части):
A=1: носитель получает 20 урона и оглушение на 40 минут/3 хода.</t>
  </si>
  <si>
    <t xml:space="preserve">7.5.2.7.1, стр. 120.</t>
  </si>
  <si>
    <t xml:space="preserve">SYM-045</t>
  </si>
  <si>
    <t xml:space="preserve">Парализующий яд</t>
  </si>
  <si>
    <t xml:space="preserve">переключаемый пассив / контроль конечности.</t>
  </si>
  <si>
    <t xml:space="preserve">выбран парализующий режим; Тайпан не подавлен.</t>
  </si>
  <si>
    <t xml:space="preserve">R20 проверки, L, Z цели, D4 зоны, отдельный R20 длительности, способ доставки.</t>
  </si>
  <si>
    <t xml:space="preserve">Нормативная база (действует во всей непротиворечащей части):
носитель иммунен. Если R20+L &gt; Z_target, случайно выбрать D4 одну действующую конечность; уже онемевшие перебрасывать; наложить запрет действий конечностью на R20/3 ходов. На оружии длительность делится пополам. Если действующих конечностей нет, новое онемение не возникает.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[Q-SYM-020] 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t>
  </si>
  <si>
    <t xml:space="preserve">конечность получает состояние «онемела» до таймера.</t>
  </si>
  <si>
    <t xml:space="preserve">повторные применения могут выбирать другие действующие конечности; анатомия не-D4 требует решения.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</si>
  <si>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[Q-SYM-017] Нанесение одной дозы яда на одно оружие или снаряд требует 1 боевого действия; доза сохраняется до первого успешного попадания, после чего расходуется.
Попадание в любую часть тела обсчитывается как попадание в корпус</t>
  </si>
  <si>
    <t xml:space="preserve">R20 проверки, L, Z цели, D4 зоны, отдельный R20 длительности, способ доставки.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повторные применения могут выбирать другие действующие конечности; анатомия не-D4 требует решения.</t>
  </si>
  <si>
    <t xml:space="preserve">Если действующих конечностей нет, новое онемение не возникает.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</si>
  <si>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Нормативная база (действует во всей непротиворечащей части):
Если R20+L &gt; Z_target, случайно выбрать D4 одну действующую конечность; уже онемевшие перебрасывать; наложить запрет действий конечностью на R20/3 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
Попадание в любую часть тела обсчитывается как попадание в корпус</t>
  </si>
  <si>
    <t xml:space="preserve">7.5.2.8.1 и уточнение, стр. 120.</t>
  </si>
  <si>
    <t xml:space="preserve">Q-SYM-005
Q-SYM-017
Q-SYM-020</t>
  </si>
  <si>
    <t xml:space="preserve">Безупречное зрение и подавление Двойного фокуса</t>
  </si>
  <si>
    <t xml:space="preserve">пассив / обнаружение / межсимбионтное исключение.</t>
  </si>
  <si>
    <t xml:space="preserve">визуальные цели и Хамелеон.</t>
  </si>
  <si>
    <t xml:space="preserve">визуальная проверка днём либо наличие обеих способностей.</t>
  </si>
  <si>
    <t xml:space="preserve">базовая проверка обнаружения.</t>
  </si>
  <si>
    <t xml:space="preserve">Нормативная база (действует во всей непротиворечащей части):
добавить +10 к осмотру/слежке/дальнему визуальному обнаружению днём. Если изучен «Двойной фокус внимания» Хамелеона, не применять его бонус и физические изменения.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</si>
  <si>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модифицирован визуальный бросок; эффект Хамелеона подавлен.</t>
  </si>
  <si>
    <t xml:space="preserve">Сова прямо имеет приоритет над Двойным фокусом.
Поздние дельты применяются по приоритету AQ3 &gt; AQ2 &gt; AQA/CQA &gt; базовая карточка; локальное исключение сильнее общего.</t>
  </si>
  <si>
    <t xml:space="preserve">7.5.3.2.1, стр. 122.</t>
  </si>
  <si>
    <t xml:space="preserve">Q-SYM-021</t>
  </si>
  <si>
    <t xml:space="preserve">SYM-051</t>
  </si>
  <si>
    <t xml:space="preserve">Звуковая картина</t>
  </si>
  <si>
    <t xml:space="preserve">пассивная ориентация + активная разведка.</t>
  </si>
  <si>
    <t xml:space="preserve">известная цель.</t>
  </si>
  <si>
    <t xml:space="preserve">пассивно — невозможность зрения; активно — объявление, цена 10 ОЭ и 1 действие.</t>
  </si>
  <si>
    <t xml:space="preserve">цель известна; в радиусе 100 м; препятствия звукопроницаемы.</t>
  </si>
  <si>
    <t xml:space="preserve">Нормативная база (действует во всей непротиворечащей части):
пассивно ориентироваться на слух без штрафов. Активно: R=1–3 — нет данных; R=4–10 — местоположение; R=11–17 — местоположение и все характеристики; R=18–20 — также виды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</si>
  <si>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раскрывается информация заданной глубины.</t>
  </si>
  <si>
    <t xml:space="preserve">диапазоны накопительные; уточнение исправляет исходное «более 4» на 4–10.
Поздние дельты применяются по приоритету AQ3 &gt; AQ2 &gt; AQA/CQA &gt; базовая карточка; локальное исключение сильнее общего.</t>
  </si>
  <si>
    <t xml:space="preserve">пассивно — невозможность зрения; активно — объявление, цена 10 ОЭ и 1 действие.
Нормативная база (действует во всей непротиворечащей части):</t>
  </si>
  <si>
    <t xml:space="preserve">пассивно — невозможность зрения; активно — объявление, цена 10 ОЭ и 1 действие.
Базовые значения, текущие и максимальные HP/ОЭ не раскрываются, если способность не называет их отдельно.</t>
  </si>
  <si>
    <t xml:space="preserve">чистый R20 R.
Активно: R=1–3 — нет данных
R=4–10 — местоположение
R=11–17 — местоположение и все характеристики
R=18–20 — также виды симбионтов.</t>
  </si>
  <si>
    <t xml:space="preserve">7.5.3.6.1 и уточнение, стр. 122.</t>
  </si>
  <si>
    <t xml:space="preserve">Q-SYM-022</t>
  </si>
  <si>
    <t xml:space="preserve">SYM-057</t>
  </si>
  <si>
    <t xml:space="preserve">Свети, ученик</t>
  </si>
  <si>
    <t xml:space="preserve">контактная подмена способности.</t>
  </si>
  <si>
    <t xml:space="preserve">цель и её следующая способность.</t>
  </si>
  <si>
    <t xml:space="preserve">голая ладонь удерживается на голой коже цели 10 секунд/1 полный боевой ход; базовая цена 40 ОЭ.</t>
  </si>
  <si>
    <t xml:space="preserve">контакт не прерван; есть допустимые активные способности симбионтов носителя Учителя.</t>
  </si>
  <si>
    <t xml:space="preserve">R20 активации; пул активных способностей; их цены/цели.</t>
  </si>
  <si>
    <t xml:space="preserve">Нормативная база (действует во всей непротиворечащей части):
R≥5: поставить на цель одноразовый маркер; при следующей попытке цели применить способность своего симбионта вместо неё случайно выбрать разрешимую активную способность одного из симбионтов носителя Учителя и случайную допустимую цель. При R=1 полностью обнулить ОЭ всех симбионтов носителя Учителя. Копия использует L Учителя, характеристики его носителя, правила целей/проверок/защит/единицы исходной способности; самоповреждение получает носитель Учителя.
Приоритетные авторские дельты (заменяют только прямо пересекающиеся ветви):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</si>
  <si>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следующая способность цели подменена; маркер расходован.</t>
  </si>
  <si>
    <t xml:space="preserve">пассивы, постоянные перестройки и способности без допустимой цели/анатомии исключаются.
Поздние дельты применяются по приоритету AQ3 &gt; AQ2 &gt; AQA/CQA &gt; базовая карточка; локальное исключение сильнее общего.</t>
  </si>
  <si>
    <t xml:space="preserve">голая ладонь удерживается на голой коже цели 10 секунд/1 полный боевой ход; базовая цена 40 ОЭ.
Нормативная база (действует во всей непротиворечащей части):
При триггере заявленное целью действие расходуется, но ОЭ её отменённой способности не списываются.</t>
  </si>
  <si>
    <t xml:space="preserve">голая ладонь удерживается на голой коже цели 10 секунд/1 полный боевой ход; базовая цена 40 ОЭ.
R20 активации; пул активных способностей; их цены/цели.
При R=1 полностью обнулить ОЭ всех симбионтов носителя Учителя.
[Q-SYM-023] 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t>
  </si>
  <si>
    <t xml:space="preserve">R20 активации; пул активных способностей; их цены/цели.
При R=1 полностью обнулить ОЭ всех симбионтов носителя Учителя.</t>
  </si>
  <si>
    <t xml:space="preserve">голая ладонь удерживается на голой коже цели 10 секунд/1 полный боевой ход; базовая цена 40 ОЭ.
Нормативная база (действует во всей непротиворечащей части):
[Q-SYM-023] При наложении Учитель платит 40 ОЭ; маркер действует без срока до первого подходящего применения.</t>
  </si>
  <si>
    <t xml:space="preserve">7.5.4.5.1 и общее уточнение копирования, стр. 124.</t>
  </si>
  <si>
    <t xml:space="preserve">Q-SYM-023
Q-SYM-024</t>
  </si>
  <si>
    <t xml:space="preserve">SYM-059</t>
  </si>
  <si>
    <t xml:space="preserve">Внимай, ученик</t>
  </si>
  <si>
    <t xml:space="preserve">копирование активной способности.</t>
  </si>
  <si>
    <t xml:space="preserve">Единый или Вольный в 15 м.</t>
  </si>
  <si>
    <t xml:space="preserve">объявление копирования.</t>
  </si>
  <si>
    <t xml:space="preserve">цель допустимой расы/дальности и ранее применяла активную способность; копия разрешима.</t>
  </si>
  <si>
    <t xml:space="preserve">последняя активная способность цели, цена 60 ОЭ и цена оригинала.</t>
  </si>
  <si>
    <t xml:space="preserve">Нормативная база (действует во всей непротиворечащей части):
применить последнюю активную способность любого симбионта цели; L=уровень Учителя, проверки — характеристиками его носителя; оплатить большую из цен (не сумму); затем отключить Учителя на сутки. Цели, проверки, защиты, единица и самоповреждение — по оригиналу.
Приоритетные авторские дельты (заменяют только прямо пересекающиеся ветви):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</si>
  <si>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разрешена копия, Учитель отключён.</t>
  </si>
  <si>
    <t xml:space="preserve">пассив/постоянная перестройка/невозможная анатомия или цель исключают способность.
Поздние дельты применяются по приоритету AQ3 &gt; AQ2 &gt; AQA/CQA &gt; базовая карточка; локальное исключение сильнее общего.</t>
  </si>
  <si>
    <t xml:space="preserve">последняя активная способность цели, цена 60 ОЭ и цена оригинала.
[Q-SYM-024]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
[Q-SYM-025] Если у цели нет последней использованной допустимой активной способности, «Внимай, ученик» объявить нельзя: ОЭ не расходуются и Учитель не отключается.</t>
  </si>
  <si>
    <t xml:space="preserve">L=уровень Учителя, проверки — характеристиками его носителя; оплатить большую из цен (не сумму); затем отключить Учителя на сутки.</t>
  </si>
  <si>
    <t xml:space="preserve">пассив/постоянная перестройка/невозможная анатомия или цель исключают способность.</t>
  </si>
  <si>
    <t xml:space="preserve">Нормативная база (действует во всей непротиворечащей части):
L=уровень Учителя, проверки — характеристиками его носителя; оплатить большую из цен (не сумму); затем отключить Учителя на сутки.</t>
  </si>
  <si>
    <t xml:space="preserve">7.5.4.7.1 и уточнение, стр. 124.</t>
  </si>
  <si>
    <t xml:space="preserve">Q-SYM-024
Q-SYM-025</t>
  </si>
  <si>
    <t xml:space="preserve">SYM-066</t>
  </si>
  <si>
    <t xml:space="preserve">Поднять щиты!</t>
  </si>
  <si>
    <t xml:space="preserve">активное защитное действие.</t>
  </si>
  <si>
    <t xml:space="preserve">объявление допустимого защитного действия; цена 150 ОЭ и одно защитное действие.</t>
  </si>
  <si>
    <t xml:space="preserve">против атаки вообще можно заявить защиту; обе руки доступны; ОЭ≥150.</t>
  </si>
  <si>
    <t xml:space="preserve">чистый R20 активации.</t>
  </si>
  <si>
    <t xml:space="preserve">Нормативная база (действует во всей непротиворечащей части):
R≥4: сформировать полусферический щит внешней площадью 8 м² на время отражения и полностью отменить атаку любой силы/критичности. R=2–3: защита не срабатывает. R=1: сковать обе руки персонажа.
Приоритетные авторские дельты (заменяют только прямо пересекающиеся ветви):
[Q-SYM-026] 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</si>
  <si>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атака отражена либо руки скованы.</t>
  </si>
  <si>
    <t xml:space="preserve">не работает против атак без права на защитное действие.
Поздние дельты применяются по приоритету AQ3 &gt; AQ2 &gt; AQA/CQA &gt; базовая карточка; локальное исключение сильнее общего.</t>
  </si>
  <si>
    <t xml:space="preserve">объявление допустимого защитного действия; цена 150 ОЭ и одно защитное действие.
Нормативная база (действует во всей непротиворечащей части):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
не работает против атак без права на защитное действие.</t>
  </si>
  <si>
    <t xml:space="preserve">объявление допустимого защитного действия; цена 150 ОЭ и одно защитное действие.
ОЭ≥150.</t>
  </si>
  <si>
    <t xml:space="preserve">чистый R20 активации.
R=2–3: защита не срабатывает.
R=1: сковать обе руки персонажа.</t>
  </si>
  <si>
    <t xml:space="preserve">Нормативная база (действует во всей непротиворечащей части):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</si>
  <si>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7.5.5.7.1, стр. 126.</t>
  </si>
  <si>
    <t xml:space="preserve">Q-SYM-026</t>
  </si>
  <si>
    <t xml:space="preserve">SYM-068</t>
  </si>
  <si>
    <t xml:space="preserve">Горючая слюна</t>
  </si>
  <si>
    <t xml:space="preserve">пассив / горение / подготовка оружия.</t>
  </si>
  <si>
    <t xml:space="preserve">объект, оружие или цель.</t>
  </si>
  <si>
    <t xml:space="preserve">поджигание слюны либо попадание покрытым горящей слюной оружием.</t>
  </si>
  <si>
    <t xml:space="preserve">слюна нанесена и продолжает гореть.</t>
  </si>
  <si>
    <t xml:space="preserve">L; чистый результат меткости; оставшееся время горения.</t>
  </si>
  <si>
    <t xml:space="preserve">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</si>
  <si>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создаётся/передаётся эффект горения.</t>
  </si>
  <si>
    <t xml:space="preserve">механика огня — п. 5.4.3.5; требование повреждения плоти не указано.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</si>
  <si>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слюна вырабатывается в L раз больше обычной; стартовое горение 3 минуты/3 хода.</t>
  </si>
  <si>
    <t xml:space="preserve">7.5.6.2.1, стр. 128.</t>
  </si>
  <si>
    <t xml:space="preserve">Q-SYM-027</t>
  </si>
  <si>
    <t xml:space="preserve">SYM-069</t>
  </si>
  <si>
    <t xml:space="preserve">Огнеупорная глотка</t>
  </si>
  <si>
    <t xml:space="preserve">пассив / локальная огнестойкость.</t>
  </si>
  <si>
    <t xml:space="preserve">глотка, рот, зубы, губы.</t>
  </si>
  <si>
    <t xml:space="preserve">воздействие температуры пламени.</t>
  </si>
  <si>
    <t xml:space="preserve">длительность воздействия.</t>
  </si>
  <si>
    <t xml:space="preserve">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Приоритетные авторские дельты (заменяют только прямо пересекающиеся ветви):
[Q-SYM-028] 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</si>
  <si>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локальный урон предотвращён в пределах времени.</t>
  </si>
  <si>
    <t xml:space="preserve">порядок накопления времени не определён.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</si>
  <si>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указанные зоны не получают повреждений от температуры пламени до 4 минут/4 ходов; слюна не прилипает внутри рта.
[Q-SYM-028] Четыре минуты/четыре боевых хода считаются отдельно для каждого непрерывного эпизода воздействия огня на рот и глотку.</t>
  </si>
  <si>
    <t xml:space="preserve">7.5.6.3.1, стр. 128.</t>
  </si>
  <si>
    <t xml:space="preserve">Q-SYM-028</t>
  </si>
  <si>
    <t xml:space="preserve">SYM-071</t>
  </si>
  <si>
    <t xml:space="preserve">Нагнетатель давления</t>
  </si>
  <si>
    <t xml:space="preserve">струйная площадная атака.</t>
  </si>
  <si>
    <t xml:space="preserve">все персонажи под струёй.</t>
  </si>
  <si>
    <t xml:space="preserve">есть горящая слюна; ОЭ≥30.</t>
  </si>
  <si>
    <t xml:space="preserve">первый R20 A (активация/длина), для каждой цели отдельный R6 экипировки.</t>
  </si>
  <si>
    <t xml:space="preserve">Нормативная база (действует во всей непротиворечащей части):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</si>
  <si>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множественные эффекты горения либо потеря ресурса.</t>
  </si>
  <si>
    <t xml:space="preserve">обычный отдых и иные способы восстановления не запрещены текстом.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</si>
  <si>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</si>
  <si>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30 ОЭ и 1 действие.
ОЭ≥30.
A=1: обнулить все ОЭ Дракона и запретить восстановление симбиотическим отваром 1 час.
множественные эффекты горения либо потеря ресурса.</t>
  </si>
  <si>
    <t xml:space="preserve">первый R20 A (активация/длина), для каждой цели отдельный R6 экипировки.
A≥4: длина струи A/4+L м; на каждую цель под струёй наложить горение на R6 элементов экипировки; при R6=6 горит вся экипировка, включая рюкзак.
A=2–3: нет эффекта.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[Q-SYM-029] После успешной активации строится отрезок от позиции носителя длиной R20/4+L метров и шириной 1 метр.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</si>
  <si>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обычный отдых и иные способы восстановления не запрещены текстом.</t>
  </si>
  <si>
    <t xml:space="preserve">Нормативная база (действует во всей непротиворечащей части):
A=1: обнулить все ОЭ Дракона и запретить восстановление симбиотическим отваром 1 час.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</si>
  <si>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7.5.6.5.1, стр. 128.</t>
  </si>
  <si>
    <t xml:space="preserve">Q-SYM-005
Q-SYM-029</t>
  </si>
  <si>
    <t xml:space="preserve">SYM-072</t>
  </si>
  <si>
    <t xml:space="preserve">Долгое горение</t>
  </si>
  <si>
    <t xml:space="preserve">пассив / модификатор горения.</t>
  </si>
  <si>
    <t xml:space="preserve">объекты и персонажи, подожжённые его слюной.</t>
  </si>
  <si>
    <t xml:space="preserve">создание эффекта горения; в строке способности напечатана цена 30 ОЭ одновременно с пометкой «Пассивный эффект».</t>
  </si>
  <si>
    <t xml:space="preserve">способность доступна; момент проверки достаточности ОЭ не определён.</t>
  </si>
  <si>
    <t xml:space="preserve">базовая длительность 3; цена 30 ОЭ.</t>
  </si>
  <si>
    <t xml:space="preserve">Нормативная база (действует во всей непротиворечащей части):
заменить стартовую длительность на 6 ходов.
Приоритетные авторские дельты (заменяют только прямо пересекающиеся ветви):
[Q-SYM-077] 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</si>
  <si>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более длительное горение.</t>
  </si>
  <si>
    <t xml:space="preserve">применяется только к слюне носителя этого Дракона; до ответа нельзя считать эффект бесплатным и постоянно включённым.
Поздние дельты применяются по приоритету AQ3 &gt; AQ2 &gt; AQA/CQA &gt; базовая карточка; локальное исключение сильнее общего.</t>
  </si>
  <si>
    <t xml:space="preserve">создание эффекта горения; в строке способности напечатана цена 30 ОЭ одновременно с пометкой «Пассивный эффект».
способность доступна; момент проверки достаточности ОЭ не определён.
базовая длительность 3; цена 30 ОЭ.
[Q-SYM-077] Строка «Стоимость: 30 ОЭ» считается опечаткой.</t>
  </si>
  <si>
    <t xml:space="preserve">Нормативная база (действует во всей непротиворечащей части):
заменить стартовую длительность на 6 ходов.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</si>
  <si>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7.5.6.6.1, стр. 128.</t>
  </si>
  <si>
    <t xml:space="preserve">Q-SYM-077</t>
  </si>
  <si>
    <t xml:space="preserve">SYM-073</t>
  </si>
  <si>
    <t xml:space="preserve">Огненный шар</t>
  </si>
  <si>
    <t xml:space="preserve">дальняя площадная атака / огонь.</t>
  </si>
  <si>
    <t xml:space="preserve">точка и все в радиусе.</t>
  </si>
  <si>
    <t xml:space="preserve">ОЭ≥60; возможность поджечь слюну.</t>
  </si>
  <si>
    <t xml:space="preserve">первый R20 A (активация/дальность), отдельный R12 R (радиус), отдельный R20 D (урон).</t>
  </si>
  <si>
    <t xml:space="preserve">Нормативная база (действует во всей непротиворечащей части):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
Приоритетные авторские дельты (заменяют только прямо пересекающиеся ветви):
[Q-SYM-030] 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</si>
  <si>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чистый площадной урон и горение.</t>
  </si>
  <si>
    <t xml:space="preserve">шар взрывается о первое препятствие; чистый урон ничем не уменьшается.
Поздние дельты применяются по приоритету AQ3 &gt; AQ2 &gt; AQA/CQA &gt; базовая карточка; локальное исключение сильнее общего.</t>
  </si>
  <si>
    <t xml:space="preserve">объявление; цена 60 ОЭ и 1 действие.
Нормативная база (действует во всей непротиворечащей части):</t>
  </si>
  <si>
    <t xml:space="preserve">объявление; цена 60 ОЭ и 1 действие.
ОЭ≥60; возможность поджечь слюну.</t>
  </si>
  <si>
    <t xml:space="preserve">первый R20 A (активация/дальность), отдельный R12 R (радиус), отдельный R20 D (урон).
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
A=2–3: эффекта нет.
A=1: применить под ноги носителя с «максимальной мощностью и радиусом».</t>
  </si>
  <si>
    <t xml:space="preserve">7.5.6.7.1, стр. 128–129.</t>
  </si>
  <si>
    <t xml:space="preserve">Q-SYM-030</t>
  </si>
  <si>
    <t xml:space="preserve">Межсимбионтная хищность и подавление Трогра</t>
  </si>
  <si>
    <t xml:space="preserve">Учитель, Дельфин, Советник, Пингвин, Хранитель.</t>
  </si>
  <si>
    <t xml:space="preserve">совместное нахождение в теле.</t>
  </si>
  <si>
    <t xml:space="preserve">оба симбионта присутствуют.</t>
  </si>
  <si>
    <t xml:space="preserve">состав тела.</t>
  </si>
  <si>
    <t xml:space="preserve">Нормативная база (действует во всей непротиворечащей части):
Учитель и Дельфин подлежат поглощению; Советник не развивается, не получает XP и не проявляет себя; Пингвин затаивается и не проявляется, но продолжает получать XP; Трогр охотится на Хранителя. 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
[Q-SYM-073] При начале подавления один раз определяется бонус B=R20/4 с общим математическим округлением. Итоговый минимум I равен 1+B, а если Трогр поглотил Учителя — 4+B; минимум W при поглощённом Учителе остаётся равен 4. Важно: эти бонусы просто позволяют носителю трогра по мере прокачки трогра сохранить больше интеллекта.
Под Trogr: Adviser не является кандидатом progression; Penguin сохраняет право на progression и распределение.</t>
  </si>
  <si>
    <t xml:space="preserve">жертвы/подавленные симбионты и минимумы характеристик обновлены.</t>
  </si>
  <si>
    <t xml:space="preserve">конкретная процедура и момент поглощения/охоты не заданы.
Поздние дельты применяются по приоритету AQ3 &gt; AQ2 &gt; AQA/CQA &gt; базовая карточка; локальное исключение сильнее общего.
Локальное исключение Penguin сильнее общего правила отключённого симбионта CORE-104.</t>
  </si>
  <si>
    <t xml:space="preserve">[Q-SYM-031]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t>
  </si>
  <si>
    <t xml:space="preserve">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[Q-SYM-073] При начале подавления один раз определяется бонус B=R20/4 с общим математическим округлением.</t>
  </si>
  <si>
    <t xml:space="preserve">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
[Q-SYM-073] При начале подавления один раз определяется бонус B=R20/4 с общим математическим округлением.</t>
  </si>
  <si>
    <t xml:space="preserve">7.5.7 и 7.5.7.2.1, стр. 129–130.
Прямое авторское решение Q-SYMBIONT-XP-001 — опыт симбионтов за natural 20/1, 2026-07-30</t>
  </si>
  <si>
    <t xml:space="preserve">Q-SYM-005
Q-SYM-031
Q-SYM-073
Q-SYMBIONT-XP-001</t>
  </si>
  <si>
    <t xml:space="preserve">CORE-104
CORE-230
CORE-232
SYM-130</t>
  </si>
  <si>
    <t xml:space="preserve">Трогровость</t>
  </si>
  <si>
    <t xml:space="preserve">пассив / характеристики / слоты.</t>
  </si>
  <si>
    <t xml:space="preserve">изменение L или факт поглощения.</t>
  </si>
  <si>
    <t xml:space="preserve">Трогр активен.</t>
  </si>
  <si>
    <t xml:space="preserve">L, раса, базовые характеристики, поглощённые виды.</t>
  </si>
  <si>
    <t xml:space="preserve">Нормативная база (действует во всей непротиворечащей части):
за каждый L добавить +6 к S,D,M,Z до потолка 25 у Единого/35 у Вольного; добавить 20L к maxHP; уменьшить I,W,C на 6L, но не ниже 1. 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Приоритетные авторские дельты (заменяют только прямо пересекающиеся ветви):
[Q-SYM-032] 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</si>
  <si>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пересчитаны характеристики, maxHP, слоты и уровень.</t>
  </si>
  <si>
    <t xml:space="preserve">судьба способностей при принудительном L=5 не определена.
Поздние дельты применяются по приоритету AQ3 &gt; AQ2 &gt; AQA/CQA &gt; базовая карточка; локальное исключение сильнее общего.</t>
  </si>
  <si>
    <t xml:space="preserve">Опыт за это не начисляется и компенсация уже развитому Трогру не выдаётся.</t>
  </si>
  <si>
    <t xml:space="preserve">Если поглощён Учитель, минимум I и W=4 (складывается с «подавленным советником»).
После поглощения одного из {Учитель, Дельфин} slotCost=2; обоих — 3.
Поглощение Дельфина немедленно устанавливает L=5.
судьба способностей при принудительном L=5 не определена.</t>
  </si>
  <si>
    <t xml:space="preserve">7.5.7.2.1, стр. 130.</t>
  </si>
  <si>
    <t xml:space="preserve">Q-SYM-032</t>
  </si>
  <si>
    <t xml:space="preserve">SYM-077</t>
  </si>
  <si>
    <t xml:space="preserve">Трогр крушить!</t>
  </si>
  <si>
    <t xml:space="preserve">пассив / накопительный боевой бонус.</t>
  </si>
  <si>
    <t xml:space="preserve">потеря HP во время текущей схватки.</t>
  </si>
  <si>
    <t xml:space="preserve">способность доступна и не отключена «ЫЫЫ…».</t>
  </si>
  <si>
    <t xml:space="preserve">суммарные потерянные HP в схватке.</t>
  </si>
  <si>
    <t xml:space="preserve">Нормативная база (действует во всей непротиворечащей части):
бонус к S = floor(totalLostHP/10); сбросить в конце схватки.
Приоритетные авторские дельты (заменяют только прямо пересекающиеся ветви):
[Q-SYM-033] 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</si>
  <si>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динамический бонус силы.</t>
  </si>
  <si>
    <t xml:space="preserve">лечение не описано как уменьшающее счётчик.
Поздние дельты применяются по приоритету AQ3 &gt; AQ2 &gt; AQA/CQA &gt; базовая карточка; локальное исключение сильнее общего.</t>
  </si>
  <si>
    <t xml:space="preserve">потеря HP во время текущей схватки.
суммарные потерянные HP в схватке.
[Q-SYM-033] Считается суммарное количество фактически потерянных HP за текущую схватку, включая повторную потерю восстановленных HP.</t>
  </si>
  <si>
    <t xml:space="preserve">бонус к S = floor(totalLostHP/10); сбросить в конце схватки.</t>
  </si>
  <si>
    <t xml:space="preserve">7.5.7.3.1, стр. 130.</t>
  </si>
  <si>
    <t xml:space="preserve">Q-SYM-033</t>
  </si>
  <si>
    <t xml:space="preserve">SYM-078</t>
  </si>
  <si>
    <t xml:space="preserve">WAAAGH!!!</t>
  </si>
  <si>
    <t xml:space="preserve">активный крик / встречная проверка / контроль.</t>
  </si>
  <si>
    <t xml:space="preserve">до оплаты currentOE≥2000.</t>
  </si>
  <si>
    <t xml:space="preserve">A=R20+10 Трогра, проверка M цели B, разница A−B.</t>
  </si>
  <si>
    <t xml:space="preserve">Нормативная база (действует во всей непротиворечащей части):
если A≤B, нет эффекта. Разница 1–8: глухота 30 минут/6 ходов. 9–18: глухота + «страх» (−1 действие в серии) на тот же срок. &gt;18: бессознательность 5 минут/1 ход.
Приоритетные авторские дельты (заменяют только прямо пересекающиеся ветви):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</si>
  <si>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состояние по диапазону.</t>
  </si>
  <si>
    <t xml:space="preserve">после поглощения Дельфина способность может использоваться для эхолокации (небоевое применение вне реестра).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</si>
  <si>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Разница 1–8: глухота 30 минут/6 ходов.
9–18: глухота + «страх» (−1 действие в серии) на тот же срок.
&gt;18: бессознательность 5 минут/1 ход.</t>
  </si>
  <si>
    <t xml:space="preserve">Нормативная база (действует во всей непротиворечащей части):
Разница 1–8: глухота 30 минут/6 ходов.
9–18: глухота + «страх» (−1 действие в серии) на тот же срок.
&gt;18: бессознательность 5 минут/1 ход.</t>
  </si>
  <si>
    <t xml:space="preserve">7.5.7.4.1, стр. 130.</t>
  </si>
  <si>
    <t xml:space="preserve">Q-SYM-034</t>
  </si>
  <si>
    <t xml:space="preserve">SYM-080</t>
  </si>
  <si>
    <t xml:space="preserve">ЫЫЫ…</t>
  </si>
  <si>
    <t xml:space="preserve">активное подавление боли.</t>
  </si>
  <si>
    <t xml:space="preserve">проверка I со всеми модификаторами.</t>
  </si>
  <si>
    <t xml:space="preserve">Нормативная база (действует во всей непротиворечащей части):
если итог &lt;10, носитель не чувствует боль любой силы и отключает эффект «Трогр крушить!».
Приоритетные авторские дельты (заменяют только прямо пересекающиеся ветви):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</si>
  <si>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состояние нечувствительности к боли; бонус SYM-077 снят/заблокирован.</t>
  </si>
  <si>
    <t xml:space="preserve">длительность и механические последствия боли не заданы.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</si>
  <si>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t>
  </si>
  <si>
    <t xml:space="preserve">Нормативная база (действует во всей непротиворечащей части):
[Q-SYM-035] 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t>
  </si>
  <si>
    <t xml:space="preserve">7.5.7.6.1, стр. 130.</t>
  </si>
  <si>
    <t xml:space="preserve">Q-SYM-035</t>
  </si>
  <si>
    <t xml:space="preserve">SYM-085</t>
  </si>
  <si>
    <t xml:space="preserve">Резервная копия: захват нового тела</t>
  </si>
  <si>
    <t xml:space="preserve">перенос персонажа / конфликт симбионтов.</t>
  </si>
  <si>
    <t xml:space="preserve">новое тело Единого или Вольного.</t>
  </si>
  <si>
    <t xml:space="preserve">проникновение через рот/анус.</t>
  </si>
  <si>
    <t xml:space="preserve">цель допустимой расы; это не симбиотическое чудовище.</t>
  </si>
  <si>
    <t xml:space="preserve">текущие ОЭ Хранителя; симбионты тела и их ОЭ; прежние I,W,C; физические характеристики тела.</t>
  </si>
  <si>
    <t xml:space="preserve">Нормативная база (действует во всей непротиворечащей части):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Приоритетные авторские дельты (заменяют только прямо пересекающиеся ветви):
[Q-SYM-036] 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</si>
  <si>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тело получает личность прежнего носителя и Хранителя в слоте.</t>
  </si>
  <si>
    <t xml:space="preserve">тело симбиотического чудовища нельзя захватить; его смерть убивает тело.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</si>
  <si>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[Q-SYM-036] Проникновение в добровольного, бессознательного или полностью обездвиженного Единого/Вольного занимает 1 действие.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</si>
  <si>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текущие ОЭ Хранителя; симбионты тела и их ОЭ; прежние I,W,C; физические характеристики тела.
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[Q-SYM-074] 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</si>
  <si>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Нормативная база (действует во всей непротиворечащей части):
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</si>
  <si>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Q-SYM-036
Q-SYM-074</t>
  </si>
  <si>
    <t xml:space="preserve">SYM-087</t>
  </si>
  <si>
    <t xml:space="preserve">Оценка тела</t>
  </si>
  <si>
    <t xml:space="preserve">выбор тела / диагностика.</t>
  </si>
  <si>
    <t xml:space="preserve">Нормативная база (действует во всей непротиворечащей части):
R≥5: раскрыть S,D,M,Z цели; R=2–4: данных нет; R=1: дополнительно потерять 100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</si>
  <si>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информация раскрыта либо энергия потеряна.</t>
  </si>
  <si>
    <t xml:space="preserve">правило включено как часть механики выбора нового тела, а не социальная проверка.
Поздние дельты применяются по приоритету AQ3 &gt; AQ2 &gt; AQA/CQA &gt; базовая карточка; локальное исключение сильнее общего.</t>
  </si>
  <si>
    <t xml:space="preserve">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</si>
  <si>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объявление; цена 10 ОЭ и 1 действие.
R=1: дополнительно потерять 100 ОЭ.
[Q-SYM-009] При обязательной потере ОЭ текущий запас уменьшается не ниже 0; энергетический долг не создаётся.</t>
  </si>
  <si>
    <t xml:space="preserve">чистый R20.
R=2–4: данных нет
R=1: дополнительно потерять 100 ОЭ.</t>
  </si>
  <si>
    <t xml:space="preserve">[Q-SYM-009] При обязательной потере ОЭ текущий запас уменьшается не ниже 0; энергетический долг не создаётся.</t>
  </si>
  <si>
    <t xml:space="preserve">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
правило включено как часть механики выбора нового тела, а не социальная проверка.</t>
  </si>
  <si>
    <t xml:space="preserve">7.5.8.3.2, стр. 132.</t>
  </si>
  <si>
    <t xml:space="preserve">Q-SYM-009</t>
  </si>
  <si>
    <t xml:space="preserve">SYM-089</t>
  </si>
  <si>
    <t xml:space="preserve">Маскировка «Хамелеон» Хранителя</t>
  </si>
  <si>
    <t xml:space="preserve">замирание и объявление; цена 10 ОЭ и 1 действие.</t>
  </si>
  <si>
    <t xml:space="preserve">неподвижность.</t>
  </si>
  <si>
    <t xml:space="preserve">Нормативная база (действует во всей непротиворечащей части):
R≥4: проверки обнаружения против Хранителя получают −15; эффект держится до движения или применения другой способности. R=2–3: эффекта нет. R=1: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</si>
  <si>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состояние маскировки либо потеря энергии.</t>
  </si>
  <si>
    <t xml:space="preserve">любое движение/другая способность прекращает.
Поздние дельты применяются по приоритету AQ3 &gt; AQ2 &gt; AQA/CQA &gt; базовая карточка; локальное исключение сильнее общего.</t>
  </si>
  <si>
    <t xml:space="preserve">замирание и объявление; цена 10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</si>
  <si>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замирание и объявление; цена 10 ОЭ и 1 действие.
R=1: дополнительно потерять 200 ОЭ.
[Q-SYM-009] При обязательной потере ОЭ текущий запас уменьшается не ниже 0; энергетический долг не создаётся.</t>
  </si>
  <si>
    <t xml:space="preserve">чистый R20.
R=2–3: эффекта нет.
R=1: дополнительно потерять 200 ОЭ.</t>
  </si>
  <si>
    <t xml:space="preserve">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</si>
  <si>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7.5.8.5, стр. 132.</t>
  </si>
  <si>
    <t xml:space="preserve">SYM-091</t>
  </si>
  <si>
    <t xml:space="preserve">Крылья Хранителя</t>
  </si>
  <si>
    <t xml:space="preserve">полёт / поддерживаемый пассив.</t>
  </si>
  <si>
    <t xml:space="preserve">начало/продолжение полёта.</t>
  </si>
  <si>
    <t xml:space="preserve">ОЭ хватает на очередной интервал.</t>
  </si>
  <si>
    <t xml:space="preserve">время/ходы полёта.</t>
  </si>
  <si>
    <t xml:space="preserve">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Приоритетные авторские дельты (заменяют только прямо пересекающиеся ветви):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Финальная приоритетная нормализация:
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</si>
  <si>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состояние полёта и модификаторы защиты.</t>
  </si>
  <si>
    <t xml:space="preserve">порядок запуска/оплаты не задан.
Поздние дельты применяются по приоритету AQ3 &gt; AQ2 &gt; AQA/CQA &gt; базовая карточка; локальное исключение сильнее общего.
Финальная 2D-семантика заменяет ветвь падения и поиска безопасной точки.</t>
  </si>
  <si>
    <t xml:space="preserve">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[Q-SYM-037] 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
При любой причине состояние полёта снимается немедленно до новых действий.</t>
  </si>
  <si>
    <t xml:space="preserve">ОЭ хватает на очередной интервал.
за каждую минуту/боевой ход полёта списывать 20 ОЭ; в полёте добавить +10 к уклонению от ближней атаки и +20 от дальней.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</si>
  <si>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время/ходы полёта.
Нормативная база (действует во всей непротиворечащей части):
за каждую минуту/боевой ход полёта списывать 20 ОЭ; в полёте добавить +10 к уклонению от ближней атаки и +20 от дальней.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</si>
  <si>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7.5.8.6.2, стр. 132.</t>
  </si>
  <si>
    <t xml:space="preserve">Q-QA-003
Q-SYM-037</t>
  </si>
  <si>
    <t xml:space="preserve">CORE-093
CQA-002</t>
  </si>
  <si>
    <t xml:space="preserve">Временное убежище</t>
  </si>
  <si>
    <t xml:space="preserve">захват животного.</t>
  </si>
  <si>
    <t xml:space="preserve">животное.</t>
  </si>
  <si>
    <t xml:space="preserve">проникновение доступным путём.</t>
  </si>
  <si>
    <t xml:space="preserve">цель — животное.</t>
  </si>
  <si>
    <t xml:space="preserve">I,W Хранителя, тело животного.</t>
  </si>
  <si>
    <t xml:space="preserve">Нормативная база (действует во всей непротиворечащей части):
заменить мозг и получить контроль; установить I,W тела равными I,W Хранителя, C=1; личность в мозг животного не копировать; ОЭ в теле животного не восстанавливать.
Приоритетные авторские дельты (заменяют только прямо пересекающиеся ветви):
[Q-SYM-038] Игровая условность – в приложении не обрабатывается сценарий занятия хранителем тела животного.</t>
  </si>
  <si>
    <t xml:space="preserve">Хранитель управляет временным телом.</t>
  </si>
  <si>
    <t xml:space="preserve">процедура выхода и судьба мозга не описаны.
Поздние дельты применяются по приоритету AQ3 &gt; AQ2 &gt; AQA/CQA &gt; базовая карточка; локальное исключение сильнее общего.</t>
  </si>
  <si>
    <t xml:space="preserve">ОЭ в теле животного не восстанавливать.</t>
  </si>
  <si>
    <t xml:space="preserve">заменить мозг и получить контроль; установить I,W тела равными I,W Хранителя, C=1; личность в мозг животного не копировать</t>
  </si>
  <si>
    <t xml:space="preserve">7.5.8.7.1, стр. 133.</t>
  </si>
  <si>
    <t xml:space="preserve">Q-SYM-038</t>
  </si>
  <si>
    <t xml:space="preserve">SYM-093</t>
  </si>
  <si>
    <t xml:space="preserve">Попутчики</t>
  </si>
  <si>
    <t xml:space="preserve">перенос набора симбионтов.</t>
  </si>
  <si>
    <t xml:space="preserve">Хранитель умершего Единого</t>
  </si>
  <si>
    <t xml:space="preserve">новое тело.</t>
  </si>
  <si>
    <t xml:space="preserve">смерть исходного носителя, затем заселение.</t>
  </si>
  <si>
    <t xml:space="preserve">исходный носитель — Единый.</t>
  </si>
  <si>
    <t xml:space="preserve">генетический материал остальных симбионтов, их уровни; раса нового тела.</t>
  </si>
  <si>
    <t xml:space="preserve">Нормативная база (действует во всей непротиворечащей части):
сохранить материал исходного набора. При заселении Единого и уничтожении всех его симбионтов заново вырастить исходный набор в освобождённых слотах, сохранив уровни. При заселении Вольного материал потерять.
Приоритетные авторские дельты (заменяют только прямо пересекающиеся ветви):
[Q-SYM-039] 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</si>
  <si>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восстановлен набор либо материал удалён.</t>
  </si>
  <si>
    <t xml:space="preserve">только Хранитель Единого переносит материал.
Поздние дельты применяются по приоритету AQ3 &gt; AQ2 &gt; AQA/CQA &gt; базовая карточка; локальное исключение сильнее общего.</t>
  </si>
  <si>
    <t xml:space="preserve">генетический материал остальных симбионтов, их уровни; раса нового тела.
сохранить материал исходного набора.
При заселении Вольного материал потерять.
Хранитель не дублируется, текущие ОЭ новых симбионтов равны 0 и тем же отдыхом не восстанавливаются.
восстановлен набор либо материал удалён.</t>
  </si>
  <si>
    <t xml:space="preserve">7.5.8.7.2, стр. 133.</t>
  </si>
  <si>
    <t xml:space="preserve">Q-SYM-039</t>
  </si>
  <si>
    <t xml:space="preserve">SYM-094</t>
  </si>
  <si>
    <t xml:space="preserve">Кислотная пушка</t>
  </si>
  <si>
    <t xml:space="preserve">цель ≤30 м; ОЭ≥30.</t>
  </si>
  <si>
    <t xml:space="preserve">первый R20 A (активация/пробитие), отдельный R20 D (урон).</t>
  </si>
  <si>
    <t xml:space="preserve">Нормативная база (действует во всей непротиворечащей части):
A≥3: стандартная дальняя атака, пробитие=A, урон=D+L; A=2: нет эффекта; A=1: дополнительно потерять 200 ОЭ.
Приоритетные авторские дельты (заменяют только прямо пересекающиеся ветви):
[Q-SYM-009] 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</si>
  <si>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урон либо потеря энергии.</t>
  </si>
  <si>
    <t xml:space="preserve">максимальная дальность 30 м.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</si>
  <si>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Дополнительное отключение наступает только там, где оно прямо указано, в частности у Ткача при неудаче «Дублирования органов».</t>
  </si>
  <si>
    <t xml:space="preserve">объявление; цена 30 ОЭ и 1 действие.
ОЭ≥30.
A=1: дополнительно потерять 200 ОЭ.
[Q-SYM-009] При обязательной потере ОЭ текущий запас уменьшается не ниже 0; энергетический долг не создаётся.</t>
  </si>
  <si>
    <t xml:space="preserve">первый R20 A (активация/пробитие), отдельный R20 D (урон).
A≥3: стандартная дальняя атака, пробитие=A, урон=D+L
A=2: нет эффекта
A=1: дополнительно потерять 200 ОЭ.</t>
  </si>
  <si>
    <t xml:space="preserve">7.5.8.8.1, стр. 133.</t>
  </si>
  <si>
    <t xml:space="preserve">SYM-096</t>
  </si>
  <si>
    <t xml:space="preserve">Личность Советника</t>
  </si>
  <si>
    <t xml:space="preserve">самостоятельная личность / навыки.</t>
  </si>
  <si>
    <t xml:space="preserve">создание персонажа/получение способности.</t>
  </si>
  <si>
    <t xml:space="preserve">способность уровня 1 считается изученной.</t>
  </si>
  <si>
    <t xml:space="preserve">два последовательных чистых R20; правила слотов навыков.</t>
  </si>
  <si>
    <t xml:space="preserve">Нормативная база (действует во всей непротиворечащей части):
определить собственные I=R20+8, затем W=отдельный R20+8; игрок выбирает отдельный набор навыков; число слотов рассчитывается по W Советника как у носителя.
Приоритетные авторские дельты (заменяют только прямо пересекающиеся ветви):
[Q-SYM-040] 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</si>
  <si>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создана отдельная сущность характеристик/навыков.</t>
  </si>
  <si>
    <t xml:space="preserve">в карточке указана стоимость 30 ОЭ, хотя способность пассивная и maxOE L1=20.
Поздние дельты применяются по приоритету AQ3 &gt; AQ2 &gt; AQA/CQA &gt; базовая карточка; локальное исключение сильнее общего.</t>
  </si>
  <si>
    <t xml:space="preserve">[Q-SYM-040] Строка «Стоимость: 30 ОЭ» считается опечаткой.
в карточке указана стоимость 30 ОЭ, хотя способность пассивная и maxOE L1=20.</t>
  </si>
  <si>
    <t xml:space="preserve">два последовательных чистых R20; правила слотов навыков.
определить собственные I=R20+8, затем W=отдельный R20+8; игрок выбирает отдельный набор навыков; число слотов рассчитывается по W Советника как у носителя.
в карточке указана стоимость 30 ОЭ, хотя способность пассивная и maxOE L1=20.</t>
  </si>
  <si>
    <t xml:space="preserve">7.5.9.2.1, стр. 135.</t>
  </si>
  <si>
    <t xml:space="preserve">Q-SYM-040</t>
  </si>
  <si>
    <t xml:space="preserve">SYM-099</t>
  </si>
  <si>
    <t xml:space="preserve">Принимаю управление</t>
  </si>
  <si>
    <t xml:space="preserve">передача контроля.</t>
  </si>
  <si>
    <t xml:space="preserve">Советник / тело.</t>
  </si>
  <si>
    <t xml:space="preserve">добровольная передача управления.</t>
  </si>
  <si>
    <t xml:space="preserve">Советник активен.</t>
  </si>
  <si>
    <t xml:space="preserve">набор навыков обоих, ОЭ, время/ходы.</t>
  </si>
  <si>
    <t xml:space="preserve">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Приоритетные авторские дельты (заменяют только прямо пересекающиеся ветви):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</si>
  <si>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контроллер тела и набор навыков переключены.</t>
  </si>
  <si>
    <t xml:space="preserve">при нехватке ОЭ поведение не задано.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</si>
  <si>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t>
  </si>
  <si>
    <t xml:space="preserve">набор навыков обоих, ОЭ, время/ходы.
на время контроля заменить набор навыков тела на набор Советника; каждые 5 минут/1 боевой ход списывать 10 ОЭ.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Автоматическое управление от «Системы устойчивости» ОЭ не расходует и прекращается при возвращении ясного сознания носителя.
при нехватке ОЭ поведение не задано.</t>
  </si>
  <si>
    <t xml:space="preserve">При нехватке первой суммы передача невозможна, при нехватке последующей контроль возвращается носителю до действий.</t>
  </si>
  <si>
    <t xml:space="preserve">набор навыков обоих, ОЭ, время/ходы.
Нормативная база (действует во всей непротиворечащей части):
на время контроля заменить набор навыков тела на набор Советника; каждые 5 минут/1 боевой ход списывать 10 ОЭ.
Возврат против воли Советника занимает 5 минут/1 ход.
[Q-SYM-041]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Добровольный возврат в начале хода бесплатен, принудительный занимает полный ход/5 минут.</t>
  </si>
  <si>
    <t xml:space="preserve">7.5.9.5.1, стр. 135.</t>
  </si>
  <si>
    <t xml:space="preserve">Q-SYM-041</t>
  </si>
  <si>
    <t xml:space="preserve">SYM-101</t>
  </si>
  <si>
    <t xml:space="preserve">Дар мудрости</t>
  </si>
  <si>
    <t xml:space="preserve">активный модификатор одной проверки.</t>
  </si>
  <si>
    <t xml:space="preserve">Советник по собственной воле соглашается; цена 100 ОЭ и 1 действие, если проверка в бою.</t>
  </si>
  <si>
    <t xml:space="preserve">I Советника, предстоящая одна проверка I носителя.</t>
  </si>
  <si>
    <t xml:space="preserve">Нормативная база (действует во всей непротиворечащей части):
передать интеллект Советника на одну проверку, затем отключить Советника на 12 часов.
Приоритетные авторские дельты (заменяют только прямо пересекающиеся ветви):
[Q-SYM-042] 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</si>
  <si>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одна проверка изменена; Советник отключён.</t>
  </si>
  <si>
    <t xml:space="preserve">Советник может отказать.
Поздние дельты применяются по приоритету AQ3 &gt; AQ2 &gt; AQA/CQA &gt; базовая карточка; локальное исключение сильнее общего.</t>
  </si>
  <si>
    <t xml:space="preserve">Советник по собственной воле соглашается; цена 100 ОЭ и 1 действие, если проверка в бою.
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</si>
  <si>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Советник по собственной воле соглашается; цена 100 ОЭ и 1 действие, если проверка в бою.
ОЭ≥100.</t>
  </si>
  <si>
    <t xml:space="preserve">Советник может отказать.</t>
  </si>
  <si>
    <t xml:space="preserve">Нормативная база (действует во всей непротиворечащей части):
передать интеллект Советника на одну проверку, затем отключить Советника на 12 часов.
Навык и остальные модификаторы используются у носителя; после проверки Советник отключается на 12 часов.</t>
  </si>
  <si>
    <t xml:space="preserve">7.5.9.7.1, стр. 135.</t>
  </si>
  <si>
    <t xml:space="preserve">Q-SYM-042</t>
  </si>
  <si>
    <t xml:space="preserve">SYM-103</t>
  </si>
  <si>
    <t xml:space="preserve">Кровопийца</t>
  </si>
  <si>
    <t xml:space="preserve">пассив / урон правой рукой.</t>
  </si>
  <si>
    <t xml:space="preserve">рукопашная цель.</t>
  </si>
  <si>
    <t xml:space="preserve">рукопашная атака правой рукой.</t>
  </si>
  <si>
    <t xml:space="preserve">Клещ активен.</t>
  </si>
  <si>
    <t xml:space="preserve">базовый урон, L.</t>
  </si>
  <si>
    <t xml:space="preserve">Нормативная база (действует во всей непротиворечащей части):
добавить L к урону.
Приоритетные авторские дельты (заменяют только прямо пересекающиеся ветви):
[Q-SYM-043] 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</si>
  <si>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питание кровью вместо еды исключено как небоевое; охват оружейных атак неясен.
Поздние дельты применяются по приоритету AQ3 &gt; AQ2 &gt; AQA/CQA &gt; базовая карточка; локальное исключение сильнее общего.</t>
  </si>
  <si>
    <t xml:space="preserve">7.5.10.2.1, стр. 137.</t>
  </si>
  <si>
    <t xml:space="preserve">Q-SYM-043</t>
  </si>
  <si>
    <t xml:space="preserve">SYM-104</t>
  </si>
  <si>
    <t xml:space="preserve">Вкус крови</t>
  </si>
  <si>
    <t xml:space="preserve">пассив / боевая диагностика.</t>
  </si>
  <si>
    <t xml:space="preserve">цель, чья кровь попробована пастью.</t>
  </si>
  <si>
    <t xml:space="preserve">пасть контактирует с кровью цели.</t>
  </si>
  <si>
    <t xml:space="preserve">кровь принадлежит идентифицируемой цели.</t>
  </si>
  <si>
    <t xml:space="preserve">карточка цели.</t>
  </si>
  <si>
    <t xml:space="preserve">Нормативная база (действует во всей непротиворечащей части):
без проверки раскрыть расу, значения всех характеристик, навыки, виды и уровни симбионтов.
Приоритетные авторские дельты (заменяют только прямо пересекающиеся ветви):
[Q-SYM-022] 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</si>
  <si>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информация помечается известной носителю.</t>
  </si>
  <si>
    <t xml:space="preserve">раскрытие текущих/базовых значений не уточнено.
Поздние дельты применяются по приоритету AQ3 &gt; AQ2 &gt; AQA/CQA &gt; базовая карточка; локальное исключение сильнее общего.</t>
  </si>
  <si>
    <t xml:space="preserve">Базовые значения, текущие и максимальные HP/ОЭ не раскрываются, если способность не называет их отдельно.</t>
  </si>
  <si>
    <t xml:space="preserve">7.5.10.3.1, стр. 137.</t>
  </si>
  <si>
    <t xml:space="preserve">SYM-106</t>
  </si>
  <si>
    <t xml:space="preserve">Выпустить когти</t>
  </si>
  <si>
    <t xml:space="preserve">активная трансформация / оружие.</t>
  </si>
  <si>
    <t xml:space="preserve">рука носителя.</t>
  </si>
  <si>
    <t xml:space="preserve">объявление; цена 30 ОЭ; формирование занимает 1 минуту/1 ход.</t>
  </si>
  <si>
    <t xml:space="preserve">атака когтями, отдельные R20 урона/пробития, S,D, навык рукопашного боя.</t>
  </si>
  <si>
    <t xml:space="preserve">Нормативная база (действует во всей непротиворечащей части):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 Разрешить втянуть когти без ОЭ.
Приоритетные авторские дельты (заменяют только прямо пересекающиеся ветви):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</si>
  <si>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рука экипирована/разэкипирована природным оружием.</t>
  </si>
  <si>
    <t xml:space="preserve">когти теряют свойства при гибели Клеща.
Поздние дельты применяются по приоритету AQ3 &gt; AQ2 &gt; AQA/CQA &gt; базовая карточка; локальное исключение сильнее общего.</t>
  </si>
  <si>
    <t xml:space="preserve">объявление; цена 30 ОЭ; формирование занимает 1 минуту/1 ход.
Нормативная база (действует во всей непротиворечащей части):
[Q-SYM-044] Выпускание когтей занимает одну полную минуту вне боя или весь боевой ход и стоит 30 ОЭ; дополнительное действие не добавляется.</t>
  </si>
  <si>
    <t xml:space="preserve">объявление; цена 30 ОЭ; формирование занимает 1 минуту/1 ход.
Разрешить втянуть когти без ОЭ.
[Q-SYM-044] 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</si>
  <si>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атака когтями, отдельные R20 урона/пробития, S,D, навык рукопашного боя.
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t>
  </si>
  <si>
    <t xml:space="preserve">7.5.10.5.1, стр. 137.</t>
  </si>
  <si>
    <t xml:space="preserve">Q-SYM-044</t>
  </si>
  <si>
    <t xml:space="preserve">SYM-107</t>
  </si>
  <si>
    <t xml:space="preserve">Гарпун</t>
  </si>
  <si>
    <t xml:space="preserve">дальний захват / принудительное перемещение.</t>
  </si>
  <si>
    <t xml:space="preserve">цель или опора.</t>
  </si>
  <si>
    <t xml:space="preserve">выстрел; цена 60 ОЭ и 1 действие; последующее сокращение — 1 действие.</t>
  </si>
  <si>
    <t xml:space="preserve">цель ≤L м; ОЭ≥60.</t>
  </si>
  <si>
    <t xml:space="preserve">чистый R20 активации; S, L; масса цели/груза.</t>
  </si>
  <si>
    <t xml:space="preserve">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При потере гарпуна восстановление 8−L суток.
Приоритетные авторские дельты (заменяют только прямо пересекающиеся ветви):
[Q-SYM-045] 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</si>
  <si>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создаётся связь гарпуна и возможное перемещение.</t>
  </si>
  <si>
    <t xml:space="preserve">урон, пробитие, проверка сопротивления и геометрия не заданы.
Поздние дельты применяются по приоритету AQ3 &gt; AQ2 &gt; AQA/CQA &gt; базовая карточка; локальное исключение сильнее общего.</t>
  </si>
  <si>
    <t xml:space="preserve">выстрел; цена 60 ОЭ и 1 действие; последующее сокращение — 1 действие.
Нормативная база (действует во всей непротиворечащей части):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t>
  </si>
  <si>
    <t xml:space="preserve">выстрел; цена 60 ОЭ и 1 действие; последующее сокращение — 1 действие.
ОЭ≥60.</t>
  </si>
  <si>
    <t xml:space="preserve">чистый R20 активации
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
R=2: нет эффекта.
R=1: выстрелить в случайную другую цель подходящей дальности, включая носителя.
Объект тяжелее S×L кг переместить нельзя.</t>
  </si>
  <si>
    <t xml:space="preserve">Нормативная база (действует во всей непротиворечащей части):
При потере гарпуна восстановление 8−L суток.</t>
  </si>
  <si>
    <t xml:space="preserve">7.5.10.6.1, стр. 137.</t>
  </si>
  <si>
    <t xml:space="preserve">Q-SYM-045</t>
  </si>
  <si>
    <t xml:space="preserve">SYM-112</t>
  </si>
  <si>
    <t xml:space="preserve">Заряженный прыжок</t>
  </si>
  <si>
    <t xml:space="preserve">активное перемещение + разовый пассив.</t>
  </si>
  <si>
    <t xml:space="preserve">объявление; цена 50 ОЭ и по умолчанию 1 действие.</t>
  </si>
  <si>
    <t xml:space="preserve">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Приоритетные авторские дельты (заменяют только прямо пересекающиеся ветви):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</si>
  <si>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позиция/дистанция изменена; разовый флаг использован.</t>
  </si>
  <si>
    <t xml:space="preserve">цена ОЭ и бросок при бесплатном сокращении не уточнены.
Поздние дельты применяются по приоритету AQ3 &gt; AQ2 &gt; AQA/CQA &gt; базовая карточка; локальное исключение сильнее общего.</t>
  </si>
  <si>
    <t xml:space="preserve">объявление; цена 50 ОЭ и по умолчанию 1 действие.
Нормативная база (действует во всей непротиворечащей части):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</si>
  <si>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объявление; цена 50 ОЭ и по умолчанию 1 действие.
ОЭ≥50.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цена ОЭ и бросок при бесплатном сокращении не уточнены.</t>
  </si>
  <si>
    <t xml:space="preserve">чистый R20.
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</si>
  <si>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бросить один R20 и переместить прыжком на (R20)×2 метров; один раз за боевую ситуацию разрешить сократить дистанцию до противника без расхода действия.
[Q-SYM-046]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</si>
  <si>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7.5.11.4.1, стр. 139.</t>
  </si>
  <si>
    <t xml:space="preserve">Q-SYM-046</t>
  </si>
  <si>
    <t xml:space="preserve">SYM-114</t>
  </si>
  <si>
    <t xml:space="preserve">Крылья Сверчка</t>
  </si>
  <si>
    <t xml:space="preserve">полёт / активная.</t>
  </si>
  <si>
    <t xml:space="preserve">после прыжка &gt;20 м объявить попытку; цена 60 ОЭ и 1 действие по умолчанию.</t>
  </si>
  <si>
    <t xml:space="preserve">прыжок выполнен Заряженным прыжком; ОЭ≥60.</t>
  </si>
  <si>
    <t xml:space="preserve">первый чистый R20 A; при A≤10 отдельный R20 multiplier; M,L,C (масса груза/экипировки без тела).</t>
  </si>
  <si>
    <t xml:space="preserve">Нормативная база (действует во всей непротиворечащей части):
A≤10: увеличить дальность исходного прыжка в отдельный R20 раз. A≥11: начать полёт; max дальность max(0,M×L−C) км; при 0 приземлиться после прыжка. В полёте разрешены только изменение направления/высоты; дальние атаки по носителю получают −10 к точности.
Приоритетные авторские дельты (заменяют только прямо пересекающиеся ветви):
[Q-SYM-047] 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</si>
  <si>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удлинённый прыжок либо полёт.</t>
  </si>
  <si>
    <t xml:space="preserve">масса тела не входит в C.
Поздние дельты применяются по приоритету AQ3 &gt; AQ2 &gt; AQA/CQA &gt; базовая карточка; локальное исключение сильнее общего.</t>
  </si>
  <si>
    <t xml:space="preserve">после прыжка &gt;20 м объявить попытку; цена 60 ОЭ и 1 действие по умолчанию.
Нормативная база (действует во всей непротиворечащей части):
До посадки персонаж не совершает иных действий, кроме изменения направления.</t>
  </si>
  <si>
    <t xml:space="preserve">после прыжка &gt;20 м объявить попытку; цена 60 ОЭ и 1 действие по умолчанию.
ОЭ≥60.
[Q-SYM-047] После прыжка более чем на 20 м персонаж отдельно оплачивает 60 ОЭ и выполняет проверку «Крыльев».</t>
  </si>
  <si>
    <t xml:space="preserve">первый чистый R20 A; при A≤10 отдельный R20 multiplier
A≤10: увеличить дальность исходного прыжка в отдельный R20 раз.
A≥11: начать полёт; max дальность max(0,M×L−C) км; при 0 приземлиться после прыжка.</t>
  </si>
  <si>
    <t xml:space="preserve">Нормативная база (действует во всей непротиворечащей части):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t>
  </si>
  <si>
    <t xml:space="preserve">7.5.11.6.1 и уточнение, стр. 139.</t>
  </si>
  <si>
    <t xml:space="preserve">Q-SYM-047</t>
  </si>
  <si>
    <t xml:space="preserve">Паутинные железы</t>
  </si>
  <si>
    <t xml:space="preserve">пассив / создаваемый материал.</t>
  </si>
  <si>
    <t xml:space="preserve">нить каждой руки.</t>
  </si>
  <si>
    <t xml:space="preserve">производство/выпуск паутины.</t>
  </si>
  <si>
    <t xml:space="preserve">соответствующее запястье доступно.</t>
  </si>
  <si>
    <t xml:space="preserve">L, время производства, число нитей, площадь склейки.</t>
  </si>
  <si>
    <t xml:space="preserve">Нормативная база (действует во всей непротиворечащей части):
скорость каждой системы 10L см/с; одна нить выдерживает 20L кг; липкость 5L кг на 1 см² склеенной площади.
Приоритетные авторские дельты (заменяют только прямо пересекающиеся ветви):
[Q-SYM-048] Вне боя используется фактическая скорость 10×L см/с для каждой свободной ладони; за него каждая свободная ладонь производит L метров отдельной нити. Готовая паутина сохраняется как предмет. В бою эту способность заявить нельзя.</t>
  </si>
  <si>
    <t xml:space="preserve">создан отрезок паутины с параметрами.</t>
  </si>
  <si>
    <t xml:space="preserve">действия и хранение нити не заданы.
Поздние дельты применяются по приоритету AQ3 &gt; AQ2 &gt; AQA/CQA &gt; базовая карточка; локальное исключение сильнее общего.
[v1.4] Для EntityKind=CUSTOM_MONSTER команда недоступна: паутина Паука не производится ни как предмет, ни как MapObject. Боевые эффекты SYM-120/121 разрешаются отдельно и не создают сохраняемый лут.</t>
  </si>
  <si>
    <t xml:space="preserve">Нормативная база (действует во всей непротиворечащей части):
действия и хранение нити не заданы.</t>
  </si>
  <si>
    <t xml:space="preserve">[Q-SYM-048] Вне боя используется фактическая скорость 10×L см/с для каждой свободной ладони; за него каждая свободная ладонь производит L метров отдельной нити.</t>
  </si>
  <si>
    <t xml:space="preserve">7.5.12.2.1, стр. 141.
Предразработочный QA и прямые ответы пользователя 2026-07-29</t>
  </si>
  <si>
    <t xml:space="preserve">Q-SYM-048
Q-PREDEV-010</t>
  </si>
  <si>
    <t xml:space="preserve">CORE-224</t>
  </si>
  <si>
    <t xml:space="preserve">SYM-119</t>
  </si>
  <si>
    <t xml:space="preserve">Точка крепления</t>
  </si>
  <si>
    <t xml:space="preserve">активное создание объекта.</t>
  </si>
  <si>
    <t xml:space="preserve">любая поверхность.</t>
  </si>
  <si>
    <t xml:space="preserve">объявление; цена 50 ОЭ.</t>
  </si>
  <si>
    <t xml:space="preserve">поверхность доступна.</t>
  </si>
  <si>
    <t xml:space="preserve">чистый R20 R, L.</t>
  </si>
  <si>
    <t xml:space="preserve">Нормативная база (действует во всей непротиворечащей части):
занять max(1, round((20−R)/5)) минут или полных ходов после общего округления; создать точку с нагрузкой 100L кг.
Приоритетные авторские дельты (заменяют только прямо пересекающиеся ветви):
[Q-SYM-049] В бою эту способность заявить нельзя. В небоевой ситуации приложение ее не обыгрывает.</t>
  </si>
  <si>
    <t xml:space="preserve">объект крепления на поверхности.</t>
  </si>
  <si>
    <t xml:space="preserve">минимум 1 интервал.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</si>
  <si>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занять max(1, round((20−R)/5)) минут или полных ходов после общего округления; создать точку с нагрузкой 100L кг.</t>
  </si>
  <si>
    <t xml:space="preserve">чистый R20 R, L.
занять max(1, round((20−R)/5)) минут или полных ходов после общего округления; создать точку с нагрузкой 100L кг.</t>
  </si>
  <si>
    <t xml:space="preserve">7.5.12.4.1 и уточнение, стр. 141.</t>
  </si>
  <si>
    <t xml:space="preserve">Q-SYM-049</t>
  </si>
  <si>
    <t xml:space="preserve">SYM-120</t>
  </si>
  <si>
    <t xml:space="preserve">Выстрел паутиной</t>
  </si>
  <si>
    <t xml:space="preserve">дальняя активная / крепление.</t>
  </si>
  <si>
    <t xml:space="preserve">твёрдый объект.</t>
  </si>
  <si>
    <t xml:space="preserve">цель ≤L м; запястье доступно.</t>
  </si>
  <si>
    <t xml:space="preserve">чистый R20 активации, точность.</t>
  </si>
  <si>
    <t xml:space="preserve">Нормативная база (действует во всей непротиворечащей части):
R≥3: дальняя атака; при попадании в твёрдый объект закрепить активную точку. Отсоединение нити от запястья занимает 1 минуту/1 действие. R=2: нет эффекта. R=1: носитель запутан, −5 ко всем проверкам до освобождения.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</si>
  <si>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закреплённая линия либо самозапутывание.</t>
  </si>
  <si>
    <t xml:space="preserve">сложность освобождения задаёт мастер.
Поздние дельты применяются по приоритету AQ3 &gt; AQ2 &gt; AQA/CQA &gt; базовая карточка; локальное исключение сильнее общего.</t>
  </si>
  <si>
    <t xml:space="preserve">объявление; цена 30 ОЭ и 1 действие.
Нормативная база (действует во всей непротиворечащей части):
Отсоединение нити от запястья занимает 1 минуту/1 действие.
Носитель отсоединяет нить за 1 действие; цель освобождается за 1 действие и успешную проверку R20+S против 15+L.</t>
  </si>
  <si>
    <t xml:space="preserve">чистый R20 активации, точность.
R=2: нет эффекта.
R=1: носитель запутан, −5 ко всем проверкам до освобождения.
Носитель отсоединяет нить за 1 действие; цель освобождается за 1 действие и успешную проверку R20+S против 15+L.</t>
  </si>
  <si>
    <t xml:space="preserve">«Ловчая сеть» связи с носителем не создаёт и даёт только штраф −5 до освобождения по той же проверке.</t>
  </si>
  <si>
    <t xml:space="preserve">Нормативная база (действует во всей непротиворечащей части):
Отсоединение нити от запястья занимает 1 минуту/1 действие.</t>
  </si>
  <si>
    <t xml:space="preserve">7.5.12.5.1, стр. 141.</t>
  </si>
  <si>
    <t xml:space="preserve">Q-SYM-050</t>
  </si>
  <si>
    <t xml:space="preserve">SYM-121</t>
  </si>
  <si>
    <t xml:space="preserve">Ловчая сеть</t>
  </si>
  <si>
    <t xml:space="preserve">дальний контроль.</t>
  </si>
  <si>
    <t xml:space="preserve">оба запястья не закрыты; ОЭ≥50.</t>
  </si>
  <si>
    <t xml:space="preserve">Нормативная база (действует во всей непротиворечащей части):
R≥3: выстрелить сетью 2×2 м; при попадании цель получает −5 ко всем проверкам до освобождения. R=2: нет эффекта. R=1: руки носителя скованы на 20 минут/4 хода.
Приоритетные авторские дельты (заменяют только прямо пересекающиеся ветви):
[Q-SYM-050] «Выстрел паутиной» и «Ловчая сеть» являются дальними атаками с максимальной дальностью L метров. Попавший в существо «Выстрел паутиной» создаёт связь между целью и запястьем носителя: расстояние не может превысить 10 метров. Носитель отсоединяет нить за 1 действие; цель освобождается за 1 действие и успешную проверку R20+S против 15+L. «Ловчая сеть» связи с носителем не создаёт и даёт только штраф −5 до освобождения по той же проверке.</t>
  </si>
  <si>
    <t xml:space="preserve">цель/носитель опутаны.</t>
  </si>
  <si>
    <t xml:space="preserve">дальность и сложность освобождения не заданы.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</si>
  <si>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</si>
  <si>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чистый R20 активации, точность.
R≥3: выстрелить сетью 2×2 м; при попадании цель получает −5 ко всем проверкам до освобождения.
R=2: нет эффекта.
R=1: руки носителя скованы на 20 минут/4 хода.
Носитель отсоединяет нить за 1 действие; цель освобождается за 1 действие и успешную проверку R20+S против 15+L.</t>
  </si>
  <si>
    <t xml:space="preserve">Нормативная база (действует во всей непротиворечащей части):
R=1: руки носителя скованы на 20 минут/4 хода.</t>
  </si>
  <si>
    <t xml:space="preserve">7.5.12.6.1, стр. 141.</t>
  </si>
  <si>
    <t xml:space="preserve">SYM-124</t>
  </si>
  <si>
    <t xml:space="preserve">Статическая маскировка</t>
  </si>
  <si>
    <t xml:space="preserve">носитель замирает и объявляет; цена 10 ОЭ и 1 действие.</t>
  </si>
  <si>
    <t xml:space="preserve">после смены одежды/брони прошёл 1 час прорастания хромоцветов.</t>
  </si>
  <si>
    <t xml:space="preserve">чистый R20; размер предмета в руках.</t>
  </si>
  <si>
    <t xml:space="preserve">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</si>
  <si>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маскировка либо негативный окрас.</t>
  </si>
  <si>
    <t xml:space="preserve">не складывается с динамической.
Поздние дельты применяются по приоритету AQ3 &gt; AQ2 &gt; AQA/CQA &gt; базовая карточка; локальное исключение сильнее общего.</t>
  </si>
  <si>
    <t xml:space="preserve">носитель замирает и объявляет; цена 10 ОЭ и 1 действие.
после смены одежды/брони прошёл 1 час прорастания хромоцветов.
Нормативная база (действует во всей непротиворечащей части):
R=1: на 1 час окрас мухомора, −5 к скрытности и C-проверкам.</t>
  </si>
  <si>
    <t xml:space="preserve">чистый R20; размер предмета в руках.
R=2: нет эффекта.
R=1: на 1 час окрас мухомора, −5 к скрытности и C-проверкам.</t>
  </si>
  <si>
    <t xml:space="preserve">после смены одежды/брони прошёл 1 час прорастания хромоцветов.
Нормативная база (действует во всей непротиворечащей части):
R=1: на 1 час окрас мухомора, −5 к скрытности и C-проверкам.</t>
  </si>
  <si>
    <t xml:space="preserve">7.5.13.2.1, стр. 143.</t>
  </si>
  <si>
    <t xml:space="preserve">Q-SYM-051</t>
  </si>
  <si>
    <t xml:space="preserve">SYM-125</t>
  </si>
  <si>
    <t xml:space="preserve">Атака из засады</t>
  </si>
  <si>
    <t xml:space="preserve">пассив / меткость.</t>
  </si>
  <si>
    <t xml:space="preserve">любая атака из состояния маскировки.</t>
  </si>
  <si>
    <t xml:space="preserve">цель не видит атакующего.</t>
  </si>
  <si>
    <t xml:space="preserve">L, проверка точности.</t>
  </si>
  <si>
    <t xml:space="preserve">Нормативная база (действует во всей непротиворечащей части):
добавить +L к меткости.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</si>
  <si>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модифицированная атака.</t>
  </si>
  <si>
    <t xml:space="preserve">дальнейшая видимость после атаки не определена.
Поздние дельты применяются по приоритету AQ3 &gt; AQ2 &gt; AQA/CQA &gt; базовая карточка; локальное исключение сильнее общего.</t>
  </si>
  <si>
    <t xml:space="preserve">7.5.13.3.1, стр. 143.</t>
  </si>
  <si>
    <t xml:space="preserve">SYM-126</t>
  </si>
  <si>
    <t xml:space="preserve">Двойной фокус внимания</t>
  </si>
  <si>
    <t xml:space="preserve">носитель Хамелеона.</t>
  </si>
  <si>
    <t xml:space="preserve">проверка осмотра.</t>
  </si>
  <si>
    <t xml:space="preserve">у носителя нет действующей Совы с «Безупречным зрением».</t>
  </si>
  <si>
    <t xml:space="preserve">Нормативная база (действует во всей непротиворечащей части):
добавить +L.
Приоритетные авторские дельты (заменяют только прямо пересекающиеся ветви):
[Q-SYM-021] 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</si>
  <si>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модифицированный осмотр.</t>
  </si>
  <si>
    <t xml:space="preserve">при Сове бонус и физические изменения полностью отсутствуют.
Поздние дельты применяются по приоритету AQ3 &gt; AQ2 &gt; AQA/CQA &gt; базовая карточка; локальное исключение сильнее общего.</t>
  </si>
  <si>
    <t xml:space="preserve">7.5.13.4.1, стр. 143; 7.5.3.2.1, стр. 122.</t>
  </si>
  <si>
    <t xml:space="preserve">SYM-129</t>
  </si>
  <si>
    <t xml:space="preserve">Внешняя фотосеть</t>
  </si>
  <si>
    <t xml:space="preserve">активная площадная поддержка.</t>
  </si>
  <si>
    <t xml:space="preserve">живые объекты в радиусе 4 м.</t>
  </si>
  <si>
    <t xml:space="preserve">объявление; цена 300 ОЭ и 1 действие.</t>
  </si>
  <si>
    <t xml:space="preserve">ОЭ≥300.</t>
  </si>
  <si>
    <t xml:space="preserve">L, состав области.</t>
  </si>
  <si>
    <t xml:space="preserve">Нормативная база (действует во всей непротиворечащей части):
дать всем живым объектам в радиусе 4 м +L к скрытности.
Приоритетные авторские дельты (заменяют только прямо пересекающиеся ветви):
[Q-SYM-052] «Внешняя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</si>
  <si>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площадной бонус.</t>
  </si>
  <si>
    <t xml:space="preserve">длительность, движение области, включение носителя и сложение не заданы.
Поздние дельты применяются по приоритету AQ3 &gt; AQ2 &gt; AQA/CQA &gt; базовая карточка; локальное исключение сильнее общего.</t>
  </si>
  <si>
    <t xml:space="preserve">объявление; цена 300 ОЭ и 1 действие.
Нормативная база (действует во всей непротиворечащей части):</t>
  </si>
  <si>
    <t xml:space="preserve">объявление; цена 300 ОЭ и 1 действие.
ОЭ≥300.</t>
  </si>
  <si>
    <t xml:space="preserve">Нормативная база (действует во всей непротиворечащей части):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</si>
  <si>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7.5.13.7.1, стр. 143.</t>
  </si>
  <si>
    <t xml:space="preserve">Q-SYM-052</t>
  </si>
  <si>
    <t xml:space="preserve">SYM-131</t>
  </si>
  <si>
    <t xml:space="preserve">Базовый режим феромонов</t>
  </si>
  <si>
    <t xml:space="preserve">переключаемый пассив / состояние симбионта.</t>
  </si>
  <si>
    <t xml:space="preserve">Пингвин.</t>
  </si>
  <si>
    <t xml:space="preserve">команда сменить тип феромонов.</t>
  </si>
  <si>
    <t xml:space="preserve">изучено больше одного типа; Пингвин не подавлен.</t>
  </si>
  <si>
    <t xml:space="preserve">текущий и выбранный тип, таймер.</t>
  </si>
  <si>
    <t xml:space="preserve">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</si>
  <si>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по завершении новый тип становится активным.</t>
  </si>
  <si>
    <t xml:space="preserve">социальные модификаторы типов 1–3 вне реестра; контроль уровня 5 расширяет режим.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</si>
  <si>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базово единовременно вырабатывать ровно один выбранный тип; смена занимает 1 минуту/1 боевой ход.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</si>
  <si>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t>
  </si>
  <si>
    <t xml:space="preserve">7.5.14.2.1–7.5.14.4.1, стр. 145.</t>
  </si>
  <si>
    <t xml:space="preserve">Q-SYM-053</t>
  </si>
  <si>
    <t xml:space="preserve">SYM-132</t>
  </si>
  <si>
    <t xml:space="preserve">Чёрно-белая ярость</t>
  </si>
  <si>
    <t xml:space="preserve">активное усиление / контроль при единице.</t>
  </si>
  <si>
    <t xml:space="preserve">носитель Пингвина</t>
  </si>
  <si>
    <t xml:space="preserve">цель в радиусе L м; Пингвин активен.</t>
  </si>
  <si>
    <t xml:space="preserve">Нормативная база (действует во всей непротиворечащей части):
R≥4: цель получает +L S и +L D на R/5 минут/ходов. R=2–3: нет эффекта. R=1: цель в течение 1 хода пытается убить носителя Пингвина.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
[Q-SYM-054] 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</si>
  <si>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временный бафф либо принуждение.</t>
  </si>
  <si>
    <t xml:space="preserve">сопротивление цели не указано.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</si>
  <si>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
R≥4: цель получает +L S и +L D на R/5 минут/ходов.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</si>
  <si>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один чистый R20 R.
R=2–3: нет эффекта.
R=1: цель в течение 1 хода пытается убить носителя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</si>
  <si>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Нормативная база (действует во всей непротиворечащей части):
R≥4: цель получает +L S и +L D на R/5 минут/ходов.
R=1: цель в течение 1 хода пытается убить носителя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t>
  </si>
  <si>
    <t xml:space="preserve">7.5.14.5.1, стр. 145.</t>
  </si>
  <si>
    <t xml:space="preserve">Q-SYM-005
Q-SYM-011
Q-SYM-054</t>
  </si>
  <si>
    <t xml:space="preserve">SYM-133</t>
  </si>
  <si>
    <t xml:space="preserve">Чёрно-белый контроль</t>
  </si>
  <si>
    <t xml:space="preserve">пассив / управление режимом.</t>
  </si>
  <si>
    <t xml:space="preserve">выбор режима.</t>
  </si>
  <si>
    <t xml:space="preserve">до двух типов либо команда отключения.</t>
  </si>
  <si>
    <t xml:space="preserve">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Приоритетные авторские дельты (заменяют только прямо пересекающиеся ветви):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</si>
  <si>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активный набор из 0–2 типов.</t>
  </si>
  <si>
    <t xml:space="preserve">повторное включение/смена следует базовому таймеру, если не решено иначе.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</si>
  <si>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разрешить одновременно до двух выбранных типов; разрешить полное отключение выработки, занимающее 2 минуты/2 хода.
[Q-SYM-053] 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t>
  </si>
  <si>
    <t xml:space="preserve">7.5.14.6.1, стр. 146.</t>
  </si>
  <si>
    <t xml:space="preserve">SYM-134</t>
  </si>
  <si>
    <t xml:space="preserve">Чёрно-белое смещение</t>
  </si>
  <si>
    <t xml:space="preserve">активный модификатор дальности.</t>
  </si>
  <si>
    <t xml:space="preserve">его ауры и способности.</t>
  </si>
  <si>
    <t xml:space="preserve">объявление; явная цена ОЭ отсутствует, поэтому 0 ОЭ и 1 действие.</t>
  </si>
  <si>
    <t xml:space="preserve">Пингвин активен.</t>
  </si>
  <si>
    <t xml:space="preserve">первый R20 A (активация/длительность), отдельный R20 B (прибавка радиуса).</t>
  </si>
  <si>
    <t xml:space="preserve">Нормативная база (действует во всей непротиворечащей части):
A≥3: на A/4 минут/ходов увеличить радиус феромонов и дальность способностей на B метров. A=2: нет эффекта. A=1: запретить выработку феромонов на 3 часа.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</si>
  <si>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временный бонус радиуса либо отключение.</t>
  </si>
  <si>
    <t xml:space="preserve">округление не задано.
Поздние дельты применяются по приоритету AQ3 &gt; AQ2 &gt; AQA/CQA &gt; базовая карточка; локальное исключение сильнее общего.</t>
  </si>
  <si>
    <t xml:space="preserve">объявление; явная цена ОЭ отсутствует, поэтому 0 ОЭ и 1 действие.
Нормативная база (действует во всей непротиворечащей части):
A≥3: на A/4 минут/ходов увеличить радиус феромонов и дальность способностей на B метров.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</si>
  <si>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первый R20 A (активация/длительность), отдельный R20 B (прибавка радиуса).
A=2: нет эффекта.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</si>
  <si>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Нормативная база (действует во всей непротиворечащей части):
A≥3: на A/4 минут/ходов увеличить радиус феромонов и дальность способностей на B метров.
A=1: запретить выработку феромонов на 3 часа.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</si>
  <si>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7.5.14.7.1, стр. 146.</t>
  </si>
  <si>
    <t xml:space="preserve">SYM-135</t>
  </si>
  <si>
    <t xml:space="preserve">Чёрно-белое доминирование</t>
  </si>
  <si>
    <t xml:space="preserve">активный усилитель Пингвина.</t>
  </si>
  <si>
    <t xml:space="preserve">его эффекты.</t>
  </si>
  <si>
    <t xml:space="preserve">ОЭ≥60.</t>
  </si>
  <si>
    <t xml:space="preserve">Нормативная база (действует во всей непротиворечащей части):
R≥3: на R/4 минут/ходов удвоить только числовые бонусы и штрафы эффектов Пингвина. Не удваивать радиус, длительность, стоимость, число целей и собственный множитель. R=2: нет эффекта. R=1: Пингвин теряет один уровень.
Приоритетные авторские дельты (заменяют только прямо пересекающиеся ветви):
[Q-SYM-005] 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
[Q-SYM-055] 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</si>
  <si>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множитель эффектов либо L−1.</t>
  </si>
  <si>
    <t xml:space="preserve">при потере до L6 сама способность становится недоступна по общему правилу.
Поздние дельты применяются по приоритету AQ3 &gt; AQ2 &gt; AQA/CQA &gt; базовая карточка; локальное исключение сильнее общего.</t>
  </si>
  <si>
    <t xml:space="preserve">объявление; цена 60 ОЭ и 1 действие.
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</si>
  <si>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объявление; цена 60 ОЭ и 1 действие.
ОЭ≥60.
Не удваивать радиус, длительность, стоимость, число целей и собственный множитель.
Узел самого высокого утраченного уровня помечается утраченным и становится недоступным; ранее потраченный на него опыт не возвращается.</t>
  </si>
  <si>
    <t xml:space="preserve">один чистый R20 R.
R=2: нет эффекта.
R=1: Пингвин теряет один уровень.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</si>
  <si>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Нормативная база (действует во всей непротиворечащей части):
R≥3: на R/4 минут/ходов удвоить только числовые бонусы и штрафы эффектов Пингвина.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</si>
  <si>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7.5.14.8.1 и уточнение, стр. 146.</t>
  </si>
  <si>
    <t xml:space="preserve">Q-SYM-005
Q-SYM-055</t>
  </si>
  <si>
    <t xml:space="preserve">Контактный шокер</t>
  </si>
  <si>
    <t xml:space="preserve">добавка к рукопашной атаке / электричество.</t>
  </si>
  <si>
    <t xml:space="preserve">объявить одновременно с рукопашной атакой; цена 30 ОЭ (без отдельного действия сверх атаки).</t>
  </si>
  <si>
    <t xml:space="preserve">первый R20 A в пакете 2A (активация/урон/пороги), отдельный R20 B обратного урона; результат меткости.</t>
  </si>
  <si>
    <t xml:space="preserve">Нормативная база (действует во всей непротиворечащей части):
носитель всегда получает B урона. При попадании цель получает 2A; при промахе носитель дополнительно получает 2A, оба пакета складываются.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
Приоритетные авторские дельты (заменяют только прямо пересекающиеся ветви):
[Q-SYM-056] 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</si>
  <si>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урон/контроль цели или носителя.</t>
  </si>
  <si>
    <t xml:space="preserve">способность срабатывает несмотря на промах.
Поздние дельты применяются по приоритету AQ3 &gt; AQ2 &gt; AQA/CQA &gt; базовая карточка; локальное исключение сильнее общего.</t>
  </si>
  <si>
    <t xml:space="preserve">объявить одновременно с рукопашной атакой; цена 30 ОЭ (без отдельного действия сверх атаки).
Нормативная база (действует во всей непротиворечащей части):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t>
  </si>
  <si>
    <t xml:space="preserve">объявить одновременно с рукопашной атакой; цена 30 ОЭ (без отдельного действия сверх атаки).
ОЭ≥30.</t>
  </si>
  <si>
    <t xml:space="preserve">первый R20 A в пакете 2A (активация/урон/пороги), отдельный R20 B обратного урона; результат меткости.
A=1: носитель теряет сознание на 10 минут/2 хода, получает 30 урона, все его симбионты отключаются на тот же срок.
[Q-SYM-056] При промахе носитель получает и отдельный обратный урон R20 и все.</t>
  </si>
  <si>
    <t xml:space="preserve">Нормативная база (действует во всей непротиворечащей части):
Если A&gt;22−L, оглушить поражённую цель на 5 минут/1 ход; если A&gt;20−L, отключить её симбионтов на тот же срок.
A=1: носитель теряет сознание на 10 минут/2 хода, получает 30 урона, все его симбионты отключаются на тот же срок.</t>
  </si>
  <si>
    <t xml:space="preserve">7.5.15.2.1 и уточнение, стр. 148.</t>
  </si>
  <si>
    <t xml:space="preserve">Q-SYM-056</t>
  </si>
  <si>
    <t xml:space="preserve">SYM-139</t>
  </si>
  <si>
    <t xml:space="preserve">Электрическая дуга</t>
  </si>
  <si>
    <t xml:space="preserve">поддерживаемая способность / оружие / блок.</t>
  </si>
  <si>
    <t xml:space="preserve">цель между ладонями или атакующий.</t>
  </si>
  <si>
    <t xml:space="preserve">активация; затем начало каждого собственного хода.</t>
  </si>
  <si>
    <t xml:space="preserve">доступно 30 ОЭ и 10 HP на интервал.</t>
  </si>
  <si>
    <t xml:space="preserve">рукопашная меткость; R20 A урона; защитные действия; при блоке отдельный R20.</t>
  </si>
  <si>
    <t xml:space="preserve">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Атака требует рукопашную проверку; цель защищается только уклонением/упреждающим ударом; при попадании урон 2A; A&gt;22−L → оглушение 1 ход/5 мин; A&gt;20−L → отключение симбионтов на тот же срок;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
Приоритетные авторские дельты (заменяют только прямо пересекающиеся ветви):
[Q-SYM-057] 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</si>
  <si>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поддерживаемое оружие, атака/блок, ресурсные тики.</t>
  </si>
  <si>
    <t xml:space="preserve">прекращение только в ход носителя.
Поздние дельты применяются по приоритету AQ3 &gt; AQ2 &gt; AQA/CQA &gt; базовая карточка; локальное исключение сильнее общего.</t>
  </si>
  <si>
    <t xml:space="preserve">R20 A урона; защитные действия; при блоке отдельный R20.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</si>
  <si>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доступно 30 ОЭ и 10 HP на интервал.
в начале каждого хода до действий списать 30 ОЭ и 10 HP.
Дуга существует до добровольного прекращения в свой ход (0 действий) или исчерпания ОЭ.
[Q-SYM-057] В начале хода атомарно проверяются 30 ОЭ и 10 HP.
Если ОЭ меньше 30 или HP меньше 10, дуга прекращается до оплаты и ничего не списывается.</t>
  </si>
  <si>
    <t xml:space="preserve">R20 A урона; защитные действия; при блоке отдельный R20.
A=1 → носитель получает специальное последствие SYM-137.
При активной дуге успешный блок рукопашной/цельнометаллической атаки отменяет её и наносит атакующему R20 урона.</t>
  </si>
  <si>
    <t xml:space="preserve">активация; затем начало каждого собственного хода.
Нормативная база (действует во всей непротиворечащей части):
в начале каждого хода до действий списать 30 ОЭ и 10 HP.
Дуга существует до добровольного прекращения в свой ход (0 действий) или исчерпания ОЭ.
A&gt;22−L → оглушение 1 ход/5 мин
A&gt;20−L → отключение симбионтов на тот же срок</t>
  </si>
  <si>
    <t xml:space="preserve">[Q-SYM-057] В начале хода атомарно проверяются 30 ОЭ и 10 HP.</t>
  </si>
  <si>
    <t xml:space="preserve">7.5.15.4.1, стр. 148.</t>
  </si>
  <si>
    <t xml:space="preserve">Q-SYM-057</t>
  </si>
  <si>
    <t xml:space="preserve">CORE-062
SYM-137</t>
  </si>
  <si>
    <t xml:space="preserve">SYM-142</t>
  </si>
  <si>
    <t xml:space="preserve">Цепная молния</t>
  </si>
  <si>
    <t xml:space="preserve">подготовленная жертвенная площадная атака.</t>
  </si>
  <si>
    <t xml:space="preserve">случайные цели.</t>
  </si>
  <si>
    <t xml:space="preserve">объявление; цена 200 ОЭ; подготовка 1 минута/1 ход; в начале следующего круга до всех ходов — разрешение.</t>
  </si>
  <si>
    <t xml:space="preserve">ОЭ≥200; подготовка завершена.</t>
  </si>
  <si>
    <t xml:space="preserve">радиус 3L м, R6 числа перескоков, список целей.</t>
  </si>
  <si>
    <t xml:space="preserve">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Выбрать случайную первую цель в радиусе; затем выполнить R6 перескоков в «другую» случайную цель. Каждое попадание: 99 урона, гарантированное оглушение 3 хода и отключение всех симбионтов цели на 1 час.
Приоритетные авторские дельты (заменяют только прямо пересекающиеся ветви):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</si>
  <si>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носитель тяжело ранен; цепь целей получает эффекты.</t>
  </si>
  <si>
    <t xml:space="preserve">способность разрешается до ходов всех персонажей.
Поздние дельты применяются по приоритету AQ3 &gt; AQ2 &gt; AQA/CQA &gt; базовая карточка; локальное исключение сильнее общего.</t>
  </si>
  <si>
    <t xml:space="preserve">объявление; цена 200 ОЭ; подготовка 1 минута/1 ход; в начале следующего круга до всех ходов — разрешение.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Каждое попадание: 99 урона, гарантированное оглушение 3 хода и отключение всех симбионтов цели на 1 час.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</si>
  <si>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объявление; цена 200 ОЭ; подготовка 1 минута/1 ход; в начале следующего круга до всех ходов — разрешение.
ОЭ≥200; подготовка завершена.
в момент разрешения израсходовать все имеющиеся HP, отключить все симбионты носителя на 1 час, перевести носителя в тяжёлое ранение.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</si>
  <si>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радиус 3L м, R6 числа перескоков, список целей.
Выбрать случайную первую цель в радиусе; затем выполнить R6 перескоков в «другую» случайную цель.
[Q-SYM-058]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t>
  </si>
  <si>
    <t xml:space="preserve">объявление; цена 200 ОЭ; подготовка 1 минута/1 ход; в начале следующего круга до всех ходов — разрешение.
Нормативная база (действует во всей непротиворечащей части):
в момент разрешения израсходовать все имеющиеся HP, отключить все симбионты носителя на 1 час, перевести носителя в тяжёлое ранение.
Каждое попадание: 99 урона, гарантированное оглушение 3 хода и отключение всех симбионтов цели на 1 час.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
способность разрешается до ходов всех персонажей.</t>
  </si>
  <si>
    <t xml:space="preserve">7.5.15.7.1, стр. 149.</t>
  </si>
  <si>
    <t xml:space="preserve">Q-SYM-058</t>
  </si>
  <si>
    <t xml:space="preserve">SYM-146</t>
  </si>
  <si>
    <t xml:space="preserve">Я — то, что я ем</t>
  </si>
  <si>
    <t xml:space="preserve">пассив / приобретение яда.</t>
  </si>
  <si>
    <t xml:space="preserve">употребляемый яд.</t>
  </si>
  <si>
    <t xml:space="preserve">сутки регулярного питания ядовитой пищей.</t>
  </si>
  <si>
    <t xml:space="preserve">тип яда определён.</t>
  </si>
  <si>
    <t xml:space="preserve">история питания, свойства яда.</t>
  </si>
  <si>
    <t xml:space="preserve">Нормативная база (действует во всей непротиворечащей части):
по завершении суток присвоить крови и слюне свойства употреблённого яда.
Приоритетные авторские дельты (заменяют только прямо пересекающиеся ветви):
[Q-SYM-059] В Windows-приложении мы не обрабатываем этот эффект</t>
  </si>
  <si>
    <t xml:space="preserve">frog.carriedPoison=consumedPoison.</t>
  </si>
  <si>
    <t xml:space="preserve">частота «регулярно», срок сохранения и точное копирование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</si>
  <si>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частота «регулярно», срок сохранения и точное копирование не заданы.</t>
  </si>
  <si>
    <t xml:space="preserve">сутки регулярного питания ядовитой пищей.
Нормативная база (действует во всей непротиворечащей части):
по завершении суток присвоить крови и слюне свойства употреблённого яда.
частота «регулярно», срок сохранения и точное копирование не заданы.</t>
  </si>
  <si>
    <t xml:space="preserve">7.5.16.4.1, стр. 151.</t>
  </si>
  <si>
    <t xml:space="preserve">Q-SYM-059</t>
  </si>
  <si>
    <t xml:space="preserve">SYM-147</t>
  </si>
  <si>
    <t xml:space="preserve">Язык жабы</t>
  </si>
  <si>
    <t xml:space="preserve">пассив / природная рукопашная доставка яда.</t>
  </si>
  <si>
    <t xml:space="preserve">рукопашная атака языком.</t>
  </si>
  <si>
    <t xml:space="preserve">яд есть в крови; цель ≤L м; кончик касается кожи/тонкой одежды.</t>
  </si>
  <si>
    <t xml:space="preserve">меткость рукопашной атаки, текущий яд.</t>
  </si>
  <si>
    <t xml:space="preserve">Нормативная база (действует во всей непротиворечащей части):
при успешном касании доставить текущий яд; язык нельзя захватить.
Приоритетные авторские дельты (заменяют только прямо пересекающиеся ветви):
[Q-SYM-059] В Windows-приложении мы не обрабатываем этот эффект</t>
  </si>
  <si>
    <t xml:space="preserve">яд применён к цели.</t>
  </si>
  <si>
    <t xml:space="preserve">толстая/герметичная защита препятствует контакту; захват языка автоматически неуспешен.
Поздние дельты применяются по приоритету AQ3 &gt; AQ2 &gt; AQA/CQA &gt; базовая карточка; локальное исключение сильнее общего.</t>
  </si>
  <si>
    <t xml:space="preserve">7.5.16.5.1, стр. 151.</t>
  </si>
  <si>
    <t xml:space="preserve">SYM-152</t>
  </si>
  <si>
    <t xml:space="preserve">Самостоятельность: выход и боевой субъект</t>
  </si>
  <si>
    <t xml:space="preserve">самостоятельная сущность / инициатива.</t>
  </si>
  <si>
    <t xml:space="preserve">в ход носителя команда выйти через рот; цена 1 боевое действие носителя.</t>
  </si>
  <si>
    <t xml:space="preserve">Крыса в теле; закончился период восстановления вылазки.</t>
  </si>
  <si>
    <t xml:space="preserve">L, текущий бой, действия носителя.</t>
  </si>
  <si>
    <t xml:space="preserve">Нормативная база (действует во всей непротиворечащей части):
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 В бою немедленно бросить чистую инициативу для следующего хода; в текущий момент Крыса может действовать, расходуя оставшиеся действия носителя.
Приоритетные авторские дельты (заменяют только прямо пересекающиеся ветви):
[Q-SYM-060] 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[v1.4] Вышедшая Крыса — отдельная однозонная живая сущность TORSO по CORE-218: armorLayers=[], inventory отсутствует; возможен только Dodge при выполнении обычного порога I, Block/Parry/Preempt недоступны.</t>
  </si>
  <si>
    <t xml:space="preserve">отдельная позиция/инициатива Крысы.</t>
  </si>
  <si>
    <t xml:space="preserve">после возвращения до следующей вылазки ждать 11−L часов.
Поздние дельты применяются по приоритету AQ3 &gt; AQ2 &gt; AQA/CQA &gt; базовая карточка; локальное исключение сильнее общего.</t>
  </si>
  <si>
    <t xml:space="preserve">в ход носителя команда выйти через рот; цена 1 боевое действие носителя.
L, текущий бой, действия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t>
  </si>
  <si>
    <t xml:space="preserve">в ход носителя команда выйти через рот; цена 1 боевое действие носителя.
создать отдельного персонажа: каждая характеристика 2L, HP=10L, максимальная автономность L часов.</t>
  </si>
  <si>
    <t xml:space="preserve">создать отдельного персонажа: каждая характеристика 2L, HP=10L, максимальная автономность L часов.
Укус: пробитие=R6, урон=тот же R6 + D_mod, D также модифицирует точность.</t>
  </si>
  <si>
    <t xml:space="preserve">в ход носителя команда выйти через рот; цена 1 боевое действие носителя.
Нормативная база (действует во всей непротиворечащей части):
создать отдельного персонажа: каждая характеристика 2L, HP=10L, максимальная автономность L часов.
В бою немедленно бросить чистую инициативу для следующего хода; в текущий момент Крыса может действовать, расходуя оставшиеся действия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
после возвращения до следующей вылазки ждать 11−L часов.</t>
  </si>
  <si>
    <t xml:space="preserve">7.5.17.2.1, стр. 153.
Предразработочный QA и прямые ответы пользователя 2026-07-29</t>
  </si>
  <si>
    <t xml:space="preserve">Q-SYM-060
Q-PREDEV-003</t>
  </si>
  <si>
    <t xml:space="preserve">SYM-154</t>
  </si>
  <si>
    <t xml:space="preserve">Я буду твоими глазами</t>
  </si>
  <si>
    <t xml:space="preserve">пассив / передача сенсорных данных.</t>
  </si>
  <si>
    <t xml:space="preserve">Крыса вне тела</t>
  </si>
  <si>
    <t xml:space="preserve">получение Крысой сенсорной информации.</t>
  </si>
  <si>
    <t xml:space="preserve">ментальная связь с носителем сохраняется.</t>
  </si>
  <si>
    <t xml:space="preserve">видимые/слышимые данные Крысы.</t>
  </si>
  <si>
    <t xml:space="preserve">Нормативная база (действует во всей непротиворечащей части):
немедленно сделать информацию доступной носителю.
Приоритетные авторские дельты (заменяют только прямо пересекающиеся ветви):
[Q-SYM-061] Не ограничена</t>
  </si>
  <si>
    <t xml:space="preserve">общая видимость знаний/целей.</t>
  </si>
  <si>
    <t xml:space="preserve">дальность базовой связи не указана, кроме автономного срока.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</si>
  <si>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дальность базовой связи не указана, кроме автономного срока.</t>
  </si>
  <si>
    <t xml:space="preserve">7.5.17.3.1, стр. 153.</t>
  </si>
  <si>
    <t xml:space="preserve">Q-SYM-061</t>
  </si>
  <si>
    <t xml:space="preserve">SYM-157</t>
  </si>
  <si>
    <t xml:space="preserve">Первый среди равных: стая</t>
  </si>
  <si>
    <t xml:space="preserve">призванная боевая единица.</t>
  </si>
  <si>
    <t xml:space="preserve">Крыса-вожак</t>
  </si>
  <si>
    <t xml:space="preserve">стая обычных крыс.</t>
  </si>
  <si>
    <t xml:space="preserve">Крыса победила вожака сообщества в радиусе 200 м и заняла место; затем вступает в бой.</t>
  </si>
  <si>
    <t xml:space="preserve">статус вожака активен; до 30 крыс включены в единицу.</t>
  </si>
  <si>
    <t xml:space="preserve">N — текущее число крыс, N0 — исходное; инициатива; атаки.</t>
  </si>
  <si>
    <t xml:space="preserve">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 Укус: точность R20+D, пробитие 0, урон R6+N/5. Каждая потеря 1 HP удаляет 1 крысу и сразу уменьшает S,D,M,HP. При потере ≥30% N0 стая отступает.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</si>
  <si>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динамическая групповая сущность.</t>
  </si>
  <si>
    <t xml:space="preserve">с Крысиным королём порог 60%; при возвращении Крысы в тело статус обычно утрачен.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</si>
  <si>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одна единица: S=D=M=HP=N (N≤30), I=1,C=1,W=10,Z=10; брони и активной защиты нет; одна чистая инициатива и одно боевое действие.</t>
  </si>
  <si>
    <t xml:space="preserve">одна единица: S=D=M=HP=N (N≤30), I=1,C=1,W=10,Z=10; брони и активной защиты нет; одна чистая инициатива и одно боевое действие.
Каждая потеря 1 HP удаляет 1 крысу и сразу уменьшает S,D,M,HP.
Текущее N уменьшается с каждой потерянной единицей HP и используется для характеристик и урона</t>
  </si>
  <si>
    <t xml:space="preserve">одна единица: S=D=M=HP=N (N≤30), I=1,C=1,W=10,Z=10; брони и активной защиты нет; одна чистая инициатива и одно боевое действие.
Укус: точность R20+D, пробитие 0, урон R6+N/5.
Без Крысиного короля стая начинает бегство, когда суммарные потери достигают ceil(0,30×N0), с Крысиным королём — ceil(0,60×N0).</t>
  </si>
  <si>
    <t xml:space="preserve">Нормативная база (действует во всей непротиворечащей части):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</si>
  <si>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7.5.17.5.2 и уточнение, стр. 153.
Предразработочный QA и прямые ответы пользователя 2026-07-29</t>
  </si>
  <si>
    <t xml:space="preserve">Q-SYM-062
Q-PREDEV-003</t>
  </si>
  <si>
    <t xml:space="preserve">SYM-159</t>
  </si>
  <si>
    <t xml:space="preserve">Крысиный король</t>
  </si>
  <si>
    <t xml:space="preserve">пассив / мораль стаи.</t>
  </si>
  <si>
    <t xml:space="preserve">проверка порога потерь.</t>
  </si>
  <si>
    <t xml:space="preserve">потери относительно N0.</t>
  </si>
  <si>
    <t xml:space="preserve">Нормативная база (действует во всей непротиворечащей части):
заменить порог отступления 30% на 60% исходного состава.
Приоритетные авторские дельты (заменяют только прямо пересекающиеся ветви):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
[v1.4] Стая является EntityShape=SWARM по CORE-219: HP=N; без зон, защит, травм, тяжёлого ранения и трупа; при N=0 удаляется. Обычный и площадной урон допустимы, несовместимые анатомические эффекты отклоняются.</t>
  </si>
  <si>
    <t xml:space="preserve">стая продолжает бой до нового порога.</t>
  </si>
  <si>
    <t xml:space="preserve">Ретранслятор отменяет отступление из-за любых потерь в свой период.
Поздние дельты применяются по приоритету AQ3 &gt; AQ2 &gt; AQA/CQA &gt; базовая карточка; локальное исключение сильнее общего.</t>
  </si>
  <si>
    <t xml:space="preserve">Текущее N уменьшается с каждой потерянной единицей HP и используется для характеристик и урона</t>
  </si>
  <si>
    <t xml:space="preserve">Без Крысиного короля стая начинает бегство, когда суммарные потери достигают ceil(0,30×N0), с Крысиным королём — ceil(0,60×N0).</t>
  </si>
  <si>
    <t xml:space="preserve">7.5.17.6.2, стр. 154.
Предразработочный QA и прямые ответы пользователя 2026-07-29</t>
  </si>
  <si>
    <t xml:space="preserve">SYM-163</t>
  </si>
  <si>
    <t xml:space="preserve">Эхолокация</t>
  </si>
  <si>
    <t xml:space="preserve">активное пространственное восприятие.</t>
  </si>
  <si>
    <t xml:space="preserve">указанное направление.</t>
  </si>
  <si>
    <t xml:space="preserve">речевой аппарат функционирует.</t>
  </si>
  <si>
    <t xml:space="preserve">чистый R20, L, среда.</t>
  </si>
  <si>
    <t xml:space="preserve">Нормативная база (действует во всей непротиворечащей части):
если объект под водой — гарантированно получить план местности/объектов; иначе успех, если R20 &gt; 12−L.
Приоритетные авторские дельты (заменяют только прямо пересекающиеся ветви):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</si>
  <si>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раскрывается пространственный план в направлении.</t>
  </si>
  <si>
    <t xml:space="preserve">дальность/сектор не заданы.
Поздние дельты применяются по приоритету AQ3 &gt; AQ2 &gt; AQA/CQA &gt; базовая карточка; локальное исключение сильнее общего.</t>
  </si>
  <si>
    <t xml:space="preserve">чистый R20, L, среда.
если объект под водой — гарантированно получить план местности/объектов; иначе успех, если R20 &gt; 12−L.</t>
  </si>
  <si>
    <t xml:space="preserve">Нормативная база (действует во всей непротиворечащей части):
[Q-SYM-063]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</si>
  <si>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7.5.18.3.1, стр. 156.</t>
  </si>
  <si>
    <t xml:space="preserve">Q-SYM-063</t>
  </si>
  <si>
    <t xml:space="preserve">SYM-168</t>
  </si>
  <si>
    <t xml:space="preserve">Зазубренные клинки</t>
  </si>
  <si>
    <t xml:space="preserve">пассив / природное оружие и вооружение.</t>
  </si>
  <si>
    <t xml:space="preserve">носитель Богомола</t>
  </si>
  <si>
    <t xml:space="preserve">обе руки и цель.</t>
  </si>
  <si>
    <t xml:space="preserve">складывание клинков (20 секунд/2 действия), затем атака.</t>
  </si>
  <si>
    <t xml:space="preserve">клинок находится в боевом состоянии.</t>
  </si>
  <si>
    <t xml:space="preserve">один общий R20 R на конкретную атаку, L, S, D, фехтование.</t>
  </si>
  <si>
    <t xml:space="preserve">Нормативная база (действует во всей непротиворечащей части):
при каждой новой атаке бросить один R; защита цели получает штраф L; урон=R+L+S_mod, пробитие=R+L; точность модифицирует D; общий модификатор — фехтование.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 Вне боя бесплатная команда с нулевой длительностью переводит в обычное состояние один выбранный либо оба взведённых клинка. В бою добровольного раскладывания нет; использованный клинок становится обычным после разрешения атаки.</t>
  </si>
  <si>
    <t xml:space="preserve">вооружённое состояние и атака.</t>
  </si>
  <si>
    <t xml:space="preserve">наручи могут быть подогнаны без помех.
Поздние дельты применяются по приоритету AQ3 &gt; AQ2 &gt; AQA/CQA &gt; базовая карточка; локальное исключение сильнее общего.</t>
  </si>
  <si>
    <t xml:space="preserve">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
[AQ3-001] Складывание переводит оба клинка во взведённое состояние за 20 секунд вне боя либо за два последовательных боевых действия.</t>
  </si>
  <si>
    <t xml:space="preserve">один общий R20 R на конкретную атаку, L, S, D, фехтование.
при каждой новой атаке бросить один R; защита цели получает штраф L; урон=R+L+S_mod, пробитие=R+L; точность модифицирует D; общий модификатор — фехтование.</t>
  </si>
  <si>
    <t xml:space="preserve">складывание клинков (20 секунд/2 действия), затем атака.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[AQ3-001] Складывание переводит оба клинка во взведённое состояние за 20 секунд вне боя либо за два последовательных боевых действия.</t>
  </si>
  <si>
    <t xml:space="preserve">7.5.19.2.1, стр. 158.</t>
  </si>
  <si>
    <t xml:space="preserve">Q-SYM-064</t>
  </si>
  <si>
    <t xml:space="preserve">SYM-169</t>
  </si>
  <si>
    <t xml:space="preserve">Каменная статуя</t>
  </si>
  <si>
    <t xml:space="preserve">активное состояние стазиса.</t>
  </si>
  <si>
    <t xml:space="preserve">вход; цена 20 ОЭ и 1 действие; выход — 1 действие.</t>
  </si>
  <si>
    <t xml:space="preserve">активные периодические эффекты, прямой урон, горение.</t>
  </si>
  <si>
    <t xml:space="preserve">Нормативная база (действует во всей непротиворечащей части):
длительность не ограничена; носитель неподвижен, бесшумен, принимает температуру среды, не чувствует боли, получает +5 к скрытности. Периодический отложенный урон кроме горения приостановить без накопления и возобновить после выхода; горение и прямой урон применять обычно.
Приоритетные авторские дельты (заменяют только прямо пересекающиеся ветви):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</si>
  <si>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состояние статуи и заморозка таймеров тика.</t>
  </si>
  <si>
    <t xml:space="preserve">метаболические небоевые эффекты не автоматизируются здесь.
Поздние дельты применяются по приоритету AQ3 &gt; AQ2 &gt; AQA/CQA &gt; базовая карточка; локальное исключение сильнее общего.</t>
  </si>
  <si>
    <t xml:space="preserve">вход; цена 20 ОЭ и 1 действие; выход — 1 действие.
Нормативная база (действует во всей непротиворечащей части):
[Q-SYM-065] В Каменной статуе запрещены перемещение, физические атаки, уклонение, блок, парирование и иные телесные реакции; пассивная броня продолжает работать.
Выйти из состояния можно только в свой ход за 1 боевое действие.</t>
  </si>
  <si>
    <t xml:space="preserve">вход; цена 20 ОЭ и 1 действие; выход — 1 действие.
ОЭ≥20.</t>
  </si>
  <si>
    <t xml:space="preserve">[Q-SYM-065] В Каменной статуе запрещены перемещение, физические атаки, уклонение, блок, парирование и иные телесные реакции; пассивная броня продолжает работать.</t>
  </si>
  <si>
    <t xml:space="preserve">Нормативная база (действует во всей непротиворечащей части):
Выйти из состояния можно только в свой ход за 1 боевое действие.</t>
  </si>
  <si>
    <t xml:space="preserve">7.5.19.3.1 и уточнение, стр. 158.</t>
  </si>
  <si>
    <t xml:space="preserve">Q-SYM-065</t>
  </si>
  <si>
    <t xml:space="preserve">SYM-171</t>
  </si>
  <si>
    <t xml:space="preserve">Каннибализм</t>
  </si>
  <si>
    <t xml:space="preserve">активное восстановление / постоянное развитие.</t>
  </si>
  <si>
    <t xml:space="preserve">ещё живое мыслящее существо.</t>
  </si>
  <si>
    <t xml:space="preserve">носитель впивается зубами в мозг цели; цена 60 ОЭ и 1 действие по умолчанию.</t>
  </si>
  <si>
    <t xml:space="preserve">физический доступ к мозгу живой цели.</t>
  </si>
  <si>
    <t xml:space="preserve">чистый R20 A; при A=1 отдельный R12; при 11–17 навыки/слоты; при 18–20 случайная характеристика и lifetimeCount.</t>
  </si>
  <si>
    <t xml:space="preserve">Нормативная база (действует во всей непротиворечащей части):
сначала полностью восстановить HP носителя и ОЭ Богомола.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
Приоритетные авторские дельты (заменяют только прямо пересекающиеся ветви):
[Q-SYM-066]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</si>
  <si>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полное восстановление и результат диапазона.</t>
  </si>
  <si>
    <t xml:space="preserve">цена списывается до полного восстановления.
Поздние дельты применяются по приоритету AQ3 &gt; AQ2 &gt; AQA/CQA &gt; базовая карточка; локальное исключение сильнее общего.</t>
  </si>
  <si>
    <t xml:space="preserve">носитель впивается зубами в мозг цели; цена 60 ОЭ и 1 действие по умолчанию.
Нормативная база (действует во всей непротиворечащей части):
Затем: A=1 → D носителя=1 на R12 часов</t>
  </si>
  <si>
    <t xml:space="preserve">носитель впивается зубами в мозг цели; цена 60 ОЭ и 1 действие по умолчанию.
сначала полностью восстановить HP носителя и ОЭ Богомола.
цена списывается до полного восстановления.</t>
  </si>
  <si>
    <t xml:space="preserve">чистый R20 A; при A=1 отдельный R12; при 11–17 навыки/слоты; при 18–20 случайная характеристика и lifetimeCount.
Затем: A=1 → D носителя=1 на R12 часов
A=2–10 → случайное воспоминание (небоевой результат хранится как запись)
A=11–17 → при свободном слоте получить случайный навык цели, а градационный повысить на 1 до абсолютного даже если у цели ниже
A=18–20 → случайная характеристика +1, если за жизнь получено &lt;5 таких эффектов.</t>
  </si>
  <si>
    <t xml:space="preserve">[Q-SYM-066] 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t>
  </si>
  <si>
    <t xml:space="preserve">Нормативная база (действует во всей непротиворечащей части):
Затем: A=1 → D носителя=1 на R12 часов</t>
  </si>
  <si>
    <t xml:space="preserve">7.5.19.5.1, стр. 158.</t>
  </si>
  <si>
    <t xml:space="preserve">Q-SYM-066</t>
  </si>
  <si>
    <t xml:space="preserve">SYM-172</t>
  </si>
  <si>
    <t xml:space="preserve">Инстинкт убийцы</t>
  </si>
  <si>
    <t xml:space="preserve">пассив / навыки и мультиатака.</t>
  </si>
  <si>
    <t xml:space="preserve">пересчёт слотов; атака клинками.</t>
  </si>
  <si>
    <t xml:space="preserve">способность доступна; оба клинка в боевом состоянии.</t>
  </si>
  <si>
    <t xml:space="preserve">L, одно боевое действие.</t>
  </si>
  <si>
    <t xml:space="preserve">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</si>
  <si>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слоты и пакет двух атак.</t>
  </si>
  <si>
    <t xml:space="preserve">каждая атака имеет отдельные броски/пробитие.
Поздние дельты применяются по приоритету AQ3 &gt; AQ2 &gt; AQA/CQA &gt; базовая карточка; локальное исключение сильнее общего.</t>
  </si>
  <si>
    <t xml:space="preserve">L, одно боевое действие.
Нормативная база (действует во всей непротиворечащей части):
добавить L слотов только под боевые навыки; за одно действие разрешить две отдельные атаки клинками.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Отдельного действия на «раскладывание» после атаки нет.</t>
  </si>
  <si>
    <t xml:space="preserve">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t>
  </si>
  <si>
    <t xml:space="preserve">7.5.19.6.1, стр. 158.</t>
  </si>
  <si>
    <t xml:space="preserve">SYM-173</t>
  </si>
  <si>
    <t xml:space="preserve">Веерная защита</t>
  </si>
  <si>
    <t xml:space="preserve">активная стойка / реактивные атаки.</t>
  </si>
  <si>
    <t xml:space="preserve">каждый противник в радиусе клинков.</t>
  </si>
  <si>
    <t xml:space="preserve">объявление стойки; цена 40 ОЭ и 3 действия; затем первое враждебное действие/перемещение каждого противника до конца круга.</t>
  </si>
  <si>
    <t xml:space="preserve">≥3 действия; оба клинка пригодны; враг в радиусе атаки.</t>
  </si>
  <si>
    <t xml:space="preserve">события круга, множество уже сработавших целей.</t>
  </si>
  <si>
    <t xml:space="preserve">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
Приоритетные авторские дельты (заменяют только прямо пересекающиеся ветви):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</si>
  <si>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реакция отмечена на цель, действие прервано, атаки разрешены.</t>
  </si>
  <si>
    <t xml:space="preserve">максимум один триггер на противника за круг.
Поздние дельты применяются по приоритету AQ3 &gt; AQ2 &gt; AQA/CQA &gt; базовая карточка; локальное исключение сильнее общего.</t>
  </si>
  <si>
    <t xml:space="preserve">объявление стойки; цена 40 ОЭ и 3 действия; затем первое враждебное действие/перемещение каждого противника до конца круга.
≥3 действия; оба клинка пригодны; враг в радиусе атаки.
Нормативная база (действует во всей непротиворечащей части):
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
Не реагировать на защитные, небоевые, пассивные и вызванные реакции; удары не запускают новые Веерные защиты.</t>
  </si>
  <si>
    <t xml:space="preserve">объявление стойки; цена 40 ОЭ и 3 действия; затем первое враждебное действие/перемещение каждого противника до конца круга.
события круга, множество уже сработавших целей.
Нормативная база (действует во всей непротиворечащей части):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максимум один триггер на противника за круг.</t>
  </si>
  <si>
    <t xml:space="preserve">на первом подходящем событии каждого противника один раз нанести ему две отдельные атаки клинками без права на защиту, но с пробитием; гарантированно прервать вызвавшее действие.</t>
  </si>
  <si>
    <t xml:space="preserve">7.5.19.7.1 и уточнение, стр. 159.</t>
  </si>
  <si>
    <t xml:space="preserve">SYM-175</t>
  </si>
  <si>
    <t xml:space="preserve">Анальная железа</t>
  </si>
  <si>
    <t xml:space="preserve">дальняя атака / контроль.</t>
  </si>
  <si>
    <t xml:space="preserve">носитель Скунса</t>
  </si>
  <si>
    <t xml:space="preserve">цель или источник пламени.</t>
  </si>
  <si>
    <t xml:space="preserve">выпускное отверстие не закрыто; цель ≤L+3 м.</t>
  </si>
  <si>
    <t xml:space="preserve">один чистый R20 A (активация/диапазон); при 6–11 отдельный R4 P.</t>
  </si>
  <si>
    <t xml:space="preserve">Нормативная база (действует во всей непротиворечащей части):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A≥17: цель пропускает следующий ход, но может защищаться в нём с −5 ко всем проверкам; при попадании в пламя погасить. Одинаковые эффекты не складывать.
Приоритетные авторские дельты (заменяют только прямо пересекающиеся ветви):
[Q-SYM-067] 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</si>
  <si>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набор дебаффов/урон/тушение либо постоянный до бани штраф носителя.</t>
  </si>
  <si>
    <t xml:space="preserve">диапазон 17+ не говорит о добавлении нижних диапазонов, поэтому они не добавлены.
Поздние дельты применяются по приоритету AQ3 &gt; AQ2 &gt; AQA/CQA &gt; базовая карточка; локальное исключение сильнее общего.</t>
  </si>
  <si>
    <t xml:space="preserve">объявление; цена 20 ОЭ и 1 действие.
Нормативная база (действует во всей непротиворечащей части):
A=4–5: цель до конца боя получает −1 боевое действие каждый ход.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</si>
  <si>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один чистый R20 A (активация/диапазон); при 6–11 отдельный R4 P.
A=1: вместо атаки носитель пачкает себя и снижает D,C,W на 7 до посещения бани.
A=2–3: нет эффекта.
A=4–5: цель до конца боя получает −1 боевое действие каждый ход.
A=6–11: также эффект 4–5 и штраф P ко всем проверкам до конца боя, итог проверки не ниже 1.
A=12–16: также оба нижних эффекта и прямой урон ядом 5L; при попадании в пламя погасить его.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</si>
  <si>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Нормативная база (действует во всей непротиворечащей части):
A=4–5: цель до конца боя получает −1 боевое действие каждый ход.
A=6–11: также эффект 4–5 и штраф P ко всем проверкам до конца боя, итог проверки не ниже 1.
A≥17: цель пропускает следующий ход, но может защищаться в нём с −5 ко всем проверкам; при попадании в пламя погасить.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</si>
  <si>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7.5.20.2.1, стр. 161.</t>
  </si>
  <si>
    <t xml:space="preserve">Q-SYM-067</t>
  </si>
  <si>
    <t xml:space="preserve">SYM-176</t>
  </si>
  <si>
    <t xml:space="preserve">Подладонные железы</t>
  </si>
  <si>
    <t xml:space="preserve">пассив / альтернативный канал Анальной железы.</t>
  </si>
  <si>
    <t xml:space="preserve">применение через запястье.</t>
  </si>
  <si>
    <t xml:space="preserve">железа доступна.</t>
  </si>
  <si>
    <t xml:space="preserve">R20; обычное математическое округление.</t>
  </si>
  <si>
    <t xml:space="preserve">Нормативная база (действует во всей непротиворечащей части):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Приоритетные авторские дельты (заменяют только прямо пересекающиеся ветви):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</si>
  <si>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ослабленный эффект таблицы.</t>
  </si>
  <si>
    <t xml:space="preserve">стоимость, дальность и естественная 1 не уточнены.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</si>
  <si>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t>
  </si>
  <si>
    <t xml:space="preserve">[Q-SYM-068]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стоимость, дальность и естественная 1 не уточнены.</t>
  </si>
  <si>
    <t xml:space="preserve">R20; обычное математическое округление.
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</si>
  <si>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7.5.20.3.1 и уточнение, стр. 161.</t>
  </si>
  <si>
    <t xml:space="preserve">Q-SYM-068</t>
  </si>
  <si>
    <t xml:space="preserve">SYM-177</t>
  </si>
  <si>
    <t xml:space="preserve">Вонючее облако</t>
  </si>
  <si>
    <t xml:space="preserve">длительная область / дебафф.</t>
  </si>
  <si>
    <t xml:space="preserve">все персонажи и пламя в области.</t>
  </si>
  <si>
    <t xml:space="preserve">объявление; цена 40 ОЭ и 1 действие.</t>
  </si>
  <si>
    <t xml:space="preserve">ОЭ≥40.</t>
  </si>
  <si>
    <t xml:space="preserve">независимые R4 длительности, R20 радиуса, R20 снижения M; позиции/время внутри; неопределённый anchorMode области.</t>
  </si>
  <si>
    <t xml:space="preserve">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Проверки обнаружения в радиусе получают −10. Пока персонаж внутри, кроме носителя любого Скунса, снизить M на отдельный R20, но не ниже 1; при M=1 ограничить до 1 боевого действия в ход. При выходе/рассеивании полностью снять снижение. При перекрытии выбрать сильнейшее снижение, не складывать. Источник пламени, непрерывно находящийся внутри, гаснет через 2 минуты/2 хода.
Приоритетные авторские дельты (заменяют только прямо пересекающиеся ветви):
[Q-SYM-069] 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</si>
  <si>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объект области, динамический состав/дебаффы/таймеры огня.</t>
  </si>
  <si>
    <t xml:space="preserve">носители Скунса иммунны только к снижению M; штраф обнаружения исключения не имеет.
Поздние дельты применяются по приоритету AQ3 &gt; AQ2 &gt; AQA/CQA &gt; базовая карточка; локальное исключение сильнее общего.</t>
  </si>
  <si>
    <t xml:space="preserve">объявление; цена 40 ОЭ и 1 действие.
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
Источник пламени, непрерывно находящийся внутри, гаснет через 2 минуты/2 хода.</t>
  </si>
  <si>
    <t xml:space="preserve">объявление; цена 40 ОЭ и 1 действие.
ОЭ≥40.</t>
  </si>
  <si>
    <t xml:space="preserve">независимые R4 длительности, R20 радиуса, R20 снижения M; позиции/время внутри; неопределённый anchorMode области.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t>
  </si>
  <si>
    <t xml:space="preserve">Нормативная база (действует во всей непротиворечащей части):
создать вокруг носителя область на R4 минут/ходов радиусом R20 м; закрепление в исходной точке либо движение вместе с носителем требует ответа.
Пока персонаж внутри, кроме носителя любого Скунса, снизить M на отдельный R20, но не ниже 1; при M=1 ограничить до 1 боевого действия в ход.
Источник пламени, непрерывно находящийся внутри, гаснет через 2 минуты/2 хода.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t>
  </si>
  <si>
    <t xml:space="preserve">7.5.20.4.1 и уточнение, стр. 161.</t>
  </si>
  <si>
    <t xml:space="preserve">Q-SYM-069</t>
  </si>
  <si>
    <t xml:space="preserve">SYM-178</t>
  </si>
  <si>
    <t xml:space="preserve">Навесной выстрел</t>
  </si>
  <si>
    <t xml:space="preserve">дальняя площадная атака.</t>
  </si>
  <si>
    <t xml:space="preserve">точка и все персонажи в области.</t>
  </si>
  <si>
    <t xml:space="preserve">выпускное отверстие свободно.</t>
  </si>
  <si>
    <t xml:space="preserve">R20 дальности, отдельный R12 радиуса, режим «с места/на бегу», для каждой цели отдельный бросок эффекта Анальной железы.</t>
  </si>
  <si>
    <t xml:space="preserve">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</si>
  <si>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отдельные дебаффы по целям.</t>
  </si>
  <si>
    <t xml:space="preserve">трактовка активационной единицы вложенного эффекта не задана.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</si>
  <si>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</si>
  <si>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объявление; цена 50 ОЭ и 1 действие.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Порог активации 4+, цена 20 ОЭ и самопоражение натуральной 1 не наследуются; результат 1 считается обычным диапазоном 1–5 для поражённой цели.</t>
  </si>
  <si>
    <t xml:space="preserve">R20 дальности, отдельный R12 радиуса, режим «с места/на бегу», для каждой цели отдельный бросок эффекта Анальной железы.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t>
  </si>
  <si>
    <t xml:space="preserve">Нормативная база (действует во всей непротиворечащей части):
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</si>
  <si>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7.5.20.5.1, стр. 161–162.</t>
  </si>
  <si>
    <t xml:space="preserve">Q-SYM-070</t>
  </si>
  <si>
    <t xml:space="preserve">SYM-179</t>
  </si>
  <si>
    <t xml:space="preserve">Миномёт</t>
  </si>
  <si>
    <t xml:space="preserve">создание мин / отложенный контактный эффект.</t>
  </si>
  <si>
    <t xml:space="preserve">R4 мин и контактирующие существа.</t>
  </si>
  <si>
    <t xml:space="preserve">объявление; цена 50 ОЭ и 1 действие; можно на бегу.</t>
  </si>
  <si>
    <t xml:space="preserve">R4 количества; формула незаметности (10+L)×2; R20 срока; места установки.</t>
  </si>
  <si>
    <t xml:space="preserve">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</si>
  <si>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набор объектов-ловушек с таймерами и одноразовым/неуказанным контактом.</t>
  </si>
  <si>
    <t xml:space="preserve">«незаметность (10+L)×2 (чистая проверка)» не содержит дайса; дальность/раскладка и расходование мины не заданы.
Поздние дельты применяются по приоритету AQ3 &gt; AQ2 &gt; AQA/CQA &gt; базовая карточка; локальное исключение сильнее общего.</t>
  </si>
  <si>
    <t xml:space="preserve">объявление; цена 50 ОЭ и 1 действие; можно на бегу.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t>
  </si>
  <si>
    <t xml:space="preserve">объявление; цена 50 ОЭ и 1 действие; можно на бегу.
Порог активации 4+, цена 20 ОЭ и самопоражение натуральной 1 не наследуются; результат 1 считается обычным диапазоном 1–5 для поражённой цели.</t>
  </si>
  <si>
    <t xml:space="preserve">R4 количества; формула незаметности (10+L)×2
R20 срока; места установки.
создать R4 укоренившихся активных мин, каждая активна R20 минут; при контакте живого существа применить эффект Анальной железы.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«незаметность (10+L)×2 (чистая проверка)» не содержит дайса; дальность/раскладка и расходование мины не заданы.</t>
  </si>
  <si>
    <t xml:space="preserve">R20 срока; места установки.
Нормативная база (действует во всей непротиворечащей части):
создать R4 укоренившихся активных мин, каждая активна R20 минут; при контакте живого существа применить эффект Анальной железы.
Они активируются в начале следующего боевого круга и после этого существуют R20 полных кругов.</t>
  </si>
  <si>
    <t xml:space="preserve">7.5.20.6.1, стр. 162.</t>
  </si>
  <si>
    <t xml:space="preserve">Q-SYM-070
Q-SYM-071</t>
  </si>
  <si>
    <t xml:space="preserve">SYM-180</t>
  </si>
  <si>
    <t xml:space="preserve">Шквальный огонь</t>
  </si>
  <si>
    <t xml:space="preserve">трёхдействийная площадная способность.</t>
  </si>
  <si>
    <t xml:space="preserve">выбранная зона.</t>
  </si>
  <si>
    <t xml:space="preserve">объявление при ≥3 действиях; общая цена 200 ОЭ.</t>
  </si>
  <si>
    <t xml:space="preserve">ОЭ≥200; выпускное отверстие свободно.</t>
  </si>
  <si>
    <t xml:space="preserve">действие 1 — один R20 A; действие 2 — отдельный R20 B; действие 3 — выбор типа и отдельный R20 C.</t>
  </si>
  <si>
    <t xml:space="preserve">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 Действие 3: выпустить на выбор 2C снарядов Навесного выстрела либо 6C снарядов Миномёта. Можно прервать после любого действия без возврата ОЭ.
Приоритетные авторские дельты (заменяют только прямо пересекающиеся ветви):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</si>
  <si>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создаётся частично подготовленное действие либо пакет снарядов.</t>
  </si>
  <si>
    <t xml:space="preserve">упоминание 200 ОЭ в первом действии — момент единственного списания, не вторая цена.
Поздние дельты применяются по приоритету AQ3 &gt; AQ2 &gt; AQA/CQA &gt; базовая карточка; локальное исключение сильнее общего.</t>
  </si>
  <si>
    <t xml:space="preserve">объявление при ≥3 действиях; общая цена 200 ОЭ.
действие 1 — один R20 A; действие 2 — отдельный R20 B; действие 3 — выбор типа и отдельный R20 C.
Нормативная база (действует во всей непротиворечащей части):
действие 1: единожды списать 200 ОЭ и задать max удаление центра A² м.
Действие 2: задать площадь 10B м² и прицелиться.</t>
  </si>
  <si>
    <t xml:space="preserve">объявление при ≥3 действиях; общая цена 200 ОЭ.
ОЭ≥200; выпускное отверстие свободно.
действие 1: единожды списать 200 ОЭ и задать max удаление центра A² м.
Можно прервать после любого действия без возврата ОЭ.
Порог активации 4+, цена 20 ОЭ и самопоражение натуральной 1 не наследуются; результат 1 считается обычным диапазоном 1–5 для поражённой цели.</t>
  </si>
  <si>
    <t xml:space="preserve">действие 1 — один R20 A; действие 2 — отдельный R20 B; действие 3 — выбор типа и отдельный R20 C.
[Q-SYM-070]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t>
  </si>
  <si>
    <t xml:space="preserve">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t>
  </si>
  <si>
    <t xml:space="preserve">Нормативная база (действует во всей непротиворечащей части):
Они активируются в начале следующего боевого круга и после этого существуют R20 полных кругов.
создаётся частично подготовленное действие либо пакет снарядов.</t>
  </si>
  <si>
    <t xml:space="preserve">[Q-SYM-072] Первым действием один раз списываются 200 ОЭ и определяется максимальная дальность.</t>
  </si>
  <si>
    <t xml:space="preserve">7.5.20.7.1 и уточнение, стр. 162.</t>
  </si>
  <si>
    <t xml:space="preserve">Q-SYM-070
Q-SYM-071
Q-SYM-072</t>
  </si>
  <si>
    <t xml:space="preserve">MON-006</t>
  </si>
  <si>
    <t xml:space="preserve">Симбиотические чудовища, болезни и бестиарий — 1. Симбиотические чудовища: общие параметры и Химера</t>
  </si>
  <si>
    <t xml:space="preserve">Награды за завершённое «Пожирание»</t>
  </si>
  <si>
    <t xml:space="preserve">постоянное развитие носителя.</t>
  </si>
  <si>
    <t xml:space="preserve">съеденная цель.</t>
  </si>
  <si>
    <t xml:space="preserve">успешно завершены 10 минут/ходов «Пожирания».</t>
  </si>
  <si>
    <t xml:space="preserve">процесс не был прерван.</t>
  </si>
  <si>
    <t xml:space="preserve">базовые характеристики и навыки цели; характеристики и навыки Химеры; активный результат «Взгляда мясника» для этой цели.</t>
  </si>
  <si>
    <t xml:space="preserve">Нормативная база (действует во всей непротиворечащей части):
(1)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Приоритетные авторские дельты (заменяют только прямо пересекающиеся ветви):
[Q-MON-002] 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[Q-MON-003] 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t>
  </si>
  <si>
    <t xml:space="preserve">постоянные изменения характеристик, навыков, максимума HP; текущее HP восстановлено полностью.</t>
  </si>
  <si>
    <t xml:space="preserve">результат 20 «Взгляда мясника» имеет приоритет над обычными +1/+5; выдача навыка возможна только при наличии допустимого кандидата.
Поздние дельты применяются по приоритету AQ3 &gt; AQ2 &gt; AQA/CQA &gt; базовая карточка; локальное исключение сильнее общего.</t>
  </si>
  <si>
    <t xml:space="preserve">успешно завершены 10 минут/ходов «Пожирания».
Нормативная база (действует во всей непротиворечащей части):</t>
  </si>
  <si>
    <t xml:space="preserve">(1)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
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
постоянные изменения характеристик, навыков, максимума HP; текущее HP восстановлено полностью.</t>
  </si>
  <si>
    <t xml:space="preserve">Q-MON-002
Q-MON-003</t>
  </si>
  <si>
    <t xml:space="preserve">MON-007</t>
  </si>
  <si>
    <t xml:space="preserve">Счётчик съеденных целей и дополнительные слоты Химеры</t>
  </si>
  <si>
    <t xml:space="preserve">прогресс / слоты симбионтов.</t>
  </si>
  <si>
    <t xml:space="preserve">её носитель.</t>
  </si>
  <si>
    <t xml:space="preserve">завершённое «Пожирание» увеличивает счётчик съеденных целей.</t>
  </si>
  <si>
    <t xml:space="preserve">получено менее трёх дополнительных слотов.</t>
  </si>
  <si>
    <t xml:space="preserve">три скрытых броска мастера, каждый задаёт порог из диапазона 10–22; счётчик съеденных целей.</t>
  </si>
  <si>
    <t xml:space="preserve">Нормативная база (действует во всей непротиворечащей части):
при достижении соответствующего порога открыть один дополнительный слот; максимум три дополнительных слота; в них возможен однослотовый симбионт.
Приоритетные авторские дельты (заменяют только прямо пересекающиеся ветви):
[Q-MON-004] 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</si>
  <si>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число слотов носителя увеличивается на 1, максимум на 3.</t>
  </si>
  <si>
    <t xml:space="preserve">при попадании «Хранителя» в Химеру с другими симбионтами «Хранитель» может атаковать только Химеру, а не прочих симбионтов.
Поздние дельты применяются по приоритету AQ3 &gt; AQ2 &gt; AQA/CQA &gt; базовая карточка; локальное исключение сильнее общего.</t>
  </si>
  <si>
    <t xml:space="preserve">Q-MON-004</t>
  </si>
  <si>
    <t xml:space="preserve">MON-010</t>
  </si>
  <si>
    <t xml:space="preserve">«Взгляд мясника»</t>
  </si>
  <si>
    <t xml:space="preserve">активная оценка цели / подготовка «Пожирания».</t>
  </si>
  <si>
    <t xml:space="preserve">один персонаж.</t>
  </si>
  <si>
    <t xml:space="preserve">на эту цель способность ещё не применялась.</t>
  </si>
  <si>
    <t xml:space="preserve">30 ОЭ; чистый R20.</t>
  </si>
  <si>
    <t xml:space="preserve">Нормативная база (действует во всей непротиворечащей части):
1 — информации нет, Химера обязана съесть цель в течение суток, иначе все её характеристики −2; 2–9 — сообщить, есть ли у цели хотя бы одна характеристика выше соответствующей характеристики Химеры; 10–14 — раскрыть S,D,Z; 15–19 — раскрыть все характеристики; 20 — записать для этой цели усиленную награду «Пожирания» (+2 к случайной характеристике и +10 max HP вместо обычных наград).
Приоритетные авторские дельты (заменяют только прямо пересекающиеся ветви):
[Q-MON-005] 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</si>
  <si>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цель помечается как уже оценённая; сохраняется раскрытая информация и, при 1 или 20, специальное состояние.</t>
  </si>
  <si>
    <t xml:space="preserve">не более одного применения к каждому персонажу.
Поздние дельты применяются по приоритету AQ3 &gt; AQ2 &gt; AQA/CQA &gt; базовая карточка; локальное исключение сильнее общего.</t>
  </si>
  <si>
    <t xml:space="preserve">30 ОЭ; чистый R20.
20 — записать для этой цели усиленную награду «Пожирания» (+2 к случайной характеристике и +10 max HP вместо обычных наград).</t>
  </si>
  <si>
    <t xml:space="preserve">Нормативная база (действует во всей непротиворечащей части):
1 — информации нет, Химера обязана съесть цель в течение суток, иначе все её характеристики −2</t>
  </si>
  <si>
    <t xml:space="preserve">§7.6.1.3.2, печ. стр. 164.</t>
  </si>
  <si>
    <t xml:space="preserve">Q-MON-005</t>
  </si>
  <si>
    <t xml:space="preserve">MON-014</t>
  </si>
  <si>
    <t xml:space="preserve">«Локтевой отбойник»: атака локтем</t>
  </si>
  <si>
    <t xml:space="preserve">пассивное усиление рукопашной атаки.</t>
  </si>
  <si>
    <t xml:space="preserve">цель удара локтем.</t>
  </si>
  <si>
    <t xml:space="preserve">рукопашная атака локтем.</t>
  </si>
  <si>
    <t xml:space="preserve">локоть не прикрыт доспехом.</t>
  </si>
  <si>
    <t xml:space="preserve">R12; обычная точность атаки.</t>
  </si>
  <si>
    <t xml:space="preserve">Нормативная база (действует во всей непротиворечащей части):
бронепробитие атаки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t>
  </si>
  <si>
    <t xml:space="preserve">усиленные пробитие и урон атаки.</t>
  </si>
  <si>
    <t xml:space="preserve">доспех, защищающий руку, но оставляющий локоть открытым, не блокирует способность.
Поздние дельты применяются по приоритету AQ3 &gt; AQ2 &gt; AQA/CQA &gt; базовая карточка; локальное исключение сильнее общего.</t>
  </si>
  <si>
    <t xml:space="preserve">R12; обычная точность атаки.
бронепробитие атаки = R12; добавить к урону бонус R12.
[Q-MON-006] Для каждой атаки отбойником выполняются два независимых R12: первый определяет бронепробитие, второй — бонус к урону.</t>
  </si>
  <si>
    <t xml:space="preserve">Q-MON-006</t>
  </si>
  <si>
    <t xml:space="preserve">MON-018</t>
  </si>
  <si>
    <t xml:space="preserve">«Коленный отбойник»: атака коленом</t>
  </si>
  <si>
    <t xml:space="preserve">цель удара коленом.</t>
  </si>
  <si>
    <t xml:space="preserve">рукопашная атака коленом.</t>
  </si>
  <si>
    <t xml:space="preserve">колено не прикрыто доспехом.</t>
  </si>
  <si>
    <t xml:space="preserve">Нормативная база (действует во всей непротиворечащей части):
бронепробитие = R12; добавить к урону бонус R12.
Приоритетные авторские дельты (заменяют только прямо пересекающиеся ветви):
[Q-MON-006] Для каждой атаки отбойником выполняются два независимых R12: первый определяет бронепробитие, второй — бонус к урону.</t>
  </si>
  <si>
    <t xml:space="preserve">усиленные пробитие и урон.</t>
  </si>
  <si>
    <t xml:space="preserve">доспех может прикрывать ногу, оставляя колено открытым.
Поздние дельты применяются по приоритету AQ3 &gt; AQ2 &gt; AQA/CQA &gt; базовая карточка; локальное исключение сильнее общего.</t>
  </si>
  <si>
    <t xml:space="preserve">R12; обычная точность атаки.
бронепробитие = R12; добавить к урону бонус R12.
[Q-MON-006] Для каждой атаки отбойником выполняются два независимых R12: первый определяет бронепробитие, второй — бонус к урону.</t>
  </si>
  <si>
    <t xml:space="preserve">«Неудержимость»</t>
  </si>
  <si>
    <t xml:space="preserve">активный иммунитет к контролю.</t>
  </si>
  <si>
    <t xml:space="preserve">есть 150 ОЭ и 2 боевых действия.</t>
  </si>
  <si>
    <t xml:space="preserve">150 ОЭ; 2 действия; чистый R20.</t>
  </si>
  <si>
    <t xml:space="preserve">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</si>
  <si>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временный иммунитет либо временное снижение I; затраты не возвращаются.</t>
  </si>
  <si>
    <t xml:space="preserve">перечисление в скобках не объявлено закрытым; физическое обездвиживание и тяжёлое ранение не отменяются, если утверждённая таксономия не отнесёт их к эффектам контроля.
Поздние дельты применяются по приоритету AQ3 &gt; AQ2 &gt; AQA/CQA &gt; базовая карточка; локальное исключение сильнее общего.</t>
  </si>
  <si>
    <t xml:space="preserve">есть 150 ОЭ и 2 боевых действия.
2 действия; чистый R20.
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t>
  </si>
  <si>
    <t xml:space="preserve">есть 150 ОЭ и 2 боевых действия.
150 ОЭ</t>
  </si>
  <si>
    <t xml:space="preserve">2 действия; чистый R20.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</si>
  <si>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Нормативная база (действует во всей непротиворечащей части):
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</si>
  <si>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§7.6.1.6.1, печ. стр. 165.</t>
  </si>
  <si>
    <t xml:space="preserve">MON-022</t>
  </si>
  <si>
    <t xml:space="preserve">«Последний взгляд»</t>
  </si>
  <si>
    <t xml:space="preserve">активное ментальное воздействие.</t>
  </si>
  <si>
    <t xml:space="preserve">персонаж, заглянувший ей в глаза.</t>
  </si>
  <si>
    <t xml:space="preserve">применение способности и установление зрительного контакта.</t>
  </si>
  <si>
    <t xml:space="preserve">200 ОЭ; цель способна видеть глаза Химеры.</t>
  </si>
  <si>
    <t xml:space="preserve">200 ОЭ; чистый R20 Химеры.</t>
  </si>
  <si>
    <t xml:space="preserve">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
Приоритетные авторские дельты (заменяют только прямо пересекающиеся ветви):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
[Q-MON-008] 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</si>
  <si>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создать соответствующий временный эффект либо внеочередной управляемый ход.</t>
  </si>
  <si>
    <t xml:space="preserve">результат 20 не позволяет атаковать саму цель.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</si>
  <si>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2–7 — 3 хода максимум 1 действие в серии
Обычный Последний взгляд после этого всё равно требует 1 действия и 200 ОЭ.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</si>
  <si>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200 ОЭ; цель способна видеть глаза Химеры.
200 ОЭ; чистый R20 Химеры.
Обычный Последний взгляд после этого всё равно требует 1 действия и 200 ОЭ.</t>
  </si>
  <si>
    <t xml:space="preserve">200 ОЭ; чистый R20 Химеры.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</si>
  <si>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Нормативная база (действует во всей непротиворечащей части):
1 — до конца боя цель может атаковать только Химеру
2–7 — 3 хода максимум 1 действие в серии
8–15 — 3 хода −5 к защитам против атак Химеры
16–19 — пропустить следующий ход, сохранив защиты
20 — Химера выбирает другого видимого персонажа, цель немедленно ходит вне очереди и атакует его серией, не может выбрать себя.</t>
  </si>
  <si>
    <t xml:space="preserve">§7.6.1.6.3, печ. стр. 165–166.</t>
  </si>
  <si>
    <t xml:space="preserve">Q-MON-007
Q-MON-008</t>
  </si>
  <si>
    <t xml:space="preserve">MON-023</t>
  </si>
  <si>
    <t xml:space="preserve">«Ведомый голодом»: активация и состав эффекта</t>
  </si>
  <si>
    <t xml:space="preserve">активная форма / комплексный бафф.</t>
  </si>
  <si>
    <t xml:space="preserve">Химера и все видимые цели.</t>
  </si>
  <si>
    <t xml:space="preserve">1000 ОЭ.</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</si>
  <si>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Приоритетные авторские дельты (заменяют только прямо пересекающиеся ветви):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</si>
  <si>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создать комплексный эффект с зафиксированными исходными максимумами и характеристиками.</t>
  </si>
  <si>
    <t xml:space="preserve">при 1 основной эффект не активируется; затраты не возвращаются.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</si>
  <si>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</si>
  <si>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1000 ОЭ.
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</si>
  <si>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1000 ОЭ; чистый R20.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t>
  </si>
  <si>
    <t xml:space="preserve">Нормативная база (действует во всей непротиворечащей части):
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
При R20=1 Химера отключается до конца боя.
[Q-MON-009]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t>
  </si>
  <si>
    <t xml:space="preserve">§7.6.1.7.1 и уточнение, печ. стр. 165–166.</t>
  </si>
  <si>
    <t xml:space="preserve">Q-MON-009</t>
  </si>
  <si>
    <t xml:space="preserve">Симбиотические чудовища, болезни и бестиарий — 2. Кукловод</t>
  </si>
  <si>
    <t xml:space="preserve">«Рассеянность»: эффект очередного хода</t>
  </si>
  <si>
    <t xml:space="preserve">периодический контроль.</t>
  </si>
  <si>
    <t xml:space="preserve">заражённая эффектом цель.</t>
  </si>
  <si>
    <t xml:space="preserve">каждый её ход, пока активна «Рассеянность».</t>
  </si>
  <si>
    <t xml:space="preserve">таймер не истёк.</t>
  </si>
  <si>
    <t xml:space="preserve">чистый R20 сопротивления.</t>
  </si>
  <si>
    <t xml:space="preserve">Нормативная база (действует во всей непротиворечащей части):
20 — снять эффект;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
Приоритетные авторские дельты (заменяют только прямо пересекающиеся ветви):
[Q-MON-010] 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</si>
  <si>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снять эффект либо записать отложенное принуждение/потерю навыков.</t>
  </si>
  <si>
    <t xml:space="preserve">диапазон 9–14 вне боя не действует.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</si>
  <si>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1–3 — в следующий ход выполнить один одномоментный приказ Кукловода, кроме суицида/потенциально смертельного для себя действия.
[Q-MON-011]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t>
  </si>
  <si>
    <t xml:space="preserve">каждый её ход, пока активна «Рассеянность».
Нормативная база (действует во всей непротиворечащей части):
15–19 — в этом ходу дополнительного эффекта нет
9–14 — в следующий ход атаковать случайного участника боя
4–8 — забыть все навыки на 2 хода
1–3 — в следующий ход выполнить один одномоментный приказ Кукловода, кроме суицида/потенциально смертельного для себя действия.</t>
  </si>
  <si>
    <t xml:space="preserve">Q-MON-010
Q-MON-011</t>
  </si>
  <si>
    <t xml:space="preserve">MON-031</t>
  </si>
  <si>
    <t xml:space="preserve">«Ментальный ученик»</t>
  </si>
  <si>
    <t xml:space="preserve">постоянное развитие навыка.</t>
  </si>
  <si>
    <t xml:space="preserve">успешное применение.</t>
  </si>
  <si>
    <t xml:space="preserve">проверка I Кукловода выше проверки I цели; лучший навык цели выше соответствующего навыка Кукловода.</t>
  </si>
  <si>
    <t xml:space="preserve">30 ОЭ; встречные I; набор навыков цели и Кукловода.</t>
  </si>
  <si>
    <t xml:space="preserve">Нормативная база (действует во всей непротиворечащей части):
выбрать лучший навык цели; если Кукловод им не владеет — изучить, иначе повысить его уровень. Величина повышения требует Q-MON-012.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</si>
  <si>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постоянное изменение навыка Кукловода.</t>
  </si>
  <si>
    <t xml:space="preserve">не срабатывает, если навык цели не выше.
Поздние дельты применяются по приоритету AQ3 &gt; AQ2 &gt; AQA/CQA &gt; базовая карточка; локальное исключение сильнее общего.</t>
  </si>
  <si>
    <t xml:space="preserve">§7.6.2.4.1, печ. стр. 168.</t>
  </si>
  <si>
    <t xml:space="preserve">Q-MON-012</t>
  </si>
  <si>
    <t xml:space="preserve">MON-032</t>
  </si>
  <si>
    <t xml:space="preserve">«Превосходство»</t>
  </si>
  <si>
    <t xml:space="preserve">временная передача навыка.</t>
  </si>
  <si>
    <t xml:space="preserve">проверка I Кукловода выше проверки I цели.</t>
  </si>
  <si>
    <t xml:space="preserve">50 ОЭ; встречные I; лучший навык цели.</t>
  </si>
  <si>
    <t xml:space="preserve">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
Приоритетные авторские дельты (заменяют только прямо пересекающиеся ветви):
[Q-MON-012] 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</si>
  <si>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после первого события навык остаётся только у исходной цели.</t>
  </si>
  <si>
    <t xml:space="preserve">при провале встречной проверки передачи нет.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</si>
  <si>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t>
  </si>
  <si>
    <t xml:space="preserve">§7.6.2.4.2 и уточнение, печ. стр. 168.</t>
  </si>
  <si>
    <t xml:space="preserve">MON-033</t>
  </si>
  <si>
    <t xml:space="preserve">«Псионическое разложение»: цикл поддержания</t>
  </si>
  <si>
    <t xml:space="preserve">активная поддерживаемая атакующая способность.</t>
  </si>
  <si>
    <t xml:space="preserve">начало каждого последовательного хода поддержания.</t>
  </si>
  <si>
    <t xml:space="preserve">цель видима и не дальше 60 м; Кукловод дееспособен; не прерван предыдущий ход; не более четырёх ходов.</t>
  </si>
  <si>
    <t xml:space="preserve">50 ОЭ в начале каждого хода; номер хода n=1..4; L.</t>
  </si>
  <si>
    <t xml:space="preserve">Нормативная база (действует во всей непротиворечащей части):
списать 50 ОЭ; не бросать серию и потратить весь боевой ход; в конце хода нанести L×2^(n−1) урона (L, 2L, 4L, 8L).
Приоритетные авторские дельты (заменяют только прямо пересекающиеся ветви):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t>
  </si>
  <si>
    <t xml:space="preserve">уменьшить HP цели; увеличить номер поддержания на 1; после четвёртого хода завершить эффект.</t>
  </si>
  <si>
    <t xml:space="preserve">немедленно прекратить при потере дистанции, видимости, дееспособности или концентрации; невозможность заплатить 50 ОЭ также прекращает цикл по общему правилу.
Поздние дельты применяются по приоритету AQ3 &gt; AQ2 &gt; AQA/CQA &gt; базовая карточка; локальное исключение сильнее общего.</t>
  </si>
  <si>
    <t xml:space="preserve">50 ОЭ в начале каждого хода; номер хода n=1..4
списать 50 ОЭ; не бросать серию и потратить весь боевой ход; в конце хода нанести L×2^(n−1) урона (L, 2L, 4L, 8L).
[Q-MON-013] «Псионическое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
уменьшить HP цели; увеличить номер поддержания на 1; после четвёртого хода завершить эффект.</t>
  </si>
  <si>
    <t xml:space="preserve">50 ОЭ в начале каждого хода; номер хода n=1..4
списать 50 ОЭ; не бросать серию и потратить весь боевой ход; в конце хода нанести L×2^(n−1) урона (L, 2L, 4L, 8L).</t>
  </si>
  <si>
    <t xml:space="preserve">немедленно прекратить при потере дистанции, видимости, дееспособности или концентрации; невозможность заплатить 50 ОЭ также прекращает цикл по общему правилу.</t>
  </si>
  <si>
    <t xml:space="preserve">начало каждого последовательного хода поддержания.
Кукловод дееспособен; не прерван предыдущий ход; не более четырёх ходов.
50 ОЭ в начале каждого хода; номер хода n=1..4
Нормативная база (действует во всей непротиворечащей части):
списать 50 ОЭ; не бросать серию и потратить весь боевой ход; в конце хода нанести L×2^(n−1) урона (L, 2L, 4L, 8L).
уменьшить HP цели; увеличить номер поддержания на 1; после четвёртого хода завершить эффект.</t>
  </si>
  <si>
    <t xml:space="preserve">Q-MON-013</t>
  </si>
  <si>
    <t xml:space="preserve">MON-035</t>
  </si>
  <si>
    <t xml:space="preserve">«Чужие чувства»</t>
  </si>
  <si>
    <t xml:space="preserve">активная смена сенсорного источника.</t>
  </si>
  <si>
    <t xml:space="preserve">20 ОЭ; встречные I.</t>
  </si>
  <si>
    <t xml:space="preserve">Нормативная база (действует во всей непротиворечащей части):
на 30 минут/3 боевых хода Кукловод получает данные органов чувств цели и теряет доступ к собственным.
Приоритетные авторские дельты (заменяют только прямо пересекающиеся ветви):
[Q-MON-014] При активации цель должна быть видима Кукловоду и находиться не дальше 50 метров. 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 Связь прекращается при уроне Кукловоду, истечении срока или добровольной отмене.</t>
  </si>
  <si>
    <t xml:space="preserve">переключить сенсорный источник и установить таймер.</t>
  </si>
  <si>
    <t xml:space="preserve">входящий урон Кукловоду немедленно прерывает эффект; добровольная отмена в бою стоит 1 действие.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</si>
  <si>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 30 минут/3 боевых хода Кукловод получает данные органов чувств цели и теряет доступ к собственным.
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
входящий урон Кукловоду немедленно прерывает эффект; добровольная отмена в бою стоит 1 действие.</t>
  </si>
  <si>
    <t xml:space="preserve">Нормативная база (действует во всей непротиворечащей части):
на 30 минут/3 боевых хода Кукловод получает данные органов чувств цели и теряет доступ к собственным.
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
Связь прекращается при уроне Кукловоду, истечении срока или добровольной отмене.</t>
  </si>
  <si>
    <t xml:space="preserve">§7.6.2.5.2, печ. стр. 169.</t>
  </si>
  <si>
    <t xml:space="preserve">Q-MON-014
Q-MON-076</t>
  </si>
  <si>
    <t xml:space="preserve">MON-036</t>
  </si>
  <si>
    <t xml:space="preserve">«Отмена действия»</t>
  </si>
  <si>
    <t xml:space="preserve">подготовленная реакция / ментальный контроль.</t>
  </si>
  <si>
    <t xml:space="preserve">цель физического действия.</t>
  </si>
  <si>
    <t xml:space="preserve">после проверочного броска физического действия цели, до завершения действия.</t>
  </si>
  <si>
    <t xml:space="preserve">заранее зарезервированы 2 действия по правилам подготовки; успех цели не критический.</t>
  </si>
  <si>
    <t xml:space="preserve">200 ОЭ; 2 подготовленных действия; встречные проверки I.</t>
  </si>
  <si>
    <t xml:space="preserve">Нормативная база (действует во всей непротиворечащей части):
если I Кукловода &gt; I цели, цель останавливается и не доводит физическое действие до конца.
Приоритетные авторские дельты (заменяют только прямо пересекающиеся ветви):
[Q-MON-015] 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</si>
  <si>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эффект исходного действия не применяется; реакция и ОЭ расходуются.</t>
  </si>
  <si>
    <t xml:space="preserve">критически успешное действие отменить нельзя.
Поздние дельты применяются по приоритету AQ3 &gt; AQ2 &gt; AQA/CQA &gt; базовая карточка; локальное исключение сильнее общего.</t>
  </si>
  <si>
    <t xml:space="preserve">после проверочного броска физического действия цели, до завершения действия.
заранее зарезервированы 2 действия по правилам подготовки; успех цели не критический.
2 подготовленных действия; встречные проверки I.
Нормативная база (действует во всей непротиворечащей части):
если I Кукловода &gt; I цели, цель останавливается и не доводит физическое действие до конца.</t>
  </si>
  <si>
    <t xml:space="preserve">200 ОЭ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
эффект исходного действия не применяется; реакция и ОЭ расходуются.</t>
  </si>
  <si>
    <t xml:space="preserve">Нормативная база (действует во всей непротиворечащей части):
если I Кукловода &gt; I цели, цель останавливается и не доводит физическое действие до конца.</t>
  </si>
  <si>
    <t xml:space="preserve">§7.6.2.5.3, печ. стр. 169.</t>
  </si>
  <si>
    <t xml:space="preserve">Q-MON-015</t>
  </si>
  <si>
    <t xml:space="preserve">MON-037</t>
  </si>
  <si>
    <t xml:space="preserve">«Наваждение»: боевой эффект</t>
  </si>
  <si>
    <t xml:space="preserve">активная сенсорная иллюзия.</t>
  </si>
  <si>
    <t xml:space="preserve">проверка I Кукловода превышает проверку I цели минимум на 10.</t>
  </si>
  <si>
    <t xml:space="preserve">400 ОЭ; встречные I; отдельный чистый R20 длительности.</t>
  </si>
  <si>
    <t xml:space="preserve">Нормативная база (действует во всей непротиворечащей части):
на R20/4 минут/ходов заменить информацию органов чувств цели заданной Кукловодом; если подмена не соответствует реальности, все проверки физических действий цели получают −20.
Приоритетные авторские дельты (заменяют только прямо пересекающиеся ветви):
[Q-MON-016] Игровая условность – в приложении наваждение не отыгрывается. Мастер отыгрывает наваждение устно с игроком, автоматизировать это не требуется.</t>
  </si>
  <si>
    <t xml:space="preserve">создать сенсорный эффект и модификатор физических проверок.</t>
  </si>
  <si>
    <t xml:space="preserve">бонус к убеждению исключён как социальная механика.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</si>
  <si>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на R20/4 минут/ходов заменить информацию органов чувств цели заданной Кукловодом; если подмена не соответствует реальности, все проверки физических действий цели получают −20.</t>
  </si>
  <si>
    <t xml:space="preserve">400 ОЭ; встречные I; отдельный чистый R20 длительности.
на R20/4 минут/ходов заменить информацию органов чувств цели заданной Кукловодом; если подмена не соответствует реальности, все проверки физических действий цели получают −20.</t>
  </si>
  <si>
    <t xml:space="preserve">§7.6.2.6.2, печ. стр. 169.</t>
  </si>
  <si>
    <t xml:space="preserve">Q-MON-016</t>
  </si>
  <si>
    <t xml:space="preserve">MON-038</t>
  </si>
  <si>
    <t xml:space="preserve">«Марионетка»</t>
  </si>
  <si>
    <t xml:space="preserve">активный полный контроль.</t>
  </si>
  <si>
    <t xml:space="preserve">проверка I Кукловода превышает I цели минимум на 10.</t>
  </si>
  <si>
    <t xml:space="preserve">puppeteerResult=R20+I_Кукловода; targetResult=R20+I_цели; отдельный бросок длительности.</t>
  </si>
  <si>
    <t xml:space="preserve">Выполнить два независимых броска: puppeteerResult=R20+I_Кукловода и targetResult=R20+I_цели. Успех, если puppeteerResult≥targetResult+10. После успеха отдельно бросить длительность и создать временный ControlLease по CORE-221.</t>
  </si>
  <si>
    <t xml:space="preserve">При успехе effectiveController временно становится контроллером Кукловода; owningController не меняется. По окончании эффекта управление восстанавливается.</t>
  </si>
  <si>
    <t xml:space="preserve">Бросок длительности не участвует во встречной проверке. Уже существующий более приоритетный явный запрет ментального контроля сохраняется.</t>
  </si>
  <si>
    <t xml:space="preserve">Нормативная база (действует во всей непротиворечащей части):
управление действиями цели передаётся источнику эффекта на таймер.</t>
  </si>
  <si>
    <t xml:space="preserve">600 ОЭ; встречные I; отдельный чистый R20.</t>
  </si>
  <si>
    <t xml:space="preserve">R20+I_Кукловода и независимый R20+I_цели; успех iff first≥second+10; durationRoll отдельно.</t>
  </si>
  <si>
    <t xml:space="preserve">запрещены суицидальные приказы и приказы нанести себе увечье.</t>
  </si>
  <si>
    <t xml:space="preserve">Нормативная база (действует во всей непротиворечащей части):
на R20/4 ходов цель исполняет приказы Кукловода.
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t>
  </si>
  <si>
    <t xml:space="preserve">§7.6.2.6.3, печ. стр. 169.
Предразработочный QA и прямые ответы пользователя 2026-07-29</t>
  </si>
  <si>
    <t xml:space="preserve">Q-MON-017
Q-PREDEV-006</t>
  </si>
  <si>
    <t xml:space="preserve">CORE-221</t>
  </si>
  <si>
    <t xml:space="preserve">MON-039</t>
  </si>
  <si>
    <t xml:space="preserve">«Ментальная паутина»</t>
  </si>
  <si>
    <t xml:space="preserve">активный усилитель следующей способности.</t>
  </si>
  <si>
    <t xml:space="preserve">до 10 выбранных видимых внешних целей.</t>
  </si>
  <si>
    <t xml:space="preserve">применение «Ментальной паутины», затем следующей подходящей способности до конца следующего хода Кукловода.</t>
  </si>
  <si>
    <t xml:space="preserve">600 ОЭ; следующая способность активная, с одной внешней целью в базовом виде; цели в поле зрения.</t>
  </si>
  <si>
    <t xml:space="preserve">600 ОЭ один раз; количество целей 1–10; полная стоимость следующей способности отдельно на каждую цель; отдельные проверки по каждой цели.</t>
  </si>
  <si>
    <t xml:space="preserve">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Приоритетные авторские дельты (заменяют только прямо пересекающиеся ветви):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</si>
  <si>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следующая способность становится многоцелевой; после разрешения либо истечения срока усилитель удаляется.</t>
  </si>
  <si>
    <t xml:space="preserve">не подходят самонаправленные, пассивные и площадные способности.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</si>
  <si>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t>
  </si>
  <si>
    <t xml:space="preserve">600 ОЭ; следующая способность активная, с одной внешней целью в базовом виде; цели в поле зрения.
600 ОЭ один раз; количество целей 1–10; полная стоимость следующей способности отдельно на каждую цель; отдельные проверки по каждой цели.
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
[Q-MON-018] 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t>
  </si>
  <si>
    <t xml:space="preserve">применение «Ментальной паутины», затем следующей подходящей способности до конца следующего хода Кукловода.
Нормативная база (действует во всей непротиворечащей части):
следующая способность становится многоцелевой; после разрешения либо истечения срока усилитель удаляется.</t>
  </si>
  <si>
    <t xml:space="preserve">600 ОЭ один раз; количество целей 1–10; полная стоимость следующей способности отдельно на каждую цель; отдельные проверки по каждой цели.
[Q-MON-018] Цена следующей способности в боевых действиях оплачивается один раз за всё многоцелевое применение.
600 ОЭ «Ментальной паутины» платятся один раз.</t>
  </si>
  <si>
    <t xml:space="preserve">§7.6.2.7.1 и уточнение, печ. стр. 169.</t>
  </si>
  <si>
    <t xml:space="preserve">Q-MON-018</t>
  </si>
  <si>
    <t xml:space="preserve">MON-043</t>
  </si>
  <si>
    <t xml:space="preserve">Симбиотические чудовища, болезни и бестиарий — 3. Чумной доктор</t>
  </si>
  <si>
    <t xml:space="preserve">Цена повторных попыток заражения в бою</t>
  </si>
  <si>
    <t xml:space="preserve">экономика действий.</t>
  </si>
  <si>
    <t xml:space="preserve">попытки заражения.</t>
  </si>
  <si>
    <t xml:space="preserve">попытка заражения в боевой ситуации.</t>
  </si>
  <si>
    <t xml:space="preserve">применяется механика заражения через самого Доктора или уже заражённого переносчика.</t>
  </si>
  <si>
    <t xml:space="preserve">число попыток заражения в текущей боевой ситуации.</t>
  </si>
  <si>
    <t xml:space="preserve">Нормативная база (действует во всей непротиворечащей части):
первая попытка не тратит боевое действие; каждая следующая стоит 1 боевое действие.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</si>
  <si>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увеличить счётчик попыток и списать действие при count&gt;1.</t>
  </si>
  <si>
    <t xml:space="preserve">стоимость ОЭ конкретной способности оплачивается отдельно.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</si>
  <si>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первая попытка не тратит боевое действие; каждая следующая стоит 1 боевое действие.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увеличить счётчик попыток и списать действие при count&gt;1.</t>
  </si>
  <si>
    <t xml:space="preserve">[Q-MON-019]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стоимость ОЭ конкретной способности оплачивается отдельно.</t>
  </si>
  <si>
    <t xml:space="preserve">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t>
  </si>
  <si>
    <t xml:space="preserve">Q-MON-019</t>
  </si>
  <si>
    <t xml:space="preserve">MON-044</t>
  </si>
  <si>
    <t xml:space="preserve">Заражение через инфицированного переносчика</t>
  </si>
  <si>
    <t xml:space="preserve">опосредованное заражение.</t>
  </si>
  <si>
    <t xml:space="preserve">заражённый персонаж как переносчик; Чумной доктор как управляющий источник</t>
  </si>
  <si>
    <t xml:space="preserve">новая цель.</t>
  </si>
  <si>
    <t xml:space="preserve">биологическая передача ассистентов от заражённого к новой цели.</t>
  </si>
  <si>
    <t xml:space="preserve">переносчик заражён ассистентами данного Доктора; Доктор способен сконцентрироваться.</t>
  </si>
  <si>
    <t xml:space="preserve">та же проверка заражения R20+2L против проверки Z; счётчик попыток MON-043.</t>
  </si>
  <si>
    <t xml:space="preserve">Нормативная база (действует во всей непротиворечащей части):
Доктор выполняет проверку; при строгом превышении новая цель заражается.
Приоритетные авторские дельты (заменяют только прямо пересекающиеся ветви):
[Q-MON-020] 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t>
  </si>
  <si>
    <t xml:space="preserve">новая цель привязана к тому же Доктору-источнику.</t>
  </si>
  <si>
    <t xml:space="preserve">заражение не происходит автономно без концентрации/проверки Доктора.
Поздние дельты применяются по приоритету AQ3 &gt; AQ2 &gt; AQA/CQA &gt; базовая карточка; локальное исключение сильнее общего.</t>
  </si>
  <si>
    <t xml:space="preserve">Q-MON-020</t>
  </si>
  <si>
    <t xml:space="preserve">MON-046</t>
  </si>
  <si>
    <t xml:space="preserve">Добровольное уничтожение ассистентов</t>
  </si>
  <si>
    <t xml:space="preserve">управление заражением.</t>
  </si>
  <si>
    <t xml:space="preserve">один выбранный заражённый.</t>
  </si>
  <si>
    <t xml:space="preserve">решение Доктора.</t>
  </si>
  <si>
    <t xml:space="preserve">цель заражена его ассистентами.</t>
  </si>
  <si>
    <t xml:space="preserve">идентификатор цели.</t>
  </si>
  <si>
    <t xml:space="preserve">Нормативная база (действует во всей непротиворечащей части):
уничтожить всех ассистентов в цели.
Приоритетные авторские дельты (заменяют только прямо пересекающиеся ветви):
[Q-MON-021] 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t>
  </si>
  <si>
    <t xml:space="preserve">снять заражение и освободить единицу лимита.</t>
  </si>
  <si>
    <t xml:space="preserve">не снимает отдельно наложенную болезнь «Поветрие».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</si>
  <si>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[Q-MON-021] Уничтожение ассистентов бесплатно и может быть объявлено вне очереди, в том числе между объявлением чужого действия и его разрешением.</t>
  </si>
  <si>
    <t xml:space="preserve">Q-MON-021</t>
  </si>
  <si>
    <t xml:space="preserve">MON-047</t>
  </si>
  <si>
    <t xml:space="preserve">Реакция заражённого дикого животного</t>
  </si>
  <si>
    <t xml:space="preserve">контроль поведения животного.</t>
  </si>
  <si>
    <t xml:space="preserve">заражённое дикое животное.</t>
  </si>
  <si>
    <t xml:space="preserve">успешное заражение.</t>
  </si>
  <si>
    <t xml:space="preserve">цель классифицирована как дикое животное.</t>
  </si>
  <si>
    <t xml:space="preserve">чистый R20; L Доктора.</t>
  </si>
  <si>
    <t xml:space="preserve">Нормативная база (действует во всей непротиворечащей части):
если R20 &lt; L, животное бросается в бегство.
Приоритетные авторские дельты (заменяют только прямо пересекающиеся ветви):
[Q-MON-022] 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</si>
  <si>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назначить поведение «бегство».</t>
  </si>
  <si>
    <t xml:space="preserve">для мыслящих и недиких животных проверка не указана.
Поздние дельты применяются по приоритету AQ3 &gt; AQ2 &gt; AQA/CQA &gt; базовая карточка; локальное исключение сильнее общего.</t>
  </si>
  <si>
    <t xml:space="preserve">чистый R20
если R20 &lt; L, животное бросается в бегство.
[Q-MON-022] Дикое животное делает одну чистую проверку R20 сразу после успешного заражения.</t>
  </si>
  <si>
    <t xml:space="preserve">Q-MON-022</t>
  </si>
  <si>
    <t xml:space="preserve">MON-048</t>
  </si>
  <si>
    <t xml:space="preserve">Воздушно-капельное заражение «Кхе-кхе…»</t>
  </si>
  <si>
    <t xml:space="preserve">дальнее заражение.</t>
  </si>
  <si>
    <t xml:space="preserve">кашель с намерением заразить.</t>
  </si>
  <si>
    <t xml:space="preserve">дистанция ≤L метров; цель не защищена костюмом «Нэйт».</t>
  </si>
  <si>
    <t xml:space="preserve">чистый R20+L; проверка Z цели.</t>
  </si>
  <si>
    <t xml:space="preserve">Нормативная база (действует во всей непротиворечащей части):
если итог Доктора строго выше проверки Z, заразить ассистентами.
Приоритетные авторские дельты (заменяют только прямо пересекающиеся ветви):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</si>
  <si>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добавить цель в реестр с обработкой лимита.</t>
  </si>
  <si>
    <t xml:space="preserve">«Нэйт» полностью блокирует этот путь; цена действия требует решения Q-MON-019.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</si>
  <si>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</si>
  <si>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«Нэйт» полностью блокирует этот путь; цена действия требует решения Q-MON-019.</t>
  </si>
  <si>
    <t xml:space="preserve">§7.6.3.3.1, печ. стр. 171.</t>
  </si>
  <si>
    <t xml:space="preserve">MON-050</t>
  </si>
  <si>
    <t xml:space="preserve">«Они вам помогут…»: лечение ценой ассистентов</t>
  </si>
  <si>
    <t xml:space="preserve">активное лечение заражённого.</t>
  </si>
  <si>
    <t xml:space="preserve">Нормативная база (действует во всей непротиворечащей части):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 Q-MON-023.
Приоритетные авторские дельты (заменяют только прямо пересекающиеся ветви):
[Q-MON-023] 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</si>
  <si>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заражение снимается при сработавших ветках; применяются лечение/возгорание.</t>
  </si>
  <si>
    <t xml:space="preserve">при применении к себе Доктор теряет возможность проверок заражения на 8−L часов.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</si>
  <si>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R20=1 ассистенты воспламеняют случайную часть тела и погибают; при 2 погибают/не погибают — см.
При результате 1 ассистенты погибают и случайная часть тела загорается; если целью был сам Доктор, блокировка на 8−L часов применяется.
при применении к себе Доктор теряет возможность проверок заражения на 8−L часов.</t>
  </si>
  <si>
    <t xml:space="preserve">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t>
  </si>
  <si>
    <t xml:space="preserve">100 ОЭ; чистый R20.
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
При R20=1 ассистенты воспламеняют случайную часть тела и погибают; при 2 погибают/не погибают — см.</t>
  </si>
  <si>
    <t xml:space="preserve">§7.6.3.3.3, печ. стр. 171.</t>
  </si>
  <si>
    <t xml:space="preserve">Q-MON-023</t>
  </si>
  <si>
    <t xml:space="preserve">MON-051</t>
  </si>
  <si>
    <t xml:space="preserve">«Не обращайте внимания — я потягиваюсь»</t>
  </si>
  <si>
    <t xml:space="preserve">активное многоцелевое заражение.</t>
  </si>
  <si>
    <t xml:space="preserve">R4 выбранных целей.</t>
  </si>
  <si>
    <t xml:space="preserve">одежда/броня не мешает раскрыть грудную клетку; каждая цель не дальше 5L м.</t>
  </si>
  <si>
    <t xml:space="preserve">200 ОЭ; названный в тексте чистый R4 количества целей; чистая проверка активации с порогом 4+, дайс которой отдельно не назван.</t>
  </si>
  <si>
    <t xml:space="preserve">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Приоритетные авторские дельты (заменяют только прямо пересекающиеся ветви):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</si>
  <si>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массовое заражение с обработкой лимитов либо временная блокировка заражения.</t>
  </si>
  <si>
    <t xml:space="preserve">гарантированность отменяет проверку Z, но не лимит заражённых.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</si>
  <si>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t>
  </si>
  <si>
    <t xml:space="preserve">200 ОЭ; названный в тексте чистый R4 количества целей; чистая проверка активации с порогом 4+, дайс которой отдельно не назван.
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
Совпадает ли проверка активации с R4 количества целей, требует Q-MON-024.
[Q-MON-024] 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</si>
  <si>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§7.6.3.4.1, печ. стр. 172.</t>
  </si>
  <si>
    <t xml:space="preserve">Q-MON-024</t>
  </si>
  <si>
    <t xml:space="preserve">MON-055</t>
  </si>
  <si>
    <t xml:space="preserve">«Вакцинация»</t>
  </si>
  <si>
    <t xml:space="preserve">активная защита от заражения.</t>
  </si>
  <si>
    <t xml:space="preserve">применение способности.</t>
  </si>
  <si>
    <t xml:space="preserve">цель заражена ассистентами этого Доктора.</t>
  </si>
  <si>
    <t xml:space="preserve">800 ОЭ.</t>
  </si>
  <si>
    <t xml:space="preserve">Нормативная база (действует во всей непротиворечащей части):
гарантированно дать неуязвимость к ассистентам всех других Чумных докторов.
Приоритетные авторские дельты (заменяют только прямо пересекающиеся ветви):
[Q-MON-025] «Вакцинация»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</si>
  <si>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записать источник вакцинации и иммунитет к другим источникам.</t>
  </si>
  <si>
    <t xml:space="preserve">не заявлена защита от ассистентов самого вакцинирующего Доктора.
Поздние дельты применяются по приоритету AQ3 &gt; AQ2 &gt; AQA/CQA &gt; базовая карточка; локальное исключение сильнее общего.</t>
  </si>
  <si>
    <t xml:space="preserve">§7.6.3.5.2, печ. стр. 172.</t>
  </si>
  <si>
    <t xml:space="preserve">Q-MON-025</t>
  </si>
  <si>
    <t xml:space="preserve">MON-058</t>
  </si>
  <si>
    <t xml:space="preserve">«Поветрие»: создание заразного источника и проверки</t>
  </si>
  <si>
    <t xml:space="preserve">активная эпидемическая болезнь / область.</t>
  </si>
  <si>
    <t xml:space="preserve">Чумной доктор → выбранный заражённый-источник → все персонажи в области.</t>
  </si>
  <si>
    <t xml:space="preserve">применение способности; первый вход в область; затем каждый полный час непрерывного пребывания.</t>
  </si>
  <si>
    <t xml:space="preserve">выбранная исходная цель заражена ассистентами; проверяемый персонаж не Чумной доктор.</t>
  </si>
  <si>
    <t xml:space="preserve">800 ОЭ; L; число заражённых источников в радиусе 4L; проверка Z персонажа.</t>
  </si>
  <si>
    <t xml:space="preserve">Нормативная база (действует во всей непротиворечащей части):
радиус каждого источника 4L м; сложность min(40, 20 + 5×N), где N — число заражённых источников в радиусе проверяемого; если проверка Z ниже сложности, заразить Поветрием. Проверять при первом входе и не чаще одного раза за каждый полный час непрерывного пребывания; в одном бою от того же очага повторной проверки нет.
Приоритетные авторские дельты (заменяют только прямо пересекающиеся ветви):
[Q-MON-026] Приложение не автоматизирует механики поветрия. Игрок и мастер отыгрывают их устно</t>
  </si>
  <si>
    <t xml:space="preserve">заболевший становится новым распространяющим источником.</t>
  </si>
  <si>
    <t xml:space="preserve">Чумные доктора полностью исключены из проверок/заражения этим правилом.
Поздние дельты применяются по приоритету AQ3 &gt; AQ2 &gt; AQA/CQA &gt; базовая карточка; локальное исключение сильнее общего.</t>
  </si>
  <si>
    <t xml:space="preserve">применение способности; первый вход в область; затем каждый полный час непрерывного пребывания.
Нормативная база (действует во всей непротиворечащей части):
Проверять при первом входе и не чаще одного раза за каждый полный час непрерывного пребывания; в одном бою от того же очага повторной проверки нет.</t>
  </si>
  <si>
    <t xml:space="preserve">800 ОЭ</t>
  </si>
  <si>
    <t xml:space="preserve">радиус каждого источника 4L м; сложность min(40, 20 + 5×N), где N — число заражённых источников в радиусе проверяемого; если проверка Z ниже сложности, заразить Поветрием.</t>
  </si>
  <si>
    <t xml:space="preserve">§7.6.3.7.1 и уточнение, печ. стр. 173.</t>
  </si>
  <si>
    <t xml:space="preserve">Q-MON-026</t>
  </si>
  <si>
    <t xml:space="preserve">MON-059</t>
  </si>
  <si>
    <t xml:space="preserve">«Поветрие»: суточное ухудшение и смерть</t>
  </si>
  <si>
    <t xml:space="preserve">болезнь / периодический дебафф.</t>
  </si>
  <si>
    <t xml:space="preserve">заболевший Поветрием.</t>
  </si>
  <si>
    <t xml:space="preserve">каждый полный день течения болезни.</t>
  </si>
  <si>
    <t xml:space="preserve">болезнь не излечена.</t>
  </si>
  <si>
    <t xml:space="preserve">текущие S,D,M.</t>
  </si>
  <si>
    <t xml:space="preserve">Нормативная база (действует во всей непротиворечащей части):
каждый день уменьшать S,D,M на 3; если хотя бы одна опускается ниже 1, перевести в тяжёлое ранение; после смерти больного создать «цветок Поветрия» на 3 дня.
Приоритетные авторские дельты (заменяют только прямо пересекающиеся ветви):
[Q-MON-027] Приложение не автоматизирует механики поветрия. Игрок и мастер отыгрывают их устно</t>
  </si>
  <si>
    <t xml:space="preserve">накопительные потери характеристик, тяжёлое ранение, затем новый неподвижный источник болезни.</t>
  </si>
  <si>
    <t xml:space="preserve">цветок создаётся именно после смерти, а не при одном тяжёлом ранении.
Поздние дельты применяются по приоритету AQ3 &gt; AQ2 &gt; AQA/CQA &gt; базовая карточка; локальное исключение сильнее общего.</t>
  </si>
  <si>
    <t xml:space="preserve">§7.6.3.7.1, печ. стр. 173.</t>
  </si>
  <si>
    <t xml:space="preserve">Q-MON-027</t>
  </si>
  <si>
    <t xml:space="preserve">MON-060</t>
  </si>
  <si>
    <t xml:space="preserve">«Поветрие»: излечение и восстановление</t>
  </si>
  <si>
    <t xml:space="preserve">лечение болезни.</t>
  </si>
  <si>
    <t xml:space="preserve">больной Поветрием.</t>
  </si>
  <si>
    <t xml:space="preserve">вдыхание дыма от сжигания другого больного Поветрием персонажа.</t>
  </si>
  <si>
    <t xml:space="preserve">источник дыма — другой больной.</t>
  </si>
  <si>
    <t xml:space="preserve">накопленные потери S,D,M.</t>
  </si>
  <si>
    <t xml:space="preserve">Нормативная база (действует во всей непротиворечащей части):
снять болезнь; вернуть утраченные от неё очки характеристик в течение суток.
Приоритетные авторские дельты (заменяют только прямо пересекающиеся ветви):
[Q-MON-028] Приложение не автоматизирует механики поветрия. Игрок и мастер отыгрывают их устно
[Q-MON-029] Приложение не автоматизирует механики поветрия. Игрок и мастер отыгрывают их устно</t>
  </si>
  <si>
    <t xml:space="preserve">заражение и распространение прекращаются; характеристики восстанавливаются; на месяц сохраняется косметический цвет кожи (неисполняемый визуальный маркер).</t>
  </si>
  <si>
    <t xml:space="preserve">дым от самого больного не подходит.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</si>
  <si>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снять болезнь; вернуть утраченные от неё очки характеристик в течение суток.</t>
  </si>
  <si>
    <t xml:space="preserve">Q-MON-028
Q-MON-029</t>
  </si>
  <si>
    <t xml:space="preserve">Чумной пророк: распространение и отдельный лимит</t>
  </si>
  <si>
    <t xml:space="preserve">производный источник заражения.</t>
  </si>
  <si>
    <t xml:space="preserve">Чумной пророк</t>
  </si>
  <si>
    <t xml:space="preserve">заражаемые им цели.</t>
  </si>
  <si>
    <t xml:space="preserve">пророк распространяет ассистентов или Поветрие.</t>
  </si>
  <si>
    <t xml:space="preserve">статус пророка активен.</t>
  </si>
  <si>
    <t xml:space="preserve">L исходного Доктора; отдельный реестр заражённых пророка.</t>
  </si>
  <si>
    <t xml:space="preserve">Нормативная база (действует во всей непротиворечащей части):
пророк может самостоятельно распространять ассистентов и Поветрие; его заражённые не входят в лимит Доктора; собственный лимит пророка 2L.
Приоритетные авторские дельты (заменяют только прямо пересекающиеся ветви):
[Q-MON-031] Приложение не автоматизирует механики чумных пророков. Игрок и мастер отыгрывают их устно</t>
  </si>
  <si>
    <t xml:space="preserve">вести заражения с полем sourceProphet, а также связь с исходным Доктором.</t>
  </si>
  <si>
    <t xml:space="preserve">социальный бонус C+15 и беспрекословное подчинение исключены из механического реестра социальных взаимодействий.
Поздние дельты применяются по приоритету AQ3 &gt; AQ2 &gt; AQA/CQA &gt; базовая карточка; локальное исключение сильнее общего.</t>
  </si>
  <si>
    <t xml:space="preserve">MON-066</t>
  </si>
  <si>
    <t xml:space="preserve">«Распределение сил»: первые шесть ходов</t>
  </si>
  <si>
    <t xml:space="preserve">пассивная боевая характеристика.</t>
  </si>
  <si>
    <t xml:space="preserve">первые 6 ходов Доктора в боевой ситуации.</t>
  </si>
  <si>
    <t xml:space="preserve">базовые S,D; номер хода боя.</t>
  </si>
  <si>
    <t xml:space="preserve">Нормативная база (действует во всей непротиворечащей части):
на ходах 1–6 увеличить S и D до 35; с 7-го вернуть обычные итоговые значения.
Приоритетные авторские дельты (заменяют только прямо пересекающиеся ветви):
[Q-MON-032] 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t>
  </si>
  <si>
    <t xml:space="preserve">временные боевые значения S,D.</t>
  </si>
  <si>
    <t xml:space="preserve">трактовка значений выше 35 требует Q-MON-032.
Поздние дельты применяются по приоритету AQ3 &gt; AQ2 &gt; AQA/CQA &gt; базовая карточка; локальное исключение сильнее общего.</t>
  </si>
  <si>
    <t xml:space="preserve">[Q-MON-032] На первые шесть боевых ходов способность устанавливает для S и D нижнюю границу 35: значение ниже 35 становится равным 35, а более высокое не меняется.</t>
  </si>
  <si>
    <t xml:space="preserve">первые 6 ходов Доктора в боевой ситуации.
базовые S,D; номер хода боя.
Нормативная база (действует во всей непротиворечащей части):
на ходах 1–6 увеличить S и D до 35; с 7-го вернуть обычные итоговые значения.
[Q-MON-032] На первые шесть боевых ходов способность устанавливает для S и D нижнюю границу 35: значение ниже 35 становится равным 35, а более высокое не меняется.</t>
  </si>
  <si>
    <t xml:space="preserve">§7.6.3.8.2, печ. стр. 173–174.</t>
  </si>
  <si>
    <t xml:space="preserve">Q-MON-032</t>
  </si>
  <si>
    <t xml:space="preserve">MON-068</t>
  </si>
  <si>
    <t xml:space="preserve">«Чумные зомби»: массовое поднятие</t>
  </si>
  <si>
    <t xml:space="preserve">активное призывание.</t>
  </si>
  <si>
    <t xml:space="preserve">все трупы мыслящих и животных, умерших от Поветрия в радиусе 100 м.</t>
  </si>
  <si>
    <t xml:space="preserve">есть 1000 ОЭ; подходящие трупы в области.</t>
  </si>
  <si>
    <t xml:space="preserve">Нормативная база (действует во всей непротиворечащей части):
при R20≥4 поднять все подходящие трупы на R20 часов; они выполняют ментальные команды с любого расстояния; затем окончательно умирают. При R20=1 все поднятые трупы атакуют Доктора.
Приоритетные авторские дельты (заменяют только прямо пересекающиеся ветви):
[Q-MON-033] Приложение не автоматизирует механики чумных зомби. Игрок и мастер отыгрывают их устно</t>
  </si>
  <si>
    <t xml:space="preserve">создать боевые сущности-зомби и общий таймер.</t>
  </si>
  <si>
    <t xml:space="preserve">механика результата 1 требует Q-MON-033.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</si>
  <si>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R20≥4 поднять все подходящие трупы на R20 часов; они выполняют ментальные команды с любого расстояния; затем окончательно умирают.</t>
  </si>
  <si>
    <t xml:space="preserve">есть 1000 ОЭ; подходящие трупы в области.
1000 ОЭ; чистый R20.</t>
  </si>
  <si>
    <t xml:space="preserve">1000 ОЭ; чистый R20.
при R20≥4 поднять все подходящие трупы на R20 часов; они выполняют ментальные команды с любого расстояния; затем окончательно умирают.
При R20=1 все поднятые трупы атакуют Доктора.</t>
  </si>
  <si>
    <t xml:space="preserve">§7.6.3.9.1, печ. стр. 174.</t>
  </si>
  <si>
    <t xml:space="preserve">MON-069</t>
  </si>
  <si>
    <t xml:space="preserve">Чумной зомби: характеристики и ограничения</t>
  </si>
  <si>
    <t xml:space="preserve">производный статблок.</t>
  </si>
  <si>
    <t xml:space="preserve">поднятый труп.</t>
  </si>
  <si>
    <t xml:space="preserve">создание зомби.</t>
  </si>
  <si>
    <t xml:space="preserve">известны здоровые прижизненные характеристики и max HP.</t>
  </si>
  <si>
    <t xml:space="preserve">все прижизненные характеристики и max HP.</t>
  </si>
  <si>
    <t xml:space="preserve">Нормативная база (действует во всей непротиворечащей части):
каждую характеристику и max HP разделить на 2 с округлением вверх, минимум 1; сохранить утраченные части тела и надетое снаряжение; запретить навыки, активные защиты и симбионтов; всем зомби одной активации назначить общую инициативу и 1 боевое действие каждому.
Приоритетные авторские дельты (заменяют только прямо пересекающиеся ветви):
[Q-MON-034] Приложение не автоматизирует механики поветрия. Игрок и мастер отыгрывают их устно</t>
  </si>
  <si>
    <t xml:space="preserve">сформирован статблок зомби.</t>
  </si>
  <si>
    <t xml:space="preserve">при 0 HP зомби окончательно разрушается; тяжёлое ранение для него не применяется.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</si>
  <si>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каждую характеристику и max HP разделить на 2 с округлением вверх, минимум 1; сохранить утраченные части тела и надетое снаряжение; запретить навыки, активные защиты и симбионтов; всем зомби одной активации назначить общую инициативу и 1 боевое действие каждому.</t>
  </si>
  <si>
    <t xml:space="preserve">известны здоровые прижизненные характеристики и max HP.
все прижизненные характеристики и max HP.
каждую характеристику и max HP разделить на 2 с округлением вверх, минимум 1; сохранить утраченные части тела и надетое снаряжение; запретить навыки, активные защиты и симбионтов; всем зомби одной активации назначить общую инициативу и 1 боевое действие каждому.
при 0 HP зомби окончательно разрушается; тяжёлое ранение для него не применяется.</t>
  </si>
  <si>
    <t xml:space="preserve">Q-MON-034</t>
  </si>
  <si>
    <t xml:space="preserve">MON-071</t>
  </si>
  <si>
    <t xml:space="preserve">«Выжгу до тла»: защитное применение</t>
  </si>
  <si>
    <t xml:space="preserve">активная способность / защитный блок.</t>
  </si>
  <si>
    <t xml:space="preserve">атакующий в ближнем бою.</t>
  </si>
  <si>
    <t xml:space="preserve">объявление блока против любой ближней атаки.</t>
  </si>
  <si>
    <t xml:space="preserve">костяной клинок выдвинут; есть 500 ОЭ.</t>
  </si>
  <si>
    <t xml:space="preserve">500 ОЭ; обычная проверка блока.</t>
  </si>
  <si>
    <t xml:space="preserve">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</si>
  <si>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отменить удар; наложить горение атакующему.</t>
  </si>
  <si>
    <t xml:space="preserve">при неуспешном блоке атака разрешается обычно; активная геометрия струи обрабатывается MON-072.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</si>
  <si>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способность не тратит действий; при успешном блоке атакующий загорается до нанесения удара, исходная атака не достигает Доктора.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</si>
  <si>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костяной клинок выдвинут; есть 500 ОЭ.
500 ОЭ; обычная проверка блока.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</si>
  <si>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§7.6.3.9.2, печ. стр. 174.</t>
  </si>
  <si>
    <t xml:space="preserve">Q-MON-035</t>
  </si>
  <si>
    <t xml:space="preserve">MON-072</t>
  </si>
  <si>
    <t xml:space="preserve">«Выжгу до тла»: струя и экипировка</t>
  </si>
  <si>
    <t xml:space="preserve">площадное возгорание.</t>
  </si>
  <si>
    <t xml:space="preserve">выпуск струи пламени.</t>
  </si>
  <si>
    <t xml:space="preserve">клинок выдвинут; цена оплачена.</t>
  </si>
  <si>
    <t xml:space="preserve">длина 2L м; для каждой цели отдельный чистый R6.</t>
  </si>
  <si>
    <t xml:space="preserve">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</si>
  <si>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состояния горения записываются на выбранные элементы.</t>
  </si>
  <si>
    <t xml:space="preserve">точная форма струи и активная цена действий требуют Q-MON-035 и Q-MON-036.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</si>
  <si>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Увернуться от струи пламени нельзя, окно защитных действий у цели не открывается (точно так же работают поджигающие способности дракона)
точная форма струи и активная цена действий требуют Q-MON-035 и Q-MON-036.</t>
  </si>
  <si>
    <t xml:space="preserve">клинок выдвинут; цена оплачена.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точная форма струи и активная цена действий требуют Q-MON-035 и Q-MON-036.</t>
  </si>
  <si>
    <t xml:space="preserve">длина 2L м; для каждой цели отдельный чистый R6.
на каждую попавшую под струю цель наложить горение на случайные R6 элементов экипировки; если R6=6, горят все элементы, включая рюкзак при наличии.</t>
  </si>
  <si>
    <t xml:space="preserve">Q-MON-035
Q-MON-036</t>
  </si>
  <si>
    <t xml:space="preserve">Симбиотические чудовища, болезни и бестиарий — 4. Болезни</t>
  </si>
  <si>
    <t xml:space="preserve">Стандартная проверка заражения болезнью</t>
  </si>
  <si>
    <t xml:space="preserve">заражение болезнью.</t>
  </si>
  <si>
    <t xml:space="preserve">мастер/источник заразы</t>
  </si>
  <si>
    <t xml:space="preserve">персонаж.</t>
  </si>
  <si>
    <t xml:space="preserve">явный контакт с заразой либо неблагоприятными условиями среды, если источник не задаёт иной процедуры.</t>
  </si>
  <si>
    <t xml:space="preserve">персонаж подвержен болезни; одна непрерывная экспозиция не проверялась в последний игровой час.</t>
  </si>
  <si>
    <t xml:space="preserve">проверка R20+Z; категория воздействия.</t>
  </si>
  <si>
    <t xml:space="preserve">Нормативная база (действует во всей непротиворечащей части):
назначить сложность 15 для слабого, 20 для опасного или 25 для чрезвычайно опасного воздействия; при результате ниже сложности применить назначенную болезнь/эффект.
Приоритетные авторские дельты (заменяют только прямо пересекающиеся ветви):
[Q-MON-037] Для реализации в приложения механика болезней упрощена: мастер просто в праве назначить выбранную болезнь выбранному персонажу или снять имеющуюся.
[Q-MON-038] 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</si>
  <si>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создать состояние болезни и время начала; обновить время последней проверки экспозиции.</t>
  </si>
  <si>
    <t xml:space="preserve">специальная процедура конкретной болезни/источника имеет приоритет; одна непрерывная экспозиция — не более одной проверки в час.
Поздние дельты применяются по приоритету AQ3 &gt; AQ2 &gt; AQA/CQA &gt; базовая карточка; локальное исключение сильнее общего.</t>
  </si>
  <si>
    <t xml:space="preserve">персонаж подвержен болезни; одна непрерывная экспозиция не проверялась в последний игровой час.
Нормативная база (действует во всей непротиворечащей части):
специальная процедура конкретной болезни/источника имеет приоритет; одна непрерывная экспозиция — не более одной проверки в час.</t>
  </si>
  <si>
    <t xml:space="preserve">§8 и уточнение, печ. стр. 206.</t>
  </si>
  <si>
    <t xml:space="preserve">Q-MON-037
Q-MON-038</t>
  </si>
  <si>
    <t xml:space="preserve">MON-075</t>
  </si>
  <si>
    <t xml:space="preserve">Потеря сознания из-за болезни</t>
  </si>
  <si>
    <t xml:space="preserve">порог состояния.</t>
  </si>
  <si>
    <t xml:space="preserve">применение/изменение штрафов болезни.</t>
  </si>
  <si>
    <t xml:space="preserve">болезнь поражает хотя бы одну характеристику.</t>
  </si>
  <si>
    <t xml:space="preserve">Z персонажа; поражаемая характеристика после модификаторов.</t>
  </si>
  <si>
    <t xml:space="preserve">Нормативная база (действует во всей непротиворечащей части):
если сумма поражаемой характеристики и Z становится &lt;1, установить потерю сознания.
Приоритетные авторские дельты (заменяют только прямо пересекающиеся ветви):
[Q-MON-039] Для каждой характеристики X, которую снижает болезнь, отдельно проверяется условие «итоговое X + итоговое Z &lt; 1». Достаточно выполнения условия хотя бы для одной поражённой характеристики, чтобы персонаж потерял сознание до излечения.</t>
  </si>
  <si>
    <t xml:space="preserve">персонаж без сознания до излечения болезни.</t>
  </si>
  <si>
    <t xml:space="preserve">точный расчёт при нескольких поражённых характеристиках требует Q-MON-039.
Поздние дельты применяются по приоритету AQ3 &gt; AQ2 &gt; AQA/CQA &gt; базовая карточка; локальное исключение сильнее общего.</t>
  </si>
  <si>
    <t xml:space="preserve">§8, печ. стр. 206.</t>
  </si>
  <si>
    <t xml:space="preserve">Q-MON-039</t>
  </si>
  <si>
    <t xml:space="preserve">MON-085</t>
  </si>
  <si>
    <t xml:space="preserve">Длительность и сложение болезней</t>
  </si>
  <si>
    <t xml:space="preserve">композиция эффектов.</t>
  </si>
  <si>
    <t xml:space="preserve">больной</t>
  </si>
  <si>
    <t xml:space="preserve">активные болезни.</t>
  </si>
  <si>
    <t xml:space="preserve">повторное заражение либо наложение другой болезни.</t>
  </si>
  <si>
    <t xml:space="preserve">есть активные болезни.</t>
  </si>
  <si>
    <t xml:space="preserve">идентификатор болезни/эффекта; модификаторы.</t>
  </si>
  <si>
    <t xml:space="preserve">Нормативная база (действует во всей непротиворечащей части):
все штрафы действуют до излечения; повторная та же болезнь не добавляет второй комплект штрафов; разные болезни суммируют свои штрафы.
Приоритетные авторские дельты (заменяют только прямо пересекающиеся ветви):
[Q-MON-038] 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</si>
  <si>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обновить набор активных уникальных болезней и агрегированные модификаторы.</t>
  </si>
  <si>
    <t xml:space="preserve">специальное правило болезни может задавать иной срок.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</si>
  <si>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специальное правило болезни может задавать иной срок.</t>
  </si>
  <si>
    <t xml:space="preserve">Q-MON-038</t>
  </si>
  <si>
    <t xml:space="preserve">MON-086</t>
  </si>
  <si>
    <t xml:space="preserve">Лечение болезни</t>
  </si>
  <si>
    <t xml:space="preserve">медицинская проверка.</t>
  </si>
  <si>
    <t xml:space="preserve">персонаж с навыком «Медик» либо Искатель Последнего Рассвета</t>
  </si>
  <si>
    <t xml:space="preserve">попытка лечения.</t>
  </si>
  <si>
    <t xml:space="preserve">лечащий допустим; для данной болезни/цели не было попытки в текущие сутки.</t>
  </si>
  <si>
    <t xml:space="preserve">новый бросок болезни 2R20; R20 лечащего со всеми медицинскими модификаторами.</t>
  </si>
  <si>
    <t xml:space="preserve">Нормативная база (действует во всей непротиворечащей части):
если итог лечащего строго больше суммы 2R20 болезни, излечить; иначе сохранить болезнь; установить суточный cooldown попытки.
Приоритетные авторские дельты (заменяют только прямо пересекающиеся ветви):
[Q-MON-040] Для реализации в приложения механика болезней упрощена: мастер просто в праве назначить выбранную болезнь выбранному персонажу или снять имеющуюся.</t>
  </si>
  <si>
    <t xml:space="preserve">снять болезнь и её эффекты либо зафиксировать неудачу.</t>
  </si>
  <si>
    <t xml:space="preserve">специальная процедура конкретной болезни имеет приоритет; «специализация Медик» трактуется как навык «Медик».
Поздние дельты применяются по приоритету AQ3 &gt; AQ2 &gt; AQA/CQA &gt; базовая карточка; локальное исключение сильнее общего.</t>
  </si>
  <si>
    <t xml:space="preserve">R20 лечащего со всеми медицинскими модификаторами.</t>
  </si>
  <si>
    <t xml:space="preserve">лечащий допустим; для данной болезни/цели не было попытки в текущие сутки.
Нормативная база (действует во всей непротиворечащей части):
если итог лечащего строго больше суммы 2R20 болезни, излечить; иначе сохранить болезнь; установить суточный cooldown попытки.</t>
  </si>
  <si>
    <t xml:space="preserve">§8.1 и уточнение, печ. стр. 206.</t>
  </si>
  <si>
    <t xml:space="preserve">Q-MON-040</t>
  </si>
  <si>
    <t xml:space="preserve">Симбиотические чудовища, болезни и бестиарий — 5. Бестиарий: общие правила статблоков</t>
  </si>
  <si>
    <t xml:space="preserve">Конкретизация диапазонов характеристик существ</t>
  </si>
  <si>
    <t xml:space="preserve">создание боевой сущности.</t>
  </si>
  <si>
    <t xml:space="preserve">существо с диапазонным статблоком.</t>
  </si>
  <si>
    <t xml:space="preserve">подготовка существа до начала сцены.</t>
  </si>
  <si>
    <t xml:space="preserve">характеристика указана диапазоном.</t>
  </si>
  <si>
    <t xml:space="preserve">нижняя и верхняя границы; необязательное решение мастера.</t>
  </si>
  <si>
    <t xml:space="preserve">Нормативная база (действует во всей непротиворечащей части):
мастер выбирает и записывает конкретное значение; по умолчанию взять середину диапазона и округлить математически.
Приоритетные авторские дельты (заменяют только прямо пересекающиеся ветви):
[Q-MON-041] Выбранные значения характеристик фиксируются на весь срок существования конкретного экземпляра существа и сохраняются при его появлении в следующих сценах. Для нового экземпляра значения выбираются заново.
[v1.3] Карточка продолжает действовать только для канонических диапазонных статблоков. Предел 35 пользовательского конструктора к ним не применяется; их значения выше 35 сохраняются.</t>
  </si>
  <si>
    <t xml:space="preserve">диапазоны заменены зафиксированными числами на всё время сцены/жизни экземпляра.</t>
  </si>
  <si>
    <t xml:space="preserve">фиксированные HP и броня не являются диапазонными.
Поздние дельты применяются по приоритету AQ3 &gt; AQ2 &gt; AQA/CQA &gt; базовая карточка; локальное исключение сильнее общего.</t>
  </si>
  <si>
    <t xml:space="preserve">фиксированные HP и броня не являются диапазонными.</t>
  </si>
  <si>
    <t xml:space="preserve">подготовка существа до начала сцены.
Нормативная база (действует во всей непротиворечащей части):
[Q-MON-041] Выбранные значения характеристик фиксируются на весь срок существования конкретного экземпляра существа и сохраняются при его появлении в следующих сценах.</t>
  </si>
  <si>
    <t xml:space="preserve">мастер выбирает и записывает конкретное значение; по умолчанию взять середину диапазона и округлить математически.</t>
  </si>
  <si>
    <t xml:space="preserve">Q-MON-041
Q-ENEMY-B13</t>
  </si>
  <si>
    <t xml:space="preserve">CORE-200
CORE-212</t>
  </si>
  <si>
    <t xml:space="preserve">MON-094</t>
  </si>
  <si>
    <t xml:space="preserve">Симбиотические чудовища, болезни и бестиарий — 6. Бубуй и Совуль</t>
  </si>
  <si>
    <t xml:space="preserve">Бубуи: допуск к бою и приоритет возраста</t>
  </si>
  <si>
    <t xml:space="preserve">состав группы / боевой ИИ.</t>
  </si>
  <si>
    <t xml:space="preserve">семья бубуев</t>
  </si>
  <si>
    <t xml:space="preserve">потенциальные участники и противники.</t>
  </si>
  <si>
    <t xml:space="preserve">формирование боевой группы; выбор цели.</t>
  </si>
  <si>
    <t xml:space="preserve">бой ведёт семья бубуев.</t>
  </si>
  <si>
    <t xml:space="preserve">возраст, болезнь, ранение, беременность каждого бубуя; возраст противников.</t>
  </si>
  <si>
    <t xml:space="preserve">Среди доступных целей сначала рассматривать цели с известным возрастом и выбрать максимальный возраст. Значение age=UNKNOWN располагается после всех известных. Если доступны только цели UNKNOWN, выбрать одну из них равновероятно случайно.</t>
  </si>
  <si>
    <t xml:space="preserve">отфильтрован состав; ИИ получает приоритет цели по возрасту.</t>
  </si>
  <si>
    <t xml:space="preserve">Это обязательный валидатор выбора цели видового правила, а не боевой ИИ; мастер управляет экземпляром, но не может нарушить приоритет.</t>
  </si>
  <si>
    <t xml:space="preserve">KNOWN: max(ageYears); only UNKNOWN: uniform random among eligible UNKNOWN.</t>
  </si>
  <si>
    <t xml:space="preserve">Нормативная база (действует во всей непротиворечащей части):
Он атакует старейшего противника, которого может легально атаковать в текущем ходу; если такого нет, движется к старейшему воспринимаемому противнику.</t>
  </si>
  <si>
    <t xml:space="preserve">§9.1.3, печ. стр. 208.
Предразработочный QA и прямые ответы пользователя 2026-07-29</t>
  </si>
  <si>
    <t xml:space="preserve">Q-MON-042
Q-PREDEV-007</t>
  </si>
  <si>
    <t xml:space="preserve">MON-096</t>
  </si>
  <si>
    <t xml:space="preserve">Совуль: предвидение и ментальная необнаружимость</t>
  </si>
  <si>
    <t xml:space="preserve">заявленная особенность существа.</t>
  </si>
  <si>
    <t xml:space="preserve">Совуль</t>
  </si>
  <si>
    <t xml:space="preserve">наблюдатели и потенциальные ловцы/атакующие.</t>
  </si>
  <si>
    <t xml:space="preserve">существо считывает намерение, при необходимости избегает обнаружения.</t>
  </si>
  <si>
    <t xml:space="preserve">не заданы.</t>
  </si>
  <si>
    <t xml:space="preserve">отсутствуют формулы, статблок, дальность, стоимость и контрпроверка.</t>
  </si>
  <si>
    <t xml:space="preserve">Нормативная база (действует во всей непротиворечащей части):
формализация отсутствует.
Приоритетные авторские дельты (заменяют только прямо пересекающиеся ветви):
[Q-MON-043] Совуль отсутствует среди выбираемых для добавления в боевую ситуацию существ из бестиария. В приложении взаимодействие с совулем не автоматизируется, мастер отыгрывает все связанное с ним устно.</t>
  </si>
  <si>
    <t xml:space="preserve">предположительно Совуль становится необнаружимым и может ретроактивно устранить след выстрела, но это лишь описательный текст.</t>
  </si>
  <si>
    <t xml:space="preserve">даже псионическая защита в лоре не позволила поймать Совуля.
Поздние дельты применяются по приоритету AQ3 &gt; AQ2 &gt; AQA/CQA &gt; базовая карточка; локальное исключение сильнее общего.</t>
  </si>
  <si>
    <t xml:space="preserve">§9.2.1–9.2.3, печ. стр. 209.</t>
  </si>
  <si>
    <t xml:space="preserve">Q-MON-043</t>
  </si>
  <si>
    <t xml:space="preserve">MON-098</t>
  </si>
  <si>
    <t xml:space="preserve">Симбиотические чудовища, болезни и бестиарий — 7. Вивисектор, Крысюк, Кенг</t>
  </si>
  <si>
    <t xml:space="preserve">Вивисектор: хватательная конечность</t>
  </si>
  <si>
    <t xml:space="preserve">атака-захват.</t>
  </si>
  <si>
    <t xml:space="preserve">Вивисектор</t>
  </si>
  <si>
    <t xml:space="preserve">атака хватательной конечностью.</t>
  </si>
  <si>
    <t xml:space="preserve">цель достижима по общей ближней дистанции.</t>
  </si>
  <si>
    <t xml:space="preserve">точность R20+S; проверка борьбы цели.</t>
  </si>
  <si>
    <t xml:space="preserve">Нормативная база (действует во всей непротиворечащей части):
сравнить точность с сопротивлением борьбой; при провале цели поместить её внутрь Вивисектора.
Приоритетные авторские дельты (заменяют только прямо пересекающиеся ветви):
[Q-MON-044] При попадании внутрь цель один раз получает R12+8 прямого урона от яда за контакт со слизью и считается захваченной и находящейся в слизи. Дальнейшее пребывание само по себе не повторяет этот урон, но ведёт счётчик коррозии экипировки. 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</si>
  <si>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цель получает состояние «внутри/захвачена».</t>
  </si>
  <si>
    <t xml:space="preserve">последующая процедура не описана.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</si>
  <si>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</si>
  <si>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точность R20+S; проверка борьбы цели.
[Q-MON-044] При попадании внутрь цель один раз получает R12+8 прямого урона от яда за контакт со слизью и считается захваченной и находящейся в слизи.
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</si>
  <si>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[Q-MON-044] При попадании внутрь цель один раз получает R12+8 прямого урона от яда за контакт со слизью и считается захваченной и находящейся в слизи.</t>
  </si>
  <si>
    <t xml:space="preserve">Q-MON-044</t>
  </si>
  <si>
    <t xml:space="preserve">MON-099</t>
  </si>
  <si>
    <t xml:space="preserve">Вивисектор: ядовитые пары</t>
  </si>
  <si>
    <t xml:space="preserve">периодическая область.</t>
  </si>
  <si>
    <t xml:space="preserve">все цели в радиусе 6 м.</t>
  </si>
  <si>
    <t xml:space="preserve">конец каждого хода персонажа в области.</t>
  </si>
  <si>
    <t xml:space="preserve">цель не имеет герметичной защиты.</t>
  </si>
  <si>
    <t xml:space="preserve">R20+Z цели против R20+12; при провале отдельный R12.</t>
  </si>
  <si>
    <t xml:space="preserve">Нормативная база (действует во всей непротиворечащей части):
если проверка цели ниже встречного результата, нанести R12 урона от яда.
Приоритетные авторские дельты (заменяют только прямо пересекающиеся ветви):
[Q-MON-045] 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 В конце ходов Вивисектора и других участников дополнительной проверки нет.</t>
  </si>
  <si>
    <t xml:space="preserve">уменьшить HP цели.</t>
  </si>
  <si>
    <t xml:space="preserve">герметичная защита полностью исключает проверку.
Поздние дельты применяются по приоритету AQ3 &gt; AQ2 &gt; AQA/CQA &gt; базовая карточка; локальное исключение сильнее общего.</t>
  </si>
  <si>
    <t xml:space="preserve">R20+Z цели против R20+12; при провале отдельный R12.
если проверка цели ниже встречного результата, нанести R12 урона от яда.</t>
  </si>
  <si>
    <t xml:space="preserve">конец каждого хода персонажа в области.
Нормативная база (действует во всей непротиворечащей части):
[Q-MON-045] 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
В конце ходов Вивисектора и других участников дополнительной проверки нет.</t>
  </si>
  <si>
    <t xml:space="preserve">[Q-MON-045] 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t>
  </si>
  <si>
    <t xml:space="preserve">Q-MON-045</t>
  </si>
  <si>
    <t xml:space="preserve">MON-100</t>
  </si>
  <si>
    <t xml:space="preserve">Вивисектор: кислотная слизь</t>
  </si>
  <si>
    <t xml:space="preserve">контактный урон / повреждение экипировки.</t>
  </si>
  <si>
    <t xml:space="preserve">слизь Вивисектора</t>
  </si>
  <si>
    <t xml:space="preserve">контактирующая цель и экипировка.</t>
  </si>
  <si>
    <t xml:space="preserve">контакт; затем второй последовательный ход в слизи.</t>
  </si>
  <si>
    <t xml:space="preserve">элемент негерметичный и относится к одежде или лёгкой броне.</t>
  </si>
  <si>
    <t xml:space="preserve">R12; затронутые элементы; число последовательных ходов.</t>
  </si>
  <si>
    <t xml:space="preserve">Нормативная база (действует во всей непротиворечащей части):
при контакте нанести R12+8 прямого урона от яда; после двух последовательных ходов вывести из строя один затронутый допустимый элемент до ремонта.
Приоритетные авторские дельты (заменяют только прямо пересекающиеся ветви):
[Q-MON-046] В конце каждого личного хода в слизи счётчик непрерывного пребывания увеличивается на 1. Когда он впервые достигает 2, равновероятно выбирается один исправный затронутый негерметичный элемент одежды или лёгкой брони и выводится из строя (уничтожается и убирается из инвентаря); до выхода из слизи новых элементов это воздействие не ломает. Выход обнуляет счётчик и признак срабатывания.</t>
  </si>
  <si>
    <t xml:space="preserve">HP уменьшается; элемент получает состояние «неисправен».</t>
  </si>
  <si>
    <t xml:space="preserve">герметичные и не названные категории не ломаются этим правилом.
Поздние дельты применяются по приоритету AQ3 &gt; AQ2 &gt; AQA/CQA &gt; базовая карточка; локальное исключение сильнее общего.</t>
  </si>
  <si>
    <t xml:space="preserve">R12; затронутые элементы; число последовательных ходов.
при контакте нанести R12+8 прямого урона от яда; после двух последовательных ходов вывести из строя один затронутый допустимый элемент до ремонта.</t>
  </si>
  <si>
    <t xml:space="preserve">контакт; затем второй последовательный ход в слизи.
R12; затронутые элементы; число последовательных ходов.
Нормативная база (действует во всей непротиворечащей части):
при контакте нанести R12+8 прямого урона от яда; после двух последовательных ходов вывести из строя один затронутый допустимый элемент до ремонта.
[Q-MON-046] В конце каждого личного хода в слизи счётчик непрерывного пребывания увеличивается на 1.</t>
  </si>
  <si>
    <t xml:space="preserve">Q-MON-046</t>
  </si>
  <si>
    <t xml:space="preserve">MON-101</t>
  </si>
  <si>
    <t xml:space="preserve">Вивисектор: устойчивости и слабость дальнему оружию</t>
  </si>
  <si>
    <t xml:space="preserve">сопротивления.</t>
  </si>
  <si>
    <t xml:space="preserve">собственные выделения, жара, яды, дальнобойное оружие.</t>
  </si>
  <si>
    <t xml:space="preserve">соответствующее воздействие.</t>
  </si>
  <si>
    <t xml:space="preserve">тип воздействия.</t>
  </si>
  <si>
    <t xml:space="preserve">Нормативная база (действует во всей непротиворечащей части):
числовой алгоритм не задан; текст утверждает устойчивость к собственным выделениям, жаре и большинству природных ядов и плохую защиту от дальнобойного оружия.
Приоритетные авторские дельты (заменяют только прямо пересекающиеся ветви):
[Q-MON-047] Вивисектор полностью невосприимчив к собственной слизи и собственным парам. Против природных ядов он получает +10 к проверкам сопротивления, а обычный экологический жар и урон от огня уменьшаются вдвое после иных модификаторов; стандартное горение может быть наложено и действует с этим уменьшением. Искусственные и симбиотические яды действуют обычно. Дальние атаки не получают отдельного бонуса и проверяются против природной брони R12.</t>
  </si>
  <si>
    <t xml:space="preserve">невозможно однозначно вычислить.</t>
  </si>
  <si>
    <t xml:space="preserve">природная броня R12 дана отдельно.
Поздние дельты применяются по приоритету AQ3 &gt; AQ2 &gt; AQA/CQA &gt; базовая карточка; локальное исключение сильнее общего.</t>
  </si>
  <si>
    <t xml:space="preserve">Дальние атаки не получают отдельного бонуса и проверяются против природной брони R12.
природная броня R12 дана отдельно.</t>
  </si>
  <si>
    <t xml:space="preserve">Q-MON-047</t>
  </si>
  <si>
    <t xml:space="preserve">MON-109</t>
  </si>
  <si>
    <t xml:space="preserve">Кенг: привлечение крупного хищника</t>
  </si>
  <si>
    <t xml:space="preserve">отложенный боевой триггер.</t>
  </si>
  <si>
    <t xml:space="preserve">неприкормленная стая Кенгов</t>
  </si>
  <si>
    <t xml:space="preserve">путники и внешний хищник.</t>
  </si>
  <si>
    <t xml:space="preserve">стая обнаружила путников и остаётся неприкормленной.</t>
  </si>
  <si>
    <t xml:space="preserve">активна стая; нет состояния «прикормлена».</t>
  </si>
  <si>
    <t xml:space="preserve">чистый R20 минут; проверка внимательности либо выживания в дикой природе против 25.</t>
  </si>
  <si>
    <t xml:space="preserve">Нормативная база (действует во всей непротиворечащей части):
запустить таймер R20 минут; успешная проверка против 25 заранее раскрывает подготовку; по таймеру привести подходящего крупного хищника.
Приоритетные авторские дельты (заменяют только прямо пересекающиеся ветви):
[Q-MON-048] Все Кенги, созданные мастером как одна совместно действующая группа, считаются одной стаей. Механика прикармливания и привода хищников приложением не автоматизируются.</t>
  </si>
  <si>
    <t xml:space="preserve">создать предупреждение и затем внешнее существо/сцену.</t>
  </si>
  <si>
    <t xml:space="preserve">конкретный хищник и эффект прикармливания не формализованы.
Поздние дельты применяются по приоритету AQ3 &gt; AQ2 &gt; AQA/CQA &gt; базовая карточка; локальное исключение сильнее общего.</t>
  </si>
  <si>
    <t xml:space="preserve">чистый R20 минут; проверка внимательности либо выживания в дикой природе против 25.
Нормативная база (действует во всей непротиворечащей части):
запустить таймер R20 минут; успешная проверка против 25 заранее раскрывает подготовку; по таймеру привести подходящего крупного хищника.</t>
  </si>
  <si>
    <t xml:space="preserve">чистый R20 минут; проверка внимательности либо выживания в дикой природе против 25.
запустить таймер R20 минут; успешная проверка против 25 заранее раскрывает подготовку; по таймеру привести подходящего крупного хищника.</t>
  </si>
  <si>
    <t xml:space="preserve">Q-MON-048</t>
  </si>
  <si>
    <t xml:space="preserve">MON-113</t>
  </si>
  <si>
    <t xml:space="preserve">Симбиотические чудовища, болезни и бестиарий — 8. Огненная блоха, Умоляющий, Сказочница</t>
  </si>
  <si>
    <t xml:space="preserve">Огненная блоха: огнестойкость и горячее тело</t>
  </si>
  <si>
    <t xml:space="preserve">иммунитет / контактный ответный урон.</t>
  </si>
  <si>
    <t xml:space="preserve">персонаж, хватающий её голыми руками.</t>
  </si>
  <si>
    <t xml:space="preserve">обычный урон огнём; захват без защиты рук.</t>
  </si>
  <si>
    <t xml:space="preserve">тип урона; факт голого контакта.</t>
  </si>
  <si>
    <t xml:space="preserve">Нормативная база (действует во всей непротиворечащей части):
обычный урон от огня игнорировать; при захвате голыми руками нанести атакующему 5 прямого урона.
Приоритетные авторские дельты (заменяют только прямо пересекающиеся ветви):
[Q-MON-049] «Обычный огонь» — это стандартный эффект горения, костры, пожары и огненные атаки без прямого указания, что они обходят невосприимчивость; такой урон Блохе не наносится. 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</si>
  <si>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иммунитет либо ответная потеря HP.</t>
  </si>
  <si>
    <t xml:space="preserve">необычные/специальные виды огненного урона прямо не покрыты.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</si>
  <si>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</si>
  <si>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Q-MON-049</t>
  </si>
  <si>
    <t xml:space="preserve">MON-114</t>
  </si>
  <si>
    <t xml:space="preserve">Огненная блоха: подготовка самоподрыва</t>
  </si>
  <si>
    <t xml:space="preserve">активная отложенная атака.</t>
  </si>
  <si>
    <t xml:space="preserve">Огненная блоха.</t>
  </si>
  <si>
    <t xml:space="preserve">решение начать раздуваться.</t>
  </si>
  <si>
    <t xml:space="preserve">текущее HP ≤20; в серии не менее 2 действий.</t>
  </si>
  <si>
    <t xml:space="preserve">все доступные действия текущего хода.</t>
  </si>
  <si>
    <t xml:space="preserve">Нормативная база (действует во всей непротиворечащей части):
потратить все действия, но не менее 2; установить состояние «взрыв в начале следующего хода».
Приоритетные авторские дельты (заменяют только прямо пересекающиеся ветви):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</si>
  <si>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отложен MON-115.</t>
  </si>
  <si>
    <t xml:space="preserve">при серии из 0–1 действия начать нельзя.
Поздние дельты применяются по приоритету AQ3 &gt; AQ2 &gt; AQA/CQA &gt; базовая карточка; локальное исключение сильнее общего.</t>
  </si>
  <si>
    <t xml:space="preserve">текущее HP ≤20; в серии не менее 2 действий.
все доступные действия текущего хода.
Нормативная база (действует во всей непротиворечащей части):
потратить все действия, но не менее 2; установить состояние «взрыв в начале следующего хода».
при серии из 0–1 действия начать нельзя.</t>
  </si>
  <si>
    <t xml:space="preserve">текущее HP ≤20; в серии не менее 2 действий.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t>
  </si>
  <si>
    <t xml:space="preserve">все доступные действия текущего хода.
Нормативная база (действует во всей непротиворечащей части):
потратить все действия, но не менее 2; установить состояние «взрыв в начале следующего хода».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t>
  </si>
  <si>
    <t xml:space="preserve">§9.6.3, печ. стр. 213.
Предразработочный QA и прямые ответы пользователя 2026-07-29</t>
  </si>
  <si>
    <t xml:space="preserve">Q-MON-050
Q-PREDEV-008</t>
  </si>
  <si>
    <t xml:space="preserve">MON-115
CORE-222</t>
  </si>
  <si>
    <t xml:space="preserve">MON-115</t>
  </si>
  <si>
    <t xml:space="preserve">Огненная блоха: взрыв</t>
  </si>
  <si>
    <t xml:space="preserve">площадной урон.</t>
  </si>
  <si>
    <t xml:space="preserve">раздувшаяся блоха</t>
  </si>
  <si>
    <t xml:space="preserve">все цели в радиусе 10 м.</t>
  </si>
  <si>
    <t xml:space="preserve">начало следующего хода после MON-114.</t>
  </si>
  <si>
    <t xml:space="preserve">состояние самоподрыва не отменено.</t>
  </si>
  <si>
    <t xml:space="preserve">R20; список целей; укрытие; горючие элементы экипировки.</t>
  </si>
  <si>
    <t xml:space="preserve">Нормативная база (действует во всей непротиворечащей части):
нанести R20×2+40 урона каждой цели в 10 м; укрытие уменьшает урон вдвое; у каждой цели случайно поджечь один горючий элемент экипировки.
Приоритетные авторские дельты (заменяют только прямо пересекающиеся ветви):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
[v1.4] Если самоподрыв уже запущен, его разрешение имеет приоритет над потерей сознания/обычной смертью. После взрыва corpsePolicy=NONE, lootPolicy=NOT_APPLICABLE; запрос обыска возвращает NO_CORPSE.
[v1.5 / Q-CROSS-REG-001] Урон взрыва Огненной блохи R20×2+40 игнорирует все активные слои брони цели, включая предметную, природную и симбиотическую броню. Этап пробития не выполняется: penetration не разрешается и не сравнивается с totalArmor. Урон остаётся обычным DAMAGE, а не direct/clean damage. Это локальное исключение имеет приоритет над CORE-150 и CORE-226. Формула, радиус, горение и политика трупа не изменяются.</t>
  </si>
  <si>
    <t xml:space="preserve">блоха уничтожается; урон и горение применены.
[v1.5] Полный урон R20×2+40 применяется к HP каждой цели без разрешения penetration и брони; затем отдельно разрешается горение.</t>
  </si>
  <si>
    <t xml:space="preserve">взрыв не детонирует других блох.
Поздние дельты применяются по приоритету AQ3 &gt; AQ2 &gt; AQA/CQA &gt; базовая карточка; локальное исключение сильнее общего.
[v1.5] IGNORE_ARMOR_BY_MON-115 — локальное исключение, сильнее общего порядка CORE-150 и CORE-226.</t>
  </si>
  <si>
    <t xml:space="preserve">[Q-MON-050]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t>
  </si>
  <si>
    <t xml:space="preserve">R20; список целей; укрытие; горючие элементы экипировки.
нанести R20×2+40 урона каждой цели в 10 м; укрытие уменьшает урон вдвое; у каждой цели случайно поджечь один горючий элемент экипировки.
Каждый персонаж в радиусе 10 метров получает полный исходный урон взрыва R20×2+40.
Эта формулировка заменяет указание об укрытии в Q-MON-051.
armorPolicy=IGNORE_ARMOR_BY_MON-115; penetrationResolution=SKIP; armorResolution=SKIP; resolvedPenetration=null; resolvedArmorByDefinition={}; damageKind=DAMAGE.</t>
  </si>
  <si>
    <t xml:space="preserve">начало следующего хода после MON-114.
Нормативная база (действует во всей непротиворечащей части):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t>
  </si>
  <si>
    <t xml:space="preserve">§9.6.3, печ. стр. 213.
Предразработочный QA и прямые ответы пользователя 2026-07-29
Прямое решение пользователя 2026-07-30 — сквозная сверка четырёх реестров.</t>
  </si>
  <si>
    <t xml:space="preserve">Q-MON-050
Q-MON-051
Q-PREDEV-008
Q-PREDEV-009
Q-CROSS-REG-001</t>
  </si>
  <si>
    <t xml:space="preserve">CORE-030
MON-114
CORE-222
CORE-223
CORE-150
CORE-226</t>
  </si>
  <si>
    <t xml:space="preserve">Патч v1.5</t>
  </si>
  <si>
    <t xml:space="preserve">MON-117</t>
  </si>
  <si>
    <t xml:space="preserve">Умоляющий: захват из трясины</t>
  </si>
  <si>
    <t xml:space="preserve">первая атака-захват.</t>
  </si>
  <si>
    <t xml:space="preserve">первая атака из трясины.</t>
  </si>
  <si>
    <t xml:space="preserve">цель не была ранее атакована этим выходом из засады.</t>
  </si>
  <si>
    <t xml:space="preserve">точность R20+D+5; защитная проверка только D цели.</t>
  </si>
  <si>
    <t xml:space="preserve">Нормативная база (действует во всей непротиворечащей части):
сравнить атаку с разрешённой защитой D; при успехе установить захват.
Приоритетные авторские дельты (заменяют только прямо пересекающиеся ветви):
[Q-MON-052] Против первой атаки захватом цель выполняет встречную проверку R20+D без навыка уклонения; применяются только общие ситуационные модификаторы к Ловкости. Блок, парирование, броня и другие характеристики недоступны; захват успешен, если R20+D+5 Умоляющего строго выше результата цели.</t>
  </si>
  <si>
    <t xml:space="preserve">иные виды сопротивления этой первой атаке запрещены.
Поздние дельты применяются по приоритету AQ3 &gt; AQ2 &gt; AQA/CQA &gt; базовая карточка; локальное исключение сильнее общего.</t>
  </si>
  <si>
    <t xml:space="preserve">точность R20+D+5; защитная проверка только D цели.
[Q-MON-052] Против первой атаки захватом цель выполняет встречную проверку R20+D без навыка уклонения; применяются только общие ситуационные модификаторы к Ловкости.
Блок, парирование, броня и другие характеристики недоступны; захват успешен, если R20+D+5 Умоляющего строго выше результата цели.</t>
  </si>
  <si>
    <t xml:space="preserve">иные виды сопротивления этой первой атаке запрещены.</t>
  </si>
  <si>
    <t xml:space="preserve">Q-MON-052</t>
  </si>
  <si>
    <t xml:space="preserve">MON-119</t>
  </si>
  <si>
    <t xml:space="preserve">Умоляющий: феромонная приманка</t>
  </si>
  <si>
    <t xml:space="preserve">ментально-химическая область контроля.</t>
  </si>
  <si>
    <t xml:space="preserve">цель в радиусе 15 м.</t>
  </si>
  <si>
    <t xml:space="preserve">вход/нахождение в области; затем очевидно опасное событие.</t>
  </si>
  <si>
    <t xml:space="preserve">цель R20+I+Аналитическое мышление; Умоляющий R20+C; опциональный бонус +10 за конкретный вопрос «утопающему».</t>
  </si>
  <si>
    <t xml:space="preserve">Нормативная база (действует во всей непротиворечащей части):
при результате цели ниже результата Умоляющего ближайшее действие цели тратится на движение к приманке; после очевидно опасного события повторить проверку.
Приоритетные авторские дельты (заменяют только прямо пересекающиеся ветви):
[Q-MON-053] Механика приманивания умоляющего не автоматизируется приложением и отыгрывается игроком и мастером устно
[Q-MON-054] Механика приманивания умоляющего не автоматизируется приложением и отыгрывается игроком и мастером устно</t>
  </si>
  <si>
    <t xml:space="preserve">назначить принудительное следующее действие.</t>
  </si>
  <si>
    <t xml:space="preserve">герметичная защита почти полностью блокирует феромоны, но степень требует Q-MON-053.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</si>
  <si>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результате цели ниже результата Умоляющего ближайшее действие цели тратится на движение к приманке; после очевидно опасного события повторить проверку.
назначить принудительное следующее действие.</t>
  </si>
  <si>
    <t xml:space="preserve">цель R20+I+Аналитическое мышление
Умоляющий R20+C; опциональный бонус +10 за конкретный вопрос «утопающему».</t>
  </si>
  <si>
    <t xml:space="preserve">Q-MON-053
Q-MON-054</t>
  </si>
  <si>
    <t xml:space="preserve">MON-141</t>
  </si>
  <si>
    <t xml:space="preserve">Симбиотические чудовища, болезни и бестиарий — 10. Вольмер и Дерево-кукловод</t>
  </si>
  <si>
    <t xml:space="preserve">Вольмер: атака в открытую пасть</t>
  </si>
  <si>
    <t xml:space="preserve">открытая пасть Вольмера.</t>
  </si>
  <si>
    <t xml:space="preserve">атака объявлена в открытую пасть и попала.</t>
  </si>
  <si>
    <t xml:space="preserve">пасть открыта.</t>
  </si>
  <si>
    <t xml:space="preserve">броня черепа R12+5.</t>
  </si>
  <si>
    <t xml:space="preserve">Нормативная база (действует во всей непротиворечащей части):
считать атаку попаданием в голову, но не применять постоянный бонус брони +5; оставить R12.
Приоритетные авторские дельты (заменяют только прямо пересекающиеся ветви):
[Q-MON-055] Пасть считается открытой с момента объявления Вольмером укуса до начала его следующего личного хода. Все атаки, объявленные в это окно именно в пасть, считаются атаками по голове и игнорируют постоянный бонус черепа +5.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</si>
  <si>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урон может уменьшить HP головы.</t>
  </si>
  <si>
    <t xml:space="preserve">нужен флаг «пасть открыта».
Поздние дельты применяются по приоритету AQ3 &gt; AQ2 &gt; AQA/CQA &gt; базовая карточка; локальное исключение сильнее общего.</t>
  </si>
  <si>
    <t xml:space="preserve">броня черепа R12+5.
считать атаку попаданием в голову, но не применять постоянный бонус брони +5; оставить R12.</t>
  </si>
  <si>
    <t xml:space="preserve">Нормативная база (действует во всей непротиворечащей части):
[Q-MON-055] Пасть считается открытой с момента объявления Вольмером укуса до начала его следующего личного хода.</t>
  </si>
  <si>
    <t xml:space="preserve">Q-MON-055
Q-PREDEV-004</t>
  </si>
  <si>
    <t xml:space="preserve">MON-145</t>
  </si>
  <si>
    <t xml:space="preserve">Дерево-кукловод: приказ и сопротивление</t>
  </si>
  <si>
    <t xml:space="preserve">ментальный контроль/захват.</t>
  </si>
  <si>
    <t xml:space="preserve">одна подходящая цель в радиусе 5 м.</t>
  </si>
  <si>
    <t xml:space="preserve">приказ; конец каждого хода цели; получение целью урона.</t>
  </si>
  <si>
    <t xml:space="preserve">цель спит, задремала либо находится в средней/тяжёлой степени опьянения; дистанция ≤5 м.</t>
  </si>
  <si>
    <t xml:space="preserve">цель R20+I+Аналитическое мышление; Дерево R20+C; +10 цели на немедленной проверке от урона.</t>
  </si>
  <si>
    <t xml:space="preserve">Нормативная база (действует во всей непротиворечащей части):
при провале первичной проверки каждый ход двигать цель к дуплу; в конце каждого её хода повторять сопротивление; при уроне — дополнительная немедленная проверка +10; успех либо выход из 5 м снимает эффект; достигшая дупла цель захвачена, освобождение — встречная борьба против Дерева.
Приоритетные авторские дельты (заменяют только прямо пересекающиеся ветви):
[Q-MON-056] Взаимодействие с деревом-кукловодом не автоматизируется приложением, добавить дерево-кукловод в боевую ситуацию из бестиария нельзя. Взаимодействие с ним отыгрывается мастером и игроком устно.</t>
  </si>
  <si>
    <t xml:space="preserve">контроль движения, затем захват либо освобождение.</t>
  </si>
  <si>
    <t xml:space="preserve">за ход Дерево берёт под контроль не более одной новой цели.
Поздние дельты применяются по приоритету AQ3 &gt; AQ2 &gt; AQA/CQA &gt; базовая карточка; локальное исключение сильнее общего.</t>
  </si>
  <si>
    <t xml:space="preserve">цель R20+I+Аналитическое мышление
Дерево R20+C; +10 цели на немедленной проверке от урона.</t>
  </si>
  <si>
    <t xml:space="preserve">приказ; конец каждого хода цели; получение целью урона.
Нормативная база (действует во всей непротиворечащей части):
при провале первичной проверки каждый ход двигать цель к дуплу; в конце каждого её хода повторять сопротивление; при уроне — дополнительная немедленная проверка +10; успех либо выход из 5 м снимает эффект; достигшая дупла цель захвачена, освобождение — встречная борьба против Дерева.
за ход Дерево берёт под контроль не более одной новой цели.</t>
  </si>
  <si>
    <t xml:space="preserve">§9.13.3 и уточнение, печ. стр. 220.</t>
  </si>
  <si>
    <t xml:space="preserve">Симбиотические чудовища, болезни и бестиарий — 11. Пеленальщица и жабы</t>
  </si>
  <si>
    <t xml:space="preserve">Пеленальщица: яд и паралич</t>
  </si>
  <si>
    <t xml:space="preserve">последовательный эффект яда.</t>
  </si>
  <si>
    <t xml:space="preserve">цель, кожи которой достигли мандибулы или нить.</t>
  </si>
  <si>
    <t xml:space="preserve">каждый такой контакт.</t>
  </si>
  <si>
    <t xml:space="preserve">яд достиг кожи.</t>
  </si>
  <si>
    <t xml:space="preserve">цель R20+Z; яд R20+20; счётчик последовательных провалов в текущем бою.</t>
  </si>
  <si>
    <t xml:space="preserve">Нормативная база (действует во всей непротиворечащей части):
при провале увеличить счётчик; первый провал — −2 действия в следующей серии; второй последовательный провал — паралич на 5 ходов; успешная проверка сбрасывает счётчик.
Приоритетные авторские дельты (заменяют только прямо пересекающиеся ветви):
[Q-MON-057] Второй последовательный провал заменяет эффект первого: цель парализуется на 5 своих ходов, а ожидающая потеря двух действий отменяется. После окончания паралича дополнительный штраф к серии не применяется.</t>
  </si>
  <si>
    <t xml:space="preserve">дебафф серии/паралич/сброс счётчика.</t>
  </si>
  <si>
    <t xml:space="preserve">два провала должны быть последовательны в одной боевой ситуации.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</si>
  <si>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при провале увеличить счётчик; первый провал — −2 действия в следующей серии; второй последовательный провал — паралич на 5 ходов; успешная проверка сбрасывает счётчик.
[Q-MON-057] Второй последовательный провал заменяет эффект первого: цель парализуется на 5 своих ходов, а ожидающая потеря двух действий отменяется.</t>
  </si>
  <si>
    <t xml:space="preserve">Q-MON-057</t>
  </si>
  <si>
    <t xml:space="preserve">MON-151</t>
  </si>
  <si>
    <t xml:space="preserve">Пеленальщица: закрепление в коконе</t>
  </si>
  <si>
    <t xml:space="preserve">поддерживаемое выведение из боя.</t>
  </si>
  <si>
    <t xml:space="preserve">обездвиженная цель.</t>
  </si>
  <si>
    <t xml:space="preserve">начало пеленания.</t>
  </si>
  <si>
    <t xml:space="preserve">цель обездвижена.</t>
  </si>
  <si>
    <t xml:space="preserve">2 полных хода Пеленальщицы.</t>
  </si>
  <si>
    <t xml:space="preserve">Нормативная база (действует во всей непротиворечащей части):
поддерживать процесс два полных хода; по завершении установить «в коконе, вне боя до освобождения союзниками».
Приоритетные авторские дельты (заменяют только прямо пересекающиеся ветви):
[Q-MON-058] 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 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</si>
  <si>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цель исключается из боевой активности.</t>
  </si>
  <si>
    <t xml:space="preserve">условия прерывания и процедура освобождения не заданы.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</si>
  <si>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[Q-MON-058] 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
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</si>
  <si>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</si>
  <si>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2 полных хода Пеленальщицы.
Нормативная база (действует во всей непротиворечащей части):
поддерживать процесс два полных хода; по завершении установить «в коконе, вне боя до освобождения союзниками».
[Q-MON-058] 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t>
  </si>
  <si>
    <t xml:space="preserve">Q-MON-058</t>
  </si>
  <si>
    <t xml:space="preserve">MON-156</t>
  </si>
  <si>
    <t xml:space="preserve">Гигантская жаба: прыжок</t>
  </si>
  <si>
    <t xml:space="preserve">бесплатное перемещение.</t>
  </si>
  <si>
    <t xml:space="preserve">объявление прыжка.</t>
  </si>
  <si>
    <t xml:space="preserve">с прошлого прыжка прошло не менее двух ходов.</t>
  </si>
  <si>
    <t xml:space="preserve">дистанция до 12 м; результат проверки прыжка (не задан).</t>
  </si>
  <si>
    <t xml:space="preserve">Нормативная база (действует во всей непротиворечащей части):
сократить дистанцию максимум на 12 м без дополнительного действия; при неудаче получить −4 к защите до начала следующего хода.
Приоритетные авторские дельты (заменяют только прямо пересекающиеся ветви):
[Q-MON-059] Прыжок до 12 метров в допустимую точку выполняется автоматически и без дополнительного действия. Для заявленной дистанции d&gt;12 м требуется чистый D20 не ниже d−12; максимальная дальность равна 32 метрам. После прыжка способность недоступна в следующий личный ход и снова доступна через один ход, то есть допустимые последовательные ходы применения имеют номера 1, 3, 5 и так далее. При провале применяется штраф −4 к защите до начала следующего личного хода; точная точка недолёта вынесена в новый QA-вопрос.
Финальная приоритетная нормализация:
При провале позиция не меняется. Попытка считается использованной: применяется −4 к защите до начала следующего личного хода, а способность недоступна в следующий личный ход и снова доступна через один ход. Никакая промежуточная точка, направление или случайная дистанция не создаются.</t>
  </si>
  <si>
    <t xml:space="preserve">перемещение, cooldown 2 хода, возможный дебафф защиты.</t>
  </si>
  <si>
    <t xml:space="preserve">формула успеха прыжка отсутствует.
Поздние дельты применяются по приоритету AQ3 &gt; AQ2 &gt; AQA/CQA &gt; базовая карточка; локальное исключение сильнее общего.
Эта ветвь заменяет прежнюю неопределённость точки недолёта.</t>
  </si>
  <si>
    <t xml:space="preserve">Нормативная база (действует во всей непротиворечащей части):
сократить дистанцию максимум на 12 м без дополнительного действия; при неудаче получить −4 к защите до начала следующего хода.
[Q-MON-059] Прыжок до 12 метров в допустимую точку выполняется автоматически и без дополнительного действия.</t>
  </si>
  <si>
    <t xml:space="preserve">Для заявленной дистанции d&gt;12 м требуется чистый D20 не ниже d−12; максимальная дальность равна 32 метрам.
формула успеха прыжка отсутствует.</t>
  </si>
  <si>
    <t xml:space="preserve">При провале позиция не меняется.
Никакая промежуточная точка, направление или случайная дистанция не создаются.</t>
  </si>
  <si>
    <t xml:space="preserve">с прошлого прыжка прошло не менее двух ходов.
Нормативная база (действует во всей непротиворечащей части):
сократить дистанцию максимум на 12 м без дополнительного действия; при неудаче получить −4 к защите до начала следующего хода.
После прыжка способность недоступна в следующий личный ход и снова доступна через один ход, то есть допустимые последовательные ходы применения имеют номера 1, 3, 5 и так далее.
При провале применяется штраф −4 к защите до начала следующего личного хода; точная точка недолёта вынесена в новый QA-вопрос.
Попытка считается использованной: применяется −4 к защите до начала следующего личного хода, а способность недоступна в следующий личный ход и снова доступна через один ход.</t>
  </si>
  <si>
    <t xml:space="preserve">Q-MON-059
Q-QA-002</t>
  </si>
  <si>
    <t xml:space="preserve">MON-159</t>
  </si>
  <si>
    <t xml:space="preserve">Псионическая жаба: защитный бонус союзнику</t>
  </si>
  <si>
    <t xml:space="preserve">поддержка союзника.</t>
  </si>
  <si>
    <t xml:space="preserve">один видимый союзник в радиусе 15 м.</t>
  </si>
  <si>
    <t xml:space="preserve">одна защитная проверка выбранного союзника в круге.</t>
  </si>
  <si>
    <t xml:space="preserve">Жаба жива и в сознании; цель видима и в радиусе.</t>
  </si>
  <si>
    <t xml:space="preserve">выбранный союзник и выбранная защита.</t>
  </si>
  <si>
    <t xml:space="preserve">Нормативная база (действует во всей непротиворечащей части):
один раз за круг добавить +10 к одной защитной проверке.
Приоритетные авторские дельты (заменяют только прямо пересекающиеся ветви):
[Q-MON-060] 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 Если до конца боевого круга цель не сделала ни одной защитной проверки, эффект сбрасывается.</t>
  </si>
  <si>
    <t xml:space="preserve">бонус расходуется до следующего круга.</t>
  </si>
  <si>
    <t xml:space="preserve">выбор и момент назначения требуют Q-MON-060.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</si>
  <si>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[Q-MON-060] 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t>
  </si>
  <si>
    <t xml:space="preserve">одна защитная проверка выбранного союзника в круге.
Нормативная база (действует во всей непротиворечащей части):
один раз за круг добавить +10 к одной защитной проверке.
Если до конца боевого круга цель не сделала ни одной защитной проверки, эффект сбрасывается.
бонус расходуется до следующего круга.</t>
  </si>
  <si>
    <t xml:space="preserve">один раз за круг добавить +10 к одной защитной проверке.</t>
  </si>
  <si>
    <t xml:space="preserve">Q-MON-060</t>
  </si>
  <si>
    <t xml:space="preserve">MON-160</t>
  </si>
  <si>
    <t xml:space="preserve">Псионическая жаба: сбивающий импульс</t>
  </si>
  <si>
    <t xml:space="preserve">активный ментальный дебафф.</t>
  </si>
  <si>
    <t xml:space="preserve">цель в радиусе 12 м.</t>
  </si>
  <si>
    <t xml:space="preserve">объявление импульса.</t>
  </si>
  <si>
    <t xml:space="preserve">эта цель не подвергалась способности в предыдущий запрещённый ход.</t>
  </si>
  <si>
    <t xml:space="preserve">цель R20+I+Аналитическое мышление; Жаба R20+W; цена действия требует Q-MON-061.</t>
  </si>
  <si>
    <t xml:space="preserve">Нормативная база (действует во всей непротиворечащей части):
при провале цели уменьшить число действий в следующем ходу на 2, минимум 0; возможен полный пропуск; установить запрет повторного воздействия на следующий ход.
Приоритетные авторские дельты (заменяют только прямо пересекающиеся ветви):
[Q-MON-061] «Сбивающий импульс» является активной способностью за 1 боевое действие. Если цель провалила сопротивление, Жаба не может выбрать её снова в свой следующий личный ход; через один промежуточный ход Жабы цель снова допустима. Провальная для Жабы попытка ограничение не запускает.</t>
  </si>
  <si>
    <t xml:space="preserve">отложенный дебафф серии и cooldown цели.</t>
  </si>
  <si>
    <t xml:space="preserve">«не действует два хода подряд» требует Q-MON-061.
Поздние дельты применяются по приоритету AQ3 &gt; AQ2 &gt; AQA/CQA &gt; базовая карточка; локальное исключение сильнее общего.</t>
  </si>
  <si>
    <t xml:space="preserve">Жаба R20+W; цена действия требует Q-MON-061.
Нормативная база (действует во всей непротиворечащей части):
при провале цели уменьшить число действий в следующем ходу на 2, минимум 0; возможен полный пропуск; установить запрет повторного воздействия на следующий ход.
[Q-MON-061] «Сбивающий импульс» является активной способностью за 1 боевое действие.</t>
  </si>
  <si>
    <t xml:space="preserve">Жаба R20+W; цена действия требует Q-MON-061.</t>
  </si>
  <si>
    <t xml:space="preserve">цель R20+I+Аналитическое мышление
Жаба R20+W; цена действия требует Q-MON-061.</t>
  </si>
  <si>
    <t xml:space="preserve">эта цель не подвергалась способности в предыдущий запрещённый ход.
Нормативная база (действует во всей непротиворечащей части):
при провале цели уменьшить число действий в следующем ходу на 2, минимум 0; возможен полный пропуск; установить запрет повторного воздействия на следующий ход.
Если цель провалила сопротивление, Жаба не может выбрать её снова в свой следующий личный ход; через один промежуточный ход Жабы цель снова допустима.
отложенный дебафф серии и cooldown цели.
«не действует два хода подряд» требует Q-MON-061.</t>
  </si>
  <si>
    <t xml:space="preserve">Q-MON-061</t>
  </si>
  <si>
    <t xml:space="preserve">MON-165</t>
  </si>
  <si>
    <t xml:space="preserve">Симбиотические чудовища, болезни и бестиарий — 12. Кошка-трожжка, Фелида, Тихая Поляна</t>
  </si>
  <si>
    <t xml:space="preserve">Кошка-трожжка: атака после разбега</t>
  </si>
  <si>
    <t xml:space="preserve">условное усиление атаки.</t>
  </si>
  <si>
    <t xml:space="preserve">цель после разбега.</t>
  </si>
  <si>
    <t xml:space="preserve">атака после перемещения разбегом минимум на 5 м.</t>
  </si>
  <si>
    <t xml:space="preserve">выполнен разбег.</t>
  </si>
  <si>
    <t xml:space="preserve">отдельный R6 бонуса; итоговый результат проверки атаки.</t>
  </si>
  <si>
    <t xml:space="preserve">Нормативная база (действует во всей непротиворечащей части):
добавить R6 к урону; если итог атаки &gt;30, сбить цель с ног; до следующего хода Кошки дать ей −3 к уклонению.
Приоритетные авторские дельты (заменяют только прямо пересекающиеся ветви):
[Q-MON-062] Для бонуса Кошка должна в том же личном ходу непосредственно перед атакой непрерывно пройти не менее 5 метров в направлении цели. Перемещение оплачивается по общим правилам, не накапливается между ходами и прерывается любым иным действием.</t>
  </si>
  <si>
    <t xml:space="preserve">повышенный урон, возможное падение и дебафф Кошки.</t>
  </si>
  <si>
    <t xml:space="preserve">«чистый результат атаки» уточнён как итоговый результат проверки, не голый дайс.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</si>
  <si>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Перемещение оплачивается по общим правилам, не накапливается между ходами и прерывается любым иным действием.</t>
  </si>
  <si>
    <t xml:space="preserve">отдельный R6 бонуса; итоговый результат проверки атаки.
добавить R6 к урону; если итог атаки &gt;30, сбить цель с ног; до следующего хода Кошки дать ей −3 к уклонению.</t>
  </si>
  <si>
    <t xml:space="preserve">Нормативная база (действует во всей непротиворечащей части):
добавить R6 к урону; если итог атаки &gt;30, сбить цель с ног; до следующего хода Кошки дать ей −3 к уклонению.
[Q-MON-062] Для бонуса Кошка должна в том же личном ходу непосредственно перед атакой непрерывно пройти не менее 5 метров в направлении цели.
Перемещение оплачивается по общим правилам, не накапливается между ходами и прерывается любым иным действием.</t>
  </si>
  <si>
    <t xml:space="preserve">§9.17.3 и уточнение, печ. стр. 224.</t>
  </si>
  <si>
    <t xml:space="preserve">Q-MON-062</t>
  </si>
  <si>
    <t xml:space="preserve">MON-166</t>
  </si>
  <si>
    <t xml:space="preserve">Фелида: статблок</t>
  </si>
  <si>
    <t xml:space="preserve">взрослая Фелида.</t>
  </si>
  <si>
    <t xml:space="preserve">Нормативная база (действует во всей непротиворечащей части):
S 20–28; D 24–32; I 8–14; M 22–30; C 4–8; W 20–28; Z 18–26; maxHP=155; броня=R6.
Приоритетные авторские дельты (заменяют только прямо пересекающиеся ветви):
[Q-MON-063] У каждой фелиды обязательно есть тайпан.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t>
  </si>
  <si>
    <t xml:space="preserve">наличие Тайпана для плевка требует Q-MON-063.
Поздние дельты применяются по приоритету AQ3 &gt; AQ2 &gt; AQA/CQA &gt; базовая карточка; локальное исключение сильнее общего.</t>
  </si>
  <si>
    <t xml:space="preserve">Z 18–26; maxHP=155; броня=R6.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t>
  </si>
  <si>
    <t xml:space="preserve">Q-MON-063</t>
  </si>
  <si>
    <t xml:space="preserve">MON-169</t>
  </si>
  <si>
    <t xml:space="preserve">Фелида: плевок Тайпана</t>
  </si>
  <si>
    <t xml:space="preserve">дальняя атака/онемение.</t>
  </si>
  <si>
    <t xml:space="preserve">Фелида с Тайпаном</t>
  </si>
  <si>
    <t xml:space="preserve">цель в 10 м.</t>
  </si>
  <si>
    <t xml:space="preserve">плевок.</t>
  </si>
  <si>
    <t xml:space="preserve">дистанция ≤10 м; яд достиг кожи после пробития.</t>
  </si>
  <si>
    <t xml:space="preserve">пробитие R12; R20+7 против статического Z цели; случайная конечность; отдельный R20 длительности.</t>
  </si>
  <si>
    <t xml:space="preserve">Нормативная база (действует во всей непротиворечащей части):
если R20+7 &gt; Z, случайная конечность немеет на R20/3 хода.
Приоритетные авторские дельты (заменяют только прямо пересекающиеся ветви):
[Q-MON-063] У каждой фелиды обязательно есть тайпан.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
[Q-MON-064] 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 Для нестандартной анатомии отключаются только функции выбранной конечности; если допустимых конечностей нет, эффект отсутствует.</t>
  </si>
  <si>
    <t xml:space="preserve">создать зональное онемение.</t>
  </si>
  <si>
    <t xml:space="preserve">формула точности не указана; наличие Тайпана у конкретной Фелиды не определено.
Поздние дельты применяются по приоритету AQ3 &gt; AQ2 &gt; AQA/CQA &gt; базовая карточка; локальное исключение сильнее общего.</t>
  </si>
  <si>
    <t xml:space="preserve">пробитие R12
R20+7 против статического Z цели; случайная конечность; отдельный R20 длительности.
если R20+7 &gt; Z, случайная конечность немеет на R20/3 хода.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
формула точности не указана; наличие Тайпана у конкретной Фелиды не определено.</t>
  </si>
  <si>
    <t xml:space="preserve">Нормативная база (действует во всей непротиворечащей части):
если R20+7 &gt; Z, случайная конечность немеет на R20/3 хода.
[Q-MON-064] 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t>
  </si>
  <si>
    <t xml:space="preserve">Q-MON-063
Q-MON-064</t>
  </si>
  <si>
    <t xml:space="preserve">MON-171</t>
  </si>
  <si>
    <t xml:space="preserve">Фелида: бесплатное сокращение дистанции</t>
  </si>
  <si>
    <t xml:space="preserve">Фелида.</t>
  </si>
  <si>
    <t xml:space="preserve">решение сократить дистанцию.</t>
  </si>
  <si>
    <t xml:space="preserve">способность не использовалась в предыдущий ход/cooldown завершён.</t>
  </si>
  <si>
    <t xml:space="preserve">дистанция до 10 м.</t>
  </si>
  <si>
    <t xml:space="preserve">Нормативная база (действует во всей непротиворечащей части):
один раз в два хода сократить дистанцию не более чем на 10 м без дополнительного действия.
Приоритетные авторские дельты (заменяют только прямо пересекающиеся ветви):
[Q-MON-065] Способность доступна уже в первом личном ходу существа. После использования она недоступна в следующий его личный ход и снова доступна в последующий, то есть может применяться на ходах 1, 3, 5 и далее; круги других участников не учитываются.</t>
  </si>
  <si>
    <t xml:space="preserve">дистанция изменена; установить cooldown.</t>
  </si>
  <si>
    <t xml:space="preserve">прочие ограничения перемещения сохраняются.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</si>
  <si>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один раз в два хода сократить дистанцию не более чем на 10 м без дополнительного действия.</t>
  </si>
  <si>
    <t xml:space="preserve">способность не использовалась в предыдущий ход/cooldown завершён.
Нормативная база (действует во всей непротиворечащей части):
один раз в два хода сократить дистанцию не более чем на 10 м без дополнительного действия.
[Q-MON-065] Способность доступна уже в первом личном ходу существа.
После использования она недоступна в следующий его личный ход и снова доступна в последующий, то есть может применяться на ходах 1, 3, 5 и далее; круги других участников не учитываются.
дистанция изменена; установить cooldown.</t>
  </si>
  <si>
    <t xml:space="preserve">один раз в два хода сократить дистанцию не более чем на 10 м без дополнительного действия.</t>
  </si>
  <si>
    <t xml:space="preserve">Q-MON-065</t>
  </si>
  <si>
    <t xml:space="preserve">MON-172</t>
  </si>
  <si>
    <t xml:space="preserve">Тихая Поляна: обнаружение и запуск</t>
  </si>
  <si>
    <t xml:space="preserve">ловушка/существо-область.</t>
  </si>
  <si>
    <t xml:space="preserve">Тихая Поляна</t>
  </si>
  <si>
    <t xml:space="preserve">входящие персонажи.</t>
  </si>
  <si>
    <t xml:space="preserve">осмотр до входа; касание цветка.</t>
  </si>
  <si>
    <t xml:space="preserve">Поляна открыта.</t>
  </si>
  <si>
    <t xml:space="preserve">R20+W+Внимательность против 25; список персонажей внутри.</t>
  </si>
  <si>
    <t xml:space="preserve">Нормативная база (действует во всей непротиворечащей части):
при успехе осмотра раскрыть ловушку; касание цветка немедленно запускает MON-173 для всех внутри.
Приоритетные авторские дельты (заменяют только прямо пересекающиеся ветви):
[Q-MON-066] Взаимодействие с тихой поляной не автоматизируется приложением и отыгрывается мастером и игроком устно</t>
  </si>
  <si>
    <t xml:space="preserve">скрытый объект обнаружен либо начинается закрытие.</t>
  </si>
  <si>
    <t xml:space="preserve">обход по краю — описательный, безопасная ширина не задана.
Поздние дельты применяются по приоритету AQ3 &gt; AQ2 &gt; AQA/CQA &gt; базовая карточка; локальное исключение сильнее общего.</t>
  </si>
  <si>
    <t xml:space="preserve">§9.19.2–9.19.3 и уточнение, печ. стр. 226.</t>
  </si>
  <si>
    <t xml:space="preserve">MON-175</t>
  </si>
  <si>
    <t xml:space="preserve">Тихая Поляна: внешнее освобождение</t>
  </si>
  <si>
    <t xml:space="preserve">освобождение захваченного.</t>
  </si>
  <si>
    <t xml:space="preserve">союзники снаружи</t>
  </si>
  <si>
    <t xml:space="preserve">одна захваченная цель либо оболочка Поляны.</t>
  </si>
  <si>
    <t xml:space="preserve">попытка спасения.</t>
  </si>
  <si>
    <t xml:space="preserve">спасатели снаружи; Поляна закрыта.</t>
  </si>
  <si>
    <t xml:space="preserve">суммарная проверка S против 35 либо накопленный ударный урон в одну точку.</t>
  </si>
  <si>
    <t xml:space="preserve">Нормативная база (действует во всей непротиворечащей части):
вариант A — при суммарной S&gt;35 освободить одну цель; вариант B — нанести 60 ударного урона одной точке и прорубить проход.
Приоритетные авторские дельты (заменяют только прямо пересекающиеся ветви):
[Q-MON-067] Взаимодействие с тихой поляной не автоматизируется приложением и отыгрывается мастером и игроком устно</t>
  </si>
  <si>
    <t xml:space="preserve">одна цель освобождена либо создан проход.</t>
  </si>
  <si>
    <t xml:space="preserve">стоимость действий, броня оболочки и число выводимых через проход целей требуют Q-MON-067.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</si>
  <si>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стоимость действий, броня оболочки и число выводимых через проход целей требуют Q-MON-067.</t>
  </si>
  <si>
    <t xml:space="preserve">стоимость действий, броня оболочки и число выводимых через проход целей требуют Q-MON-067.</t>
  </si>
  <si>
    <t xml:space="preserve">§9.19.3, печ. стр. 226.</t>
  </si>
  <si>
    <t xml:space="preserve">Q-MON-067</t>
  </si>
  <si>
    <t xml:space="preserve">MON-177</t>
  </si>
  <si>
    <t xml:space="preserve">Тихая Поляна: закрытое состояние</t>
  </si>
  <si>
    <t xml:space="preserve">состояние существа после срабатывания.</t>
  </si>
  <si>
    <t xml:space="preserve">Тихая Поляна.</t>
  </si>
  <si>
    <t xml:space="preserve">закрытие.</t>
  </si>
  <si>
    <t xml:space="preserve">ловушка сработала.</t>
  </si>
  <si>
    <t xml:space="preserve">срок 2–4 суток.</t>
  </si>
  <si>
    <t xml:space="preserve">Нормативная база (действует во всей непротиворечащей части):
установить закрытое безопасное состояние на выбранный срок 2–4 суток, затем вернуть открытое состояние.
Приоритетные авторские дельты (заменяют только прямо пересекающиеся ветви):
[Q-MON-068] Взаимодействие с тихой поляной не автоматизируется приложением и отыгрывается мастером и игроком устно</t>
  </si>
  <si>
    <t xml:space="preserve">пока закрыта, повторно не срабатывает.</t>
  </si>
  <si>
    <t xml:space="preserve">способ выбора срока не задан.
Поздние дельты применяются по приоритету AQ3 &gt; AQ2 &gt; AQA/CQA &gt; базовая карточка; локальное исключение сильнее общего.</t>
  </si>
  <si>
    <t xml:space="preserve">срок 2–4 суток.
Нормативная база (действует во всей непротиворечащей части):
установить закрытое безопасное состояние на выбранный срок 2–4 суток, затем вернуть открытое состояние.
способ выбора срока не задан.</t>
  </si>
  <si>
    <t xml:space="preserve">§9.19.2, печ. стр. 226.</t>
  </si>
  <si>
    <t xml:space="preserve">Q-MON-068</t>
  </si>
  <si>
    <t xml:space="preserve">CORE-179</t>
  </si>
  <si>
    <t xml:space="preserve">Новое согласованное правило</t>
  </si>
  <si>
    <t xml:space="preserve">8. Финальные правила после аудита логики</t>
  </si>
  <si>
    <t xml:space="preserve">Вход обычного подкрепления в инициативу</t>
  </si>
  <si>
    <t xml:space="preserve">бой / подкрепление и инициатива</t>
  </si>
  <si>
    <t xml:space="preserve">входящий участник боя</t>
  </si>
  <si>
    <t xml:space="preserve">очередь инициативы</t>
  </si>
  <si>
    <t xml:space="preserve">Мастер подтверждает вход валидного участника в активный бой.</t>
  </si>
  <si>
    <t xml:space="preserve">Бой продолжается; участник ещё не входит в текущую очередь.</t>
  </si>
  <si>
    <t xml:space="preserve">инициатива участника, текущая позиция очереди, текущий круг</t>
  </si>
  <si>
    <t xml:space="preserve">При событии входа участник бросает инициативу и сразу вставляется в очередь. Если его позиция текущего круга ещё не наступила, он действует в этом круге; если позиция уже прошла, первый обычный ход будет в следующем круге. Участник никогда не получает два обычных хода в одном круге. Прямое специальное правило, например выход Хранителя только со следующего круга, имеет приоритет.</t>
  </si>
  <si>
    <t xml:space="preserve">Участник получает ровно один допустимый первый обычный ход.</t>
  </si>
  <si>
    <t xml:space="preserve">Прямое специальное правило способа входа имеет приоритет.</t>
  </si>
  <si>
    <t xml:space="preserve">инициатива участника, текущая позиция очереди, текущий круг
Если его позиция текущего круга ещё не наступила, он действует в этом круге; если позиция уже прошла, первый обычный ход будет в следующем круге.
Участник никогда не получает два обычных хода в одном круге.
Прямое специальное правило, например выход Хранителя только со следующего круга, имеет приоритет.
Участник получает ровно один допустимый первый обычный ход.</t>
  </si>
  <si>
    <t xml:space="preserve">Q-QA-004; финальный авторский ответ</t>
  </si>
  <si>
    <t xml:space="preserve">Q-QA-004</t>
  </si>
  <si>
    <t xml:space="preserve">AQA-019
AQA-035
CORE-087
CORE-090</t>
  </si>
  <si>
    <t xml:space="preserve">Новая карточка</t>
  </si>
  <si>
    <t xml:space="preserve">CORE-180</t>
  </si>
  <si>
    <t xml:space="preserve">Команды с предметами на земле</t>
  </si>
  <si>
    <t xml:space="preserve">инвентарь / владение и местонахождение</t>
  </si>
  <si>
    <t xml:space="preserve">предмет, инвентарь и боевая сцена</t>
  </si>
  <si>
    <t xml:space="preserve">Игрок пытается положить или поднять предмет вне боя либо в бою.</t>
  </si>
  <si>
    <t xml:space="preserve">Предмет существует; определены его владелец или точка боевой сцены.</t>
  </si>
  <si>
    <t xml:space="preserve">контекст боя, предмет, владелец, точка сцены, прямое разрешающее правило</t>
  </si>
  <si>
    <t xml:space="preserve">Вне боя персонаж не может бесплатно, без продвижения времени положить принадлежащий ему предмет в текущей локации и поднять свободный предмет из той же локации, так как вне боя игроку доступна только общая карта мира, карты локации не поддерживаюся приложением. Получение/потеря предметов моделируются через администрирование инвентаря игрока мастером. Предмет всегда имеет ровно одного владельца либо одну локацию (боевую сцену); попытка поднять уже занятый предмет отклоняется. В бою универсальные команды недоступны; подбор разрешён только прямым правилом, включая CORE-128, а выбрасывание — только прямой способностью или действием.</t>
  </si>
  <si>
    <t xml:space="preserve">Сохраняется единственный владелец либо единственная точка предмета.</t>
  </si>
  <si>
    <t xml:space="preserve">Передача и экипировка по AQA-032 сохраняются; прямое правило сильнее общего запрета.</t>
  </si>
  <si>
    <t xml:space="preserve">В бою универсальные команды недоступны; подбор разрешён только прямым правилом, включая CORE-128, а выбрасывание — только прямой способностью или действием.</t>
  </si>
  <si>
    <t xml:space="preserve">Предмет всегда имеет ровно одного владельца либо одну локацию (боевую сцену); попытка поднять уже занятый предмет отклоняется.</t>
  </si>
  <si>
    <t xml:space="preserve">Q-QA-005; финальный авторский ответ</t>
  </si>
  <si>
    <t xml:space="preserve">Q-QA-005</t>
  </si>
  <si>
    <t xml:space="preserve">AQA-032
CORE-128</t>
  </si>
  <si>
    <t xml:space="preserve">AQA-044</t>
  </si>
  <si>
    <t xml:space="preserve">Создание и пополнение каталогов противников кампании</t>
  </si>
  <si>
    <t xml:space="preserve">шаблон и создаваемый противник</t>
  </si>
  <si>
    <t xml:space="preserve">Мастер создаёт нового противника.</t>
  </si>
  <si>
    <t xml:space="preserve">Текущий мастер; кампания допускает изменение; активного/поставленного на паузу боя и незавершённой операции нет.</t>
  </si>
  <si>
    <t xml:space="preserve">kind=SENTIENT_ENEMY|CUSTOM_MONSTER, полный валидируемый payload, identity/art, operationId</t>
  </si>
  <si>
    <t xml:space="preserve">Мастер может в меню кампании до запуска и во время игры вне боя атомарно создать новый шаблон врага-мыслящего по CORE-196–CORE-198 либо пользовательского монстра по CORE-199–CORE-211. Шаблон появляется только после полной валидации и затем изменяется только новой версией. Случайные 7×R20 характеристик CustomMonster по CORE-201 остаются отдельной механикой.
[v1.7] Отдельная команда GENERATE_BALANCED_ENEMY_GROUP доступна мастеру при настройке боя и не изменяет каталоги шаблонов. Снимок группы игроков фиксирует сумму семи текущих характеристик активных PLAYER_CHARACTER. По аудируемому seed равновероятно выбирается целый balancePercent 80..150; targetTotal=round(partyStatTotal×balancePercent/100). Число врагов выбирается с ориентиром среднего 80: enemyCount=max(1,round(targetTotal/80)). Состав случайно смешивает разрешённые шаблоны мыслящих и монстров; семь характеристик каждого экземпляра случайны, целые и не выше 35, а фактическая сумма группы обязана совпасть с targetTotal. Невалидная раскладка не clamp-ится и не фиксируется: используется новый seed. Предпросмотр показывает процент, target/factual total, среднее, состав, все характеристики, provenance и seed. Подтверждение атомарно создаёт независимые экземпляры и передаёт их в настройку боя; отмена не меняет состояние. Это не боевой ИИ и не автоматический выбор целей.
[v1.4] Вкладка SentientEnemy объединяет read-only SYSTEM_DEFAULT_SENTIENT и campaign-owned custom. Версия системного каталога фиксируется при создании кампании; системные записи неизменяемы.</t>
  </si>
  <si>
    <t xml:space="preserve">Создана валидная версия шаблона в одной из двух вкладок кампании либо операция отклонена без записи.</t>
  </si>
  <si>
    <t xml:space="preserve">Генератор группы 80–150% поддерживается только в настройке боя; каталоги и шаблоны не изменяются. Боевого ИИ и автоматического выбора целей нет. Канонический бестиарий не редактируется.</t>
  </si>
  <si>
    <t xml:space="preserve">Persisted draft, in-place patch шаблона, автоматический выбор целей или скрытая коррекция результата генератора.</t>
  </si>
  <si>
    <t xml:space="preserve">Q-QA-006; Q-ENEMY-B14; прямое подтверждение сохранённого требования генератора 2026-08-01</t>
  </si>
  <si>
    <t xml:space="preserve">Q-QA-006
Q-ENEMY-B14</t>
  </si>
  <si>
    <t xml:space="preserve">AQA-033
AQA-035
AQA-040
AQA-043
CORE-187
CORE-188
CORE-190
CORE-191
CORE-192
CORE-194
CORE-196
CORE-199
CORE-201
CORE-215
CORE-227</t>
  </si>
  <si>
    <t xml:space="preserve">Патч v1.7 (групповой генератор)</t>
  </si>
  <si>
    <t xml:space="preserve">CORE-181</t>
  </si>
  <si>
    <t xml:space="preserve">Приоритет источников управления телом</t>
  </si>
  <si>
    <t xml:space="preserve">контроль поведения / приоритет эффектов</t>
  </si>
  <si>
    <t xml:space="preserve">управляемое тело</t>
  </si>
  <si>
    <t xml:space="preserve">законный контроллер и допустимые команды</t>
  </si>
  <si>
    <t xml:space="preserve">Одновременно действуют два или более источника управления либо ограничения дееспособности.</t>
  </si>
  <si>
    <t xml:space="preserve">Эффекты управления активны; состояние тела определено.</t>
  </si>
  <si>
    <t xml:space="preserve">CORE-103, Марионетка, Советник, натуральная 1 Чёрно-белой ярости</t>
  </si>
  <si>
    <t xml:space="preserve">Сначала физические состояния CORE-103 отсекают невозможные команды. Затем действующая «Марионетка» определяет внешнего контроллера и имеет приоритет над добровольным или автоматическим управлением Советника. 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 Советник получает управление только при отсутствии внешнего контроллера и физической дееспособности тела. Частное прямое исключение способности сильнее этой таблицы.
[v1.4] owningController сохраняется; effectiveController может быть временно переопределён валидным ControlLease CORE-221. После окончания управление возвращается исходному контроллеру. Выбор защиты выполняет текущий effectiveController.</t>
  </si>
  <si>
    <t xml:space="preserve">В каждый момент существует ровно один законный контроллер.</t>
  </si>
  <si>
    <t xml:space="preserve">Прямое частное исключение способности сильнее общего порядка.</t>
  </si>
  <si>
    <t xml:space="preserve">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
Частное прямое исключение способности сильнее этой таблицы.
Прямое частное исключение способности сильнее общего порядка.</t>
  </si>
  <si>
    <t xml:space="preserve">Сначала физические состояния CORE-103 отсекают невозможные команды.
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t>
  </si>
  <si>
    <t xml:space="preserve">Частное прямое исключение способности сильнее этой таблицы.
Прямое частное исключение способности сильнее общего порядка.</t>
  </si>
  <si>
    <t xml:space="preserve">Q-QA-007; финальный авторский ответ
Предразработочный QA и прямые ответы пользователя 2026-07-29</t>
  </si>
  <si>
    <t xml:space="preserve">Q-QA-007
Q-PREDEV-002
Q-PREDEV-006</t>
  </si>
  <si>
    <t xml:space="preserve">CORE-103
CQA-049
MON-038
SYM-099
SYM-100
SYM-132
CORE-217
CORE-221</t>
  </si>
  <si>
    <t xml:space="preserve">SYM-184</t>
  </si>
  <si>
    <t xml:space="preserve">Совместное действие маскировок Хамелеона</t>
  </si>
  <si>
    <t xml:space="preserve">маскировка / конкурирующие эффекты</t>
  </si>
  <si>
    <t xml:space="preserve">статическая и динамическая маскировки</t>
  </si>
  <si>
    <t xml:space="preserve">Обе маскировки одновременно имеют неистёкший срок.</t>
  </si>
  <si>
    <t xml:space="preserve">Каждая маскировка отдельно удовлетворяет своим условиям.</t>
  </si>
  <si>
    <t xml:space="preserve">сроки, условия прекращения и применимые штрафы обеих маскировок</t>
  </si>
  <si>
    <t xml:space="preserve">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 Значения не суммируются. Когда сильнейший эффект прекращается, второй начинает действовать автоматически, если его срок и предусловия ещё сохранены.</t>
  </si>
  <si>
    <t xml:space="preserve">Численно действует один, наибольший по модулю применимый штраф.</t>
  </si>
  <si>
    <t xml:space="preserve">Специальное правило относительно CORE-080.</t>
  </si>
  <si>
    <t xml:space="preserve">Обе маскировки одновременно имеют неистёкший срок.
сроки, условия прекращения и применимые штрафы обеих маскировок
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
Когда сильнейший эффект прекращается, второй начинает действовать автоматически, если его срок и предусловия ещё сохранены.</t>
  </si>
  <si>
    <t xml:space="preserve">Q-QA-008; финальный авторский ответ</t>
  </si>
  <si>
    <t xml:space="preserve">Q-QA-008</t>
  </si>
  <si>
    <t xml:space="preserve">CORE-080
SYM-124
SYM-127</t>
  </si>
  <si>
    <t xml:space="preserve">SYM-185</t>
  </si>
  <si>
    <t xml:space="preserve">Единое постоянное наследие Трогра</t>
  </si>
  <si>
    <t xml:space="preserve">симбионт / постоянное наследие</t>
  </si>
  <si>
    <t xml:space="preserve">наследие Трогра и текущий Трогр</t>
  </si>
  <si>
    <t xml:space="preserve">Трогр развивается, удаляется или добавляется повторно.</t>
  </si>
  <si>
    <t xml:space="preserve">У персонажа есть либо создаётся наследие Трогра.</t>
  </si>
  <si>
    <t xml:space="preserve">достигнутые постоянные значения, текущий вклад Трогра, отметка навыка SYM-079</t>
  </si>
  <si>
    <t xml:space="preserve">Во-первых, не Трогра, а Трогра. Используй только такой вариант склонения. Для персонажа хранится одно наследие Трогра, раздельно по каждому постоянному правилу. Новый Трогр не прибавляет свой вклад поверх наследия: действует более сильное достигнутое значение, а при дальнейшем развитии записывается только разница до нового максимума. При удалении наследие обновляется до фактически достигнутого значения, а не складывается новым слоем. Уже выданное постоянное повышение навыка SYM-079 повторно не выдаётся; подавление других симбионтов остаётся только активным эффектом текущего Трогра.</t>
  </si>
  <si>
    <t xml:space="preserve">Повторное добавление не создаёт накопления одних и тех же постоянных выгод.</t>
  </si>
  <si>
    <t xml:space="preserve">Непостоянные бонусы, броня, maxHP, способности и подавление в наследие не входят.</t>
  </si>
  <si>
    <t xml:space="preserve">Q-QA-009; финальный авторский ответ</t>
  </si>
  <si>
    <t xml:space="preserve">Q-QA-009</t>
  </si>
  <si>
    <t xml:space="preserve">AQ2-018
AQ2-022
SYM-075
SYM-076
SYM-079</t>
  </si>
  <si>
    <t xml:space="preserve">AQA-045</t>
  </si>
  <si>
    <t xml:space="preserve">Жизненный цикл мастерских пометок и эффектов</t>
  </si>
  <si>
    <t xml:space="preserve">сюжетная пометка или структурированный механический эффект</t>
  </si>
  <si>
    <t xml:space="preserve">Мастер изменяет, выключает, включает или удаляет пометку либо эффект.</t>
  </si>
  <si>
    <t xml:space="preserve">Операция выполняется на безопасной границе.</t>
  </si>
  <si>
    <t xml:space="preserve">тип сущности, прежние и новые величина, срок, источник и правило сложения</t>
  </si>
  <si>
    <t xml:space="preserve">Сюжетную пометку мастер может редактировать или удалить на безопасной границе; это никогда не меняет механику. Изменение значения, срока, источника или ключа активного механического эффекта завершает старую версию и атомарно создаёт новую с текущего момента. Выключение или удаление немедленно прекращает эффект и один раз пересчитывает производные значения; прошедшее время и уже разрешённые последствия не откатываются. Повторное включение создаёт новую версию и не восстанавливает истёкший срок.</t>
  </si>
  <si>
    <t xml:space="preserve">Старый эффект завершён, состояние пересчитано один раз, новая версия начинается с текущего момента.</t>
  </si>
  <si>
    <t xml:space="preserve">Прошедшее время и уже разрешённые последствия не откатываются.</t>
  </si>
  <si>
    <t xml:space="preserve">Сюжетную пометку мастер может редактировать или удалить на безопасной границе; это никогда не меняет механику.</t>
  </si>
  <si>
    <t xml:space="preserve">тип сущности, прежние и новые величина, срок, источник и правило сложения
Изменение значения, срока, источника или ключа активного механического эффекта завершает старую версию и атомарно создаёт новую с текущего момента.
Повторное включение создаёт новую версию и не восстанавливает истёкший срок.</t>
  </si>
  <si>
    <t xml:space="preserve">Изменение значения, срока, источника или ключа активного механического эффекта завершает старую версию и атомарно создаёт новую с текущего момента.
Выключение или удаление немедленно прекращает эффект и один раз пересчитывает производные значения; прошедшее время и уже разрешённые последствия не откатываются.
Старый эффект завершён, состояние пересчитано один раз, новая версия начинается с текущего момента.</t>
  </si>
  <si>
    <t xml:space="preserve">Q-QA-010; финальный авторский ответ</t>
  </si>
  <si>
    <t xml:space="preserve">Q-QA-010</t>
  </si>
  <si>
    <t xml:space="preserve">AQ2-009
AQA-028
AQA-029</t>
  </si>
  <si>
    <t xml:space="preserve">CORE-182</t>
  </si>
  <si>
    <t xml:space="preserve">Бой и инвентарь</t>
  </si>
  <si>
    <t xml:space="preserve">Порядок защит при переходе HP к нулю</t>
  </si>
  <si>
    <t xml:space="preserve">тяжёлое ранение / защитные эффекты</t>
  </si>
  <si>
    <t xml:space="preserve">существо при HP→0</t>
  </si>
  <si>
    <t xml:space="preserve">применимые защитные эффекты</t>
  </si>
  <si>
    <t xml:space="preserve">Полученная порция урона должна снизить HP до нуля.</t>
  </si>
  <si>
    <t xml:space="preserve">Определены действующие и неиспользованные защитные эффекты.</t>
  </si>
  <si>
    <t xml:space="preserve">SYM-030, MON-008, SYM-028, состояние HP и тяжёлого ранения</t>
  </si>
  <si>
    <t xml:space="preserve">При HP→0 сначала разрешается уже подготовленное активное «Дублирование органов» SYM-030; если оно применимо, только оно расходуется и HP становится 1. Если оно отсутствует или неприменимо, разрешается одноразовая защита MON-008. Только если ни одна защита не предотвратила переход, устанавливается тяжёлое ранение и после этого может автоматически объявиться SYM-028. События окончательной смерти разрешаются лишь после исчерпания этой цепочки; невыбранный защитный эффект не расходуется.
[v1.4] Обычный CANONICAL_MONSTER и CUSTOM_MONSTER при HP=0 входят в тяжёлое ранение с abstractVitalSystemDamaged=true и общим таймером смерти по CORE-222; прямое видовое исключение сильнее.</t>
  </si>
  <si>
    <t xml:space="preserve">Расходуется только первый применимый эффект; смерть разрешается последней.</t>
  </si>
  <si>
    <t xml:space="preserve">Прямое правило, явно меняющее порядок, имеет приоритет.</t>
  </si>
  <si>
    <t xml:space="preserve">Полученная порция урона должна снизить HP до нуля.
SYM-030, MON-008, SYM-028, состояние HP и тяжёлого ранения
При HP→0 сначала разрешается уже подготовленное активное «Дублирование органов» SYM-030; если оно применимо, только оно расходуется и HP становится 1.</t>
  </si>
  <si>
    <t xml:space="preserve">Q-QA-011; финальный авторский ответ
Предразработочный QA и прямые ответы пользователя 2026-07-29</t>
  </si>
  <si>
    <t xml:space="preserve">Q-QA-011
Q-PREDEV-008</t>
  </si>
  <si>
    <t xml:space="preserve">CORE-152
MON-008
MON-009
SYM-028
SYM-030
CORE-222</t>
  </si>
  <si>
    <t xml:space="preserve">CQA-061</t>
  </si>
  <si>
    <t xml:space="preserve">Жизненный цикл мародерства</t>
  </si>
  <si>
    <t xml:space="preserve">Combat QA / мародерство.</t>
  </si>
  <si>
    <t xml:space="preserve">выбранный труп и переносимые предметы</t>
  </si>
  <si>
    <t xml:space="preserve">Игрок выбирает труп, отменяет выбор, переносит часть количества либо труп воскрешают.</t>
  </si>
  <si>
    <t xml:space="preserve">Мастер открыл фазу мародерства; труп и содержимое доступны.</t>
  </si>
  <si>
    <t xml:space="preserve">выбранный труп, предмет, целое количество q, текущий остаток, событие воскрешения</t>
  </si>
  <si>
    <t xml:space="preserve">Выбор трупа временно делает его недоступным другим игрокам до явной отмены, завершения переноса, окончания фазы мастером или воскрешения. Отмена ничего не перемещает и сразу освобождает труп. При переносе части количества q, где 1≤q≤остатка, ровно q единиц переходят игроку, а остаток остаётся в трупе; уже переданное не возвращается автоматически. Воскрешение немедленно завершает открытое мародерство этого трупа: воскресший получает только текущее оставшееся содержимое, а уже перемещённые предметы сохраняют новых владельцев. Низкоуровневая сериализация, блокировки хранения и аудит определяются позже.
[v1.3] Труп CustomMonster не имеет контейнера содержимого и недоступен для выбора в мародёрстве; труп SentientEnemy обрабатывается как труп персонажа.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</si>
  <si>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В каждый момент у каждой единицы предмета ровно один владелец.</t>
  </si>
  <si>
    <t xml:space="preserve">Прямые мастерские операции имеют приоритет.</t>
  </si>
  <si>
    <t xml:space="preserve">Игрок выбирает труп, отменяет выбор, переносит часть количества либо труп воскрешают.
При переносе части количества q, где 1≤q≤остатка, ровно q единиц переходят игроку, а остаток остаётся в трупе; уже переданное не возвращается автоматически.</t>
  </si>
  <si>
    <t xml:space="preserve">Низкоуровневая сериализация, блокировки хранения и аудит определяются позже.</t>
  </si>
  <si>
    <t xml:space="preserve">Q-QA-012; финальный авторский ответ
Прямое уточнение пользователя 2026-07-28 — шаблоны врагов v1.3
Предразработочный QA и прямые ответы пользователя 2026-07-29</t>
  </si>
  <si>
    <t xml:space="preserve">Q-QA-012
Q-ENEMY-P13
Q-PREDEV-009</t>
  </si>
  <si>
    <t xml:space="preserve">AQA-032
CQA-001
SYM-035
CORE-204
CORE-213
CORE-223</t>
  </si>
  <si>
    <t xml:space="preserve">CORE-183</t>
  </si>
  <si>
    <t xml:space="preserve">9. Последующие согласованные правила</t>
  </si>
  <si>
    <t xml:space="preserve">Профиль оружия</t>
  </si>
  <si>
    <t xml:space="preserve">Готовый профиль оружия без автоматизации крафта</t>
  </si>
  <si>
    <t xml:space="preserve">оружие / профиль экземпляра</t>
  </si>
  <si>
    <t xml:space="preserve">Игрок / мастер / система</t>
  </si>
  <si>
    <t xml:space="preserve">экземпляр оружия</t>
  </si>
  <si>
    <t xml:space="preserve">эффективный профиль готового оружия</t>
  </si>
  <si>
    <t xml:space="preserve">Игрок заявляет, мастер выдаёт либо мастер изменяет готовое оружие.</t>
  </si>
  <si>
    <t xml:space="preserve">Выбран известный механический тип оружия и, если применимо, attackVariantId.</t>
  </si>
  <si>
    <t xml:space="preserve">itemInstanceId, itemTypeId, attackVariantId, statSource, templateProfile, instanceProfilePatch</t>
  </si>
  <si>
    <t xml:space="preserve">Приложение хранит готовый эффективный профиль экземпляра: templateProfile плюс допустимый instanceProfilePatch. Источник профиля принимает TEMPLATE_FIXED, PLAYER_FORMULA_VALIDATED либо MASTER_OVERRIDE. Формулы изготовления, производственные дайсы, материалы и время не исполняются; формулы используются только как область допустимости заявки игрока по CORE-185. Изменяется экземпляр, а не глобальный шаблон.</t>
  </si>
  <si>
    <t xml:space="preserve">Сохранён полный эффективный профиль готового экземпляра оружия.</t>
  </si>
  <si>
    <t xml:space="preserve">CORE-014 и CORE-015 остаются tombstone. Новый экземпляр не означает создание нового глобального типа оружия.</t>
  </si>
  <si>
    <t xml:space="preserve">Не требует игрового действия; это операция создания/администрирования либо этап разрешения атаки.</t>
  </si>
  <si>
    <t xml:space="preserve">Игровые ресурсы не расходуются, если конкретное действие оружием не устанавливает иное.</t>
  </si>
  <si>
    <t xml:space="preserve">generationEnabled=false; FORMULA_MODE=VALIDATION_ONLY.</t>
  </si>
  <si>
    <t xml:space="preserve">Выполнение производственных бросков, крафта или неполный эффективный профиль.</t>
  </si>
  <si>
    <t xml:space="preserve">Мастерский путь разрешается только по CORE-187/CORE-188.</t>
  </si>
  <si>
    <t xml:space="preserve">Версия и аудит профиля — CORE-190.</t>
  </si>
  <si>
    <t xml:space="preserve">Прямое уточнение пользователя 2026-07-28</t>
  </si>
  <si>
    <t xml:space="preserve">CORE-014
CORE-015
CORE-184
CORE-185
CORE-187
CORE-188
CORE-190</t>
  </si>
  <si>
    <t xml:space="preserve">Новая карточка v1.2</t>
  </si>
  <si>
    <t xml:space="preserve">CORE-184</t>
  </si>
  <si>
    <t xml:space="preserve">Заявка игрока на оружие</t>
  </si>
  <si>
    <t xml:space="preserve">Ввод характеристик оружия игроком</t>
  </si>
  <si>
    <t xml:space="preserve">создание персонажа / оружие</t>
  </si>
  <si>
    <t xml:space="preserve">игрок, создающий собственного персонажа</t>
  </si>
  <si>
    <t xml:space="preserve">заявка на не-Чистое оружие</t>
  </si>
  <si>
    <t xml:space="preserve">Игрок выбирает оружие в процессе создания персонажа.</t>
  </si>
  <si>
    <t xml:space="preserve">Создание персонажа не завершено; оружие не относится к оружию Чистых; для типа/варианта существует формула.</t>
  </si>
  <si>
    <t xml:space="preserve">itemTypeId, attackVariantId, полный набор формульно выводимых характеристик</t>
  </si>
  <si>
    <t xml:space="preserve">Игрок может задать только те поля готового профиля, которые являются выходами формулы выбранного типа и варианта оружия. Все прочие поля, включая runtime-выражения, специальные свойства и шаблонный бонус точности, остаются неизменными. Перед сохранением выполняется CORE-185. При успехе statSource=PLAYER_FORMULA_VALIDATED; после завершения создания персонажа игрок не редактирует профиль оружия.</t>
  </si>
  <si>
    <t xml:space="preserve">Создана валидная локальная заявка на готовый профиль либо показана ошибка.</t>
  </si>
  <si>
    <t xml:space="preserve">Оружие Чистых обрабатывается только по CORE-186; последующее согласование мастера — CORE-187.</t>
  </si>
  <si>
    <t xml:space="preserve">Фактических бросков нет; точная проверка существования witness — CORE-185.</t>
  </si>
  <si>
    <t xml:space="preserve">PLAYER_WEAPON_EDIT_OUTSIDE_CREATION; FORMULA_PROFILE_REQUIRED; FORMULA_FIELDS_INCOMPLETE; PLAYER_FIELD_NOT_FORMULA_DERIVED.</t>
  </si>
  <si>
    <t xml:space="preserve">Сохраняются formulaId, версия формулы и validationWitness по CORE-190.</t>
  </si>
  <si>
    <t xml:space="preserve">AQA-011
AQA-012
AQ2-003
AQ2-004
CORE-172
CORE-173
CORE-183
CORE-185
CORE-186
CORE-190</t>
  </si>
  <si>
    <t xml:space="preserve">CORE-185</t>
  </si>
  <si>
    <t xml:space="preserve">Точная проверка формульной достижимости</t>
  </si>
  <si>
    <t xml:space="preserve">оружие / валидация профиля</t>
  </si>
  <si>
    <t xml:space="preserve">Система</t>
  </si>
  <si>
    <t xml:space="preserve">валидатор заявки</t>
  </si>
  <si>
    <t xml:space="preserve">единый заявленный профиль оружия</t>
  </si>
  <si>
    <t xml:space="preserve">Игрок отправляет формульный профиль оружия.</t>
  </si>
  <si>
    <t xml:space="preserve">Для выбранных itemTypeId и attackVariantId определена нормативная формула.</t>
  </si>
  <si>
    <t xml:space="preserve">заявленные выходы, formulaId/version, нормативные домены L/Lw/Ls, независимые witness-дайсы, порядок вычислений</t>
  </si>
  <si>
    <t xml:space="preserve">Заявка валидна только при существовании одного общего набора допустимых переменных и независимых производственных witness-дайсов, который одновременно даёт все заявленные поля по одной формуле и одному варианту. Соблюдаются порядок вычислений, округление и минимумы формулы. Min/max используется лишь для быстрого отказа и не доказывает достижимость. Приложение не бросает дайсы, не выбирает случайный witness и не создаёт предмет.</t>
  </si>
  <si>
    <t xml:space="preserve">validationStatus=VALID и сохранён validationWitness либо заявка отклонена.</t>
  </si>
  <si>
    <t xml:space="preserve">L, Lw и Ls трактуются как целочисленные параметры уровня; они неотрицательны, а Lw&gt;0 во всех формулах, где он является делителем. Не заданные документом верхние границы не выдумываются.</t>
  </si>
  <si>
    <t xml:space="preserve">EXISTS joint witness; каждое вхождение производственного R4/R6/R12/R20 независимо; generationEnabled=false.</t>
  </si>
  <si>
    <t xml:space="preserve">FORMULA_FIELDS_INCOMPLETE; FORMULA_WITNESS_NOT_FOUND.</t>
  </si>
  <si>
    <t xml:space="preserve">Witness подтверждает весь профиль одновременно и хранится вместе с версией формулы.</t>
  </si>
  <si>
    <t xml:space="preserve">CORE-014
CORE-183
CORE-184
CORE-021
CORE-022
CORE-027
CORE-028
CORE-029
CORE-031
CORE-032
CORE-033
CORE-034
CORE-035
CORE-036
CORE-037
CORE-038
CORE-039
CORE-040
CORE-041
CORE-042
CORE-043
CORE-044
CORE-045
CORE-046</t>
  </si>
  <si>
    <t xml:space="preserve">CORE-186</t>
  </si>
  <si>
    <t xml:space="preserve">Неизменяемость оружия Чистых для игрока</t>
  </si>
  <si>
    <t xml:space="preserve">оружие Чистых / заявка игрока</t>
  </si>
  <si>
    <t xml:space="preserve">Кенси, Эривел, Эстрефорд, Айнцберн, Корнадора или Бларадэ</t>
  </si>
  <si>
    <t xml:space="preserve">Игрок выбирает оружие Чистых при создании персонажа.</t>
  </si>
  <si>
    <t xml:space="preserve">Выбран CORE-023, CORE-024, CORE-025, CORE-026, CORE-047 или CORE-048.</t>
  </si>
  <si>
    <t xml:space="preserve">itemTypeId и неизменный templateProfile</t>
  </si>
  <si>
    <t xml:space="preserve">Игрок может заявить оружие Чистых только с полным каноническим шаблонным профилем. Поля характеристик отображаются только для чтения; statSource=TEMPLATE_FIXED. Любое расхождение с шаблоном отклоняется. Мастер вправе изменить конкретный экземпляр позднее по CORE-187/CORE-188.</t>
  </si>
  <si>
    <t xml:space="preserve">Создана заявка с неизменным шаблонным профилем либо показана ошибка.</t>
  </si>
  <si>
    <t xml:space="preserve">Мастерский override конкретного экземпляра не изменяет канонический шаблон и другие экземпляры.</t>
  </si>
  <si>
    <t xml:space="preserve">PURE_WEAPON_PROFILE_LOCKED.</t>
  </si>
  <si>
    <t xml:space="preserve">Изменение мастером разрешено только по CORE-187/CORE-188.</t>
  </si>
  <si>
    <t xml:space="preserve">Заявка игрока хранит TEMPLATE_FIXED; мастерская версия журналируется отдельно.</t>
  </si>
  <si>
    <t xml:space="preserve">CORE-023
CORE-024
CORE-025
CORE-026
CORE-047
CORE-048
CORE-184
CORE-187
CORE-188
CORE-190</t>
  </si>
  <si>
    <t xml:space="preserve">CORE-187</t>
  </si>
  <si>
    <t xml:space="preserve">Мастерские операции с оружием</t>
  </si>
  <si>
    <t xml:space="preserve">Полномочия мастера по профилю оружия</t>
  </si>
  <si>
    <t xml:space="preserve">мастер / оружие</t>
  </si>
  <si>
    <t xml:space="preserve">новый готовый экземпляр либо существующее оружие игрока или НПС</t>
  </si>
  <si>
    <t xml:space="preserve">Мастер выдаёт новое оружие либо изменяет существующее оружие в инвентаре.</t>
  </si>
  <si>
    <t xml:space="preserve">Роль мастера подтверждена; определены владелец, itemInstanceId либо itemTypeId и, если применимо, attackVariantId; указана причина.</t>
  </si>
  <si>
    <t xml:space="preserve">частичный instanceProfilePatch, ownerId/ownerType, actorId, reason, timestamp</t>
  </si>
  <si>
    <t xml:space="preserve">Мастер может создать готовый экземпляр известного механического типа или атомарно изменить разрешённые поля конкретного существующего экземпляра в инвентаре любого игрока либо НПС, включая оружие Чистых. Формульная область полностью обходится, но типы данных, грамматика выражений, положительность обязательных значений и аудит сохраняются. Неуказанные поля наследуются из текущего эффективного профиля или шаблона; после patch новый экземпляр/версия должен иметь полный эффективный профиль. Глобальный шаблон и другие экземпляры не меняются.</t>
  </si>
  <si>
    <t xml:space="preserve">Создана либо активирована новая версия профиля конкретного экземпляра со statSource=MASTER_OVERRIDE.</t>
  </si>
  <si>
    <t xml:space="preserve">Если мастер выдаёт полностью неизменный шаблон, statSource может остаться TEMPLATE_FIXED. Новый глобальный тип оружия этим правилом не создаётся.</t>
  </si>
  <si>
    <t xml:space="preserve">MASTER_ROLE_REQUIRED; MASTER_REASON_REQUIRED; неполный эффективный профиль.</t>
  </si>
  <si>
    <t xml:space="preserve">Экземпляр/тип, владелец, attackVariantId и поля patch.</t>
  </si>
  <si>
    <t xml:space="preserve">Операция выполняется на безопасной границе и журналируется по CORE-190.</t>
  </si>
  <si>
    <t xml:space="preserve">AQA-011
AQA-028
AQA-032
AQA-044
AQ2-004
CORE-183
CORE-186
CORE-188
CORE-190</t>
  </si>
  <si>
    <t xml:space="preserve">CORE-188</t>
  </si>
  <si>
    <t xml:space="preserve">Разрешённые мастерские характеристики оружия</t>
  </si>
  <si>
    <t xml:space="preserve">мастер / профиль оружия</t>
  </si>
  <si>
    <t xml:space="preserve">instanceProfilePatch оружия</t>
  </si>
  <si>
    <t xml:space="preserve">Мастер выбирает поля нового или существующего оружия.</t>
  </si>
  <si>
    <t xml:space="preserve">Операция CORE-187; для многовариантного/составного оружия указан attackVariantId.</t>
  </si>
  <si>
    <t xml:space="preserve">damageDefinition, penetrationDefinition, statRequirements, rangeMeters, accuracyBonus</t>
  </si>
  <si>
    <t xml:space="preserve">Мастер может независимо заменить базовое runtime-выражение урона и пробития одним из вариантов R4, R4+X, R6, R6+X, R12, R12+X, R20+X, R20*2+X, где X — произвольное конечное положительное числовое значение без верхней границы, выводимой из формул. Можно заменить полный MAP требований к характеристикам S/D/I/W/M/Z/C; пустая карта означает отсутствие требований, а пороги не ограничиваются формульной областью. Для дальнобойного варианта можно задать любое конечное положительное rangeMeters. accuracyBonus отсутствует либо является конечным положительным числовым значением без формульной верхней границы и аддитивно прибавляется к обычной проверке точности. Неуказанные поля сохраняются. Ёмкость, перезарядка, HP щита, навыковые требования и специальные эффекты этим правилом не меняются.</t>
  </si>
  <si>
    <t xml:space="preserve">Сформирован структурно валидный instanceProfilePatch.</t>
  </si>
  <si>
    <t xml:space="preserve">Мастер обходит только формульную область. Bare R20 не выбирается как новое мастерское выражение, поскольку его нет в закрытом списке; уже существующий канонический R20 сохраняется, пока поле не заменено.</t>
  </si>
  <si>
    <t xml:space="preserve">Для выбранного PER_ATTACK_ROLL хранить expression/evaluationScope/rollGroupId; семантика CORE-189.</t>
  </si>
  <si>
    <t xml:space="preserve">INVALID_DICE_EXPRESSION; DICE_BONUS_NOT_POSITIVE; INVALID_STAT_REQUIREMENT; RANGE_NOT_POSITIVE; RANGE_NOT_APPLICABLE; ACCURACY_BONUS_NOT_POSITIVE; ATTACK_VARIANT_REQUIRED.</t>
  </si>
  <si>
    <t xml:space="preserve">Отдельный выбор для damageDefinition и penetrationDefinition; характеристики, дальность и бонус точности.</t>
  </si>
  <si>
    <t xml:space="preserve">instanceDamage обязателен только при effective valueMode=INSTANCE_VALUE; instancePenetration не создаётся.</t>
  </si>
  <si>
    <t xml:space="preserve">CORE-016
CORE-020
CORE-030
CORE-125
CORE-126
CORE-129
CORE-135
CORE-150
CORE-187
CORE-189
CORE-190</t>
  </si>
  <si>
    <t xml:space="preserve">CORE-189</t>
  </si>
  <si>
    <t xml:space="preserve">Разрешение атаки оружием</t>
  </si>
  <si>
    <t xml:space="preserve">Разрешение пользовательских дайсов оружия в бою</t>
  </si>
  <si>
    <t xml:space="preserve">бой / урон и пробитие</t>
  </si>
  <si>
    <t xml:space="preserve">разрешаемая атака или отдельный удар</t>
  </si>
  <si>
    <t xml:space="preserve">damageDefinition и penetrationDefinition активного профиля</t>
  </si>
  <si>
    <t xml:space="preserve">Каждая отдельно разрешаемая атака или каждый отдельно разрешаемый удар серии.</t>
  </si>
  <si>
    <t xml:space="preserve">Зафиксирован снимок активной версии профиля оружия.</t>
  </si>
  <si>
    <t xml:space="preserve">valueMode, expression, evaluationScope, rollGroupId, instanceDamage, template constants, модификаторы атакующего</t>
  </si>
  <si>
    <t xml:space="preserve">INSTANCE_VALUE читает готовое instanceDamage; CONSTANT читает шаблонную константу; PER_ATTACK_ROLL выполняет новый бросок при каждой отдельно разрешаемой атаке/ударе. Нормализация: R4→ROLL(R4), R4+X→ROLL(R4)+X, R6→ROLL(R6), R6+X→ROLL(R6)+X, R12→ROLL(R12), R12+X→ROLL(R12)+X, R20+X→ROLL(R20)+X, R20*2+X→2*ROLL(R20)+X. В последнем варианте бросается один R20, затем результат удваивается и прибавляется X. Урон и пробитие имеют разные rollGroupId и независимы даже при одинаковой записи. Обычные характеристики, навыки, штрафы и специальные эффекты применяются поверх базового выражения по правилам типа оружия.</t>
  </si>
  <si>
    <t xml:space="preserve">Сырые броски и resolvedDamage/resolvedPenetration записаны в AttackResolution и боевой журнал.</t>
  </si>
  <si>
    <t xml:space="preserve">Канонические CONSTANT, INSTANCE_VALUE и ранее заданные шаблонные выражения остаются допустимыми, пока мастер их не заменяет.</t>
  </si>
  <si>
    <t xml:space="preserve">evaluationScope=EACH_RESOLVED_ATTACK; damageRollGroupId≠penetrationRollGroupId.</t>
  </si>
  <si>
    <t xml:space="preserve">Повторное использование результата предыдущей атаки или запись результата в экземпляр оружия.</t>
  </si>
  <si>
    <t xml:space="preserve">itemInstanceWriteBack=NONE; instanceDamage никогда не хранит результат боевого броска; instancePenetration отсутствует.</t>
  </si>
  <si>
    <t xml:space="preserve">CORE-017
CORE-125
CORE-126
CORE-129
CORE-135
CORE-150
CORE-188
CORE-190</t>
  </si>
  <si>
    <t xml:space="preserve">CORE-190</t>
  </si>
  <si>
    <t xml:space="preserve">Версии профиля оружия</t>
  </si>
  <si>
    <t xml:space="preserve">Версионирование и аудит профиля оружия</t>
  </si>
  <si>
    <t xml:space="preserve">оружие / версия и аудит</t>
  </si>
  <si>
    <t xml:space="preserve">операция изменения профиля</t>
  </si>
  <si>
    <t xml:space="preserve">версия профиля конкретного экземпляра</t>
  </si>
  <si>
    <t xml:space="preserve">Принята заявка игрока либо мастерский instanceProfilePatch.</t>
  </si>
  <si>
    <t xml:space="preserve">Операция прошла содержательную и структурную валидацию; достигнута безопасная граница.</t>
  </si>
  <si>
    <t xml:space="preserve">weaponProfileVersionId, previousVersionId, itemInstanceId, ownerId/ownerType, attackVariantId, statSource, actorId/role/time, reason, before/after, formulaId/version/witness</t>
  </si>
  <si>
    <t xml:space="preserve">Изменение атомарно создаёт новую версию профиля конкретного экземпляра. Для PLAYER_FORMULA_VALIDATED сохраняются formulaId, версия формулы и validationWitness. Для MASTER_OVERRIDE обязательны actorId, время, причина и before/after. Уже начатое разрешение атаки использует ранее сделанный снимок и не меняется; новая версия применяется со следующей отдельно разрешаемой атаки. Старые записи боевого журнала сохраняют использованный снимок.</t>
  </si>
  <si>
    <t xml:space="preserve">Новая версия активна; предыдущая доступна для аудита, но не применяется к новым атакам.</t>
  </si>
  <si>
    <t xml:space="preserve">Нельзя ретроспективно менять завершённую/начатую атаку, глобальный шаблон или другие экземпляры.</t>
  </si>
  <si>
    <t xml:space="preserve">Изменение без actor/reason, мутация шаблона или ретроспективный пересчёт атаки.</t>
  </si>
  <si>
    <t xml:space="preserve">Новая версия действует с первой следующей отдельно разрешаемой атаки.</t>
  </si>
  <si>
    <t xml:space="preserve">Причина, изменяемые поля и момент применения на безопасной границе.</t>
  </si>
  <si>
    <t xml:space="preserve">Одна операция — одна новая версия; before/after неизменяемы в журнале.</t>
  </si>
  <si>
    <t xml:space="preserve">AQA-028
AQA-032
AQA-045
CORE-183
CORE-184
CORE-185
CORE-186
CORE-187
CORE-188
CORE-189</t>
  </si>
  <si>
    <t xml:space="preserve">CORE-191</t>
  </si>
  <si>
    <t xml:space="preserve">Каталоги врагов</t>
  </si>
  <si>
    <t xml:space="preserve">Разделение каталогов врагов кампании</t>
  </si>
  <si>
    <t xml:space="preserve">кампания / каталог шаблонов</t>
  </si>
  <si>
    <t xml:space="preserve">текущая кампания</t>
  </si>
  <si>
    <t xml:space="preserve">две вкладки шаблонов врагов</t>
  </si>
  <si>
    <t xml:space="preserve">Открывается окно кампании или обновляется каталог.</t>
  </si>
  <si>
    <t xml:space="preserve">Кампания существует; пользователь является текущим мастером.</t>
  </si>
  <si>
    <t xml:space="preserve">operation=LIST_SENTIENT_ENEMY_TEMPLATES|LIST_MONSTER_TEMPLATES, campaignId, tab, templateKind, templateOrigin, currentVersionId</t>
  </si>
  <si>
    <t xml:space="preserve">Вкладка SENTIENT_ENEMIES показывает текущие версии пользовательских шаблонов врагов-мыслящих этой кампании. Вкладка MONSTERS показывает текущие версии пользовательских монстров этой кампании и read-only записи канонического бестиария с origin=CANONICAL_BESTIARY. Постоянные НПС, резерв и экземпляры текущего боя находятся в своих разделах и не входят в эти каталоги. Игроки вкладки шаблонов не видят.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</si>
  <si>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Показан разделённый campaign-owned каталог без смешения мыслящих и монстров.</t>
  </si>
  <si>
    <t xml:space="preserve">Общей пользовательской библиотеки шаблонов между кампаниями нет; канонический бестиарий редактировать нельзя.</t>
  </si>
  <si>
    <t xml:space="preserve">Не требует игрового действия, кроме явно указанной боевой атаки.</t>
  </si>
  <si>
    <t xml:space="preserve">Игровые ресурсы не расходуются, кроме цены выбранной атаки/способности.</t>
  </si>
  <si>
    <t xml:space="preserve">ENEMY_TEMPLATE_TAB_FORBIDDEN; TEMPLATE_CAMPAIGN_MISMATCH.</t>
  </si>
  <si>
    <t xml:space="preserve">Выбор одной из двух вкладок и шаблона. Для новой инстанциации пользовательского шаблона система берёт только currentVersionId; исторические версии доступны лишь истории и уже созданным снимкам.</t>
  </si>
  <si>
    <t xml:space="preserve">Чтение не меняет состояние; currentVersionId фиксируется при инстанцировании.</t>
  </si>
  <si>
    <t xml:space="preserve">Прямое уточнение пользователя 2026-07-28 — шаблоны врагов v1.3
Предразработочный QA и прямые ответы пользователя 2026-07-29</t>
  </si>
  <si>
    <t xml:space="preserve">Q-ENEMY-P1
Q-ENEMY-P2
Q-ENEMY-P4
Q-PREDEV-012</t>
  </si>
  <si>
    <t xml:space="preserve">AQA-018
AQA-022
AQA-044
CORE-192
CORE-213
CORE-227</t>
  </si>
  <si>
    <t xml:space="preserve">Полномочия и временная граница изменения каталога</t>
  </si>
  <si>
    <t xml:space="preserve">кампания / права мастера</t>
  </si>
  <si>
    <t xml:space="preserve">текущий мастер кампании</t>
  </si>
  <si>
    <t xml:space="preserve">создание и версионирование шаблонов</t>
  </si>
  <si>
    <t xml:space="preserve">Запрошено создание шаблона или новой версии.</t>
  </si>
  <si>
    <t xml:space="preserve">actorRole=CURRENT_MASTER; кампания готовится либо активна; боя и незавершённой атомарной операции нет.</t>
  </si>
  <si>
    <t xml:space="preserve">actorId, campaignId, campaignState, combatState, unfinishedOperationId</t>
  </si>
  <si>
    <t xml:space="preserve">Создание и новая версия разрешены текущему мастеру из меню кампании до запуска либо во время активной кампании вне боя. Поставленный на паузу бой остаётся боем. Незавершённая операция также блокирует изменение. После передачи роли право немедленно переходит новому мастеру, прежний его теряет. Завершённая кампания неизменяема.</t>
  </si>
  <si>
    <t xml:space="preserve">Команда допущена к валидации payload либо отклонена без изменения данных.</t>
  </si>
  <si>
    <t xml:space="preserve">Пауза кампании вне боя не запрещает операцию; пауза самого боя запрещает.</t>
  </si>
  <si>
    <t xml:space="preserve">MASTER_ROLE_REQUIRED; CAMPAIGN_NOT_EDITABLE; ACTIVE_COMBAT_BLOCKS_TEMPLATE_MUTATION; UNFINISHED_OPERATION_BLOCKS_TEMPLATE_MUTATION.</t>
  </si>
  <si>
    <t xml:space="preserve">Подтверждение операции текущим мастером.</t>
  </si>
  <si>
    <t xml:space="preserve">Проверка роли и временной границы выполняется повторно непосредственно перед commit.</t>
  </si>
  <si>
    <t xml:space="preserve">Прямое уточнение пользователя 2026-07-28 — шаблоны врагов v1.3</t>
  </si>
  <si>
    <t xml:space="preserve">Q-ENEMY-P2
Q-ENEMY-P3</t>
  </si>
  <si>
    <t xml:space="preserve">AQA-022
AQA-036
AQA-044
CORE-194
CORE-195</t>
  </si>
  <si>
    <t xml:space="preserve">Новая карточка v1.3</t>
  </si>
  <si>
    <t xml:space="preserve">CORE-193</t>
  </si>
  <si>
    <t xml:space="preserve">Версия шаблона врага</t>
  </si>
  <si>
    <t xml:space="preserve">Идентичность и арт шаблона врага</t>
  </si>
  <si>
    <t xml:space="preserve">шаблон / identity / art</t>
  </si>
  <si>
    <t xml:space="preserve">EnemyTemplateVersion</t>
  </si>
  <si>
    <t xml:space="preserve">отображаемая идентичность версии</t>
  </si>
  <si>
    <t xml:space="preserve">Валидируется создание или новая версия шаблона.</t>
  </si>
  <si>
    <t xml:space="preserve">Получен полный payload версии.</t>
  </si>
  <si>
    <t xml:space="preserve">name, description, artMimeType, artSizeBytes, artContentRef</t>
  </si>
  <si>
    <t xml:space="preserve">Повторно использовать валидатор AQA-001: имя после trim обязательно и содержит 1–64 видимых символа; описание необязательно и не длиннее 2000 символов; арт необязателен, формат PNG/JPEG и размер не более 12 МБ. Совпадающие имена допустимы и различаются templateId/коротким идентификатором. Арт является частью конкретной EnemyTemplateVersion и меняется только новой версией.</t>
  </si>
  <si>
    <t xml:space="preserve">Сформирована валидная identity-часть payload версии.</t>
  </si>
  <si>
    <t xml:space="preserve">Имя не является ключом; арт не хранится отдельно от версии.</t>
  </si>
  <si>
    <t xml:space="preserve">ENEMY_NAME_REQUIRED; ENEMY_NAME_LENGTH_INVALID; ENEMY_DESCRIPTION_TOO_LONG; ART_FORMAT_UNSUPPORTED; ART_FILE_TOO_LARGE.</t>
  </si>
  <si>
    <t xml:space="preserve">Имя, описание и необязательный файл арта.</t>
  </si>
  <si>
    <t xml:space="preserve">Hash/reference арта сохраняется вместе с versionId.</t>
  </si>
  <si>
    <t xml:space="preserve">Q-ENEMY-P8
Q-ENEMY-P17</t>
  </si>
  <si>
    <t xml:space="preserve">AQA-001
AQA-015
CORE-194
CORE-195
CORE-214</t>
  </si>
  <si>
    <t xml:space="preserve">CORE-194</t>
  </si>
  <si>
    <t xml:space="preserve">Атомарное создание шаблона без черновика</t>
  </si>
  <si>
    <t xml:space="preserve">шаблон / создание / транзакция</t>
  </si>
  <si>
    <t xml:space="preserve">операция создания</t>
  </si>
  <si>
    <t xml:space="preserve">CampaignEnemyTemplate и версия №1</t>
  </si>
  <si>
    <t xml:space="preserve">Мастер подтверждает полный payload нового шаблона.</t>
  </si>
  <si>
    <t xml:space="preserve">CORE-192; полный payload соответствующего kind; operationId.</t>
  </si>
  <si>
    <t xml:space="preserve">operation=CREATE_SENTIENT_ENEMY_TEMPLATE|CREATE_CUSTOM_MONSTER_TEMPLATE, operationId, creationAttemptId, campaignId, kind, payload</t>
  </si>
  <si>
    <t xml:space="preserve">CREATE_SENTIENT_ENEMY_TEMPLATE либо CREATE_CUSTOM_MONSTER_TEMPLATE полностью валидирует payload соответствующего kind и одним commit создаёт templateId, EnemyTemplateVersion №1 и currentVersionId. При любой ошибке не создаётся ни шаблон, ни версия. Поля template.status нет; DRAFT и ARCHIVED не существуют. creationAttemptId, operationId и квитанция случайной генерации являются техническими данными операции, а не шаблоном или строкой каталога.</t>
  </si>
  <si>
    <t xml:space="preserve">Либо атомарно создан валидный шаблон с версией №1, либо состояние кампании не изменено.</t>
  </si>
  <si>
    <t xml:space="preserve">Техническое восстановление незавершённой попытки не создаёт persisted draft и не позволяет обойти одноразовую генерацию.</t>
  </si>
  <si>
    <t xml:space="preserve">Неполный сохранённый шаблон, TEMPLATE_ARCHIVE_UNSUPPORTED или частично созданная версия.</t>
  </si>
  <si>
    <t xml:space="preserve">Полный payload и финальное подтверждение.</t>
  </si>
  <si>
    <t xml:space="preserve">operationId идемпотентен; аудит CORE-214.</t>
  </si>
  <si>
    <t xml:space="preserve">Q-ENEMY-B3
Q-ENEMY-P5
Q-ENEMY-P16
Q-ENEMY-P17</t>
  </si>
  <si>
    <t xml:space="preserve">AQA-002
AQA-044
CORE-192
CORE-193
CORE-195
CORE-201
CORE-214</t>
  </si>
  <si>
    <t xml:space="preserve">CORE-195</t>
  </si>
  <si>
    <t xml:space="preserve">Изменение шаблона только новой версией</t>
  </si>
  <si>
    <t xml:space="preserve">шаблон / versioning</t>
  </si>
  <si>
    <t xml:space="preserve">CampaignEnemyTemplate</t>
  </si>
  <si>
    <t xml:space="preserve">следующая полная EnemyTemplateVersion</t>
  </si>
  <si>
    <t xml:space="preserve">Мастер подтверждает изменение существующего шаблона.</t>
  </si>
  <si>
    <t xml:space="preserve">CORE-192; templateId принадлежит campaignId; baseVersionId=currentVersionId; полный payload валиден.</t>
  </si>
  <si>
    <t xml:space="preserve">operationId, templateId, baseVersionId, полный payload, actorId</t>
  </si>
  <si>
    <t xml:space="preserve">Команда CREATE_ENEMY_TEMPLATE_VERSION после полной валидации создаёт версию N+1, задаёт previousVersionId и атомарно переносит currentVersionId. kind и campaignId неизменяемы. Старые версии и все созданные экземпляры не меняются. In-place patch, archive, delete и save-instance-as-template не поддерживаются.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</si>
  <si>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Создана новая текущая версия либо получен конфликт без изменения шаблона.</t>
  </si>
  <si>
    <t xml:space="preserve">Старая версия хранится для истории/снимков, но обычное новое инстанцирование использует currentVersionId.</t>
  </si>
  <si>
    <t xml:space="preserve">TEMPLATE_NOT_FOUND; TEMPLATE_VERSION_NOT_FOUND; TEMPLATE_VERSION_CONFLICT; TEMPLATE_TYPE_IMMUTABLE; IN_PLACE_TEMPLATE_UPDATE_FORBIDDEN; TEMPLATE_ARCHIVE_UNSUPPORTED; TEMPLATE_DELETE_UNSUPPORTED.</t>
  </si>
  <si>
    <t xml:space="preserve">Полный новый payload и основание версии.</t>
  </si>
  <si>
    <t xml:space="preserve">Оптимистическая блокировка baseVersionId; before/after по CORE-214.</t>
  </si>
  <si>
    <t xml:space="preserve">Q-ENEMY-P4
Q-ENEMY-P5
Q-ENEMY-P17
Q-PREDEV-012</t>
  </si>
  <si>
    <t xml:space="preserve">AQA-015
AQA-033
CORE-193
CORE-194
CORE-213
CORE-214
CORE-227</t>
  </si>
  <si>
    <t xml:space="preserve">CORE-196</t>
  </si>
  <si>
    <t xml:space="preserve">Шаблон врага-мыслящего</t>
  </si>
  <si>
    <t xml:space="preserve">Создание шаблона врага-мыслящего</t>
  </si>
  <si>
    <t xml:space="preserve">создание персонажа / NPC template</t>
  </si>
  <si>
    <t xml:space="preserve">мастер как создатель и согласующий</t>
  </si>
  <si>
    <t xml:space="preserve">SentientEnemyPayload</t>
  </si>
  <si>
    <t xml:space="preserve">Мастер запускает CREATE_SENTIENT_ENEMY_TEMPLATE.</t>
  </si>
  <si>
    <t xml:space="preserve">CORE-192; открыт процесс создания SENTIENT_ENEMY.</t>
  </si>
  <si>
    <t xml:space="preserve">operation=CREATE_SENTIENT_ENEMY_TEMPLATE, identity, race, class, baseStats, skills, symbionts, items, mass, anatomy и обычные поля персонажа
symbionts[].speciesId, targetLevel, learnedAbilityIds, branchChoices; либо один symbioticMonsterProfileId.</t>
  </si>
  <si>
    <t xml:space="preserve">Повторно использовать согласованный процесс создания персонажа: расу, класс Чистого, навыки, симбионтов, имущество, массу, обычную анатомию и производные показатели. Мастер одновременно является создателем и согласующим, поэтому отдельное pendingMasterApproval не создаётся. Единственное механическое отличие этапа создания — прямые характеристики CORE-197.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</si>
  <si>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Сформирован полный SentientEnemyPayload, готовый к атомарной финализации.</t>
  </si>
  <si>
    <t xml:space="preserve">Не используются способы распределения характеристик игрока и отдельный лимит места игрока.
Не создавать symbiontXpProgressPoints, unallocatedSymbiontXp или XP симбионтов системному противнику.</t>
  </si>
  <si>
    <t xml:space="preserve">STAT_ALLOCATION_MODE_NOT_APPLICABLE при выборе 90/85/«Всё или ничего» или броска характеристик.</t>
  </si>
  <si>
    <t xml:space="preserve">Все обычные выборы персонажа и семь прямых базовых характеристик.</t>
  </si>
  <si>
    <t xml:space="preserve">Payload становится шаблоном только по CORE-194/CORE-195.</t>
  </si>
  <si>
    <t xml:space="preserve">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</si>
  <si>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Q-ENEMY-P9
Q-ENEMY-P10
Q-ENEMY-P11
Q-ENEMY-P12
Q-PREDEV-001
Q-SYMBIONT-XP-001</t>
  </si>
  <si>
    <t xml:space="preserve">AQA-005
AQA-009
AQA-010
AQA-016
CORE-159
CORE-164
CORE-197
CORE-198
CORE-216
CORE-230</t>
  </si>
  <si>
    <t xml:space="preserve">CORE-197</t>
  </si>
  <si>
    <t xml:space="preserve">Базовые характеристики врага-мыслящего</t>
  </si>
  <si>
    <t xml:space="preserve">характеристики / валидация</t>
  </si>
  <si>
    <t xml:space="preserve">семь стартовых характеристик</t>
  </si>
  <si>
    <t xml:space="preserve">Валидируется этап характеристик врага-мыслящего.</t>
  </si>
  <si>
    <t xml:space="preserve">Указаны значения до расовых, классовых и симбиотических модификаторов.</t>
  </si>
  <si>
    <t xml:space="preserve">baseStats={S,D,M,Z,I,W,C}</t>
  </si>
  <si>
    <t xml:space="preserve">Проверить ровно семь целых базовых значений, каждое 1–35. Лимита суммарных очков нет. Способы 90/85/«Всё или ничего», броски и критические последствия создания не применяются. Затем обычным порядком применяются постоянные расовые, классовые и симбиотические модификаторы. Итог может превышать 35; действующий итоговый минимум CORE-164 сохраняется. Автоматический clamp запрещён.</t>
  </si>
  <si>
    <t xml:space="preserve">Получены валидные базовые и вычисленные итоговые характеристики либо финализация заблокирована.</t>
  </si>
  <si>
    <t xml:space="preserve">35 ограничивает только стартовое значение до постоянных модификаторов; сумма не ограничена.</t>
  </si>
  <si>
    <t xml:space="preserve">Каждый baseStat∈Z и 1≤baseStat≤35; SUM(baseStats) без верхнего ограничения.</t>
  </si>
  <si>
    <t xml:space="preserve">BASE_STAT_SET_INCOMPLETE; BASE_STAT_NOT_INTEGER; BASE_STAT_OUT_OF_RANGE; FINAL_STAT_BELOW_MINIMUM.</t>
  </si>
  <si>
    <t xml:space="preserve">Семь независимых целых значений.</t>
  </si>
  <si>
    <t xml:space="preserve">Сохраняются baseStats и вычисленная композиция permanent modifiers.</t>
  </si>
  <si>
    <t xml:space="preserve">Q-ENEMY-B1
Q-ENEMY-P9</t>
  </si>
  <si>
    <t xml:space="preserve">AQA-005
CORE-163
CORE-164
CORE-196</t>
  </si>
  <si>
    <t xml:space="preserve">CORE-198</t>
  </si>
  <si>
    <t xml:space="preserve">Состояние и управление врагом-мыслящим</t>
  </si>
  <si>
    <t xml:space="preserve">NPC / состояние / управление</t>
  </si>
  <si>
    <t xml:space="preserve">экземпляр SentientEnemy</t>
  </si>
  <si>
    <t xml:space="preserve">HP, навыки, имущество, зоны и управление</t>
  </si>
  <si>
    <t xml:space="preserve">Создаётся экземпляр из SentientEnemyVersion.</t>
  </si>
  <si>
    <t xml:space="preserve">Закреплён валидный снимок версии.</t>
  </si>
  <si>
    <t xml:space="preserve">race, class, effectiveStats, skills, inventory, anatomy, symbionts
symbionts[].speciesId, targetLevel, learnedAbilityIds, branchChoices; либо один symbioticMonsterProfileId.</t>
  </si>
  <si>
    <t xml:space="preserve">Максимум HP рассчитывается как у обычного персонажа: база 100 и штатные классовые/симбиотические изменения. Навыки, имущество, обычная анатомия и зоны тела работают по правилам персонажа. Экземпляр не занимает слот игрока и не получает управляющее устройство; им вручную управляет текущий мастер по AQA-040/AQA-043.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</si>
  <si>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Создан обычный по механике персонаж-враг под управлением мастера.</t>
  </si>
  <si>
    <t xml:space="preserve">Отдельного боевого ИИ и передачи управления игроку нет.
Не создавать symbiontXpProgressPoints, unallocatedSymbiontXp или XP симбионтов системному противнику.</t>
  </si>
  <si>
    <t xml:space="preserve">Назначение playerSlot или clientDevice.</t>
  </si>
  <si>
    <t xml:space="preserve">Все действия и реакции экземпляра.</t>
  </si>
  <si>
    <t xml:space="preserve">Снимок версии закрепляется по CORE-213.</t>
  </si>
  <si>
    <t xml:space="preserve">Q-ENEMY-P10
Q-ENEMY-P11
Q-ENEMY-P12
Q-PREDEV-001
Q-SYMBIONT-XP-001</t>
  </si>
  <si>
    <t xml:space="preserve">AQA-009
AQA-016
AQA-040
AQA-043
CORE-196
CORE-207
CORE-213
CORE-216
CORE-230</t>
  </si>
  <si>
    <t xml:space="preserve">CORE-199</t>
  </si>
  <si>
    <t xml:space="preserve">Пользовательский монстр</t>
  </si>
  <si>
    <t xml:space="preserve">Схема пользовательского монстра</t>
  </si>
  <si>
    <t xml:space="preserve">монстр / data contract</t>
  </si>
  <si>
    <t xml:space="preserve">CustomMonsterPayload</t>
  </si>
  <si>
    <t xml:space="preserve">полный набор допустимых полей</t>
  </si>
  <si>
    <t xml:space="preserve">Выполняется CREATE_CUSTOM_MONSTER_TEMPLATE либо новая версия CustomMonster.</t>
  </si>
  <si>
    <t xml:space="preserve">CORE-192; выбран kind=CUSTOM_MONSTER.</t>
  </si>
  <si>
    <t xml:space="preserve">operation=CREATE_CUSTOM_MONSTER_TEMPLATE|CREATE_ENEMY_TEMPLATE_VERSION, identity, baseStats, massKg, ageYears, baseMaxHP, optional symbiont, naturalArmorDefinition, baseAttack, anatomyMode</t>
  </si>
  <si>
    <t xml:space="preserve">Для финализации обязательны identity, ровно семь базовых характеристик, масса, возраст, baseMaxHP, naturalArmorDefinition и ровно одна базовая MONSTER_ATTACK; обычный symbiont необязателен. Поля race, class, skills, inventory, equipment и bodyZones отсутствуют и при передаче отклоняются.</t>
  </si>
  <si>
    <t xml:space="preserve">Сформирован структурно валидный CustomMonsterPayload.</t>
  </si>
  <si>
    <t xml:space="preserve">Симбиотические органы не являются inventory/equipment.</t>
  </si>
  <si>
    <t xml:space="preserve">MONSTER_UNSUPPORTED_FIELD; MONSTER_SKILLS_UNSUPPORTED; MONSTER_INVENTORY_UNSUPPORTED; MONSTER_BODY_ZONES_UNSUPPORTED.</t>
  </si>
  <si>
    <t xml:space="preserve">Все поддерживаемые поля payload.</t>
  </si>
  <si>
    <t xml:space="preserve">Payload финализируется только целиком.</t>
  </si>
  <si>
    <t xml:space="preserve">Q-ENEMY-B11
Q-ENEMY-B12
Q-ENEMY-P13
Q-ENEMY-P14</t>
  </si>
  <si>
    <t xml:space="preserve">AQA-010
AQA-032
CORE-193
CORE-194
CORE-200
CORE-202
CORE-203
CORE-204
CORE-207
CORE-210
CORE-211</t>
  </si>
  <si>
    <t xml:space="preserve">CORE-200</t>
  </si>
  <si>
    <t xml:space="preserve">Характеристики пользовательского монстра</t>
  </si>
  <si>
    <t xml:space="preserve">монстр / характеристики</t>
  </si>
  <si>
    <t xml:space="preserve">семь базовых и итоговых характеристик</t>
  </si>
  <si>
    <t xml:space="preserve">Мастер вводит или редактирует характеристики монстра.</t>
  </si>
  <si>
    <t xml:space="preserve">Заданы baseStats вручную либо получена квитанция CORE-201.</t>
  </si>
  <si>
    <t xml:space="preserve">baseStats={S,D,M,Z,I,W,C}, permanent symbiont modifiers</t>
  </si>
  <si>
    <t xml:space="preserve">Проверить ровно семь целых baseStats, каждое 1–35, до всех постоянных модификаторов. Сумма не ограничена. Затем применить постоянные эффекты выбранного симбионта. Итог может превышать 35, но не может стать ниже 1. Clamp, округление и молчаливая замена запрещены.</t>
  </si>
  <si>
    <t xml:space="preserve">Валидные baseStats и вычисленные effectiveStats либо конкретная ошибка.</t>
  </si>
  <si>
    <t xml:space="preserve">Ограничение не применяется к каноническому бестиарию и последующим временным/постоянным модификаторам экземпляра.</t>
  </si>
  <si>
    <t xml:space="preserve">Для каждого K∈{S,D,M,Z,I,W,C}: base[K]∈Z, 1≤base[K]≤35.</t>
  </si>
  <si>
    <t xml:space="preserve">Редактирование каждого значения после CORE-201.</t>
  </si>
  <si>
    <t xml:space="preserve">Хранятся baseStats отдельно от permanent modifiers.</t>
  </si>
  <si>
    <t xml:space="preserve">Q-ENEMY-B1
Q-ENEMY-B2
Q-ENEMY-P16</t>
  </si>
  <si>
    <t xml:space="preserve">CORE-164
CORE-199
CORE-201
CORE-203
MON-088</t>
  </si>
  <si>
    <t xml:space="preserve">Одноразовая случайная генерация характеристик монстра</t>
  </si>
  <si>
    <t xml:space="preserve">монстр / RNG / создание</t>
  </si>
  <si>
    <t xml:space="preserve">creationAttemptId</t>
  </si>
  <si>
    <t xml:space="preserve">один набор семи базовых характеристик</t>
  </si>
  <si>
    <t xml:space="preserve">Мастер один раз нажимает «Сгенерировать характеристики».</t>
  </si>
  <si>
    <t xml:space="preserve">kind=CUSTOM_MONSTER; для creationAttemptId генерация ещё не выполнялась.</t>
  </si>
  <si>
    <t xml:space="preserve">operation=RANDOMIZE_CUSTOM_MONSTER_STATS, operationId, creationAttemptId, hostRng</t>
  </si>
  <si>
    <t xml:space="preserve">RANDOMIZE_CUSTOM_MONSTER_STATS заставляет хост сгенерировать один набор из семи независимых R20 в фиксированном порядке S,D,M,Z,I,W,C. Это не зависит от режима ручных/автоматических проверок и не запускает криты. Набор записывается в техническую квитанцию попытки и становится редактируемым по CORE-200. Повтор того же operationId возвращает прежний набор; вторая новая команда в той же попытке отклоняется. Закрытие приложения восстанавливает квитанцию, а новая попытка создания/версии получает собственное единственное право генерации.</t>
  </si>
  <si>
    <t xml:space="preserve">Создана идемпотентная RandomStatsReceipt с семью натуральными результатами.</t>
  </si>
  <si>
    <t xml:space="preserve">Квитанция не является persisted template draft и не ограничивает последующее ручное редактирование 1–35.</t>
  </si>
  <si>
    <t xml:space="preserve">baseStats=[ROLL(R20)×7], независимые rollGroupId; критов нет.</t>
  </si>
  <si>
    <t xml:space="preserve">MONSTER_STATS_ALREADY_RANDOMIZED; MONSTER_RANDOMIZATION_NOT_APPLICABLE; CREATION_ATTEMPT_NOT_FOUND.</t>
  </si>
  <si>
    <t xml:space="preserve">Одно нажатие; повторный переброс недоступен.</t>
  </si>
  <si>
    <t xml:space="preserve">operationId и семь сырых результатов сохраняются по CORE-214.</t>
  </si>
  <si>
    <t xml:space="preserve">Q-ENEMY-B2
Q-ENEMY-B3</t>
  </si>
  <si>
    <t xml:space="preserve">AQA-002
AQA-003
CORE-194
CORE-200
CORE-214</t>
  </si>
  <si>
    <t xml:space="preserve">CORE-202</t>
  </si>
  <si>
    <t xml:space="preserve">Физические параметры и начальное состояние монстра</t>
  </si>
  <si>
    <t xml:space="preserve">монстр / HP / состояние</t>
  </si>
  <si>
    <t xml:space="preserve">CustomMonsterPayload и новый экземпляр</t>
  </si>
  <si>
    <t xml:space="preserve">масса, возраст, maxHP и стартовое состояние</t>
  </si>
  <si>
    <t xml:space="preserve">Валидируется шаблон либо создаётся его экземпляр.</t>
  </si>
  <si>
    <t xml:space="preserve">Заданы massKg, ageYears и baseMaxHP.</t>
  </si>
  <si>
    <t xml:space="preserve">massKg, ageYears, baseMaxHP, symbiont modifiers</t>
  </si>
  <si>
    <t xml:space="preserve">massKg — положительное число с точностью 0,1 кг; ageYears — положительное целое; baseMaxHP — положительное целое без игрового верхнего лимита. effectiveMaxHP рассчитывается после симбиотических модификаторов. Новый экземпляр жив, в сознании, currentHP=effectiveMaxHP, имеет полный текущий запас ОЭ выбранного симбионта, не имеет ран, эффектов, кулдаунов, инициативы и участия в сцене.</t>
  </si>
  <si>
    <t xml:space="preserve">Получены валидные физические параметры и чистое стартовое состояние экземпляра.</t>
  </si>
  <si>
    <t xml:space="preserve">baseMaxHP=100 персонажа к CustomMonster не применяется; увеличение/уменьшение симбионтом действует обычным порядком.</t>
  </si>
  <si>
    <t xml:space="preserve">massKg&gt;0; scale≤0.1 kg; ageYears∈Z+; baseMaxHP∈Z+.</t>
  </si>
  <si>
    <t xml:space="preserve">MONSTER_BASE_MAX_HP_INVALID; MONSTER_MASS_INVALID; MONSTER_AGE_INVALID.</t>
  </si>
  <si>
    <t xml:space="preserve">Масса, возраст и baseMaxHP.</t>
  </si>
  <si>
    <t xml:space="preserve">Шаблон хранит baseMaxHP, экземпляр — effectiveMaxHP/currentHP.</t>
  </si>
  <si>
    <t xml:space="preserve">Q-ENEMY-B11
Q-ENEMY-B12
Q-ENEMY-P15</t>
  </si>
  <si>
    <t xml:space="preserve">AQA-009
AQA-010
CORE-152
CORE-199
CORE-203
CORE-207
SYM-009</t>
  </si>
  <si>
    <t xml:space="preserve">Симбионт пользовательского монстра</t>
  </si>
  <si>
    <t xml:space="preserve">Обычный симбионт пользовательского монстра</t>
  </si>
  <si>
    <t xml:space="preserve">монстр / симбионт / template</t>
  </si>
  <si>
    <t xml:space="preserve">необязательный symbiont</t>
  </si>
  <si>
    <t xml:space="preserve">Мастер выбирает или меняет симбионта в payload версии.</t>
  </si>
  <si>
    <t xml:space="preserve">kind=CUSTOM_MONSTER; операция создания или новой версии шаблона.</t>
  </si>
  <si>
    <t xml:space="preserve">speciesId, targetLevel, learnedAbilityIds, branchChoices, prerequisites</t>
  </si>
  <si>
    <t xml:space="preserve">Допускается от нуля до одного обычного симбионта. Химера, Кукловод, Чумной доктор и любой speciesKind=SYMBIOTIC_MONSTER запрещены. Мастер задаёт целый targetLevel 1..species.maxL и выбирает валидный граф изученных узлов: обязательные способности L1, prerequisites и OR/XOR/AND соблюдены; вычисленный SYM-024 уровень равен targetLevel. XP-бюджет шаблона не проверяется. Новый экземпляр получает currentOE=maxOE этого уровня.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
NPC, SentientEnemy, канонические и произвольные монстры имеют actorType≠PLAYER_CHARACTER и всегда маршрутизируются NEVER_PROGRESSION.</t>
  </si>
  <si>
    <t xml:space="preserve">Сохранён ноль или один валидный симбионт с определённым уровнем и деревом.</t>
  </si>
  <si>
    <t xml:space="preserve">Это поле версии шаблона, а не post-creation операция AQ2-014; уже созданный экземпляр не получает новый симбионт через эту команду.
Не создавать symbiontXpProgressPoints, unallocatedSymbiontXp или XP симбионтов системному противнику.</t>
  </si>
  <si>
    <t xml:space="preserve">MONSTER_SYMBIONT_LIMIT_EXCEEDED; MONSTER_SYMBIONT_FORBIDDEN; MONSTER_SYMBIONT_LEVEL_OUT_OF_RANGE; MONSTER_SYMBIONT_ABILITY_SET_INVALID.</t>
  </si>
  <si>
    <t xml:space="preserve">Вид, targetLevel и валидные узлы/ветви.</t>
  </si>
  <si>
    <t xml:space="preserve">Полный состав и дерево входят в EnemyTemplateVersion.</t>
  </si>
  <si>
    <t xml:space="preserve">Q-ENEMY-B9
Q-ENEMY-B10
Q-PREDEV-010
Q-SYMBIONT-XP-001</t>
  </si>
  <si>
    <t xml:space="preserve">AQ2-014
AQ2-016
AQ2-018
CORE-200
CORE-204
SYM-009
SYM-020
SYM-024
CORE-224
SYM-117
CORE-230</t>
  </si>
  <si>
    <t xml:space="preserve">CORE-204</t>
  </si>
  <si>
    <t xml:space="preserve">Симбиотические эффекты без навыков и инвентаря</t>
  </si>
  <si>
    <t xml:space="preserve">монстр / symbiont capability filter</t>
  </si>
  <si>
    <t xml:space="preserve">экземпляр CustomMonster</t>
  </si>
  <si>
    <t xml:space="preserve">эффекты выбранного симбионта</t>
  </si>
  <si>
    <t xml:space="preserve">Вычисляется доступность или результат способности симбионта.</t>
  </si>
  <si>
    <t xml:space="preserve">У монстра есть симбионт CORE-203.</t>
  </si>
  <si>
    <t xml:space="preserve">abilityInputs, requiresSkill, requiresItem, grantsOrCopiesSkill</t>
  </si>
  <si>
    <t xml:space="preserve">Симбионт не создаёт монстру контейнер skills, inventory или equipment. Команда, для которой навык или предмет является обязательным входом, недоступна. Эффект выдачи/копирования навыка не создаёт результата; независимые части той же способности продолжают работать, если их предусловия выполнены. Симбиотические органы, природная броня и атаки не являются предметами.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</si>
  <si>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Доступны только совместимые части симбиотических способностей без создания запрещённых контейнеров.</t>
  </si>
  <si>
    <t xml:space="preserve">Отсутствие навыка не добавляет обычный штраф: команда либо не требует навык и работает, либо недоступна по явному requiresSkill.</t>
  </si>
  <si>
    <t xml:space="preserve">MONSTER_SKILLS_UNSUPPORTED; MONSTER_INVENTORY_UNSUPPORTED.</t>
  </si>
  <si>
    <t xml:space="preserve">Выбор доступной способности из отфильтрованного списка.</t>
  </si>
  <si>
    <t xml:space="preserve">Запрещённый побочный эффект не создаётся; разрешённые части журналируются обычно.</t>
  </si>
  <si>
    <t xml:space="preserve">Q-ENEMY-B10
Q-ENEMY-P13
Q-PREDEV-009
Q-PREDEV-010</t>
  </si>
  <si>
    <t xml:space="preserve">AQA-032
AQ2-014
CORE-199
CORE-203
CORE-209
CORE-210
CQA-061
CORE-223
CORE-224
SYM-117</t>
  </si>
  <si>
    <t xml:space="preserve">CORE-205</t>
  </si>
  <si>
    <t xml:space="preserve">Профиль атаки монстра</t>
  </si>
  <si>
    <t xml:space="preserve">Закрытая грамматика Runtime монстра</t>
  </si>
  <si>
    <t xml:space="preserve">монстр / runtime definition</t>
  </si>
  <si>
    <t xml:space="preserve">Monster Runtime parser</t>
  </si>
  <si>
    <t xml:space="preserve">урон, пробитие и природная броня</t>
  </si>
  <si>
    <t xml:space="preserve">Валидируется RuntimeDefinition монстра.</t>
  </si>
  <si>
    <t xml:space="preserve">Получена строка для одного из трёх поддерживаемых полей.</t>
  </si>
  <si>
    <t xml:space="preserve">0 | positive finite constant | R4 | R4+X | R6 | R6+X | R12 | R12+X | R20 | R20+X | R20*2+X</t>
  </si>
  <si>
    <t xml:space="preserve">Принять только 11 перечисленных форм. Нормализация: 0→mode=ZERO; positive finite constant→mode=CONSTANT; все формы с дайсом→mode=PER_RESOLUTION_ROLL, где Rn→ROLL(Rn), Rn+X→ROLL(Rn)+X, R20*2+X→2*ROLL(R20)+X с одним исходным R20. Одиночная константа — конечное положительное число; X — положительное целое. Отрицательные и бесконечные значения, дробный или нулевой X, другие дайсы и произвольные формулы запрещены. Боевое значение никогда не записывается в шаблон.</t>
  </si>
  <si>
    <t xml:space="preserve">Создан канонический RuntimeDefinition AST.</t>
  </si>
  <si>
    <t xml:space="preserve">Это отдельный allowlist монстра; восьмиформатная оружейная грамматика CORE-188 не расширяется.</t>
  </si>
  <si>
    <t xml:space="preserve">R20*2+X = 2×ROLL(R20)+X, один R20; X∈Z+; constant∈R+, finite.</t>
  </si>
  <si>
    <t xml:space="preserve">INVALID_MONSTER_RUNTIME_EXPRESSION; RUNTIME_CONSTANT_NOT_POSITIVE; RUNTIME_BONUS_NOT_POSITIVE_INTEGER.</t>
  </si>
  <si>
    <t xml:space="preserve">Отдельное выражение для каждого поддерживаемого поля.</t>
  </si>
  <si>
    <t xml:space="preserve">В версию сохраняется только нормализованное определение, не resolved value.</t>
  </si>
  <si>
    <t xml:space="preserve">Q-ENEMY-B5
Q-ENEMY-P14</t>
  </si>
  <si>
    <t xml:space="preserve">CORE-188
CORE-189
CORE-199
CORE-206
CORE-207
CORE-210</t>
  </si>
  <si>
    <t xml:space="preserve">CORE-206</t>
  </si>
  <si>
    <t xml:space="preserve">Runtime монстра</t>
  </si>
  <si>
    <t xml:space="preserve">Области вычисления Runtime монстра</t>
  </si>
  <si>
    <t xml:space="preserve">монстр / runtime resolution</t>
  </si>
  <si>
    <t xml:space="preserve">AttackResolution</t>
  </si>
  <si>
    <t xml:space="preserve">damage, penetration и natural armor rolls</t>
  </si>
  <si>
    <t xml:space="preserve">Достигнут соответствующий этап исходящей или входящей атаки.</t>
  </si>
  <si>
    <t xml:space="preserve">Зафиксирован снимок MonsterAttackProfileVersion/цели.</t>
  </si>
  <si>
    <t xml:space="preserve">RuntimeDefinition, evaluationScope, rollGroupId, attackResolutionId</t>
  </si>
  <si>
    <t xml:space="preserve">Дополнительный урон и пробитие вычисляются независимо новым броском для каждого отдельно разрешаемого использования базовой атаки монстра и только при достижении своего этапа CORE-125. Природная броня вычисляется новым броском один раз для каждого входящего разрешения пробития. Удары серии получают отдельные вычисления. Результаты хранятся только в AttackResolution и журнале; template/version write-back отсутствует.
NPC, SentientEnemy, канонические и произвольные монстры имеют actorType≠PLAYER_CHARACTER и всегда маршрутизируются NEVER_PROGRESSION.</t>
  </si>
  <si>
    <t xml:space="preserve">Сырые и resolved значения записаны в текущее разрешение атаки.</t>
  </si>
  <si>
    <t xml:space="preserve">ZERO/CONSTANT не бросаются; damage, penetration и armor имеют независимые rollGroupId.
Не создавать symbiontXpProgressPoints, unallocatedSymbiontXp или XP симбионтов системному противнику.</t>
  </si>
  <si>
    <t xml:space="preserve">EACH_MONSTER_BASE_ATTACK для damage/penetration; EACH_INCOMING_ARMOR_RESOLUTION для natural armor.</t>
  </si>
  <si>
    <t xml:space="preserve">Повтор результата предыдущей атаки или запись resolved value в EnemyTemplateVersion.</t>
  </si>
  <si>
    <t xml:space="preserve">monsterTemplateWriteBack=NONE; все броски входят в combat log.</t>
  </si>
  <si>
    <t xml:space="preserve">Прямое уточнение пользователя 2026-07-28 — шаблоны врагов v1.3
Прямое авторское решение Q-SYMBIONT-XP-001 — опыт симбионтов за natural 20/1, 2026-07-30</t>
  </si>
  <si>
    <t xml:space="preserve">Q-ENEMY-B5
Q-ENEMY-B7
Q-ENEMY-P14
Q-SYMBIONT-XP-001</t>
  </si>
  <si>
    <t xml:space="preserve">CORE-082
CORE-125
CORE-150
CORE-205
CORE-208
CORE-210
CORE-230</t>
  </si>
  <si>
    <t xml:space="preserve">CORE-207</t>
  </si>
  <si>
    <t xml:space="preserve">Профиль базовой атаки монстра</t>
  </si>
  <si>
    <t xml:space="preserve">монстр / attack profile</t>
  </si>
  <si>
    <t xml:space="preserve">CustomMonsterPayload или canonical overlay</t>
  </si>
  <si>
    <t xml:space="preserve">ровно одна базовая MONSTER_ATTACK</t>
  </si>
  <si>
    <t xml:space="preserve">Создаётся эффективный список действий монстра.</t>
  </si>
  <si>
    <t xml:space="preserve">EntityKind=MONSTER.</t>
  </si>
  <si>
    <t xml:space="preserve">category, distance, actionCost, additionalDamageDefinition, penetrationDefinition</t>
  </si>
  <si>
    <t xml:space="preserve">У монстра ровно одна базовая атака с category=MONSTER_ATTACK, distance=MELEE и actionCost=1: она стоит одно боевое действие. Для CustomMonster мастер настраивает только additionalDamageDefinition и penetrationDefinition по CORE-205. Нельзя задать оружие, навыковое требование, дальность, магазин, accuracyBonus или вторую базовую атаку.</t>
  </si>
  <si>
    <t xml:space="preserve">Сформирован полный MonsterAttackProfileVersion с одной ближней базовой атакой.</t>
  </si>
  <si>
    <t xml:space="preserve">У CustomMonster дополнительные ближние и дальние атаки могут появиться только из прямых правил выбранного симбионта. Особые атаки канонического бестиария сохраняются по CORE-212 и не считаются второй базовой MONSTER_ATTACK.</t>
  </si>
  <si>
    <t xml:space="preserve">MONSTER_BASE_ATTACK_COUNT_INVALID; MONSTER_BASE_ATTACK_NOT_MELEE; MONSTER_UNSUPPORTED_FIELD.</t>
  </si>
  <si>
    <t xml:space="preserve">Дополнительный урон и пробитие.</t>
  </si>
  <si>
    <t xml:space="preserve">Профиль входит в снимок EnemyTemplateVersion/entity.</t>
  </si>
  <si>
    <t xml:space="preserve">Q-ENEMY-B4
Q-ENEMY-B5
Q-ENEMY-B6</t>
  </si>
  <si>
    <t xml:space="preserve">MON-089
MON-091
CORE-199
CORE-205
CORE-208
CORE-209
CORE-212</t>
  </si>
  <si>
    <t xml:space="preserve">CORE-208</t>
  </si>
  <si>
    <t xml:space="preserve">Базовая атака монстра</t>
  </si>
  <si>
    <t xml:space="preserve">Разрешение базовой атаки монстра</t>
  </si>
  <si>
    <t xml:space="preserve">монстр / attack resolution</t>
  </si>
  <si>
    <t xml:space="preserve">атакующий монстр</t>
  </si>
  <si>
    <t xml:space="preserve">живая цель</t>
  </si>
  <si>
    <t xml:space="preserve">Мастер объявляет базовую MONSTER_ATTACK.</t>
  </si>
  <si>
    <t xml:space="preserve">Монстр может действовать; есть 1 боевое действие; цель допустима.</t>
  </si>
  <si>
    <t xml:space="preserve">effective D, effective S, situational modifiers, target defense, penetrationDefinition, armor, additionalDamageDefinition
DefenseChoice допускает NONE; armorLayerState=NO_LAYERS|PRESENT.</t>
  </si>
  <si>
    <t xml:space="preserve">После объявления и атомарного списания 1 действия точность = R20 + D + ситуационные модификаторы. При попадании пробитие = resolve(penetrationDefinition); после успешного пробития урон = S + resolve(additionalDamageDefinition). Навыковые, классовые и оружейные бонусы не применяются; штрафа за отсутствие «Рукопашного боя» нет. Категория не является оружием или рукопашным боем, но имеет тег ближней атаки, поэтому обычные защиты ближнего боя действуют. Критические 1/20 применяются только к accuracy-R20.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Только accuracy-R20 базовой MONSTER_ATTACK проходит CORE-082–084/229 до сравнения с выбранной защитой или DefenseChoice=NONE. Подтверждённый положительный крит может автоматически пройти этап попадания, отрицательный — автоматически проваливает его. Runtime урона, пробития и природной брони не участвуют.
NPC, SentientEnemy, канонические и произвольные монстры имеют actorType≠PLAYER_CHARACTER и всегда маршрутизируются NEVER_PROGRESSION.</t>
  </si>
  <si>
    <t xml:space="preserve">Применён общий CORE-125 с monster-specific формулами и последствиями.</t>
  </si>
  <si>
    <t xml:space="preserve">Runtime урона, пробития и брони критами не являются; специальные эффекты/защиты сохраняют приоритет.
Автоматический успех accuracy не означает автоматического пробития или урона.
Не создавать symbiontXpProgressPoints, unallocatedSymbiontXp или XP симбионтов системному противнику.</t>
  </si>
  <si>
    <t xml:space="preserve">1 боевое действие.</t>
  </si>
  <si>
    <t xml:space="preserve">accuracy=R20+D+situational; penetration=resolve(definition); damage=S+resolve(additionalDamageDefinition).</t>
  </si>
  <si>
    <t xml:space="preserve">Добавление weaponSkill, classBonus, accuracyBonus либо штрафа «Рукопашного боя».</t>
  </si>
  <si>
    <t xml:space="preserve">Мастер атакующего монстра выбирает базовую атаку и цель. Защиту/реакцию выбирает законный контроллер цели; мастер выбирает её только для сущности под своим управлением.</t>
  </si>
  <si>
    <t xml:space="preserve">Действие списывается до бросков; AttackResolution хранит снимок и сырые броски.
Хранить criticalResolution только рядом с accuracyRoll.</t>
  </si>
  <si>
    <t xml:space="preserve">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</si>
  <si>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Q-ENEMY-B6
Q-ENEMY-B7
Q-PREDEV-002
Q-PREDEV-018
Q-COMBAT-CRIT-001
Q-SYMBIONT-XP-001</t>
  </si>
  <si>
    <t xml:space="preserve">CORE-082
CORE-125
CORE-136
CORE-150
CORE-206
CORE-207
CORE-210
CORE-217
CORE-226
CORE-229
CORE-074
CORE-230</t>
  </si>
  <si>
    <t xml:space="preserve">Атаки симбионта монстра</t>
  </si>
  <si>
    <t xml:space="preserve">Атакующие способности симбионта монстра</t>
  </si>
  <si>
    <t xml:space="preserve">монстр / symbiont attack</t>
  </si>
  <si>
    <t xml:space="preserve">монстр с симбионтом</t>
  </si>
  <si>
    <t xml:space="preserve">атака или дополнительный удар способности</t>
  </si>
  <si>
    <t xml:space="preserve">Мастер выбирает атакующую способность симбионта.</t>
  </si>
  <si>
    <t xml:space="preserve">Способность изучена, доступна и не заблокирована CORE-204.</t>
  </si>
  <si>
    <t xml:space="preserve">abilityId, target, ability cost/range/damage/penetration</t>
  </si>
  <si>
    <t xml:space="preserve">Запрет дальности относится только к базовой MONSTER_ATTACK. Если симбионт предоставляет дальнюю атаку, монстр использует её как attackDistance=RANGED по карточке способности, включая стоимость, дальность, урон и пробитие; ShootingBonus монстра равен 0. Настройки базовой атаки не переносятся на симбиотическую. Дополнительная ближняя атака или удар появляется только при прямом правиле способности.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</si>
  <si>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Разрешена ровно выбранная мастером совместимая симбиотическая атака.</t>
  </si>
  <si>
    <t xml:space="preserve">Способности, требующие навыка/предмета, фильтруются CORE-204; базовая атака остаётся одна.</t>
  </si>
  <si>
    <t xml:space="preserve">Автоматическое копирование дополнительного урона/пробития базовой MONSTER_ATTACK или создание generic ranged attack.</t>
  </si>
  <si>
    <t xml:space="preserve">Способность, цель и все предусмотренные ею выборы.</t>
  </si>
  <si>
    <t xml:space="preserve">Используется собственный AttackResolution способности.</t>
  </si>
  <si>
    <t xml:space="preserve">Q-ENEMY-B4
Q-ENEMY-B8
Q-ENEMY-B10
Q-PREDEV-010</t>
  </si>
  <si>
    <t xml:space="preserve">CORE-134
CORE-204
CORE-207
CORE-208
MON-089
CORE-224
SYM-117</t>
  </si>
  <si>
    <t xml:space="preserve">CORE-210</t>
  </si>
  <si>
    <t xml:space="preserve">Природная броня монстра</t>
  </si>
  <si>
    <t xml:space="preserve">монстр / armor layer</t>
  </si>
  <si>
    <t xml:space="preserve">цель-монстр</t>
  </si>
  <si>
    <t xml:space="preserve">uniform natural armor layer</t>
  </si>
  <si>
    <t xml:space="preserve">Входящая атака достигла этапа сравнения пробития и брони.</t>
  </si>
  <si>
    <t xml:space="preserve">Зафиксирован снимок naturalArmorDefinition цели.</t>
  </si>
  <si>
    <t xml:space="preserve">naturalArmorDefinition, active symbiont armor layers, incoming penetration</t>
  </si>
  <si>
    <t xml:space="preserve">naturalArmorDefinition образует отдельный равномерный внутренний слой. 0 означает отсутствие слоя. Для каждой входящей проверки пробития значение разрешается заново по CORE-206 и складывается с активными слоями брони симбионта по CORE-150. Предметных слоёв у CustomMonster нет. Урон проходит только при Pr&gt;armor; равенство останавливает. Прямой урон и специальные игнорирования брони сохраняют приоритет.
[v1.4] armorLayers=[] означает NO_LAYERS, а не числовой слой 0: этап пробития автоматически успешен при любом Pr, включая 0. Если присутствует хотя бы один слой, требуется строго Pr&gt;Σarmor; равенство останавливает.
NPC, SentientEnemy, канонические и произвольные монстры имеют actorType≠PLAYER_CHARACTER и всегда маршрутизируются NEVER_PROGRESSION.</t>
  </si>
  <si>
    <t xml:space="preserve">Получена итоговая броня текущего входящего AttackResolution.</t>
  </si>
  <si>
    <t xml:space="preserve">Базовый природный слой сохраняется независимо от удаления/отключения симбионта; симбиотический слой следует жизненному циклу источника.
Не создавать symbiontXpProgressPoints, unallocatedSymbiontXp или XP симбионтов системному противнику.</t>
  </si>
  <si>
    <t xml:space="preserve">armor=resolve(naturalArmorDefinition)+ΣactiveSymbiontArmor; penetration succeeds iff Pr&gt;armor.</t>
  </si>
  <si>
    <t xml:space="preserve">Предметная экипировка монстра или переиспользование armor roll предыдущей атаки.</t>
  </si>
  <si>
    <t xml:space="preserve">Resolved armor хранится только в AttackResolution.</t>
  </si>
  <si>
    <t xml:space="preserve">Q-ENEMY-B5
Q-ENEMY-B7
Q-ENEMY-P14
Q-PREDEV-018
Q-SYMBIONT-XP-001</t>
  </si>
  <si>
    <t xml:space="preserve">CORE-150
CORE-199
CORE-205
CORE-206
SYM-061
SYM-081
CORE-226
CORE-230</t>
  </si>
  <si>
    <t xml:space="preserve">CORE-211</t>
  </si>
  <si>
    <t xml:space="preserve">Анатомия монстра</t>
  </si>
  <si>
    <t xml:space="preserve">Нестандартная анатомия пользовательского монстра</t>
  </si>
  <si>
    <t xml:space="preserve">монстр / anatomy / target zone</t>
  </si>
  <si>
    <t xml:space="preserve">созданный CustomMonster</t>
  </si>
  <si>
    <t xml:space="preserve">маршрутизация любой зоны в корпус</t>
  </si>
  <si>
    <t xml:space="preserve">Атака выбирает или случайно определяет зону CustomMonster.</t>
  </si>
  <si>
    <t xml:space="preserve">EntityKind=CUSTOM_MONSTER.</t>
  </si>
  <si>
    <t xml:space="preserve">requestedZone, randomZoneResult, anatomyMode</t>
  </si>
  <si>
    <t xml:space="preserve">Каждый созданный CustomMonster имеет anatomyMode=NONSTANDARD_TORSO_ONLY и не хранит голову, руки, ноги или другие bodyZones. Любая объявленная или случайная зона нормализуется в TORSO; травма также записывается в корпус. Симбиотические точки крепления остаются абстрактными и не создают поражаемых зон. Враги-мыслящие сохраняют обычную анатомию персонажа. Канонический бестиарий сохраняет собственную анатомию, зоны и зональные особенности статблока.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</si>
  <si>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targetZone=TORSO для любого попадания по CustomMonster.</t>
  </si>
  <si>
    <t xml:space="preserve">Правила травм/потери головы и конечностей не применяются к CustomMonster. CORE-211 не переопределяет канонические механики головы, спины, пасти, зональной брони или иных частей тела.</t>
  </si>
  <si>
    <t xml:space="preserve">MONSTER_BODY_ZONES_UNSUPPORTED или запись травмы в отдельную конечность.</t>
  </si>
  <si>
    <t xml:space="preserve">В журнале сохраняются requestedZone и normalizedZone=TORSO.</t>
  </si>
  <si>
    <t xml:space="preserve">Q-ENEMY-B12
Q-PREDEV-004
Q-PREDEV-010</t>
  </si>
  <si>
    <t xml:space="preserve">AQA-010
CORE-117
CORE-119
CORE-120
CORE-121
CORE-122
CORE-123
CORE-124
CORE-126
CORE-131
CORE-135
CORE-220
CORE-224
SYM-117</t>
  </si>
  <si>
    <t xml:space="preserve">CORE-212</t>
  </si>
  <si>
    <t xml:space="preserve">Канонический бестиарий</t>
  </si>
  <si>
    <t xml:space="preserve">Базовая атака канонического бестиария</t>
  </si>
  <si>
    <t xml:space="preserve">бестиарий / runtime overlay</t>
  </si>
  <si>
    <t xml:space="preserve">канонический шаблон бестиария</t>
  </si>
  <si>
    <t xml:space="preserve">эффективный список атак</t>
  </si>
  <si>
    <t xml:space="preserve">Загружается канонический шаблон или создаётся его экземпляр.</t>
  </si>
  <si>
    <t xml:space="preserve">templateOrigin=CANONICAL_BESTIARY; активный канонический статблок.</t>
  </si>
  <si>
    <t xml:space="preserve">canonicalStatBlock, canonicalSpecialAttacks</t>
  </si>
  <si>
    <t xml:space="preserve">Идемпотентным runtime-overlay добавить ровно одну системную базовую MONSTER_ATTACK: distance=MELEE, actionCost=1, additionalDamageDefinition=R20, penetrationDefinition=R20. Итог базового удара: damage=S+R20, penetration=R20. Исходный статблок, характеристики выше 35 и все особые атаки не переписываются и не заменяются.
NPC, SentientEnemy, канонические и произвольные монстры имеют actorType≠PLAYER_CHARACTER и всегда маршрутизируются NEVER_PROGRESSION.</t>
  </si>
  <si>
    <t xml:space="preserve">Эффективный список действий содержит новую базовую атаку и все прежние особые атаки.</t>
  </si>
  <si>
    <t xml:space="preserve">Overlay не создаёт новую пользовательскую версию и не применяется к tombstone-карточке MON-143.
Не создавать symbiontXpProgressPoints, unallocatedSymbiontXp или XP симбионтов системному противнику.</t>
  </si>
  <si>
    <t xml:space="preserve">accuracy=R20+D+situational; damage=S+ROLL(R20); Pr=ROLL(R20).</t>
  </si>
  <si>
    <t xml:space="preserve">Изменение канонических характеристик, удаление особой атаки либо повторное добавление второй базовой MONSTER_ATTACK.</t>
  </si>
  <si>
    <t xml:space="preserve">Overlay детерминирован и идемпотентен по templateId+rulesVersion.</t>
  </si>
  <si>
    <t xml:space="preserve">Q-ENEMY-B13
Q-SYMBIONT-XP-001</t>
  </si>
  <si>
    <t xml:space="preserve">MON-088
MON-089
MON-091
MON-092
MON-093
MON-178
CORE-205
CORE-207
CORE-208
CORE-230</t>
  </si>
  <si>
    <t xml:space="preserve">CORE-213</t>
  </si>
  <si>
    <t xml:space="preserve">Экземпляр врага</t>
  </si>
  <si>
    <t xml:space="preserve">Создание экземпляра из версии шаблона</t>
  </si>
  <si>
    <t xml:space="preserve">шаблон / instance snapshot</t>
  </si>
  <si>
    <t xml:space="preserve">независимый экземпляр врага</t>
  </si>
  <si>
    <t xml:space="preserve">Мастер добавляет выбранный шаблон в бой, резерв или кампанию.</t>
  </si>
  <si>
    <t xml:space="preserve">Для CAMPAIGN_CUSTOM templateId принадлежит campaignId и используется только currentVersionId; для CANONICAL_BESTIARY canonicalTemplateId существует и активен; destination допустим.</t>
  </si>
  <si>
    <t xml:space="preserve">operation=INSTANTIATE_ENEMY_TEMPLATE, operationId, templateOrigin, templateId|canonicalTemplateId, destination, side/position when required</t>
  </si>
  <si>
    <t xml:space="preserve">INSTANTIATE_ENEMY_TEMPLATE имеет две ветви. Для origin=CAMPAIGN_CUSTOM система атомарно читает currentVersionId и создаёт новый entityId с полным неизменяемым снимком templateId+currentVersionId; историческую версию для нового экземпляра выбрать нельзя. Для origin=CANONICAL_BESTIARY система создаёт снимок canonicalTemplateId+rulesVersion с overlay CORE-212 без проверки campaign ownership и без EnemyTemplateVersion. Один источник можно инстанцировать многократно. Новая пользовательская версия не влияет на экземпляры, изменения экземпляра не возвращаются в шаблон. «Добавить НПС» сохраняет текущий экземпляр как постоянного НПС, но не пополняет каталог. Управляет экземпляром текущий мастер; боевого ИИ нет.
[v1.4] Каждое инстанцирование выполняет deep clone изменяемого графа по CORE-225: новые UUID получают entity, ItemInstance, WeaponProfileVersion экземпляра, symbiont instance, effect, cooldown, capture и mutable links; неизменяемые template/version refs могут разделяться.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</si>
  <si>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Создан независимый экземпляр в выбранном destination с новым entityId.</t>
  </si>
  <si>
    <t xml:space="preserve">Постоянный НПС не может одновременно присутствовать дважды; шаблон может породить сколько угодно разных экземпляров. TEMPLATE_CAMPAIGN_MISMATCH и version checks относятся только к CAMPAIGN_CUSTOM.</t>
  </si>
  <si>
    <t xml:space="preserve">TEMPLATE_NOT_FOUND; TEMPLATE_VERSION_NOT_FOUND; TEMPLATE_VERSION_CONFLICT; SAVE_INSTANCE_AS_TEMPLATE_UNSUPPORTED; TEMPLATE_CAMPAIGN_MISMATCH.</t>
  </si>
  <si>
    <t xml:space="preserve">Шаблон, destination, сторона/позиция/момент входа; исторический versionId не выбирается.</t>
  </si>
  <si>
    <t xml:space="preserve">operationId идемпотентен; provenance хранит CAMPAIGN_CUSTOM(templateId,currentVersionId) либо CANONICAL_BESTIARY(canonicalTemplateId,rulesVersion).</t>
  </si>
  <si>
    <t xml:space="preserve">Q-ENEMY-P5
Q-ENEMY-P6
Q-ENEMY-P7
Q-ENEMY-P12
Q-ENEMY-P15
Q-ENEMY-P17
Q-PREDEV-014
Q-PREDEV-012</t>
  </si>
  <si>
    <t xml:space="preserve">AQA-033
AQA-034
AQA-035
AQA-040
AQA-043
CORE-179
CORE-195
CORE-198
CORE-207
CORE-214
CORE-225
CORE-227</t>
  </si>
  <si>
    <t xml:space="preserve">CORE-214</t>
  </si>
  <si>
    <t xml:space="preserve">Аудит шаблонов врагов</t>
  </si>
  <si>
    <t xml:space="preserve">Аудит и идемпотентность операций шаблона врага</t>
  </si>
  <si>
    <t xml:space="preserve">шаблон / audit / idempotency</t>
  </si>
  <si>
    <t xml:space="preserve">операция каталога</t>
  </si>
  <si>
    <t xml:space="preserve">неизменяемый журнал</t>
  </si>
  <si>
    <t xml:space="preserve">Создание шаблона/версии, генерация характеристик или инстанцирование.</t>
  </si>
  <si>
    <t xml:space="preserve">Каждая команда содержит operationId.</t>
  </si>
  <si>
    <t xml:space="preserve">operationId, operation enum, actorId, campaignId, time, custom templateId/versionId либо canonicalTemplateId/rulesVersion, before/after, RNG receipt, art hash</t>
  </si>
  <si>
    <t xml:space="preserve">Повтор operationId возвращает ранее зафиксированный результат и не создаёт вторую запись. Журнал хранит текущего мастера, кампанию, время, точный operation enum, пользовательские templateId/versionId либо канонические canonicalTemplateId/rulesVersion, значения before/after, сырые RNG-результаты, provenance и hash/reference арта. При ошибке механическое состояние не меняется; исправление выполняется только новой версией или отдельной разрешённой операцией экземпляра.
[v1.4] Каждое инстанцирование выполняет deep clone изменяемого графа по CORE-225: новые UUID получают entity, ItemInstance, WeaponProfileVersion экземпляра, symbiont instance, effect, cooldown, capture и mutable links; неизменяемые template/version refs могут разделяться.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</si>
  <si>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Создана одна неизменяемая audit-запись либо возвращена прежняя квитанция.</t>
  </si>
  <si>
    <t xml:space="preserve">Результаты боевых Runtime хранятся в combat log, а не в template audit.</t>
  </si>
  <si>
    <t xml:space="preserve">Дублирование результата operationId, изменение audit before/after или скрытый write-back.</t>
  </si>
  <si>
    <t xml:space="preserve">Операция и audit-запись фиксируются одной транзакцией.</t>
  </si>
  <si>
    <t xml:space="preserve">Q-ENEMY-B3
Q-ENEMY-P16
Q-ENEMY-P17
Q-PREDEV-014
Q-PREDEV-012</t>
  </si>
  <si>
    <t xml:space="preserve">CORE-193
CORE-194
CORE-195
CORE-201
CORE-206
CORE-213
CORE-225
CORE-227</t>
  </si>
  <si>
    <t xml:space="preserve">CORE-215</t>
  </si>
  <si>
    <t xml:space="preserve">Границы конструкторов врагов</t>
  </si>
  <si>
    <t xml:space="preserve">Границы доработки и приоритет v1.3</t>
  </si>
  <si>
    <t xml:space="preserve">scope / exclusion / priority</t>
  </si>
  <si>
    <t xml:space="preserve">Система / разработчик</t>
  </si>
  <si>
    <t xml:space="preserve">набор CORE-191–CORE-215</t>
  </si>
  <si>
    <t xml:space="preserve">явные границы реализации</t>
  </si>
  <si>
    <t xml:space="preserve">Проектируется или проверяется реализация v1.3.</t>
  </si>
  <si>
    <t xml:space="preserve">Применяется Rules Registry v1.3.</t>
  </si>
  <si>
    <t xml:space="preserve">старые карточки и новые прямые ответы пользователя</t>
  </si>
  <si>
    <t xml:space="preserve">Поддерживается только описанный GENERATE_BALANCED_ENEMY_GROUP 80–150% с ориентиром среднего 80 и cap 35. Не добавляются боевой ИИ, автоматический выбор целей, общая библиотека пользовательских шаблонов между кампаниями, архивирование, удаление, in-place patch или сохранение экземпляра как шаблона. Одноразовые 7×R20 CustomMonster по CORE-201 остаются отдельной механикой. CORE-191–CORE-215 с учётом патча v1.7 заменяют только пересекающиеся ветви прежних правил; оружейная грамматика CORE-188/189 не меняется.
[v1.4] Вкладка SentientEnemy объединяет read-only SYSTEM_DEFAULT_SENTIENT и campaign-owned custom; системный каталог pin-ится при создании кампании.</t>
  </si>
  <si>
    <t xml:space="preserve">Реализация ограничена подтверждённым объёмом: групповой генератор поддерживается, но не управляет созданными врагами в бою.</t>
  </si>
  <si>
    <t xml:space="preserve">Канонические статблоки и особые атаки сохраняются; генератор создаёт независимые runtime-снимки. Item Registry v1.6 синхронизирован по этой границе.</t>
  </si>
  <si>
    <t xml:space="preserve">Боевой ИИ, автоматический выбор целей, изменение шаблонов генератором, cross-campaign library, delete/archive/in-place patch.</t>
  </si>
  <si>
    <t xml:space="preserve">Нормативный приоритет=70; локальная ветвь сильнее общего старого правила.</t>
  </si>
  <si>
    <t xml:space="preserve">Q-ENEMY-B14; прямое подтверждение сохранённого требования генератора 2026-08-01</t>
  </si>
  <si>
    <t xml:space="preserve">Q-ENEMY-B14</t>
  </si>
  <si>
    <t xml:space="preserve">AQA-044
CORE-188
CORE-189
CORE-191
CORE-212
CORE-227</t>
  </si>
  <si>
    <t xml:space="preserve">Патч v1.7 (границы генератора)</t>
  </si>
  <si>
    <t xml:space="preserve">CORE-216</t>
  </si>
  <si>
    <t xml:space="preserve">Каталог врагов</t>
  </si>
  <si>
    <t xml:space="preserve">Предразработочный QA v1.4</t>
  </si>
  <si>
    <t xml:space="preserve">Уровни и деревья симбионтов врага-мыслящего</t>
  </si>
  <si>
    <t xml:space="preserve">шаблон врага / симбионты.</t>
  </si>
  <si>
    <t xml:space="preserve">Мастер</t>
  </si>
  <si>
    <t xml:space="preserve">SentientEnemyTemplateVersion</t>
  </si>
  <si>
    <t xml:space="preserve">конфигурация симбионтов.</t>
  </si>
  <si>
    <t xml:space="preserve">Создание или новая версия шаблона SentientEnemy.</t>
  </si>
  <si>
    <t xml:space="preserve">Мастер кампании; базовые поля персонажного конвейера валидны.</t>
  </si>
  <si>
    <t xml:space="preserve">symbionts[].speciesId/targetLevel/learnedAbilityIds/branchChoices либо один symbioticMonsterProfileId; итоговые межсимбионтные модификаторы.</t>
  </si>
  <si>
    <t xml:space="preserve">Единому разрешены четыре разных обычных симбионта либо одно напрямую выбранное симбиотическое чудовище. Для каждого обычного симбионта мастер задаёт граф узлов и targetLevel без XP-бюджета. После штатной композиции AQA-005 вычисленный effectiveLevel обязан равняться targetLevel; обязательные L1 и prerequisites/OR/XOR/AND соблюдаются. Симбиотическое чудовище выбирается напрямую в допустимом профиле. После финализации currentOE=maxOE; история Пожираний, Попутчиков, стая Крысы и иные накопленные данные пуста.
NPC, SentientEnemy, канонические и произвольные монстры имеют actorType≠PLAYER_CHARACTER и всегда маршрутизируются NEVER_PROGRESSION.</t>
  </si>
  <si>
    <t xml:space="preserve">Сохранена валидная многоуровневая конфигурация симбионтов шаблона; экземпляр получает полный ОЭ.</t>
  </si>
  <si>
    <t xml:space="preserve">CORE-170 относится только к случайному созданию игрока. Один и тот же обычный вид нельзя занять дважды; симбиотическое чудовище несовместимо с обычными слотами.
Не создавать symbiontXpProgressPoints, unallocatedSymbiontXp или XP симбионтов системному противнику.</t>
  </si>
  <si>
    <t xml:space="preserve">По команде-источнику; сама системная стадия дополнительного действия не требует.</t>
  </si>
  <si>
    <t xml:space="preserve">По способности/атаке-источнику; системная стадия отдельный ресурс не списывает.</t>
  </si>
  <si>
    <t xml:space="preserve">effectiveLevelAfterInteractions=targetLevel; currentOE=maxOE(effectiveLevel).</t>
  </si>
  <si>
    <t xml:space="preserve">Молчаливая подстановка, частичный commit или обращение к отсутствующему контейнеру/интерфейсу.</t>
  </si>
  <si>
    <t xml:space="preserve">Только явно перечисленные поля; системные ограничения не обходятся.</t>
  </si>
  <si>
    <t xml:space="preserve">Одна команда — один атомарный переход; хранить actor/operationId/time/before/after.</t>
  </si>
  <si>
    <t xml:space="preserve">Предразработочный QA и прямые ответы пользователя 2026-07-29
Прямое авторское решение Q-SYMBIONT-XP-001 — опыт симбионтов за natural 20/1, 2026-07-30</t>
  </si>
  <si>
    <t xml:space="preserve">Q-PREDEV-001
Q-SYMBIONT-XP-001</t>
  </si>
  <si>
    <t xml:space="preserve">AQA-005
AQA-008
AQ2-018
CORE-196
CORE-198
SYM-009
SYM-020
SYM-024
CORE-230</t>
  </si>
  <si>
    <t xml:space="preserve">CORE-217</t>
  </si>
  <si>
    <t xml:space="preserve">Отсутствие активной защиты</t>
  </si>
  <si>
    <t xml:space="preserve">атака / защита.</t>
  </si>
  <si>
    <t xml:space="preserve">Система / контроллер цели</t>
  </si>
  <si>
    <t xml:space="preserve">этап защиты.</t>
  </si>
  <si>
    <t xml:space="preserve">После расчёта точности определён набор доступных защит.</t>
  </si>
  <si>
    <t xml:space="preserve">Цель валидна; активных защит нет.</t>
  </si>
  <si>
    <t xml:space="preserve">accuracy, attackRawFace, attackCriticalPolarity, attackCriticalGrade, availableDefenseChoices=[].</t>
  </si>
  <si>
    <t xml:space="preserve">Создать DefenseChoice=NONE и defenseTotal=0. Не выполнять бросок защиты, не тратить реакцию и не запускать эффекты активной защиты. Затем применить CORE-229 только к критическому статусу атакующей проверки: подтверждённый критический успех автоматически проходит текущий этап попадания даже при accuracy≤0; подтверждённый критический провал автоматически проваливает его даже при accuracy&gt;0; при grade=0 попадание проходит только при accuracy&gt;0. Если защита доступна, её выбирает текущий effectiveController цели.</t>
  </si>
  <si>
    <t xml:space="preserve">resolutionMode=AUTO_SUCCESS|AUTO_FAILURE|NUMERIC_NONE; однозначный исход этапа точности.</t>
  </si>
  <si>
    <t xml:space="preserve">Фиксированная сложность или прямой автоматический исход конкретной способности сильнее. Автоматическое попадание не отменяет следующие этапы.</t>
  </si>
  <si>
    <t xml:space="preserve">NONE: positive confirmed grade → hit; negative confirmed grade → miss; grade0 → hit iff accuracy&gt;0.</t>
  </si>
  <si>
    <t xml:space="preserve">Молчаливая подстановка, частичный commit или обращение к отсутствующему контейнеру/интерфейсу.
Игнорировать подтверждённый крит атаки из-за отсутствия броска защиты.</t>
  </si>
  <si>
    <t xml:space="preserve">Предразработочный QA и прямые ответы пользователя 2026-07-29
Прямое уточнение пользователя 2026-07-29 — боевой приоритет критов</t>
  </si>
  <si>
    <t xml:space="preserve">Q-PREDEV-002
Q-COMBAT-CRIT-001</t>
  </si>
  <si>
    <t xml:space="preserve">CORE-075
CORE-125
CORE-208
AQA-040
AQA-043
CORE-229</t>
  </si>
  <si>
    <t xml:space="preserve">Патч v1.4 (боевые криты)</t>
  </si>
  <si>
    <t xml:space="preserve">Крыса вне тела как отдельная сущность</t>
  </si>
  <si>
    <t xml:space="preserve">порождённый актор / Крыса.</t>
  </si>
  <si>
    <t xml:space="preserve">RatEntity</t>
  </si>
  <si>
    <t xml:space="preserve">вышедшая Крыса.</t>
  </si>
  <si>
    <t xml:space="preserve">Крыса покидает носителя.</t>
  </si>
  <si>
    <t xml:space="preserve">Способность Крысы разрешает выход.</t>
  </si>
  <si>
    <t xml:space="preserve">symbiontInstanceId, L, owner/controller, position</t>
  </si>
  <si>
    <t xml:space="preserve">Создать отдельную живую EntityShape=SINGLE_BODY с единственной зоной TORSO, armorLayers=[], inventoryContainer=null. Dodge доступен только при выполнении обычного порога I для категории атаки; Block, Parry и Preempt недоступны. HP и характеристики берутся из способности. Крыса может иметь не добываемый труп только там, где он нужен SYM-153.</t>
  </si>
  <si>
    <t xml:space="preserve">Независимая цель с однозначными защитой, бронёй и жизненным циклом.</t>
  </si>
  <si>
    <t xml:space="preserve">Не занимает место игрока; предметы ей не выдаются.</t>
  </si>
  <si>
    <t xml:space="preserve">armorLayerState=NO_LAYERS; DefenseChoice=DODGE|NONE.</t>
  </si>
  <si>
    <t xml:space="preserve">Предразработочный QA и прямые ответы пользователя 2026-07-29</t>
  </si>
  <si>
    <t xml:space="preserve">SYM-152
SYM-153
SYM-155
CORE-217
CORE-223
CORE-226</t>
  </si>
  <si>
    <t xml:space="preserve">Новая карточка v1.4</t>
  </si>
  <si>
    <t xml:space="preserve">Крысиная стая как SWARM</t>
  </si>
  <si>
    <t xml:space="preserve">порождённый актор / стая.</t>
  </si>
  <si>
    <t xml:space="preserve">RatSwarmEntity</t>
  </si>
  <si>
    <t xml:space="preserve">крысиная стая.</t>
  </si>
  <si>
    <t xml:space="preserve">Создана или атакована стая.</t>
  </si>
  <si>
    <t xml:space="preserve">N&gt;0.</t>
  </si>
  <si>
    <t xml:space="preserve">N, incoming damage, effectTags, requiredTargetCapabilities</t>
  </si>
  <si>
    <t xml:space="preserve">EntityShape=SWARM; HP=N; zones=[], availableDefenses=[], injuries=[], severeWound=null, corpsePolicy=NONE. Обычный и площадной фактический урон уменьшают HP. Захват, проглатывание, сбивание с ног, кокон, паралич конечности и инъекция в отдельное тело отклоняются как несовместимые вторичные эффекты. При HP=N=0 стая удаляется без трупа.</t>
  </si>
  <si>
    <t xml:space="preserve">Стая корректно участвует в бою без анатомических коллизий.</t>
  </si>
  <si>
    <t xml:space="preserve">Прямое видовое правило площадного или ментального эффекта может задать отдельную совместимость.</t>
  </si>
  <si>
    <t xml:space="preserve">HP=N; at HP=0 remove entity; DefenseChoice=NONE.</t>
  </si>
  <si>
    <t xml:space="preserve">SYM-157
SYM-159
SYM-160
CORE-117
CORE-217
CORE-223</t>
  </si>
  <si>
    <t xml:space="preserve">Маршрутизация анатомии канонического монстра</t>
  </si>
  <si>
    <t xml:space="preserve">цель / анатомия.</t>
  </si>
  <si>
    <t xml:space="preserve">Атакующий / система</t>
  </si>
  <si>
    <t xml:space="preserve">CanonicalMonster</t>
  </si>
  <si>
    <t xml:space="preserve">Объявление или нормализация зоны атаки.</t>
  </si>
  <si>
    <t xml:space="preserve">templateOrigin=CANONICAL_BESTIARY.</t>
  </si>
  <si>
    <t xml:space="preserve">canonicalTemplateId, requestedZone, attackZoneMode, target state</t>
  </si>
  <si>
    <t xml:space="preserve">Обычный канонический statblock использует default CANONICAL_BODY. У Трясинника default=BODY; PHOTOSENSITIVE_BACK выбирается только явно. У Вольмера default=OTHER_BODY; HEAD и OPEN_MOUTH выбираются только явно и при выполнении условий. Атака без зоны не уменьшает headHP. FunctionalCapabilities (кожа, пасть, конечности, захват, проглатывание, инъекция) хранятся отдельно и сами не создают HP-зоны.</t>
  </si>
  <si>
    <t xml:space="preserve">Получена ровно одна допустимая поражаемая зона или явная ошибка.</t>
  </si>
  <si>
    <t xml:space="preserve">CustomMonster остаётся TORSO_ONLY; канонические видовые исключения сильнее общего default.</t>
  </si>
  <si>
    <t xml:space="preserve">AQA-010
CORE-117
CORE-125
CORE-211
MON-125
MON-128
MON-138
MON-140
MON-141</t>
  </si>
  <si>
    <t xml:space="preserve">Временный внешний контроллер сущности</t>
  </si>
  <si>
    <t xml:space="preserve">управление / ментальный контроль.</t>
  </si>
  <si>
    <t xml:space="preserve">Система / Кукловод</t>
  </si>
  <si>
    <t xml:space="preserve">ControlLease</t>
  </si>
  <si>
    <t xml:space="preserve">effectiveController цели.</t>
  </si>
  <si>
    <t xml:space="preserve">Успешная «Марионетка» или окончание эффекта.</t>
  </si>
  <si>
    <t xml:space="preserve">Цель допускает ментальный контроль; встречная проверка успешна.</t>
  </si>
  <si>
    <t xml:space="preserve">owningController, previousEffectiveController, externalController, effectId, expiresAt</t>
  </si>
  <si>
    <t xml:space="preserve">Не меняя owningController, создать временный ControlLease и назначить effectiveController=externalController. Lease имеет явный приоритет и срок. По окончании, снятии или инвалидировании эффекта атомарно восстановить previousEffectiveController, а если он недоступен — owningController. Все решения цели, включая выбор защиты, принимает текущий effectiveController.</t>
  </si>
  <si>
    <t xml:space="preserve">Управление передано и гарантированно возвращается без смены владельца.</t>
  </si>
  <si>
    <t xml:space="preserve">Одновременные lease разрешаются по явному приоритету/времени; молчаливое уничтожение владельца запрещено.</t>
  </si>
  <si>
    <t xml:space="preserve">Q-PREDEV-006</t>
  </si>
  <si>
    <t xml:space="preserve">MON-038
CORE-181
AQA-040
AQA-043
CQA-049</t>
  </si>
  <si>
    <t xml:space="preserve">Тяжёлое ранение монстров</t>
  </si>
  <si>
    <t xml:space="preserve">HP / тяжёлое ранение.</t>
  </si>
  <si>
    <t xml:space="preserve">CanonicalMonster или CustomMonster</t>
  </si>
  <si>
    <t xml:space="preserve">состояние при HP=0.</t>
  </si>
  <si>
    <t xml:space="preserve">После применения фактического урона HP становится 0.</t>
  </si>
  <si>
    <t xml:space="preserve">Нет более сильного видового исхода.</t>
  </si>
  <si>
    <t xml:space="preserve">entityKind, currentHP, species overrides, pending effects</t>
  </si>
  <si>
    <t xml:space="preserve">Обычный CANONICAL_MONSTER или CUSTOM_MONSTER получает unconscious=true, severeWound=true, abstractVitalSystemDamaged=true и общий таймер смерти. Видовые исключения сильнее: Вольмер немедленно умирает при headHP=0; уже запущенный самоподрыв Огненной блохи разрешается прежде обычного прекращения действий.</t>
  </si>
  <si>
    <t xml:space="preserve">Однозначный переход HP=0 без обращения к отсутствующим зонам органов.</t>
  </si>
  <si>
    <t xml:space="preserve">SWARM не имеет тяжёлого ранения; прямой мгновенный исход вида сильнее.</t>
  </si>
  <si>
    <t xml:space="preserve">Обычный таймер CORE-153.</t>
  </si>
  <si>
    <t xml:space="preserve">Q-PREDEV-008</t>
  </si>
  <si>
    <t xml:space="preserve">CORE-152
CORE-153
CORE-182
CORE-219
MON-115
MON-140</t>
  </si>
  <si>
    <t xml:space="preserve">Политика трупа и обыска врага</t>
  </si>
  <si>
    <t xml:space="preserve">труп / лут.</t>
  </si>
  <si>
    <t xml:space="preserve">CorpseState</t>
  </si>
  <si>
    <t xml:space="preserve">операция LOOT.</t>
  </si>
  <si>
    <t xml:space="preserve">Смерть сущности или запрос обыска.</t>
  </si>
  <si>
    <t xml:space="preserve">Сущность побеждена.</t>
  </si>
  <si>
    <t xml:space="preserve">entityKind, corpsePolicy, lootPolicy, inventoryContainerId</t>
  </si>
  <si>
    <t xml:space="preserve">CANONICAL_MONSTER и CUSTOM_MONSTER: corpsePolicy=PERSIST, lootPolicy=NOT_LOOTABLE, inventoryContainerId=null. LOOT сначала проверяет corpse/lootPolicy и возвращает CORPSE_NOT_LOOTABLE до dereference контейнера. SentientEnemy использует обычный персонажный труп и его инвентарь. После взрыва Огненной блохи corpsePolicy=NONE и возвращается NO_CORPSE.</t>
  </si>
  <si>
    <t xml:space="preserve">Обыск безопасно отклонён либо передан обычной ветви персонажного лута.</t>
  </si>
  <si>
    <t xml:space="preserve">SWARM не оставляет труп; будущая явная таблица добычи может локально переопределить политику.</t>
  </si>
  <si>
    <t xml:space="preserve">Q-PREDEV-009</t>
  </si>
  <si>
    <t xml:space="preserve">CQA-001
CQA-061
AQA-032
AQA-034
MON-115</t>
  </si>
  <si>
    <t xml:space="preserve">Функциональные интерфейсы симбионта CustomMonster</t>
  </si>
  <si>
    <t xml:space="preserve">совместимость / анатомия.</t>
  </si>
  <si>
    <t xml:space="preserve">CustomMonster</t>
  </si>
  <si>
    <t xml:space="preserve">requiredFunctionalInterfaces.</t>
  </si>
  <si>
    <t xml:space="preserve">Валидация способности симбионта.</t>
  </si>
  <si>
    <t xml:space="preserve">У CustomMonster выбран обычный симбионт.</t>
  </si>
  <si>
    <t xml:space="preserve">abilityId, requiredFunctionalInterfaces[], forbiddenCommands[]</t>
  </si>
  <si>
    <t xml:space="preserve">Создать необходимые функциональные, но непоражаемые интерфейсы (кожа, рот, глаз, конечность, запястье и т.п.) без bodyZone, ItemInstance, equipment или inventory. Если интерфейс принципиально запрещён, команда отсутствует. Для Паука SYM-117 недоступна: производство паутины не создаёт предмет или MapObject. SYM-120/121 могут оставаться самостоятельными боевыми эффектами, если изучены и валидны, без сохраняемого лута.</t>
  </si>
  <si>
    <t xml:space="preserve">Совместимые способности работают без нарушения TORSO_ONLY и запрета инвентаря.</t>
  </si>
  <si>
    <t xml:space="preserve">Способности с обязательным навыком или предметом по-прежнему недоступны по CORE-204.</t>
  </si>
  <si>
    <t xml:space="preserve">Q-PREDEV-010</t>
  </si>
  <si>
    <t xml:space="preserve">CORE-203
CORE-204
CORE-209
CORE-211
SYM-117
SYM-120
SYM-121</t>
  </si>
  <si>
    <t xml:space="preserve">CORE-225</t>
  </si>
  <si>
    <t xml:space="preserve">Глубокое клонирование экземпляра шаблона врага</t>
  </si>
  <si>
    <t xml:space="preserve">шаблон / инстанцирование.</t>
  </si>
  <si>
    <t xml:space="preserve">EnemyInstanceGraph</t>
  </si>
  <si>
    <t xml:space="preserve">новый экземпляр.</t>
  </si>
  <si>
    <t xml:space="preserve">INSTANTIATE_ENEMY_TEMPLATE.</t>
  </si>
  <si>
    <t xml:space="preserve">Источник и версия валидны.</t>
  </si>
  <si>
    <t xml:space="preserve">template snapshot, destination, operationId</t>
  </si>
  <si>
    <t xml:space="preserve">Создать новый entityId и новые UUID для каждой изменяемой вложенной сущности: ItemInstance, instance WeaponProfileVersion, symbiont instance, effect, cooldown, capture, spawned component и mutable link. Все внутренние ссылки перепривязать к новым UUID. Неизменяемые ItemType, ability, template и version refs могут разделяться. Изменение экземпляра никогда не записывается в шаблон и не затрагивает соседний экземпляр.</t>
  </si>
  <si>
    <t xml:space="preserve">Получен полностью независимый изменяемый runtime-граф.</t>
  </si>
  <si>
    <t xml:space="preserve">CustomMonster не получает item graph; SentientEnemy из CAMPAIGN_CUSTOM и SYSTEM_DEFAULT_SENTIENT клонируются одинаково.</t>
  </si>
  <si>
    <t xml:space="preserve">MutableUUIDSets(instanceA) ∩ MutableUUIDSets(instanceB) = ∅.</t>
  </si>
  <si>
    <t xml:space="preserve">Q-PREDEV-014</t>
  </si>
  <si>
    <t xml:space="preserve">AQA-033
CORE-213
CORE-214
CORE-227</t>
  </si>
  <si>
    <t xml:space="preserve">CORE-226</t>
  </si>
  <si>
    <t xml:space="preserve">Отсутствие слоя брони и пробитие 0</t>
  </si>
  <si>
    <t xml:space="preserve">броня / пробитие.</t>
  </si>
  <si>
    <t xml:space="preserve">этап пробития.</t>
  </si>
  <si>
    <t xml:space="preserve">После попадания сформирован список активных слоёв.</t>
  </si>
  <si>
    <t xml:space="preserve">Атака использует обычный этап пробития.</t>
  </si>
  <si>
    <t xml:space="preserve">penetration, armorLayers[]</t>
  </si>
  <si>
    <t xml:space="preserve">Если armorLayers=[] или naturalArmorDefinition=0 без иных слоёв, установить armorLayerState=NO_LAYERS и считать этап пробития успешным при любом конечном penetration, включая 0. Если есть хотя бы один слой, armorLayerState=PRESENT, разрешить его значение и пропустить урон только при penetration&gt;totalArmor; равенство останавливает.</t>
  </si>
  <si>
    <t xml:space="preserve">Pr=0 наносит урон безбронной цели, но не пробивает существующий слой 0 или выше.</t>
  </si>
  <si>
    <t xml:space="preserve">Прямой урон/игнорирование брони следуют собственным правилам.</t>
  </si>
  <si>
    <t xml:space="preserve">NO_LAYERS =&gt; pass; PRESENT =&gt; pass iff Pr&gt;Σarmor.</t>
  </si>
  <si>
    <t xml:space="preserve">Q-PREDEV-018</t>
  </si>
  <si>
    <t xml:space="preserve">CORE-125
CORE-150
CORE-210
MON-090</t>
  </si>
  <si>
    <t xml:space="preserve">CORE-227</t>
  </si>
  <si>
    <t xml:space="preserve">Системный каталог врагов-мыслящих по умолчанию</t>
  </si>
  <si>
    <t xml:space="preserve">системный каталог / доступность.</t>
  </si>
  <si>
    <t xml:space="preserve">SystemDefaultSentientCatalog</t>
  </si>
  <si>
    <t xml:space="preserve">вкладка SentientEnemy кампании.</t>
  </si>
  <si>
    <t xml:space="preserve">Создание/загрузка кампании или инстанцирование системного шаблона.</t>
  </si>
  <si>
    <t xml:space="preserve">Установлена версия системного каталога.</t>
  </si>
  <si>
    <t xml:space="preserve">systemTemplateId, catalogVersion, rulesVersion, campaignId</t>
  </si>
  <si>
    <t xml:space="preserve">При создании кампании зафиксировать campaign.defaultSentientCatalogVersion на текущей системной версии. Все записи origin=SYSTEM_DEFAULT_SENTIENT этой версии всегда доступны во вкладке SentientEnemy. Мастер не может их изменить, скрыть, архивировать или удалить, но может добавлять campaign-owned custom. Экземпляр хранит provenance systemTemplateId+catalogVersion; изменения экземпляра не записываются в системный шаблон. Наполнение набора поставляется отдельно и в v1.4 не выдумывается.</t>
  </si>
  <si>
    <t xml:space="preserve">Контракт неизменяемого системного слоя готов к будущему наполнению.</t>
  </si>
  <si>
    <t xml:space="preserve">Это не общая библиотека пользовательских шаблонов; новые версии не меняют уже созданную кампанию без явной миграции.</t>
  </si>
  <si>
    <t xml:space="preserve">Q-PREDEV-012</t>
  </si>
  <si>
    <t xml:space="preserve">CORE-191
CORE-195
CORE-213
CORE-214
CORE-215
AQA-044</t>
  </si>
  <si>
    <t xml:space="preserve">Типизация яда и абсолютный иммунитет</t>
  </si>
  <si>
    <t xml:space="preserve">эффект / яд.</t>
  </si>
  <si>
    <t xml:space="preserve">EffectResolution</t>
  </si>
  <si>
    <t xml:space="preserve">цель эффекта.</t>
  </si>
  <si>
    <t xml:space="preserve">До применения эффекта с effectFamily=POISON.</t>
  </si>
  <si>
    <t xml:space="preserve">Эффект типизирован.</t>
  </si>
  <si>
    <t xml:space="preserve">effectFamily, poisonSourceKind, target effect responses</t>
  </si>
  <si>
    <t xml:space="preserve">Каждый яд обязан иметь effectFamily=POISON и poisonSourceKind=ORDINARY|NATURAL|ARTIFICIAL|SYMBIOTIC|CANONICAL. Ответ IMMUNE_BEFORE_ROLL с SourceScope=ANY полностью отклоняет прямой урон, состояние, счётчик и вторичные ядовитые эффекты до бросков. Крысюк и Гигантская жаба имеют такой ответ ко всем источникам.</t>
  </si>
  <si>
    <t xml:space="preserve">Симбиотический яд не обходит абсолютный иммунитет.</t>
  </si>
  <si>
    <t xml:space="preserve">Болезнь с названием «Отравление» без effectFamily=POISON остаётся болезнью; облако Скунса не считается ядом без явного тега.</t>
  </si>
  <si>
    <t xml:space="preserve">MON-104
MON-155
SYM-039
SYM-042
SYM-045
MON-099
MON-150</t>
  </si>
  <si>
    <t xml:space="preserve">CORE-229</t>
  </si>
  <si>
    <t xml:space="preserve">Прямое уточнение боевой критичности v1.4</t>
  </si>
  <si>
    <t xml:space="preserve">Приоритет критичности в боевой проверке</t>
  </si>
  <si>
    <t xml:space="preserve">крит / боевое разрешение проверки.</t>
  </si>
  <si>
    <t xml:space="preserve">участник боевой проверки и противодействующая сторона</t>
  </si>
  <si>
    <t xml:space="preserve">исход текущей проверки или встречного сравнения</t>
  </si>
  <si>
    <t xml:space="preserve">combat.active=true и выполняется допускающая критичность проверка действия, атаки, защиты или сопротивления; получена natural 20/1 либо локальная способность назначила критическую градацию.</t>
  </si>
  <si>
    <t xml:space="preserve">checkKind∈{ACTION,ATTACK,DEFENSE,RESISTANCE}; allowCritical=true; проверка значима и объявлена до броска; законность, цель, дистанция и обязательные расходы проверены; снимки модификаторов обеих сторон зафиксированы.</t>
  </si>
  <si>
    <t xml:space="preserve">originRollId, actorCharacterId, actorType, rollSource, dieType, rawFace, rollKind, checkKind, modifierStatCodes, criticalSource, criticalPolarity, confirmedGrade, флаги оригинальности/подтверждения/подстановки.</t>
  </si>
  <si>
    <t xml:space="preserve">Сначала разрешить критичность текущей боевой проверки по прежнему приоритету. Для progression отдельно передать original rawFace=20/1 в CORE-230. Положительная и отрицательная градации дают одинаковые eventPoints 1..5. Событие создаётся до выбора общего победителя и сохраняется при проигрыше.</t>
  </si>
  <si>
    <t xml:space="preserve">Не более одного symbiontXpEvent на originRollId; отдельное characteristic progression CORE-085 допускается.</t>
  </si>
  <si>
    <t xml:space="preserve">NO_DIRECT_BUT_POOL не становится критической проверкой и даёт 1 балл за rawFace 1/20. NEVER_PROGRESSION не даёт ничего. Equal-grade подстановка и confirmation rolls не создают событие.</t>
  </si>
  <si>
    <t xml:space="preserve">Не создаёт отдельного действия; стоимость исходного действия уже определена и не возвращается.</t>
  </si>
  <si>
    <t xml:space="preserve">Не создаёт и не возвращает ресурсы; сохраняются расходы исходного действия.</t>
  </si>
  <si>
    <t xml:space="preserve">rawFace 20/1 → base eventPoints=1; confirmedGrade Crit/Double/Triple/Ultra/Rampage → 1/2/3/4/5 вместо базовой единицы.</t>
  </si>
  <si>
    <t xml:space="preserve">Запрещено: выдавать XP только за positive critical; запрещать XP за natural 1/negative grade; повторно обрабатывать originRollId; считать итог формулы натуральной гранью.</t>
  </si>
  <si>
    <t xml:space="preserve">Только атомарное разрешение текущей проверки.</t>
  </si>
  <si>
    <t xml:space="preserve">Мастер заранее определяет значимость и допустимость критичности; после броска не меняет grade или порядок сравнения.</t>
  </si>
  <si>
    <t xml:space="preserve">До winner записать originRollId, natural face, polarity/grade, route и processingStatus; маршруты DIRECT_SYMBIONT и CHARACTER_PROGRESS_COUNTER взаимоисключающие.</t>
  </si>
  <si>
    <t xml:space="preserve">Прямое уточнение пользователя 2026-07-29 — боевой приоритет критов
Прямое авторское решение Q-SYMBIONT-XP-001 — опыт симбионтов за natural 20/1, 2026-07-30</t>
  </si>
  <si>
    <t xml:space="preserve">CORE-073
CORE-074
CORE-075
CORE-082
CORE-083
CORE-084
CORE-085
CORE-125
CORE-145
CORE-146
CORE-149
CORE-208
CORE-217
CORE-226
SYM-021
SYM-066
SYM-082
CORE-230
CORE-231
CORE-233</t>
  </si>
  <si>
    <t xml:space="preserve">Маршрутизация события опыта симбионтов</t>
  </si>
  <si>
    <t xml:space="preserve">прогрессия / маршрутизация D20</t>
  </si>
  <si>
    <t xml:space="preserve">Игровое ядро</t>
  </si>
  <si>
    <t xml:space="preserve">персонаж игрока</t>
  </si>
  <si>
    <t xml:space="preserve">original D20 и состояние прогрессии</t>
  </si>
  <si>
    <t xml:space="preserve">Разрешён original D20 персонажа игрока с server-validated rawFace=1|20 в COMBAT или PEACE.</t>
  </si>
  <si>
    <t xml:space="preserve">actorType=PLAYER_CHARACTER; dieType=D20; isOriginalRoll=true; originRollId задан; ручной или автоматический источник валиден.</t>
  </si>
  <si>
    <t xml:space="preserve">originRollId; actorCharacterId; actorType; rollSource; dieType; rawFace; rollKind; checkKind; modifierStatCodes; criticalSource; criticalPolarity; confirmedGrade; isOriginalRoll; isConfirmationRoll; isEqualGradeSubstitution.</t>
  </si>
  <si>
    <t xml:space="preserve">1) CORE-233 проверяет idempotency. 2) NEVER_PROGRESSION: не игрок, не original, confirmation/substitution, RANDOM_TABLE/creation, ненатуральный итог или ability-assigned grade без natural face. 3) eventPoints: natural 1/20=1; подтверждённая grade 1..5 заменяет базовую единицу; ability-assigned grade не усиливает. 4) NO_DIRECT_BUT_POOL всегда даёт 1 point. 5) Для значимой direct-eligible проверки построить уникальные active candidates по реально использованным modifierStatCodes; есть кандидаты — DIRECT_SYMBIONT, нет — CHARACTER_PROGRESS_COUNTER. 6) Незначимая direct-eligible проверка — NEVER. Маршруты взаимоисключающие.</t>
  </si>
  <si>
    <t xml:space="preserve">symbiontXpEvent с progressionRoute, eventPoints, selectedSymbiontInstanceId и processingStatus=PENDING; далее SYM-021 или CORE-231.</t>
  </si>
  <si>
    <t xml:space="preserve">NO_DIRECT_BUT_POOL={DAMAGE,PENETRATION,ARMOR,INITIATIVE,HEALING_AMOUNT,DURATION,RADIUS,ZONE_SIZE,QUANTITY,TARGET_COUNT}. NEVER включает confirmation, RANDOM_TABLE, creation, equal-grade substitution, duplicate и формульный 1/20. Проигрыш встречной проверки событие не отменяет.</t>
  </si>
  <si>
    <t xml:space="preserve">Не создаёт действия и не меняет время.</t>
  </si>
  <si>
    <t xml:space="preserve">Не создаёт расхода.</t>
  </si>
  <si>
    <t xml:space="preserve">eventPoints=confirmedGrade∈1..5 ? confirmedGrade : 1; только rawFace∈{1,20}.</t>
  </si>
  <si>
    <t xml:space="preserve">Два маршрута или два symbiontXpEvent на один originRollId; weighted candidates; XP за formulaTotal=1/20.</t>
  </si>
  <si>
    <t xml:space="preserve">Мгновенно при разрешении исходного D20.</t>
  </si>
  <si>
    <t xml:space="preserve">Мастер заранее определяет значимость; после броска не меняет route.</t>
  </si>
  <si>
    <t xml:space="preserve">Один symbiontXpEvent на originRollId; отдельное событие CORE-085 допускается. Логировать все обязательные поля и status.</t>
  </si>
  <si>
    <t xml:space="preserve">Прямое авторское решение Q-SYMBIONT-XP-001 — опыт симбионтов за natural 20/1, 2026-07-30</t>
  </si>
  <si>
    <t xml:space="preserve">CORE-007
CORE-073
CORE-075
CORE-082
CORE-083
CORE-084
CORE-085
CORE-087
CORE-092
CORE-104
CORE-125
CORE-145
CORE-146
CORE-149
CORE-150
CORE-163
CORE-172
CORE-208
CORE-229
CORE-231
CORE-233
SYM-012
SYM-017
SYM-021
SYM-082
AQA-027
AQA-039</t>
  </si>
  <si>
    <t xml:space="preserve">Новая карточка v1.6</t>
  </si>
  <si>
    <t xml:space="preserve">CORE-231</t>
  </si>
  <si>
    <t xml:space="preserve">Конвертация баллов общего счётчика</t>
  </si>
  <si>
    <t xml:space="preserve">прогрессия / состояние персонажа</t>
  </si>
  <si>
    <t xml:space="preserve">symbiontXpProgressPoints и unallocatedSymbiontXp</t>
  </si>
  <si>
    <t xml:space="preserve">CORE-230 вернул CHARACTER_PROGRESS_COUNTER с eventPoints&gt;0.</t>
  </si>
  <si>
    <t xml:space="preserve">0≤symbiontXpProgressPoints≤2; unallocatedSymbiontXp≥0; событие не обработано.</t>
  </si>
  <si>
    <t xml:space="preserve">oldProgressPoints, oldUnallocatedXP, eventPoints=1..5, originRollId.</t>
  </si>
  <si>
    <t xml:space="preserve">Атомарно: total=oldProgressPoints+eventPoints; gained=floor(total/3); unallocatedSymbiontXp=oldUnallocatedXP+gained; symbiontXpProgressPoints=total mod 3; status=APPLIED_COUNTER.</t>
  </si>
  <si>
    <t xml:space="preserve">Остаток 0..2 и любое неотрицательное число нераспределённых XP сохраняются постоянно.</t>
  </si>
  <si>
    <t xml:space="preserve">CORE-007 не удваивает points или gained. Отсутствие симбионтов не очищает состояние.</t>
  </si>
  <si>
    <t xml:space="preserve">Автоматически, без действия.</t>
  </si>
  <si>
    <t xml:space="preserve">Нет.</t>
  </si>
  <si>
    <t xml:space="preserve">gained=INT((old+eventPoints)/3); remainder=MOD(old+eventPoints,3).</t>
  </si>
  <si>
    <t xml:space="preserve">Автоматически распределять XP; терять переполнение; применять racial multiplier к counter.</t>
  </si>
  <si>
    <t xml:space="preserve">Постоянное состояние.</t>
  </si>
  <si>
    <t xml:space="preserve">Одной транзакцией с отметкой originRollId; повтор блокирует CORE-233.</t>
  </si>
  <si>
    <t xml:space="preserve">CORE-007
CORE-230
CORE-232
CORE-233</t>
  </si>
  <si>
    <t xml:space="preserve">CORE-232</t>
  </si>
  <si>
    <t xml:space="preserve">Распределение неназначенного опыта симбионтов</t>
  </si>
  <si>
    <t xml:space="preserve">команда игрока / прогрессия</t>
  </si>
  <si>
    <t xml:space="preserve">Игрок</t>
  </si>
  <si>
    <t xml:space="preserve">принадлежащий допустимый экземпляр симбионта</t>
  </si>
  <si>
    <t xml:space="preserve">Команда ALLOCATE_UNASSIGNED_SYMBIONT_XP.</t>
  </si>
  <si>
    <t xml:space="preserve">unallocatedSymbiontXp≥amount≥1; экземпляр принадлежит персонажу, активен и допустим локальными правилами.</t>
  </si>
  <si>
    <t xml:space="preserve">commandId, actorCharacterId, selectedSymbiontInstanceId, amount, currentUnallocatedXP, race policy.</t>
  </si>
  <si>
    <t xml:space="preserve">В одной транзакции уменьшить unallocatedSymbiontXp на amount и начислить выбранному симбионту baseXP=amount. Для Вольного CORE-007 даёт finalXP=amount×2 один раз. Игрок может не распределять и копить XP без ограничения.</t>
  </si>
  <si>
    <t xml:space="preserve">unallocatedSymbiontXp уменьшен; XP выбранного симбионта увеличен; audit awardSource=ALLOCATED_UNASSIGNED.</t>
  </si>
  <si>
    <t xml:space="preserve">При отсутствии симбионтов команда недоступна, состояние сохраняется. Taipan/Adviser под запретом не кандидаты; Penguin под Trogr допустим; SYM-055 не является этой командой.</t>
  </si>
  <si>
    <t xml:space="preserve">Служебная мирная команда, не боевое действие.</t>
  </si>
  <si>
    <t xml:space="preserve">Только выбранное число unallocatedSymbiontXp.</t>
  </si>
  <si>
    <t xml:space="preserve">finalXP=amount×(Free?2:1).</t>
  </si>
  <si>
    <t xml:space="preserve">Отрицательный остаток; чужой/недопустимый симбионт; автоматический выбор; двойной multiplier; повтор commandId.</t>
  </si>
  <si>
    <t xml:space="preserve">По запросу игрока.</t>
  </si>
  <si>
    <t xml:space="preserve">Не требуется.</t>
  </si>
  <si>
    <t xml:space="preserve">Idempotent commandId; before/after counters, target, baseXP, multiplier и finalXP.</t>
  </si>
  <si>
    <t xml:space="preserve">CORE-007
CORE-104
CORE-231
SYM-021
SYM-022
SYM-038
SYM-055
SYM-075
SYM-130</t>
  </si>
  <si>
    <t xml:space="preserve">CORE-233</t>
  </si>
  <si>
    <t xml:space="preserve">Дедупликация события опыта по originRollId</t>
  </si>
  <si>
    <t xml:space="preserve">idempotency / аудит</t>
  </si>
  <si>
    <t xml:space="preserve">symbiontXpEvent</t>
  </si>
  <si>
    <t xml:space="preserve">журнал обработки</t>
  </si>
  <si>
    <t xml:space="preserve">Перед созданием или применением события CORE-230/231/SYM-021.</t>
  </si>
  <si>
    <t xml:space="preserve">originRollId непуст; actorCharacterId и eventType заданы.</t>
  </si>
  <si>
    <t xml:space="preserve">idempotencyKey=(actorCharacterId,eventType=SYMBIONT_XP,originRollId), processingStatus.</t>
  </si>
  <si>
    <t xml:space="preserve">Первое валидное событие получает PENDING и затем один terminal status. Повтор того же ключа получает IGNORED_DUPLICATE и не меняет состояние. REJECTED_INVALID применяется к некорректным данным.</t>
  </si>
  <si>
    <t xml:space="preserve">Допустимые статусы: PENDING, APPLIED_DIRECT, APPLIED_COUNTER, IGNORED_NEVER, IGNORED_DUPLICATE, REJECTED_INVALID.</t>
  </si>
  <si>
    <t xml:space="preserve">Не дедуплицировать отдельный CHARACTERISTIC_PROGRESS CORE-085 тем же eventType; два независимых D20 имеют разные originRollId.</t>
  </si>
  <si>
    <t xml:space="preserve">max(symbiontXpEvent per originRollId)=1.</t>
  </si>
  <si>
    <t xml:space="preserve">Повторно начислить XP/points; считать два независимых D20 одним; заблокировать CORE-085.</t>
  </si>
  <si>
    <t xml:space="preserve">Ключ хранится достаточно для гарантии idempotency.</t>
  </si>
  <si>
    <t xml:space="preserve">Уникальный индекс по idempotencyKey; неизменяемый журнал переходов статуса.</t>
  </si>
  <si>
    <t xml:space="preserve">CORE-085
CORE-230
CORE-231
SYM-021</t>
  </si>
  <si>
    <t xml:space="preserve">CORE-234</t>
  </si>
  <si>
    <t xml:space="preserve">Прогрессия симбионтов v1.7</t>
  </si>
  <si>
    <t xml:space="preserve">Неизменяемое прямое начисление XP мастером</t>
  </si>
  <si>
    <t xml:space="preserve">master command / direct symbiont XP / immutable audit</t>
  </si>
  <si>
    <t xml:space="preserve">конкретный xpEligible экземпляр симбионта</t>
  </si>
  <si>
    <t xml:space="preserve">Команда GM_GRANT_SYMBIONT_XP.</t>
  </si>
  <si>
    <t xml:space="preserve">Текущий мастер; actorType=PLAYER_CHARACTER; симбионт принадлежит персонажу и xpEligible=true; baseXP — положительное целое; причина непуста; awardId задан.</t>
  </si>
  <si>
    <t xml:space="preserve">awardId, masterUserId, actorCharacterId, symbiontInstanceId, baseXP, reason, raceCode, committedAt</t>
  </si>
  <si>
    <t xml:space="preserve">Проверить предусловия и идемпотентность awardId. multiplier=2 для Вольного, иначе 1; finalXP=baseXP×multiplier. Атомарно увеличить только symbiont.xp и добавить append-only audit receipt. symbiontXpProgressPoints, unallocatedSymbiontXp и конвертация 3→1 не читаются и не изменяются.</t>
  </si>
  <si>
    <t xml:space="preserve">XP выбранного симбионта увеличен; неизменяемая квитанция хранит before/after и все входы.</t>
  </si>
  <si>
    <t xml:space="preserve">После commit начисление всегда валидно. Откат, удаление, отрицательная или компенсирующая операция отсутствуют. Исправление исходного ввода не предусмотрено.</t>
  </si>
  <si>
    <t xml:space="preserve">Служебная мастерская команда; не является боевым действием.</t>
  </si>
  <si>
    <t xml:space="preserve">Нет расхода общего счётчика или unallocated XP.</t>
  </si>
  <si>
    <t xml:space="preserve">finalXP=baseXP×(raceCode=FREE?2:1).</t>
  </si>
  <si>
    <t xml:space="preserve">baseXP≤0; дробное значение; пустая причина; не PLAYER_CHARACTER; чужой или xpEligible=false симбионт; повтор с иным payload; rollback/compensation/delete.</t>
  </si>
  <si>
    <t xml:space="preserve">Мгновенно на безопасной границе операции.</t>
  </si>
  <si>
    <t xml:space="preserve">Мастер выбирает персонажа, конкретного допустимого симбионта, baseXP и причину; UI показывает множитель и необратимость до commit.</t>
  </si>
  <si>
    <t xml:space="preserve">Атомарно изменить XP и записать append-only receipt: awardId, мастер, время, персонаж, симбионт, причина, baseXP, multiplier, finalXP, beforeXP, afterXP. Точный повтор возвращает прежнюю квитанцию; no rollback record type.</t>
  </si>
  <si>
    <t xml:space="preserve">Прямое решение пользователя 2026-08-01 — мастерское XP всегда валидно и не откатывается.</t>
  </si>
  <si>
    <t xml:space="preserve">Q-GM-XP-001</t>
  </si>
  <si>
    <t xml:space="preserve">CORE-007
CORE-104
SYM-021
CORE-232</t>
  </si>
  <si>
    <t xml:space="preserve">Новая карточка v1.7</t>
  </si>
  <si>
    <t xml:space="preserve">Parameter ID</t>
  </si>
  <si>
    <t xml:space="preserve">Группа параметра</t>
  </si>
  <si>
    <t xml:space="preserve">Нормативное значение / условие</t>
  </si>
  <si>
    <t xml:space="preserve">Статус правила</t>
  </si>
  <si>
    <t xml:space="preserve">PAR-00001</t>
  </si>
  <si>
    <t xml:space="preserve">PAR-00002</t>
  </si>
  <si>
    <t xml:space="preserve">PAR-00003</t>
  </si>
  <si>
    <t xml:space="preserve">PAR-00004</t>
  </si>
  <si>
    <t xml:space="preserve">PAR-00005</t>
  </si>
  <si>
    <t xml:space="preserve">PAR-00006</t>
  </si>
  <si>
    <t xml:space="preserve">PAR-00007</t>
  </si>
  <si>
    <t xml:space="preserve">PAR-00008</t>
  </si>
  <si>
    <t xml:space="preserve">PAR-00009</t>
  </si>
  <si>
    <t xml:space="preserve">доступен 1 слот; фактическое начисление symbiontXP += 2×baseXP.</t>
  </si>
  <si>
    <t xml:space="preserve">PAR-00010</t>
  </si>
  <si>
    <t xml:space="preserve">PAR-00011</t>
  </si>
  <si>
    <t xml:space="preserve">Бонус к «Крафту» хранится в листе персонажа, но приложение не предоставляет runtime-действие создания предмета по Q-CORE-059.</t>
  </si>
  <si>
    <t xml:space="preserve">PAR-00012</t>
  </si>
  <si>
    <t xml:space="preserve">разрешение небоевых/социальных действий вне охвата; боевые модификаторы применяются.</t>
  </si>
  <si>
    <t xml:space="preserve">PAR-00013</t>
  </si>
  <si>
    <t xml:space="preserve">PAR-00014</t>
  </si>
  <si>
    <t xml:space="preserve">PAR-00015</t>
  </si>
  <si>
    <t xml:space="preserve">PAR-00016</t>
  </si>
  <si>
    <t xml:space="preserve">PAR-00017</t>
  </si>
  <si>
    <t xml:space="preserve">C+5 с Чистыми, C−20 с Едиными; навык «Солдат Последнего Рассвета» занимает 1 слот и даёт +3 к точности ударов руками/ногами, борьбе, точности одноручного/полуторного меча, блокированию и точности ударов щитом; бесштрафны Кастелькросс/Цесмор/Гленхейм, Корнадора/Бларадэ, Кенси/Эривел/Эстрефорд/Айнцберн; смена цели ближней атаки не расходует действие.</t>
  </si>
  <si>
    <t xml:space="preserve">PAR-00018</t>
  </si>
  <si>
    <t xml:space="preserve">PAR-00019</t>
  </si>
  <si>
    <t xml:space="preserve">PAR-00020</t>
  </si>
  <si>
    <t xml:space="preserve">крафт как игровое действие исключён Q-CORE-059</t>
  </si>
  <si>
    <t xml:space="preserve">PAR-00021</t>
  </si>
  <si>
    <t xml:space="preserve">PAR-00022</t>
  </si>
  <si>
    <t xml:space="preserve">PAR-00023</t>
  </si>
  <si>
    <t xml:space="preserve">PAR-00024</t>
  </si>
  <si>
    <t xml:space="preserve">PAR-00025</t>
  </si>
  <si>
    <t xml:space="preserve">PAR-00026</t>
  </si>
  <si>
    <t xml:space="preserve">PAR-00027</t>
  </si>
  <si>
    <t xml:space="preserve">иной явно заданный срок имеет приоритет.</t>
  </si>
  <si>
    <t xml:space="preserve">PAR-00028</t>
  </si>
  <si>
    <t xml:space="preserve">PAR-00029</t>
  </si>
  <si>
    <t xml:space="preserve">PAR-00030</t>
  </si>
  <si>
    <t xml:space="preserve">формулировка «два/три удара за один ход» = одна особая атака за 1 боевое действие, не чаще 1 раза за личный ход; каждый удар полностью разрешается отдельно.</t>
  </si>
  <si>
    <t xml:space="preserve">PAR-00031</t>
  </si>
  <si>
    <t xml:space="preserve">Формулировка «за одно боевое действие» без «раз за ход» доступна за каждое имеющееся действие.</t>
  </si>
  <si>
    <t xml:space="preserve">PAR-00032</t>
  </si>
  <si>
    <t xml:space="preserve">PAR-00033</t>
  </si>
  <si>
    <t xml:space="preserve">PAR-00034</t>
  </si>
  <si>
    <t xml:space="preserve">PAR-00035</t>
  </si>
  <si>
    <t xml:space="preserve">PAR-00036</t>
  </si>
  <si>
    <t xml:space="preserve">PAR-00037</t>
  </si>
  <si>
    <t xml:space="preserve">PAR-00038</t>
  </si>
  <si>
    <t xml:space="preserve">PAR-00039</t>
  </si>
  <si>
    <t xml:space="preserve">PAR-00040</t>
  </si>
  <si>
    <t xml:space="preserve">PAR-00041</t>
  </si>
  <si>
    <t xml:space="preserve">PAR-00042</t>
  </si>
  <si>
    <t xml:space="preserve">На каждом выстреле Pr=R12, урон = созданный Dm, предел дальности = Rn; перезарядка = 1 боевое действие.</t>
  </si>
  <si>
    <t xml:space="preserve">PAR-00043</t>
  </si>
  <si>
    <t xml:space="preserve">PAR-00044</t>
  </si>
  <si>
    <t xml:space="preserve">при создании: Dm=R12+L; затем Rn=R12+Dm+L; затем Rs=ceil(Dm×Rn/(R20+3×Lw)), минимум 1; затем Rd=ceil(2×Rn/Lw), минимум 1.</t>
  </si>
  <si>
    <t xml:space="preserve">PAR-00045</t>
  </si>
  <si>
    <t xml:space="preserve">PAR-00046</t>
  </si>
  <si>
    <t xml:space="preserve">PAR-00047</t>
  </si>
  <si>
    <t xml:space="preserve">Dm=R20+L</t>
  </si>
  <si>
    <t xml:space="preserve">PAR-00048</t>
  </si>
  <si>
    <t xml:space="preserve">Rn=R12+Dm+L</t>
  </si>
  <si>
    <t xml:space="preserve">PAR-00049</t>
  </si>
  <si>
    <t xml:space="preserve">Rs=ceil(Dm×Rn/(R20+2×Lw)), минимум 1</t>
  </si>
  <si>
    <t xml:space="preserve">PAR-00050</t>
  </si>
  <si>
    <t xml:space="preserve">PAR-00051</t>
  </si>
  <si>
    <t xml:space="preserve">PAR-00052</t>
  </si>
  <si>
    <t xml:space="preserve">PAR-00053</t>
  </si>
  <si>
    <t xml:space="preserve">PAR-00054</t>
  </si>
  <si>
    <t xml:space="preserve">PAR-00055</t>
  </si>
  <si>
    <t xml:space="preserve">PAR-00056</t>
  </si>
  <si>
    <t xml:space="preserve">PAR-00057</t>
  </si>
  <si>
    <t xml:space="preserve">PAR-00058</t>
  </si>
  <si>
    <t xml:space="preserve">PAR-00059</t>
  </si>
  <si>
    <t xml:space="preserve">PAR-00060</t>
  </si>
  <si>
    <t xml:space="preserve">PAR-00061</t>
  </si>
  <si>
    <t xml:space="preserve">Rs=max(9,ceil((80−(Lw+Ls)/2)/(R6+L)))</t>
  </si>
  <si>
    <t xml:space="preserve">PAR-00062</t>
  </si>
  <si>
    <t xml:space="preserve">Rd по той же формуле и минимуму; точность D, урон S, навык «Фехтование»</t>
  </si>
  <si>
    <t xml:space="preserve">PAR-00063</t>
  </si>
  <si>
    <t xml:space="preserve">Pr=R12, базовый damage=R20.</t>
  </si>
  <si>
    <t xml:space="preserve">PAR-00064</t>
  </si>
  <si>
    <t xml:space="preserve">Rs=max(12,ceil((100−(Lw+Ls)/2)/(R4+L)))</t>
  </si>
  <si>
    <t xml:space="preserve">PAR-00065</t>
  </si>
  <si>
    <t xml:space="preserve">Rd=max(9,ceil((80−(Lw+Ls)/2)/(R6+L)))</t>
  </si>
  <si>
    <t xml:space="preserve">PAR-00066</t>
  </si>
  <si>
    <t xml:space="preserve">Pr=R20+5, базовый damage=R20+5</t>
  </si>
  <si>
    <t xml:space="preserve">PAR-00067</t>
  </si>
  <si>
    <t xml:space="preserve">Rs=max(5,ceil((50−(Lw+Ls)/2)/(R6+L)))</t>
  </si>
  <si>
    <t xml:space="preserve">PAR-00068</t>
  </si>
  <si>
    <t xml:space="preserve">Rd=max(12,ceil((100−(Lw+Ls)/2)/(R4+L))); +5 к парированию</t>
  </si>
  <si>
    <t xml:space="preserve">PAR-00069</t>
  </si>
  <si>
    <t xml:space="preserve">Pr=R12, базовый damage=R12</t>
  </si>
  <si>
    <t xml:space="preserve">PAR-00070</t>
  </si>
  <si>
    <t xml:space="preserve">Rs=max(7,ceil((70−(Lw+Ls)/2)/(R6+L)))</t>
  </si>
  <si>
    <t xml:space="preserve">PAR-00071</t>
  </si>
  <si>
    <t xml:space="preserve">Rd=max(6,ceil((70−(Lw+Ls)/2)/(R6+L))); +3 к проверке упреждающего удара</t>
  </si>
  <si>
    <t xml:space="preserve">PAR-00072</t>
  </si>
  <si>
    <t xml:space="preserve">PAR-00073</t>
  </si>
  <si>
    <t xml:space="preserve">PAR-00074</t>
  </si>
  <si>
    <t xml:space="preserve">Rs=max(9,ceil((60−(Lw+Ls)/2)/(R4+L)))</t>
  </si>
  <si>
    <t xml:space="preserve">PAR-00075</t>
  </si>
  <si>
    <t xml:space="preserve">Rd=max(12,ceil((80−(Lw+Ls)/2)/(R4+L)))</t>
  </si>
  <si>
    <t xml:space="preserve">PAR-00076</t>
  </si>
  <si>
    <t xml:space="preserve">Pr=R6, базовый damage=R6</t>
  </si>
  <si>
    <t xml:space="preserve">PAR-00077</t>
  </si>
  <si>
    <t xml:space="preserve">PAR-00078</t>
  </si>
  <si>
    <t xml:space="preserve">PAR-00079</t>
  </si>
  <si>
    <t xml:space="preserve">PAR-00080</t>
  </si>
  <si>
    <t xml:space="preserve">PAR-00081</t>
  </si>
  <si>
    <t xml:space="preserve">каждый слой/элемент даёт R6 к общей броне зоны; шлем не закрывает лицо и не даёт иммунитет к болевым приёмам на лице/выдавливанию глаз.</t>
  </si>
  <si>
    <t xml:space="preserve">PAR-00082</t>
  </si>
  <si>
    <t xml:space="preserve">PAR-00083</t>
  </si>
  <si>
    <t xml:space="preserve">PAR-00084</t>
  </si>
  <si>
    <t xml:space="preserve">PAR-00085</t>
  </si>
  <si>
    <t xml:space="preserve">PAR-00086</t>
  </si>
  <si>
    <t xml:space="preserve">PAR-00087</t>
  </si>
  <si>
    <t xml:space="preserve">PAR-00088</t>
  </si>
  <si>
    <t xml:space="preserve">armor=R20; псионический урон уменьшить на 5 и к встречным проверкам против псионического контроля/чтения/иллюзий +5; иммунитет к удушающему приёму; −6 к бегу/акробатике</t>
  </si>
  <si>
    <t xml:space="preserve">PAR-00089</t>
  </si>
  <si>
    <t xml:space="preserve">M−=3; псионическая защита не защищает от химических феромонов.</t>
  </si>
  <si>
    <t xml:space="preserve">PAR-00090</t>
  </si>
  <si>
    <t xml:space="preserve">PAR-00091</t>
  </si>
  <si>
    <t xml:space="preserve">PAR-00092</t>
  </si>
  <si>
    <t xml:space="preserve">PAR-00093</t>
  </si>
  <si>
    <t xml:space="preserve">PAR-00094</t>
  </si>
  <si>
    <t xml:space="preserve">PAR-00095</t>
  </si>
  <si>
    <t xml:space="preserve">PAR-00096</t>
  </si>
  <si>
    <t xml:space="preserve">PAR-00097</t>
  </si>
  <si>
    <t xml:space="preserve">PAR-00098</t>
  </si>
  <si>
    <t xml:space="preserve">PAR-00099</t>
  </si>
  <si>
    <t xml:space="preserve">PAR-00100</t>
  </si>
  <si>
    <t xml:space="preserve">PAR-00101</t>
  </si>
  <si>
    <t xml:space="preserve">PAR-00102</t>
  </si>
  <si>
    <t xml:space="preserve">PAR-00103</t>
  </si>
  <si>
    <t xml:space="preserve">PAR-00104</t>
  </si>
  <si>
    <t xml:space="preserve">PAR-00105</t>
  </si>
  <si>
    <t xml:space="preserve">PAR-00106</t>
  </si>
  <si>
    <t xml:space="preserve">PAR-00107</t>
  </si>
  <si>
    <t xml:space="preserve">PAR-00108</t>
  </si>
  <si>
    <t xml:space="preserve">PAR-00109</t>
  </si>
  <si>
    <t xml:space="preserve">PAR-00110</t>
  </si>
  <si>
    <t xml:space="preserve">PAR-00111</t>
  </si>
  <si>
    <t xml:space="preserve">PAR-00112</t>
  </si>
  <si>
    <t xml:space="preserve">PAR-00113</t>
  </si>
  <si>
    <t xml:space="preserve">PAR-00114</t>
  </si>
  <si>
    <t xml:space="preserve">PAR-00115</t>
  </si>
  <si>
    <t xml:space="preserve">PAR-00116</t>
  </si>
  <si>
    <t xml:space="preserve">PAR-00117</t>
  </si>
  <si>
    <t xml:space="preserve">PAR-00118</t>
  </si>
  <si>
    <t xml:space="preserve">PAR-00119</t>
  </si>
  <si>
    <t xml:space="preserve">PAR-00120</t>
  </si>
  <si>
    <t xml:space="preserve">PAR-00121</t>
  </si>
  <si>
    <t xml:space="preserve">PAR-00122</t>
  </si>
  <si>
    <t xml:space="preserve">PAR-00123</t>
  </si>
  <si>
    <t xml:space="preserve">PAR-00124</t>
  </si>
  <si>
    <t xml:space="preserve">PAR-00125</t>
  </si>
  <si>
    <t xml:space="preserve">PAR-00126</t>
  </si>
  <si>
    <t xml:space="preserve">R20, значение характеристики, применимые навыки/эффекты.</t>
  </si>
  <si>
    <t xml:space="preserve">PAR-00127</t>
  </si>
  <si>
    <t xml:space="preserve">result=R20+characteristic+allowedModifiers; против фиксированной сложности result≥difficulty = успех.</t>
  </si>
  <si>
    <t xml:space="preserve">PAR-00128</t>
  </si>
  <si>
    <t xml:space="preserve">Шкала по умолчанию: 10 простое, 15 обычное, 20 трудное, 25 очень трудное, 30 исключительное, 35 почти невозможное; мастер может назначить иное.</t>
  </si>
  <si>
    <t xml:space="preserve">PAR-00129</t>
  </si>
  <si>
    <t xml:space="preserve">PAR-00130</t>
  </si>
  <si>
    <t xml:space="preserve">PAR-00131</t>
  </si>
  <si>
    <t xml:space="preserve">PAR-00132</t>
  </si>
  <si>
    <t xml:space="preserve">Если цель не выполняет встречную проверку, её броска нет; атака попадает после остальных условий, пассивная броня остаётся.</t>
  </si>
  <si>
    <t xml:space="preserve">PAR-00133</t>
  </si>
  <si>
    <t xml:space="preserve">PAR-00134</t>
  </si>
  <si>
    <t xml:space="preserve">PAR-00135</t>
  </si>
  <si>
    <t xml:space="preserve">PAR-00136</t>
  </si>
  <si>
    <t xml:space="preserve">PAR-00137</t>
  </si>
  <si>
    <t xml:space="preserve">PAR-00138</t>
  </si>
  <si>
    <t xml:space="preserve">PAR-00139</t>
  </si>
  <si>
    <t xml:space="preserve">PAR-00140</t>
  </si>
  <si>
    <t xml:space="preserve">PAR-00141</t>
  </si>
  <si>
    <t xml:space="preserve">PAR-00142</t>
  </si>
  <si>
    <t xml:space="preserve">PAR-00143</t>
  </si>
  <si>
    <t xml:space="preserve">PAR-00144</t>
  </si>
  <si>
    <t xml:space="preserve">PAR-00145</t>
  </si>
  <si>
    <t xml:space="preserve">PAR-00146</t>
  </si>
  <si>
    <t xml:space="preserve">натуральные 1/20 сами не меняют обычный исход; только соответствующий обычный исход запускает подтверждение CORE-083/084.</t>
  </si>
  <si>
    <t xml:space="preserve">PAR-00147</t>
  </si>
  <si>
    <t xml:space="preserve">PAR-00148</t>
  </si>
  <si>
    <t xml:space="preserve">PAR-00149</t>
  </si>
  <si>
    <t xml:space="preserve">PAR-00150</t>
  </si>
  <si>
    <t xml:space="preserve">PAR-00151</t>
  </si>
  <si>
    <t xml:space="preserve">PAR-00152</t>
  </si>
  <si>
    <t xml:space="preserve">PAR-00153</t>
  </si>
  <si>
    <t xml:space="preserve">PAR-00154</t>
  </si>
  <si>
    <t xml:space="preserve">PAR-00155</t>
  </si>
  <si>
    <t xml:space="preserve">PAR-00156</t>
  </si>
  <si>
    <t xml:space="preserve">PAR-00157</t>
  </si>
  <si>
    <t xml:space="preserve">PAR-00158</t>
  </si>
  <si>
    <t xml:space="preserve">итог ≥18 даёт одно упреждающее боевое действие до нападающих; несколько успешных действуют по убыванию результата, ничья — чистый R20.</t>
  </si>
  <si>
    <t xml:space="preserve">PAR-00159</t>
  </si>
  <si>
    <t xml:space="preserve">PAR-00160</t>
  </si>
  <si>
    <t xml:space="preserve">PAR-00161</t>
  </si>
  <si>
    <t xml:space="preserve">PAR-00162</t>
  </si>
  <si>
    <t xml:space="preserve">Чумной доктор с «Распределением сил» автоматически успешен; порядок с другими — чистый R20.</t>
  </si>
  <si>
    <t xml:space="preserve">PAR-00163</t>
  </si>
  <si>
    <t xml:space="preserve">PAR-00164</t>
  </si>
  <si>
    <t xml:space="preserve">PAR-00165</t>
  </si>
  <si>
    <t xml:space="preserve">пул предварительных результатов действия.</t>
  </si>
  <si>
    <t xml:space="preserve">PAR-00166</t>
  </si>
  <si>
    <t xml:space="preserve">PAR-00167</t>
  </si>
  <si>
    <t xml:space="preserve">PAR-00168</t>
  </si>
  <si>
    <t xml:space="preserve">PAR-00169</t>
  </si>
  <si>
    <t xml:space="preserve">расход 1 боевого действия</t>
  </si>
  <si>
    <t xml:space="preserve">PAR-00170</t>
  </si>
  <si>
    <t xml:space="preserve">PAR-00171</t>
  </si>
  <si>
    <t xml:space="preserve">PAR-00172</t>
  </si>
  <si>
    <t xml:space="preserve">PAR-00173</t>
  </si>
  <si>
    <t xml:space="preserve">PAR-00174</t>
  </si>
  <si>
    <t xml:space="preserve">PAR-00175</t>
  </si>
  <si>
    <t xml:space="preserve">PAR-00176</t>
  </si>
  <si>
    <t xml:space="preserve">PAR-00177</t>
  </si>
  <si>
    <t xml:space="preserve">чистая грань 1–7→1, 8–12→2, 13–17→3, 18–19→4, 20→5 базовых боевых действий; затем бонусы/штрафы, итог может быть 0 или &gt;5; дополнительно 1 небоевое действие.</t>
  </si>
  <si>
    <t xml:space="preserve">PAR-00178</t>
  </si>
  <si>
    <t xml:space="preserve">PAR-00179</t>
  </si>
  <si>
    <t xml:space="preserve">PAR-00180</t>
  </si>
  <si>
    <t xml:space="preserve">PAR-00181</t>
  </si>
  <si>
    <t xml:space="preserve">PAR-00182</t>
  </si>
  <si>
    <t xml:space="preserve">PAR-00183</t>
  </si>
  <si>
    <t xml:space="preserve">PAR-00184</t>
  </si>
  <si>
    <t xml:space="preserve">PAR-00185</t>
  </si>
  <si>
    <t xml:space="preserve">PAR-00186</t>
  </si>
  <si>
    <t xml:space="preserve">PAR-00187</t>
  </si>
  <si>
    <t xml:space="preserve">PAR-00188</t>
  </si>
  <si>
    <t xml:space="preserve">PAR-00189</t>
  </si>
  <si>
    <t xml:space="preserve">PAR-00190</t>
  </si>
  <si>
    <t xml:space="preserve">PAR-00191</t>
  </si>
  <si>
    <t xml:space="preserve">PAR-00192</t>
  </si>
  <si>
    <t xml:space="preserve">PAR-00193</t>
  </si>
  <si>
    <t xml:space="preserve">PAR-00194</t>
  </si>
  <si>
    <t xml:space="preserve">PAR-00195</t>
  </si>
  <si>
    <t xml:space="preserve">PAR-00196</t>
  </si>
  <si>
    <t xml:space="preserve">PAR-00197</t>
  </si>
  <si>
    <t xml:space="preserve">PAR-00198</t>
  </si>
  <si>
    <t xml:space="preserve">PAR-00199</t>
  </si>
  <si>
    <t xml:space="preserve">PAR-00200</t>
  </si>
  <si>
    <t xml:space="preserve">PAR-00201</t>
  </si>
  <si>
    <t xml:space="preserve">PAR-00202</t>
  </si>
  <si>
    <t xml:space="preserve">PAR-00203</t>
  </si>
  <si>
    <t xml:space="preserve">PAR-00204</t>
  </si>
  <si>
    <t xml:space="preserve">PAR-00205</t>
  </si>
  <si>
    <t xml:space="preserve">PAR-00206</t>
  </si>
  <si>
    <t xml:space="preserve">PAR-00207</t>
  </si>
  <si>
    <t xml:space="preserve">PAR-00208</t>
  </si>
  <si>
    <t xml:space="preserve">PAR-00209</t>
  </si>
  <si>
    <t xml:space="preserve">PAR-00210</t>
  </si>
  <si>
    <t xml:space="preserve">PAR-00211</t>
  </si>
  <si>
    <t xml:space="preserve">PAR-00212</t>
  </si>
  <si>
    <t xml:space="preserve">PAR-00213</t>
  </si>
  <si>
    <t xml:space="preserve">PAR-00214</t>
  </si>
  <si>
    <t xml:space="preserve">PAR-00215</t>
  </si>
  <si>
    <t xml:space="preserve">PAR-00216</t>
  </si>
  <si>
    <t xml:space="preserve">PAR-00217</t>
  </si>
  <si>
    <t xml:space="preserve">PAR-00218</t>
  </si>
  <si>
    <t xml:space="preserve">PAR-00219</t>
  </si>
  <si>
    <t xml:space="preserve">PAR-00220</t>
  </si>
  <si>
    <t xml:space="preserve">PAR-00221</t>
  </si>
  <si>
    <t xml:space="preserve">PAR-00222</t>
  </si>
  <si>
    <t xml:space="preserve">PAR-00223</t>
  </si>
  <si>
    <t xml:space="preserve">PAR-00224</t>
  </si>
  <si>
    <t xml:space="preserve">PAR-00225</t>
  </si>
  <si>
    <t xml:space="preserve">PAR-00226</t>
  </si>
  <si>
    <t xml:space="preserve">PAR-00227</t>
  </si>
  <si>
    <t xml:space="preserve">за каждый элемент отдельное действие и встречная проверка; при строгом превышении мастера элемент сброшен.</t>
  </si>
  <si>
    <t xml:space="preserve">PAR-00228</t>
  </si>
  <si>
    <t xml:space="preserve">PAR-00229</t>
  </si>
  <si>
    <t xml:space="preserve">PAR-00230</t>
  </si>
  <si>
    <t xml:space="preserve">PAR-00231</t>
  </si>
  <si>
    <t xml:space="preserve">PAR-00232</t>
  </si>
  <si>
    <t xml:space="preserve">PAR-00233</t>
  </si>
  <si>
    <t xml:space="preserve">PAR-00234</t>
  </si>
  <si>
    <t xml:space="preserve">PAR-00235</t>
  </si>
  <si>
    <t xml:space="preserve">PAR-00236</t>
  </si>
  <si>
    <t xml:space="preserve">PAR-00237</t>
  </si>
  <si>
    <t xml:space="preserve">PAR-00238</t>
  </si>
  <si>
    <t xml:space="preserve">PAR-00239</t>
  </si>
  <si>
    <t xml:space="preserve">PAR-00240</t>
  </si>
  <si>
    <t xml:space="preserve">PAR-00241</t>
  </si>
  <si>
    <t xml:space="preserve">удалить ссылку на исключённый CORE-122; оставить D6 гуманоида/четвероногого</t>
  </si>
  <si>
    <t xml:space="preserve">PAR-00242</t>
  </si>
  <si>
    <t xml:space="preserve">PAR-00243</t>
  </si>
  <si>
    <t xml:space="preserve">PAR-00244</t>
  </si>
  <si>
    <t xml:space="preserve">PAR-00245</t>
  </si>
  <si>
    <t xml:space="preserve">PAR-00246</t>
  </si>
  <si>
    <t xml:space="preserve">PAR-00247</t>
  </si>
  <si>
    <t xml:space="preserve">PAR-00248</t>
  </si>
  <si>
    <t xml:space="preserve">PAR-00249</t>
  </si>
  <si>
    <t xml:space="preserve">PAR-00250</t>
  </si>
  <si>
    <t xml:space="preserve">PAR-00251</t>
  </si>
  <si>
    <t xml:space="preserve">2) атомарно списать действие, ОЭ, боеприпас и расходники</t>
  </si>
  <si>
    <t xml:space="preserve">PAR-00252</t>
  </si>
  <si>
    <t xml:space="preserve">PAR-00253</t>
  </si>
  <si>
    <t xml:space="preserve">цель, тип, предмет/способность, зона, цена, боеприпас/ОЭ.</t>
  </si>
  <si>
    <t xml:space="preserve">PAR-00254</t>
  </si>
  <si>
    <t xml:space="preserve">PAR-00255</t>
  </si>
  <si>
    <t xml:space="preserve">6) определить урон, сопротивления, HP</t>
  </si>
  <si>
    <t xml:space="preserve">PAR-00256</t>
  </si>
  <si>
    <t xml:space="preserve">Провал этапа прекращает следующие; ресурсы не возвращаются.</t>
  </si>
  <si>
    <t xml:space="preserve">PAR-00257</t>
  </si>
  <si>
    <t xml:space="preserve">PAR-00258</t>
  </si>
  <si>
    <t xml:space="preserve">PAR-00259</t>
  </si>
  <si>
    <t xml:space="preserve">PAR-00260</t>
  </si>
  <si>
    <t xml:space="preserve">7) после фактического урона ровно один раз проверить травму, тяжёлое ранение и прочие последствия.</t>
  </si>
  <si>
    <t xml:space="preserve">PAR-00261</t>
  </si>
  <si>
    <t xml:space="preserve">PAR-00262</t>
  </si>
  <si>
    <t xml:space="preserve">PAR-00263</t>
  </si>
  <si>
    <t xml:space="preserve">PAR-00264</t>
  </si>
  <si>
    <t xml:space="preserve">PAR-00265</t>
  </si>
  <si>
    <t xml:space="preserve">PAR-00266</t>
  </si>
  <si>
    <t xml:space="preserve">PAR-00267</t>
  </si>
  <si>
    <t xml:space="preserve">PAR-00268</t>
  </si>
  <si>
    <t xml:space="preserve">PAR-00269</t>
  </si>
  <si>
    <t xml:space="preserve">PAR-00270</t>
  </si>
  <si>
    <t xml:space="preserve">определить случайную зону живой цели; попасть при строгом превышении; при живой цели считать предмет грубым оружием: Pr=R12, damage=S+Mkg, если масса ≥0.3 кг; без навыка применить −2 ко всем проверкам (не к броску урона, который проверкой не является).</t>
  </si>
  <si>
    <t xml:space="preserve">PAR-00271</t>
  </si>
  <si>
    <t xml:space="preserve">PAR-00272</t>
  </si>
  <si>
    <t xml:space="preserve">PAR-00273</t>
  </si>
  <si>
    <t xml:space="preserve">PAR-00274</t>
  </si>
  <si>
    <t xml:space="preserve">PAR-00275</t>
  </si>
  <si>
    <t xml:space="preserve">PAR-00276</t>
  </si>
  <si>
    <t xml:space="preserve">PAR-00277</t>
  </si>
  <si>
    <t xml:space="preserve">разрешить по стрельбе; accuracy=R20+ShootingBonus+symbiontLevel+max(D,I,W)+mods; отсутствие «Стрельбы» не даёт штрафа; зона/защита/Pr/damage по общей процедуре и способности.</t>
  </si>
  <si>
    <t xml:space="preserve">PAR-00278</t>
  </si>
  <si>
    <t xml:space="preserve">PAR-00279</t>
  </si>
  <si>
    <t xml:space="preserve">PAR-00280</t>
  </si>
  <si>
    <t xml:space="preserve">PAR-00281</t>
  </si>
  <si>
    <t xml:space="preserve">S к урону, D к точности, «Рукопашный бой» указан как общий модификатор удара, «Солдат» даёт +3 к точности; без обоих навыков −5 к ударам; с высоким+ рукопашным боем одна атака за действие включает два отдельно разрешаемых удара кулаками.</t>
  </si>
  <si>
    <t xml:space="preserve">PAR-00282</t>
  </si>
  <si>
    <t xml:space="preserve">PAR-00283</t>
  </si>
  <si>
    <t xml:space="preserve">PAR-00284</t>
  </si>
  <si>
    <t xml:space="preserve">кулак: базовый R6, Pr=0; нога: базовый R12, Pr=0</t>
  </si>
  <si>
    <t xml:space="preserve">PAR-00285</t>
  </si>
  <si>
    <t xml:space="preserve">PAR-00286</t>
  </si>
  <si>
    <t xml:space="preserve">PAR-00287</t>
  </si>
  <si>
    <t xml:space="preserve">PAR-00288</t>
  </si>
  <si>
    <t xml:space="preserve">PAR-00289</t>
  </si>
  <si>
    <t xml:space="preserve">PAR-00290</t>
  </si>
  <si>
    <t xml:space="preserve">PAR-00291</t>
  </si>
  <si>
    <t xml:space="preserve">Блок при щите: R20+(S+D)/2+Владение щитом+Солдат+щитБонус−8+mods, безлимитно; успех при defense≥accuracy.</t>
  </si>
  <si>
    <t xml:space="preserve">PAR-00292</t>
  </si>
  <si>
    <t xml:space="preserve">PAR-00293</t>
  </si>
  <si>
    <t xml:space="preserve">PAR-00294</t>
  </si>
  <si>
    <t xml:space="preserve">PAR-00295</t>
  </si>
  <si>
    <t xml:space="preserve">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t>
  </si>
  <si>
    <t xml:space="preserve">PAR-00296</t>
  </si>
  <si>
    <t xml:space="preserve">PAR-00297</t>
  </si>
  <si>
    <t xml:space="preserve">PAR-00298</t>
  </si>
  <si>
    <t xml:space="preserve">PAR-00299</t>
  </si>
  <si>
    <t xml:space="preserve">PAR-00300</t>
  </si>
  <si>
    <t xml:space="preserve">PAR-00301</t>
  </si>
  <si>
    <t xml:space="preserve">PAR-00302</t>
  </si>
  <si>
    <t xml:space="preserve">PAR-00303</t>
  </si>
  <si>
    <t xml:space="preserve">PAR-00304</t>
  </si>
  <si>
    <t xml:space="preserve">PAR-00305</t>
  </si>
  <si>
    <t xml:space="preserve">HP установить указанным значением, иначе 1.</t>
  </si>
  <si>
    <t xml:space="preserve">PAR-00306</t>
  </si>
  <si>
    <t xml:space="preserve">Обычное лечение HP без прямого указания не действует.</t>
  </si>
  <si>
    <t xml:space="preserve">PAR-00307</t>
  </si>
  <si>
    <t xml:space="preserve">PAR-00308</t>
  </si>
  <si>
    <t xml:space="preserve">PAR-00309</t>
  </si>
  <si>
    <t xml:space="preserve">PAR-00310</t>
  </si>
  <si>
    <t xml:space="preserve">PAR-00311</t>
  </si>
  <si>
    <t xml:space="preserve">PAR-00312</t>
  </si>
  <si>
    <t xml:space="preserve">PAR-00313</t>
  </si>
  <si>
    <t xml:space="preserve">PAR-00314</t>
  </si>
  <si>
    <t xml:space="preserve">валидировать требования; добавлять итоговый бонус навыка к перечисленным действиям; применять штраф без навыка только где указан.</t>
  </si>
  <si>
    <t xml:space="preserve">PAR-00315</t>
  </si>
  <si>
    <t xml:space="preserve">Навык «Крафт» можно выбрать и хранить как характеристику листа, но его действие создания предметов приложением не исполняется по Q-CORE-059.</t>
  </si>
  <si>
    <t xml:space="preserve">PAR-00316</t>
  </si>
  <si>
    <t xml:space="preserve">Каталог: • Навык — Требования (все одновременно) — Механически значимый охват / штраф без навыка • Рукопашный бой — S9, D11 — удары руками/ногами, блок без щита; без навыка −5 • Борьба — S11, D9, I4 — борцовские приёмы; без навыка −5 • Метание — S5, D11, I5 — метание оружия; без навыка −3 • Бросание — S11, D5 — бросание предметов; без навыка −2 • Стрельба — S5, D6, I4 — точность атак «Стрельба» • Стрельба из лука — S8, D12, I5 — точность лука; без навыка −5 • Владение грубым оружием — S14, D6 — урон/точность грубого оружия и тяжёлых подручных средств; без навыка −3 • Фехтование — S10, D10, I3 — урон/точность длинного клинкового, парирование; без навыка −5 • Владение копьём — S10, D10 — урон/точность копья; без навыка −2 • Владение коротким оружием — S6, D12, I3 — урон/точность короткого клинкового, его метание, сходные предметы; без навыка −5 • Владение топорами — S12, D10, I2 — урон/точность топоров; без навыка −5 • Владение щитом — S10, D8, I2 — урон/точность щитом и блок щитом; без навыка −5 • Наездник — S4, D5, I5 — управление скакуном; без навыка −5 (разрешение небоевого действия исключено) • Скрытность — D12, I5 — маскировка, сокрытие, схроны, скрытые перемещения (разрешение §5.3 исключено) • Вор — D13, I8 — кражи, замки, обыск, городская маскировка (разрешение исключено) • Акробатика — D14 — лазание, прыжки, кувырки, сложные маршруты, паркур • Ориентирование — I11 — маршрут/путь/картина вслепую (разрешение исключено) • Ученик — I12 — обучение навыку (разрешение §5.3.2 исключено) • Учитель — I13, C10 — обучение/объяснение (исключено) • Крафт — I12, W14 — создание; без навыка −5 • Ремонт — I10, W12 — ремонт; без навыка −5 • Выслеживание — I9, W11 — следы/направление/обнаружение (небоевое разрешение исключено) • Внимательность — W16 — прямой сбор информации, обнаружение, память (небоевое разрешение исключено) • Аналитическое мышление — I16 — анализ, упреждающий удар; социальное сопротивление C исключено • Изобретательство — I18 — новое/улучшение/новое применение (разрешение исключено) • Письмо и чтение — I10, W8 — грамотность; без навыка Единый/Вольный с W&lt;8 неграмотен (небоевое) • Соблазнение — C13 — социальное — разрешение исключено • Обман — C11 — социальное — исключено • Актёрское мастерство — C14 — социальное — исключено • Торг — C11, I10 — социальное — исключено • Палач — C11, S6 — запугивание/допрос/пытки/связывание — §5.3 исключён • Выживание в дикой природе — I10, W12, S8, D8 — небоевые действия/маскировка — разрешение исключено • Молниеносная реакция — D16, I14, W14 — реакция на нападение и уклонение • Управление техникой — I18, W16 — сложная техника — небоевое разрешение исключено • Здоровый образ жизни — Z14, I8, W8 — сопротивление болезням и ядам • Проницательность — C15, I15 — вытягивание сведений/ложь; абсолютный убирает −10 — социальное исключено • Кулинария — W7 — пища/ингредиенты — исключено • Медик — I14, W12 — медицинские манипуляции; без навыка −10, кроме Искателя — §5.3 исключён • Эрудиция — I10, W12 — вспоминание фактов — исключено • Естественнонаучные знания — I14, W10 — дополнительный модификатор изобретательства/крафта только при наличии основного навыка • Алкоголик со стажем — Z8 — дополнительный модификатор сопротивления опьянению — §5.3 исключён</t>
  </si>
  <si>
    <t xml:space="preserve">PAR-00317</t>
  </si>
  <si>
    <t xml:space="preserve">PAR-00318</t>
  </si>
  <si>
    <t xml:space="preserve">PAR-00319</t>
  </si>
  <si>
    <t xml:space="preserve">PAR-00320</t>
  </si>
  <si>
    <t xml:space="preserve">PAR-00321</t>
  </si>
  <si>
    <t xml:space="preserve">PAR-00322</t>
  </si>
  <si>
    <t xml:space="preserve">PAR-00323</t>
  </si>
  <si>
    <t xml:space="preserve">PAR-00324</t>
  </si>
  <si>
    <t xml:space="preserve">PAR-00325</t>
  </si>
  <si>
    <t xml:space="preserve">PAR-00326</t>
  </si>
  <si>
    <t xml:space="preserve">PAR-00327</t>
  </si>
  <si>
    <t xml:space="preserve">PAR-00328</t>
  </si>
  <si>
    <t xml:space="preserve">PAR-00329</t>
  </si>
  <si>
    <t xml:space="preserve">PAR-00330</t>
  </si>
  <si>
    <t xml:space="preserve">PAR-00331</t>
  </si>
  <si>
    <t xml:space="preserve">PAR-00332</t>
  </si>
  <si>
    <t xml:space="preserve">ход персонажа = его одно место в инициативе; «ход»/«боевой ход» без уточнения = личный ход, не круг.</t>
  </si>
  <si>
    <t xml:space="preserve">PAR-00333</t>
  </si>
  <si>
    <t xml:space="preserve">Круг инициативы = полный цикл, где каждый участник получает ход.</t>
  </si>
  <si>
    <t xml:space="preserve">PAR-00334</t>
  </si>
  <si>
    <t xml:space="preserve">Формулировка «до конца хода (круга инициативы)» означает конец текущего круга.</t>
  </si>
  <si>
    <t xml:space="preserve">PAR-00335</t>
  </si>
  <si>
    <t xml:space="preserve">Сцена = непрерывный эпизод в одном месте/времени, её завершение вводит мастер.</t>
  </si>
  <si>
    <t xml:space="preserve">PAR-00336</t>
  </si>
  <si>
    <t xml:space="preserve">PAR-00337</t>
  </si>
  <si>
    <t xml:space="preserve">PAR-00338</t>
  </si>
  <si>
    <t xml:space="preserve">PAR-00339</t>
  </si>
  <si>
    <t xml:space="preserve">PAR-00340</t>
  </si>
  <si>
    <t xml:space="preserve">PAR-00341</t>
  </si>
  <si>
    <t xml:space="preserve">В начале каждого личного хода запретить атаки и автоматически расходовать все боевые действия на обычные перемещения по прямой от ближайшего противника; каждое перемещение равно max(0,R20+D−En×10).</t>
  </si>
  <si>
    <t xml:space="preserve">PAR-00342</t>
  </si>
  <si>
    <t xml:space="preserve">Защитные реакции сохраняются.</t>
  </si>
  <si>
    <t xml:space="preserve">PAR-00343</t>
  </si>
  <si>
    <t xml:space="preserve">Установить fleeing=true.</t>
  </si>
  <si>
    <t xml:space="preserve">PAR-00344</t>
  </si>
  <si>
    <t xml:space="preserve">PAR-00345</t>
  </si>
  <si>
    <t xml:space="preserve">PAR-00346</t>
  </si>
  <si>
    <t xml:space="preserve">PAR-00347</t>
  </si>
  <si>
    <t xml:space="preserve">PAR-00348</t>
  </si>
  <si>
    <t xml:space="preserve">PAR-00349</t>
  </si>
  <si>
    <t xml:space="preserve">PAR-00350</t>
  </si>
  <si>
    <t xml:space="preserve">PAR-00351</t>
  </si>
  <si>
    <t xml:space="preserve">PAR-00352</t>
  </si>
  <si>
    <t xml:space="preserve">PAR-00353</t>
  </si>
  <si>
    <t xml:space="preserve">PAR-00354</t>
  </si>
  <si>
    <t xml:space="preserve">PAR-00355</t>
  </si>
  <si>
    <t xml:space="preserve">PAR-00356</t>
  </si>
  <si>
    <t xml:space="preserve">Прежняя помета о неопределённости пересадки в конфликтующей части не применяется.</t>
  </si>
  <si>
    <t xml:space="preserve">PAR-00357</t>
  </si>
  <si>
    <t xml:space="preserve">PAR-00358</t>
  </si>
  <si>
    <t xml:space="preserve">PAR-00359</t>
  </si>
  <si>
    <t xml:space="preserve">PAR-00360</t>
  </si>
  <si>
    <t xml:space="preserve">PAR-00361</t>
  </si>
  <si>
    <t xml:space="preserve">PAR-00362</t>
  </si>
  <si>
    <t xml:space="preserve">PAR-00363</t>
  </si>
  <si>
    <t xml:space="preserve">PAR-00364</t>
  </si>
  <si>
    <t xml:space="preserve">PAR-00365</t>
  </si>
  <si>
    <t xml:space="preserve">PAR-00366</t>
  </si>
  <si>
    <t xml:space="preserve">PAR-00367</t>
  </si>
  <si>
    <t xml:space="preserve">PAR-00368</t>
  </si>
  <si>
    <t xml:space="preserve">PAR-00369</t>
  </si>
  <si>
    <t xml:space="preserve">PAR-00370</t>
  </si>
  <si>
    <t xml:space="preserve">PAR-00371</t>
  </si>
  <si>
    <t xml:space="preserve">PAR-00372</t>
  </si>
  <si>
    <t xml:space="preserve">PAR-00373</t>
  </si>
  <si>
    <t xml:space="preserve">первый названный чистый R20 — бросок активации и одновременно значение первого связанного числового эффекта; слово «отдельная»/новое вхождение требует нового броска.</t>
  </si>
  <si>
    <t xml:space="preserve">PAR-00374</t>
  </si>
  <si>
    <t xml:space="preserve">PAR-00375</t>
  </si>
  <si>
    <t xml:space="preserve">PAR-00376</t>
  </si>
  <si>
    <t xml:space="preserve">PAR-00377</t>
  </si>
  <si>
    <t xml:space="preserve">PAR-00378</t>
  </si>
  <si>
    <t xml:space="preserve">PAR-00379</t>
  </si>
  <si>
    <t xml:space="preserve">PAR-00380</t>
  </si>
  <si>
    <t xml:space="preserve">PAR-00381</t>
  </si>
  <si>
    <t xml:space="preserve">PAR-00382</t>
  </si>
  <si>
    <t xml:space="preserve">2R20 — два независимых D20 с суммой</t>
  </si>
  <si>
    <t xml:space="preserve">PAR-00383</t>
  </si>
  <si>
    <t xml:space="preserve">R20×2 — один результат, умноженный на 2; каждое новое вхождение R — новый бросок, если не сказано обратное</t>
  </si>
  <si>
    <t xml:space="preserve">PAR-00384</t>
  </si>
  <si>
    <t xml:space="preserve">PAR-00385</t>
  </si>
  <si>
    <t xml:space="preserve">PAR-00386</t>
  </si>
  <si>
    <t xml:space="preserve">symbiont.xp += award.</t>
  </si>
  <si>
    <t xml:space="preserve">PAR-00387</t>
  </si>
  <si>
    <t xml:space="preserve">PAR-00388</t>
  </si>
  <si>
    <t xml:space="preserve">PAR-00389</t>
  </si>
  <si>
    <t xml:space="preserve">PAR-00390</t>
  </si>
  <si>
    <t xml:space="preserve">PAR-00391</t>
  </si>
  <si>
    <t xml:space="preserve">PAR-00392</t>
  </si>
  <si>
    <t xml:space="preserve">при временной потере уровня не удалять способности, заблокировать способности выше L, ограничить ОЭ новым максимумом, XP не возвращать.</t>
  </si>
  <si>
    <t xml:space="preserve">PAR-00393</t>
  </si>
  <si>
    <t xml:space="preserve">PAR-00394</t>
  </si>
  <si>
    <t xml:space="preserve">Для Единого применить S−=7, M−=10, Z−=10 (CORE-001); для Вольного применить S−=2, M−=2, Z−=2 (CORE-006).</t>
  </si>
  <si>
    <t xml:space="preserve">PAR-00395</t>
  </si>
  <si>
    <t xml:space="preserve">Случайное естественное заражение остаётся random-режимом: Единый S−=3, M−=6, Z−=6, Вольный без расовой поправки.</t>
  </si>
  <si>
    <t xml:space="preserve">PAR-00396</t>
  </si>
  <si>
    <t xml:space="preserve">PAR-00397</t>
  </si>
  <si>
    <t xml:space="preserve">PAR-00398</t>
  </si>
  <si>
    <t xml:space="preserve">PAR-00399</t>
  </si>
  <si>
    <t xml:space="preserve">PAR-00400</t>
  </si>
  <si>
    <t xml:space="preserve">PAR-00401</t>
  </si>
  <si>
    <t xml:space="preserve">PAR-00402</t>
  </si>
  <si>
    <t xml:space="preserve">R=5–17: HP += 2R.</t>
  </si>
  <si>
    <t xml:space="preserve">PAR-00403</t>
  </si>
  <si>
    <t xml:space="preserve">R=18–19: восстановить 50 HP и удалить все травмы.</t>
  </si>
  <si>
    <t xml:space="preserve">PAR-00404</t>
  </si>
  <si>
    <t xml:space="preserve">R=20: восстановить HP полностью, удалить все травмы и косметические дефекты, снижающие C.</t>
  </si>
  <si>
    <t xml:space="preserve">PAR-00405</t>
  </si>
  <si>
    <t xml:space="preserve">PAR-00406</t>
  </si>
  <si>
    <t xml:space="preserve">PAR-00407</t>
  </si>
  <si>
    <t xml:space="preserve">R=2–4: нет лечения.</t>
  </si>
  <si>
    <t xml:space="preserve">PAR-00408</t>
  </si>
  <si>
    <t xml:space="preserve">PAR-00409</t>
  </si>
  <si>
    <t xml:space="preserve">PAR-00410</t>
  </si>
  <si>
    <t xml:space="preserve">PAR-00411</t>
  </si>
  <si>
    <t xml:space="preserve">PAR-00412</t>
  </si>
  <si>
    <t xml:space="preserve">PAR-00413</t>
  </si>
  <si>
    <t xml:space="preserve">PAR-00414</t>
  </si>
  <si>
    <t xml:space="preserve">PAR-00415</t>
  </si>
  <si>
    <t xml:space="preserve">R=1: цель теряет 10 HP.</t>
  </si>
  <si>
    <t xml:space="preserve">PAR-00416</t>
  </si>
  <si>
    <t xml:space="preserve">R=5–19: цель восстанавливает 2R HP.</t>
  </si>
  <si>
    <t xml:space="preserve">PAR-00417</t>
  </si>
  <si>
    <t xml:space="preserve">R=20: цель восстанавливает 50 HP, все травмы и косметические дефекты, снижающие C.</t>
  </si>
  <si>
    <t xml:space="preserve">PAR-00418</t>
  </si>
  <si>
    <t xml:space="preserve">PAR-00419</t>
  </si>
  <si>
    <t xml:space="preserve">PAR-00420</t>
  </si>
  <si>
    <t xml:space="preserve">R=2–4: нет эффекта.</t>
  </si>
  <si>
    <t xml:space="preserve">PAR-00421</t>
  </si>
  <si>
    <t xml:space="preserve">PAR-00422</t>
  </si>
  <si>
    <t xml:space="preserve">PAR-00423</t>
  </si>
  <si>
    <t xml:space="preserve">PAR-00424</t>
  </si>
  <si>
    <t xml:space="preserve">PAR-00425</t>
  </si>
  <si>
    <t xml:space="preserve">PAR-00426</t>
  </si>
  <si>
    <t xml:space="preserve">PAR-00427</t>
  </si>
  <si>
    <t xml:space="preserve">PAR-00428</t>
  </si>
  <si>
    <t xml:space="preserve">PAR-00429</t>
  </si>
  <si>
    <t xml:space="preserve">PAR-00430</t>
  </si>
  <si>
    <t xml:space="preserve">maxOE=10×L; связанная W; max L=6</t>
  </si>
  <si>
    <t xml:space="preserve">PAR-00431</t>
  </si>
  <si>
    <t xml:space="preserve">W +=5.</t>
  </si>
  <si>
    <t xml:space="preserve">PAR-00432</t>
  </si>
  <si>
    <t xml:space="preserve">PAR-00433</t>
  </si>
  <si>
    <t xml:space="preserve">PAR-00434</t>
  </si>
  <si>
    <t xml:space="preserve">W_bonus=max(0,min(4L,20−W_base))</t>
  </si>
  <si>
    <t xml:space="preserve">PAR-00435</t>
  </si>
  <si>
    <t xml:space="preserve">W=W_base+W_bonus.</t>
  </si>
  <si>
    <t xml:space="preserve">PAR-00436</t>
  </si>
  <si>
    <t xml:space="preserve">Если Учитель — единственный симбионт, I_bonus=max(0,min(4L,20−I_base)), I=I_base+I_bonus.</t>
  </si>
  <si>
    <t xml:space="preserve">PAR-00437</t>
  </si>
  <si>
    <t xml:space="preserve">PAR-00438</t>
  </si>
  <si>
    <t xml:space="preserve">После ручного подтверждения часа равновероятно выбрать один присутствующий симбионт, кроме Учителя, и начислить ему 1 XP.</t>
  </si>
  <si>
    <t xml:space="preserve">PAR-00439</t>
  </si>
  <si>
    <t xml:space="preserve">PAR-00440</t>
  </si>
  <si>
    <t xml:space="preserve">Если других симбионтов нет, XP не создаётся.</t>
  </si>
  <si>
    <t xml:space="preserve">PAR-00441</t>
  </si>
  <si>
    <t xml:space="preserve">PAR-00442</t>
  </si>
  <si>
    <t xml:space="preserve">PAR-00443</t>
  </si>
  <si>
    <t xml:space="preserve">PAR-00444</t>
  </si>
  <si>
    <t xml:space="preserve">PAR-00445</t>
  </si>
  <si>
    <t xml:space="preserve">PAR-00446</t>
  </si>
  <si>
    <t xml:space="preserve">PAR-00447</t>
  </si>
  <si>
    <t xml:space="preserve">PAR-00448</t>
  </si>
  <si>
    <t xml:space="preserve">PAR-00449</t>
  </si>
  <si>
    <t xml:space="preserve">полное восстановление чужих ОЭ</t>
  </si>
  <si>
    <t xml:space="preserve">PAR-00450</t>
  </si>
  <si>
    <t xml:space="preserve">ОЭ Учителя уменьшаются на 60.</t>
  </si>
  <si>
    <t xml:space="preserve">PAR-00451</t>
  </si>
  <si>
    <t xml:space="preserve">PAR-00452</t>
  </si>
  <si>
    <t xml:space="preserve">PAR-00453</t>
  </si>
  <si>
    <t xml:space="preserve">PAR-00454</t>
  </si>
  <si>
    <t xml:space="preserve">PAR-00455</t>
  </si>
  <si>
    <t xml:space="preserve">PAR-00456</t>
  </si>
  <si>
    <t xml:space="preserve">PAR-00457</t>
  </si>
  <si>
    <t xml:space="preserve">PAR-00458</t>
  </si>
  <si>
    <t xml:space="preserve">PAR-00459</t>
  </si>
  <si>
    <t xml:space="preserve">PAR-00460</t>
  </si>
  <si>
    <t xml:space="preserve">PAR-00461</t>
  </si>
  <si>
    <t xml:space="preserve">maxOE=30×L; связанные D,W; max L=6</t>
  </si>
  <si>
    <t xml:space="preserve">PAR-00462</t>
  </si>
  <si>
    <t xml:space="preserve">M−=5, Z−=5.</t>
  </si>
  <si>
    <t xml:space="preserve">PAR-00463</t>
  </si>
  <si>
    <t xml:space="preserve">PAR-00464</t>
  </si>
  <si>
    <t xml:space="preserve">PAR-00465</t>
  </si>
  <si>
    <t xml:space="preserve">maxOE=100×L; связанные W,Z; max L=6.</t>
  </si>
  <si>
    <t xml:space="preserve">PAR-00466</t>
  </si>
  <si>
    <t xml:space="preserve">PAR-00467</t>
  </si>
  <si>
    <t xml:space="preserve">PAR-00468</t>
  </si>
  <si>
    <t xml:space="preserve">PAR-00469</t>
  </si>
  <si>
    <t xml:space="preserve">ОЭ вне подходящего тела не восстанавливать.</t>
  </si>
  <si>
    <t xml:space="preserve">PAR-00470</t>
  </si>
  <si>
    <t xml:space="preserve">PAR-00471</t>
  </si>
  <si>
    <t xml:space="preserve">PAR-00472</t>
  </si>
  <si>
    <t xml:space="preserve">PAR-00473</t>
  </si>
  <si>
    <t xml:space="preserve">PAR-00474</t>
  </si>
  <si>
    <t xml:space="preserve">PAR-00475</t>
  </si>
  <si>
    <t xml:space="preserve">PAR-00476</t>
  </si>
  <si>
    <t xml:space="preserve">PAR-00477</t>
  </si>
  <si>
    <t xml:space="preserve">PAR-00478</t>
  </si>
  <si>
    <t xml:space="preserve">PAR-00479</t>
  </si>
  <si>
    <t xml:space="preserve">PAR-00480</t>
  </si>
  <si>
    <t xml:space="preserve">PAR-00481</t>
  </si>
  <si>
    <t xml:space="preserve">PAR-00482</t>
  </si>
  <si>
    <t xml:space="preserve">PAR-00483</t>
  </si>
  <si>
    <t xml:space="preserve">PAR-00484</t>
  </si>
  <si>
    <t xml:space="preserve">PAR-00485</t>
  </si>
  <si>
    <t xml:space="preserve">PAR-00486</t>
  </si>
  <si>
    <t xml:space="preserve">PAR-00487</t>
  </si>
  <si>
    <t xml:space="preserve">PAR-00488</t>
  </si>
  <si>
    <t xml:space="preserve">PAR-00489</t>
  </si>
  <si>
    <t xml:space="preserve">PAR-00490</t>
  </si>
  <si>
    <t xml:space="preserve">PAR-00491</t>
  </si>
  <si>
    <t xml:space="preserve">R≥3: стандартная дальняя атака, пробитие=R+L, урон=R+L одной проверкой.</t>
  </si>
  <si>
    <t xml:space="preserve">PAR-00492</t>
  </si>
  <si>
    <t xml:space="preserve">R=2: нет эффекта.</t>
  </si>
  <si>
    <t xml:space="preserve">PAR-00493</t>
  </si>
  <si>
    <t xml:space="preserve">PAR-00494</t>
  </si>
  <si>
    <t xml:space="preserve">PAR-00495</t>
  </si>
  <si>
    <t xml:space="preserve">PAR-00496</t>
  </si>
  <si>
    <t xml:space="preserve">PAR-00497</t>
  </si>
  <si>
    <t xml:space="preserve">PAR-00498</t>
  </si>
  <si>
    <t xml:space="preserve">PAR-00499</t>
  </si>
  <si>
    <t xml:space="preserve">PAR-00500</t>
  </si>
  <si>
    <t xml:space="preserve">PAR-00501</t>
  </si>
  <si>
    <t xml:space="preserve">PAR-00502</t>
  </si>
  <si>
    <t xml:space="preserve">PAR-00503</t>
  </si>
  <si>
    <t xml:space="preserve">PAR-00504</t>
  </si>
  <si>
    <t xml:space="preserve">считать ноги оружием; пробитие=R20+L; урон=отдельный R20+2L</t>
  </si>
  <si>
    <t xml:space="preserve">PAR-00505</t>
  </si>
  <si>
    <t xml:space="preserve">PAR-00506</t>
  </si>
  <si>
    <t xml:space="preserve">PAR-00507</t>
  </si>
  <si>
    <t xml:space="preserve">PAR-00508</t>
  </si>
  <si>
    <t xml:space="preserve">PAR-00509</t>
  </si>
  <si>
    <t xml:space="preserve">PAR-00510</t>
  </si>
  <si>
    <t xml:space="preserve">R≥4: на 3R минут проверки обнаружения получают −2L, движение не снимает; крупный предмет в руках делит штраф пополам.</t>
  </si>
  <si>
    <t xml:space="preserve">PAR-00511</t>
  </si>
  <si>
    <t xml:space="preserve">R=1: на 1 час окрас мухомора с движущимися пятнами, −10 к скрытности и C-проверкам.</t>
  </si>
  <si>
    <t xml:space="preserve">PAR-00512</t>
  </si>
  <si>
    <t xml:space="preserve">PAR-00513</t>
  </si>
  <si>
    <t xml:space="preserve">PAR-00514</t>
  </si>
  <si>
    <t xml:space="preserve">R=2–3: нет эффекта.</t>
  </si>
  <si>
    <t xml:space="preserve">PAR-00515</t>
  </si>
  <si>
    <t xml:space="preserve">PAR-00516</t>
  </si>
  <si>
    <t xml:space="preserve">PAR-00517</t>
  </si>
  <si>
    <t xml:space="preserve">PAR-00518</t>
  </si>
  <si>
    <t xml:space="preserve">PAR-00519</t>
  </si>
  <si>
    <t xml:space="preserve">PAR-00520</t>
  </si>
  <si>
    <t xml:space="preserve">PAR-00521</t>
  </si>
  <si>
    <t xml:space="preserve">PAR-00522</t>
  </si>
  <si>
    <t xml:space="preserve">PAR-00523</t>
  </si>
  <si>
    <t xml:space="preserve">PAR-00524</t>
  </si>
  <si>
    <t xml:space="preserve">PAR-00525</t>
  </si>
  <si>
    <t xml:space="preserve">PAR-00526</t>
  </si>
  <si>
    <t xml:space="preserve">A=1 → специальное последствие носителю: сознание/30 урона/симбионты по SYM-137.</t>
  </si>
  <si>
    <t xml:space="preserve">PAR-00527</t>
  </si>
  <si>
    <t xml:space="preserve">PAR-00528</t>
  </si>
  <si>
    <t xml:space="preserve">A&gt;21−L → оглушение цели 1 ход/5 мин</t>
  </si>
  <si>
    <t xml:space="preserve">PAR-00529</t>
  </si>
  <si>
    <t xml:space="preserve">A&gt;19−L → отключение её симбионтов на тот же срок</t>
  </si>
  <si>
    <t xml:space="preserve">PAR-00530</t>
  </si>
  <si>
    <t xml:space="preserve">PAR-00531</t>
  </si>
  <si>
    <t xml:space="preserve">PAR-00532</t>
  </si>
  <si>
    <t xml:space="preserve">при активной дуге сомкнуть ладони; оплатить поддержание и 100 ОЭ</t>
  </si>
  <si>
    <t xml:space="preserve">PAR-00533</t>
  </si>
  <si>
    <t xml:space="preserve">PAR-00534</t>
  </si>
  <si>
    <t xml:space="preserve">PAR-00535</t>
  </si>
  <si>
    <t xml:space="preserve">A=1 → носитель дополнительно теряет сознание на 2 хода/10 мин, получает 30 урона, все его симбионты отключаются на тот же срок.</t>
  </si>
  <si>
    <t xml:space="preserve">PAR-00536</t>
  </si>
  <si>
    <t xml:space="preserve">PAR-00537</t>
  </si>
  <si>
    <t xml:space="preserve">A&gt;21−L → оглушить цель 1 ход/5 мин</t>
  </si>
  <si>
    <t xml:space="preserve">PAR-00538</t>
  </si>
  <si>
    <t xml:space="preserve">A&gt;19−L → отключить её симбионтов на тот же срок.</t>
  </si>
  <si>
    <t xml:space="preserve">PAR-00539</t>
  </si>
  <si>
    <t xml:space="preserve">PAR-00540</t>
  </si>
  <si>
    <t xml:space="preserve">maxOE=40×L; связанные M,Z; max L=7</t>
  </si>
  <si>
    <t xml:space="preserve">PAR-00541</t>
  </si>
  <si>
    <t xml:space="preserve">Z+=5.</t>
  </si>
  <si>
    <t xml:space="preserve">PAR-00542</t>
  </si>
  <si>
    <t xml:space="preserve">PAR-00543</t>
  </si>
  <si>
    <t xml:space="preserve">временно снизить выбранные характеристики на N; за каждый пункт добавить +5 часов существования без еды и сна и +10 минут без кислорода.</t>
  </si>
  <si>
    <t xml:space="preserve">PAR-00544</t>
  </si>
  <si>
    <t xml:space="preserve">Вернуть все пункты только после совместного выполнения: доступ к кислороду восстановлен, плотная еда принята, завершены 4 часа сна.</t>
  </si>
  <si>
    <t xml:space="preserve">PAR-00545</t>
  </si>
  <si>
    <t xml:space="preserve">PAR-00546</t>
  </si>
  <si>
    <t xml:space="preserve">PAR-00547</t>
  </si>
  <si>
    <t xml:space="preserve">ОЭ хватает на всю цену.</t>
  </si>
  <si>
    <t xml:space="preserve">PAR-00548</t>
  </si>
  <si>
    <t xml:space="preserve">PAR-00549</t>
  </si>
  <si>
    <t xml:space="preserve">PAR-00550</t>
  </si>
  <si>
    <t xml:space="preserve">PAR-00551</t>
  </si>
  <si>
    <t xml:space="preserve">PAR-00552</t>
  </si>
  <si>
    <t xml:space="preserve">PAR-00553</t>
  </si>
  <si>
    <t xml:space="preserve">PAR-00554</t>
  </si>
  <si>
    <t xml:space="preserve">PAR-00555</t>
  </si>
  <si>
    <t xml:space="preserve">PAR-00556</t>
  </si>
  <si>
    <t xml:space="preserve">PAR-00557</t>
  </si>
  <si>
    <t xml:space="preserve">PAR-00558</t>
  </si>
  <si>
    <t xml:space="preserve">PAR-00559</t>
  </si>
  <si>
    <t xml:space="preserve">PAR-00560</t>
  </si>
  <si>
    <t xml:space="preserve">Если R20+5 &gt; checkM_target, цель теряет сознание на 5 минут/1 ход.</t>
  </si>
  <si>
    <t xml:space="preserve">PAR-00561</t>
  </si>
  <si>
    <t xml:space="preserve">PAR-00562</t>
  </si>
  <si>
    <t xml:space="preserve">PAR-00563</t>
  </si>
  <si>
    <t xml:space="preserve">PAR-00564</t>
  </si>
  <si>
    <t xml:space="preserve">PAR-00565</t>
  </si>
  <si>
    <t xml:space="preserve">PAR-00566</t>
  </si>
  <si>
    <t xml:space="preserve">PAR-00567</t>
  </si>
  <si>
    <t xml:space="preserve">PAR-00568</t>
  </si>
  <si>
    <t xml:space="preserve">если носитель в течение 1 часа съел ≥50% тела, через 12 часов переродить без потери L.</t>
  </si>
  <si>
    <t xml:space="preserve">PAR-00569</t>
  </si>
  <si>
    <t xml:space="preserve">PAR-00570</t>
  </si>
  <si>
    <t xml:space="preserve">PAR-00571</t>
  </si>
  <si>
    <t xml:space="preserve">PAR-00572</t>
  </si>
  <si>
    <t xml:space="preserve">PAR-00573</t>
  </si>
  <si>
    <t xml:space="preserve">PAR-00574</t>
  </si>
  <si>
    <t xml:space="preserve">добавить бонус 2L; итоговая D Крысы при отсутствии иных модификаторов =4L.</t>
  </si>
  <si>
    <t xml:space="preserve">PAR-00575</t>
  </si>
  <si>
    <t xml:space="preserve">PAR-00576</t>
  </si>
  <si>
    <t xml:space="preserve">PAR-00577</t>
  </si>
  <si>
    <t xml:space="preserve">PAR-00578</t>
  </si>
  <si>
    <t xml:space="preserve">PAR-00579</t>
  </si>
  <si>
    <t xml:space="preserve">PAR-00580</t>
  </si>
  <si>
    <t xml:space="preserve">PAR-00581</t>
  </si>
  <si>
    <t xml:space="preserve">сохранить контроль за носителем на сутки; стая выполняет приказ невзирая на любые потери; по окончании стая неизбежно разбегается.</t>
  </si>
  <si>
    <t xml:space="preserve">PAR-00582</t>
  </si>
  <si>
    <t xml:space="preserve">PAR-00583</t>
  </si>
  <si>
    <t xml:space="preserve">PAR-00584</t>
  </si>
  <si>
    <t xml:space="preserve">PAR-00585</t>
  </si>
  <si>
    <t xml:space="preserve">PAR-00586</t>
  </si>
  <si>
    <t xml:space="preserve">maxOE=40×L; связанные S,D; max L=6</t>
  </si>
  <si>
    <t xml:space="preserve">PAR-00587</t>
  </si>
  <si>
    <t xml:space="preserve">D+=5.</t>
  </si>
  <si>
    <t xml:space="preserve">PAR-00588</t>
  </si>
  <si>
    <t xml:space="preserve">PAR-00589</t>
  </si>
  <si>
    <t xml:space="preserve">PAR-00590</t>
  </si>
  <si>
    <t xml:space="preserve">maxOE=50×L; связанные D,M; max L=6</t>
  </si>
  <si>
    <t xml:space="preserve">PAR-00591</t>
  </si>
  <si>
    <t xml:space="preserve">C−=10, кроме времени, когда носитель одет в герметичный «Нэйт».</t>
  </si>
  <si>
    <t xml:space="preserve">PAR-00592</t>
  </si>
  <si>
    <t xml:space="preserve">PAR-00593</t>
  </si>
  <si>
    <t xml:space="preserve">PAR-00594</t>
  </si>
  <si>
    <t xml:space="preserve">PAR-00595</t>
  </si>
  <si>
    <t xml:space="preserve">PAR-00596</t>
  </si>
  <si>
    <t xml:space="preserve">PAR-00597</t>
  </si>
  <si>
    <t xml:space="preserve">PAR-00598</t>
  </si>
  <si>
    <t xml:space="preserve">10 последовательных боевых ходов либо 10 минут вне боя.</t>
  </si>
  <si>
    <t xml:space="preserve">PAR-00599</t>
  </si>
  <si>
    <t xml:space="preserve">PAR-00600</t>
  </si>
  <si>
    <t xml:space="preserve">50 ОЭ; состояние цели</t>
  </si>
  <si>
    <t xml:space="preserve">PAR-00601</t>
  </si>
  <si>
    <t xml:space="preserve">PAR-00602</t>
  </si>
  <si>
    <t xml:space="preserve">PAR-00603</t>
  </si>
  <si>
    <t xml:space="preserve">PAR-00604</t>
  </si>
  <si>
    <t xml:space="preserve">PAR-00605</t>
  </si>
  <si>
    <t xml:space="preserve">PAR-00606</t>
  </si>
  <si>
    <t xml:space="preserve">PAR-00607</t>
  </si>
  <si>
    <t xml:space="preserve">PAR-00608</t>
  </si>
  <si>
    <t xml:space="preserve">PAR-00609</t>
  </si>
  <si>
    <t xml:space="preserve">PAR-00610</t>
  </si>
  <si>
    <t xml:space="preserve">Множитель ×4 синхронизирован с локальным приоритетом CORE-154.</t>
  </si>
  <si>
    <t xml:space="preserve">PAR-00611</t>
  </si>
  <si>
    <t xml:space="preserve">PAR-00612</t>
  </si>
  <si>
    <t xml:space="preserve">PAR-00613</t>
  </si>
  <si>
    <t xml:space="preserve">PAR-00614</t>
  </si>
  <si>
    <t xml:space="preserve">PAR-00615</t>
  </si>
  <si>
    <t xml:space="preserve">PAR-00616</t>
  </si>
  <si>
    <t xml:space="preserve">PAR-00617</t>
  </si>
  <si>
    <t xml:space="preserve">PAR-00618</t>
  </si>
  <si>
    <t xml:space="preserve">PAR-00619</t>
  </si>
  <si>
    <t xml:space="preserve">PAR-00620</t>
  </si>
  <si>
    <t xml:space="preserve">PAR-00621</t>
  </si>
  <si>
    <t xml:space="preserve">PAR-00622</t>
  </si>
  <si>
    <t xml:space="preserve">PAR-00623</t>
  </si>
  <si>
    <t xml:space="preserve">PAR-00624</t>
  </si>
  <si>
    <t xml:space="preserve">PAR-00625</t>
  </si>
  <si>
    <t xml:space="preserve">PAR-00626</t>
  </si>
  <si>
    <t xml:space="preserve">PAR-00627</t>
  </si>
  <si>
    <t xml:space="preserve">PAR-00628</t>
  </si>
  <si>
    <t xml:space="preserve">PAR-00629</t>
  </si>
  <si>
    <t xml:space="preserve">PAR-00630</t>
  </si>
  <si>
    <t xml:space="preserve">PAR-00631</t>
  </si>
  <si>
    <t xml:space="preserve">PAR-00632</t>
  </si>
  <si>
    <t xml:space="preserve">PAR-00633</t>
  </si>
  <si>
    <t xml:space="preserve">PAR-00634</t>
  </si>
  <si>
    <t xml:space="preserve">PAR-00635</t>
  </si>
  <si>
    <t xml:space="preserve">PAR-00636</t>
  </si>
  <si>
    <t xml:space="preserve">И-AND — открытие открывает три цепочки: (A) «Доминантный разум» → «Ментальный ученик» → «Отведение внимания» → «Постоянная иллюзия»; (B) «Чтение мыслей» → «Превосходство» → «Чужие чувства» → «Наваждение»; (C) «Рассеянность» → «Псионическое разложение» → «Отмена действия» → «Марионетка».</t>
  </si>
  <si>
    <t xml:space="preserve">PAR-00637</t>
  </si>
  <si>
    <t xml:space="preserve">PAR-00638</t>
  </si>
  <si>
    <t xml:space="preserve">PAR-00639</t>
  </si>
  <si>
    <t xml:space="preserve">PAR-00640</t>
  </si>
  <si>
    <t xml:space="preserve">PAR-00641</t>
  </si>
  <si>
    <t xml:space="preserve">PAR-00642</t>
  </si>
  <si>
    <t xml:space="preserve">PAR-00643</t>
  </si>
  <si>
    <t xml:space="preserve">PAR-00644</t>
  </si>
  <si>
    <t xml:space="preserve">PAR-00645</t>
  </si>
  <si>
    <t xml:space="preserve">PAR-00646</t>
  </si>
  <si>
    <t xml:space="preserve">PAR-00647</t>
  </si>
  <si>
    <t xml:space="preserve">PAR-00648</t>
  </si>
  <si>
    <t xml:space="preserve">PAR-00649</t>
  </si>
  <si>
    <t xml:space="preserve">PAR-00650</t>
  </si>
  <si>
    <t xml:space="preserve">PAR-00651</t>
  </si>
  <si>
    <t xml:space="preserve">PAR-00652</t>
  </si>
  <si>
    <t xml:space="preserve">PAR-00653</t>
  </si>
  <si>
    <t xml:space="preserve">PAR-00654</t>
  </si>
  <si>
    <t xml:space="preserve">PAR-00655</t>
  </si>
  <si>
    <t xml:space="preserve">PAR-00656</t>
  </si>
  <si>
    <t xml:space="preserve">Затем XOR — открытие необратимо фиксирует ровно одну ветку и закрывает альтернативную: ветка P «Поветрие» → «Чумные пророки» → «Чумные зомби» либо ветка M «Мёртвый вестник» → «Распределение сил» → оператор ИЛИ-OR — открытие, где требуется открыть хотя бы один из узлов «Одержимый познанием»/«Выжгу до тла», а второй впоследствии не запрещён.</t>
  </si>
  <si>
    <t xml:space="preserve">PAR-00657</t>
  </si>
  <si>
    <t xml:space="preserve">дерево развития может хранить изученные способности, но исключённые manual-only ветки не создают автоматические команды</t>
  </si>
  <si>
    <t xml:space="preserve">PAR-00658</t>
  </si>
  <si>
    <t xml:space="preserve">PAR-00659</t>
  </si>
  <si>
    <t xml:space="preserve">PAR-00660</t>
  </si>
  <si>
    <t xml:space="preserve">PAR-00661</t>
  </si>
  <si>
    <t xml:space="preserve">PAR-00662</t>
  </si>
  <si>
    <t xml:space="preserve">PAR-00663</t>
  </si>
  <si>
    <t xml:space="preserve">При уменьшении лимита сохраняются newLimit заражений с наибольшим infectionOrder, остальные уничтожаются; при newLimit=0 уничтожаются все.</t>
  </si>
  <si>
    <t xml:space="preserve">PAR-00664</t>
  </si>
  <si>
    <t xml:space="preserve">PAR-00665</t>
  </si>
  <si>
    <t xml:space="preserve">PAR-00666</t>
  </si>
  <si>
    <t xml:space="preserve">PAR-00667</t>
  </si>
  <si>
    <t xml:space="preserve">PAR-00668</t>
  </si>
  <si>
    <t xml:space="preserve">PAR-00669</t>
  </si>
  <si>
    <t xml:space="preserve">PAR-00670</t>
  </si>
  <si>
    <t xml:space="preserve">PAR-00671</t>
  </si>
  <si>
    <t xml:space="preserve">PAR-00672</t>
  </si>
  <si>
    <t xml:space="preserve">PAR-00673</t>
  </si>
  <si>
    <t xml:space="preserve">PAR-00674</t>
  </si>
  <si>
    <t xml:space="preserve">Z цели; чистый R20 активации/длительности; при критической 1 — отдельный скрытый R20 дней.</t>
  </si>
  <si>
    <t xml:space="preserve">PAR-00675</t>
  </si>
  <si>
    <t xml:space="preserve">PAR-00676</t>
  </si>
  <si>
    <t xml:space="preserve">PAR-00677</t>
  </si>
  <si>
    <t xml:space="preserve">PAR-00678</t>
  </si>
  <si>
    <t xml:space="preserve">PAR-00679</t>
  </si>
  <si>
    <t xml:space="preserve">PAR-00680</t>
  </si>
  <si>
    <t xml:space="preserve">PAR-00681</t>
  </si>
  <si>
    <t xml:space="preserve">PAR-00682</t>
  </si>
  <si>
    <t xml:space="preserve">PAR-00683</t>
  </si>
  <si>
    <t xml:space="preserve">PAR-00684</t>
  </si>
  <si>
    <t xml:space="preserve">PAR-00685</t>
  </si>
  <si>
    <t xml:space="preserve">PAR-00686</t>
  </si>
  <si>
    <t xml:space="preserve">PAR-00687</t>
  </si>
  <si>
    <t xml:space="preserve">гарантированно уничтожить ассистентов и воспламенить случайную часть тела цели.</t>
  </si>
  <si>
    <t xml:space="preserve">PAR-00688</t>
  </si>
  <si>
    <t xml:space="preserve">заменить случайную часть тела одним binary burning по Q-CORE-030</t>
  </si>
  <si>
    <t xml:space="preserve">PAR-00689</t>
  </si>
  <si>
    <t xml:space="preserve">PAR-00690</t>
  </si>
  <si>
    <t xml:space="preserve">PAR-00691</t>
  </si>
  <si>
    <t xml:space="preserve">PAR-00692</t>
  </si>
  <si>
    <t xml:space="preserve">PAR-00693</t>
  </si>
  <si>
    <t xml:space="preserve">PAR-00694</t>
  </si>
  <si>
    <t xml:space="preserve">PAR-00695</t>
  </si>
  <si>
    <t xml:space="preserve">PAR-00696</t>
  </si>
  <si>
    <t xml:space="preserve">PAR-00697</t>
  </si>
  <si>
    <t xml:space="preserve">PAR-00698</t>
  </si>
  <si>
    <t xml:space="preserve">PAR-00699</t>
  </si>
  <si>
    <t xml:space="preserve">PAR-00700</t>
  </si>
  <si>
    <t xml:space="preserve">PAR-00701</t>
  </si>
  <si>
    <t xml:space="preserve">PAR-00702</t>
  </si>
  <si>
    <t xml:space="preserve">PAR-00703</t>
  </si>
  <si>
    <t xml:space="preserve">1 действие на выдвижение; точность с D; навык «Фехтование»; один общий R20 R на конкретную атаку</t>
  </si>
  <si>
    <t xml:space="preserve">PAR-00704</t>
  </si>
  <si>
    <t xml:space="preserve">PAR-00705</t>
  </si>
  <si>
    <t xml:space="preserve">PAR-00706</t>
  </si>
  <si>
    <t xml:space="preserve">PAR-00707</t>
  </si>
  <si>
    <t xml:space="preserve">PAR-00708</t>
  </si>
  <si>
    <t xml:space="preserve">PAR-00709</t>
  </si>
  <si>
    <t xml:space="preserve">при R20≥4 преобразовать цель в Чумного пророка; при R20=1 обнулить все текущие ОЭ Доктора; при 2–3 не преобразовывать.</t>
  </si>
  <si>
    <t xml:space="preserve">PAR-00710</t>
  </si>
  <si>
    <t xml:space="preserve">PAR-00711</t>
  </si>
  <si>
    <t xml:space="preserve">PAR-00712</t>
  </si>
  <si>
    <t xml:space="preserve">PAR-00713</t>
  </si>
  <si>
    <t xml:space="preserve">PAR-00714</t>
  </si>
  <si>
    <t xml:space="preserve">PAR-00715</t>
  </si>
  <si>
    <t xml:space="preserve">R20 точности</t>
  </si>
  <si>
    <t xml:space="preserve">PAR-00716</t>
  </si>
  <si>
    <t xml:space="preserve">R6 урона.</t>
  </si>
  <si>
    <t xml:space="preserve">PAR-00717</t>
  </si>
  <si>
    <t xml:space="preserve">точность R20+D, пробитие 0, урон R6+S; игнорировать боль, усталость, болезни, яд и обычные ментальные эффекты.</t>
  </si>
  <si>
    <t xml:space="preserve">PAR-00718</t>
  </si>
  <si>
    <t xml:space="preserve">PAR-00719</t>
  </si>
  <si>
    <t xml:space="preserve">PAR-00720</t>
  </si>
  <si>
    <t xml:space="preserve">PAR-00721</t>
  </si>
  <si>
    <t xml:space="preserve">PAR-00722</t>
  </si>
  <si>
    <t xml:space="preserve">PAR-00723</t>
  </si>
  <si>
    <t xml:space="preserve">PAR-00724</t>
  </si>
  <si>
    <t xml:space="preserve">PAR-00725</t>
  </si>
  <si>
    <t xml:space="preserve">PAR-00726</t>
  </si>
  <si>
    <t xml:space="preserve">PAR-00727</t>
  </si>
  <si>
    <t xml:space="preserve">PAR-00728</t>
  </si>
  <si>
    <t xml:space="preserve">PAR-00729</t>
  </si>
  <si>
    <t xml:space="preserve">PAR-00730</t>
  </si>
  <si>
    <t xml:space="preserve">PAR-00731</t>
  </si>
  <si>
    <t xml:space="preserve">PAR-00732</t>
  </si>
  <si>
    <t xml:space="preserve">PAR-00733</t>
  </si>
  <si>
    <t xml:space="preserve">PAR-00734</t>
  </si>
  <si>
    <t xml:space="preserve">PAR-00735</t>
  </si>
  <si>
    <t xml:space="preserve">бросать инициативу и серию по общим правилам; каждая перечисленная атака стоит 1 боевое действие.</t>
  </si>
  <si>
    <t xml:space="preserve">PAR-00736</t>
  </si>
  <si>
    <t xml:space="preserve">PAR-00737</t>
  </si>
  <si>
    <t xml:space="preserve">PAR-00738</t>
  </si>
  <si>
    <t xml:space="preserve">PAR-00739</t>
  </si>
  <si>
    <t xml:space="preserve">PAR-00740</t>
  </si>
  <si>
    <t xml:space="preserve">PAR-00741</t>
  </si>
  <si>
    <t xml:space="preserve">PAR-00742</t>
  </si>
  <si>
    <t xml:space="preserve">PAR-00743</t>
  </si>
  <si>
    <t xml:space="preserve">PAR-00744</t>
  </si>
  <si>
    <t xml:space="preserve">Z 30–50; maxHP=300; природная броня 0.</t>
  </si>
  <si>
    <t xml:space="preserve">PAR-00745</t>
  </si>
  <si>
    <t xml:space="preserve">PAR-00746</t>
  </si>
  <si>
    <t xml:space="preserve">Z 20–30; maxHP=200; природная броня 0.</t>
  </si>
  <si>
    <t xml:space="preserve">PAR-00747</t>
  </si>
  <si>
    <t xml:space="preserve">PAR-00748</t>
  </si>
  <si>
    <t xml:space="preserve">PAR-00749</t>
  </si>
  <si>
    <t xml:space="preserve">PAR-00750</t>
  </si>
  <si>
    <t xml:space="preserve">PAR-00751</t>
  </si>
  <si>
    <t xml:space="preserve">PAR-00752</t>
  </si>
  <si>
    <t xml:space="preserve">PAR-00753</t>
  </si>
  <si>
    <t xml:space="preserve">PAR-00754</t>
  </si>
  <si>
    <t xml:space="preserve">PAR-00755</t>
  </si>
  <si>
    <t xml:space="preserve">PAR-00756</t>
  </si>
  <si>
    <t xml:space="preserve">PAR-00757</t>
  </si>
  <si>
    <t xml:space="preserve">PAR-00758</t>
  </si>
  <si>
    <t xml:space="preserve">PAR-00759</t>
  </si>
  <si>
    <t xml:space="preserve">Z 6–10; maxHP=25; броня=0.</t>
  </si>
  <si>
    <t xml:space="preserve">PAR-00760</t>
  </si>
  <si>
    <t xml:space="preserve">PAR-00761</t>
  </si>
  <si>
    <t xml:space="preserve">PAR-00762</t>
  </si>
  <si>
    <t xml:space="preserve">PAR-00763</t>
  </si>
  <si>
    <t xml:space="preserve">PAR-00764</t>
  </si>
  <si>
    <t xml:space="preserve">PAR-00765</t>
  </si>
  <si>
    <t xml:space="preserve">PAR-00766</t>
  </si>
  <si>
    <t xml:space="preserve">PAR-00767</t>
  </si>
  <si>
    <t xml:space="preserve">пробитие R12; урон R20+S.</t>
  </si>
  <si>
    <t xml:space="preserve">PAR-00768</t>
  </si>
  <si>
    <t xml:space="preserve">отдельная формула точности не указана — общая обработка захваченной цели.</t>
  </si>
  <si>
    <t xml:space="preserve">PAR-00769</t>
  </si>
  <si>
    <t xml:space="preserve">PAR-00770</t>
  </si>
  <si>
    <t xml:space="preserve">PAR-00771</t>
  </si>
  <si>
    <t xml:space="preserve">PAR-00772</t>
  </si>
  <si>
    <t xml:space="preserve">PAR-00773</t>
  </si>
  <si>
    <t xml:space="preserve">R20+W+Внимательность проверяющего</t>
  </si>
  <si>
    <t xml:space="preserve">PAR-00774</t>
  </si>
  <si>
    <t xml:space="preserve">R20+I+5 Сказочницы; +5 проверяющему за конкретный вопрос о текущей обстановке.</t>
  </si>
  <si>
    <t xml:space="preserve">PAR-00775</t>
  </si>
  <si>
    <t xml:space="preserve">PAR-00776</t>
  </si>
  <si>
    <t xml:space="preserve">PAR-00777</t>
  </si>
  <si>
    <t xml:space="preserve">PAR-00778</t>
  </si>
  <si>
    <t xml:space="preserve">PAR-00779</t>
  </si>
  <si>
    <t xml:space="preserve">PAR-00780</t>
  </si>
  <si>
    <t xml:space="preserve">PAR-00781</t>
  </si>
  <si>
    <t xml:space="preserve">PAR-00782</t>
  </si>
  <si>
    <t xml:space="preserve">PAR-00783</t>
  </si>
  <si>
    <t xml:space="preserve">PAR-00784</t>
  </si>
  <si>
    <t xml:space="preserve">PAR-00785</t>
  </si>
  <si>
    <t xml:space="preserve">PAR-00786</t>
  </si>
  <si>
    <t xml:space="preserve">PAR-00787</t>
  </si>
  <si>
    <t xml:space="preserve">PAR-00788</t>
  </si>
  <si>
    <t xml:space="preserve">PAR-00789</t>
  </si>
  <si>
    <t xml:space="preserve">PAR-00790</t>
  </si>
  <si>
    <t xml:space="preserve">PAR-00791</t>
  </si>
  <si>
    <t xml:space="preserve">PAR-00792</t>
  </si>
  <si>
    <t xml:space="preserve">PAR-00793</t>
  </si>
  <si>
    <t xml:space="preserve">PAR-00794</t>
  </si>
  <si>
    <t xml:space="preserve">PAR-00795</t>
  </si>
  <si>
    <t xml:space="preserve">PAR-00796</t>
  </si>
  <si>
    <t xml:space="preserve">PAR-00797</t>
  </si>
  <si>
    <t xml:space="preserve">PAR-00798</t>
  </si>
  <si>
    <t xml:space="preserve">PAR-00799</t>
  </si>
  <si>
    <t xml:space="preserve">PAR-00800</t>
  </si>
  <si>
    <t xml:space="preserve">Урон корпусу/конечностям не меняет headHP и сама такая рана не может убить или остановить Вольмера; иные явно наложенные эффекты атаки (например, горение или яд) разрешаются по собственным правилам.</t>
  </si>
  <si>
    <t xml:space="preserve">PAR-00801</t>
  </si>
  <si>
    <t xml:space="preserve">PAR-00802</t>
  </si>
  <si>
    <t xml:space="preserve">PAR-00803</t>
  </si>
  <si>
    <t xml:space="preserve">PAR-00804</t>
  </si>
  <si>
    <t xml:space="preserve">PAR-00805</t>
  </si>
  <si>
    <t xml:space="preserve">PAR-00806</t>
  </si>
  <si>
    <t xml:space="preserve">PAR-00807</t>
  </si>
  <si>
    <t xml:space="preserve">PAR-00808</t>
  </si>
  <si>
    <t xml:space="preserve">PAR-00809</t>
  </si>
  <si>
    <t xml:space="preserve">PAR-00810</t>
  </si>
  <si>
    <t xml:space="preserve">PAR-00811</t>
  </si>
  <si>
    <t xml:space="preserve">PAR-00812</t>
  </si>
  <si>
    <t xml:space="preserve">PAR-00813</t>
  </si>
  <si>
    <t xml:space="preserve">PAR-00814</t>
  </si>
  <si>
    <t xml:space="preserve">PAR-00815</t>
  </si>
  <si>
    <t xml:space="preserve">PAR-00816</t>
  </si>
  <si>
    <t xml:space="preserve">PAR-00817</t>
  </si>
  <si>
    <t xml:space="preserve">PAR-00818</t>
  </si>
  <si>
    <t xml:space="preserve">PAR-00819</t>
  </si>
  <si>
    <t xml:space="preserve">PAR-00820</t>
  </si>
  <si>
    <t xml:space="preserve">PAR-00821</t>
  </si>
  <si>
    <t xml:space="preserve">PAR-00822</t>
  </si>
  <si>
    <t xml:space="preserve">PAR-00823</t>
  </si>
  <si>
    <t xml:space="preserve">PAR-00824</t>
  </si>
  <si>
    <t xml:space="preserve">PAR-00825</t>
  </si>
  <si>
    <t xml:space="preserve">PAR-00826</t>
  </si>
  <si>
    <t xml:space="preserve">PAR-00827</t>
  </si>
  <si>
    <t xml:space="preserve">PAR-00828</t>
  </si>
  <si>
    <t xml:space="preserve">PAR-00829</t>
  </si>
  <si>
    <t xml:space="preserve">PAR-00830</t>
  </si>
  <si>
    <t xml:space="preserve">PAR-00831</t>
  </si>
  <si>
    <t xml:space="preserve">PAR-00832</t>
  </si>
  <si>
    <t xml:space="preserve">PAR-00833</t>
  </si>
  <si>
    <t xml:space="preserve">PAR-00834</t>
  </si>
  <si>
    <t xml:space="preserve">PAR-00835</t>
  </si>
  <si>
    <t xml:space="preserve">PAR-00836</t>
  </si>
  <si>
    <t xml:space="preserve">PAR-00837</t>
  </si>
  <si>
    <t xml:space="preserve">попытка не тратит обычное действие и заменяет неясный срок «до начала следующего хода».</t>
  </si>
  <si>
    <t xml:space="preserve">PAR-00838</t>
  </si>
  <si>
    <t xml:space="preserve">PAR-00839</t>
  </si>
  <si>
    <t xml:space="preserve">PAR-00840</t>
  </si>
  <si>
    <t xml:space="preserve">немедленно нанести R12 урона от яда и наложить D−5; дать одну немедленную попытку превысить 28; при успехе персонаж выходит до закрытия, при провале остаётся.</t>
  </si>
  <si>
    <t xml:space="preserve">PAR-00841</t>
  </si>
  <si>
    <t xml:space="preserve">PAR-00842</t>
  </si>
  <si>
    <t xml:space="preserve">PAR-00843</t>
  </si>
  <si>
    <t xml:space="preserve">PAR-00844</t>
  </si>
  <si>
    <t xml:space="preserve">PAR-00845</t>
  </si>
  <si>
    <t xml:space="preserve">PAR-00846</t>
  </si>
  <si>
    <t xml:space="preserve">нанести R20+20 прямого физического урона; установить состояние «захвачен Поляной».</t>
  </si>
  <si>
    <t xml:space="preserve">PAR-00847</t>
  </si>
  <si>
    <t xml:space="preserve">PAR-00848</t>
  </si>
  <si>
    <t xml:space="preserve">PAR-00849</t>
  </si>
  <si>
    <t xml:space="preserve">PAR-00850</t>
  </si>
  <si>
    <t xml:space="preserve">штраф D−5 сохраняется после выхода; потратить 1 действие на смывание и удалить штраф.</t>
  </si>
  <si>
    <t xml:space="preserve">PAR-00851</t>
  </si>
  <si>
    <t xml:space="preserve">PAR-00852</t>
  </si>
  <si>
    <t xml:space="preserve">После установки dead=true текущая команда и все подготовленные реакции отменяются</t>
  </si>
  <si>
    <t xml:space="preserve">PAR-00853</t>
  </si>
  <si>
    <t xml:space="preserve">После установки dead=true текущая команда и все подготовленные реакции отменяются.</t>
  </si>
  <si>
    <t xml:space="preserve">PAR-00854</t>
  </si>
  <si>
    <t xml:space="preserve">PAR-00855</t>
  </si>
  <si>
    <t xml:space="preserve">Поля состояния: dead| ОЭ| инициатива| координата/позиция| таймер/срок| слоты</t>
  </si>
  <si>
    <t xml:space="preserve">PAR-00856</t>
  </si>
  <si>
    <t xml:space="preserve">Броски, ресурсы и выражения: ОЭ</t>
  </si>
  <si>
    <t xml:space="preserve">PAR-00857</t>
  </si>
  <si>
    <t xml:space="preserve">Выборы и условия: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Если труп выбран другим игроком, он недоступен для выбора.</t>
  </si>
  <si>
    <t xml:space="preserve">PAR-00858</t>
  </si>
  <si>
    <t xml:space="preserve">PAR-00859</t>
  </si>
  <si>
    <t xml:space="preserve">PAR-00860</t>
  </si>
  <si>
    <t xml:space="preserve">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t>
  </si>
  <si>
    <t xml:space="preserve">PAR-00861</t>
  </si>
  <si>
    <t xml:space="preserve">PAR-00862</t>
  </si>
  <si>
    <t xml:space="preserve">Числа и сроки: Личные таймеры и периодические эффекты трупа останавливаются и не возобновляются сами.|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t>
  </si>
  <si>
    <t xml:space="preserve">PAR-00863</t>
  </si>
  <si>
    <t xml:space="preserve">PAR-00864</t>
  </si>
  <si>
    <t xml:space="preserve">PAR-00865</t>
  </si>
  <si>
    <t xml:space="preserve">PAR-00866</t>
  </si>
  <si>
    <t xml:space="preserve">Поля состояния: уровень L| таймер/срок| состояние</t>
  </si>
  <si>
    <t xml:space="preserve">PAR-00867</t>
  </si>
  <si>
    <t xml:space="preserve">Числа и сроки: Уже отделённые физические объекты и снаряды, мины, паутина, введённые яды, заражения и автономные эффекты с собственным таймером продолжаются до явного окончания независимо от состояния источника.| Пока источник доступен, продолжающийся эффект при каждом применении числовой величины использует текущий L по Q-SYM-006.| Если источник погиб, удалён либо его состояние больше нельзя прочитать, L и остальные ещё не вычисленные параметры фиксируются на последнем доступном значении.</t>
  </si>
  <si>
    <t xml:space="preserve">PAR-00868</t>
  </si>
  <si>
    <t xml:space="preserve">PAR-00869</t>
  </si>
  <si>
    <t xml:space="preserve">PAR-00870</t>
  </si>
  <si>
    <t xml:space="preserve">Поля состояния: боевые действия</t>
  </si>
  <si>
    <t xml:space="preserve">PAR-00871</t>
  </si>
  <si>
    <t xml:space="preserve">PAR-00872</t>
  </si>
  <si>
    <t xml:space="preserve">Закрытие окна, истечение тайм-аута или отключение игрока считаются отказом: применение не объявляется, действие и доза не резервируются и не списываются.</t>
  </si>
  <si>
    <t xml:space="preserve">PAR-00873</t>
  </si>
  <si>
    <t xml:space="preserve">PAR-00874</t>
  </si>
  <si>
    <t xml:space="preserve">PAR-00875</t>
  </si>
  <si>
    <t xml:space="preserve">PAR-00876</t>
  </si>
  <si>
    <t xml:space="preserve">PAR-00877</t>
  </si>
  <si>
    <t xml:space="preserve">PAR-00878</t>
  </si>
  <si>
    <t xml:space="preserve">PAR-00879</t>
  </si>
  <si>
    <t xml:space="preserve">Выборы и условия: Мастер подтверждает согласие только за NPC либо после явной передачи ему управления персонажем.</t>
  </si>
  <si>
    <t xml:space="preserve">PAR-00880</t>
  </si>
  <si>
    <t xml:space="preserve">При промахе эффект не применяется, но действие и 20 ОЭ не возвращаются.</t>
  </si>
  <si>
    <t xml:space="preserve">PAR-00881</t>
  </si>
  <si>
    <t xml:space="preserve">Поля состояния: ОЭ| боевые действия</t>
  </si>
  <si>
    <t xml:space="preserve">PAR-00882</t>
  </si>
  <si>
    <t xml:space="preserve">PAR-00883</t>
  </si>
  <si>
    <t xml:space="preserve">Выборы и условия: Целью является другой живой персонаж; для собственного носителя используется «Регенерация».| Согласная, бессознательная, полностью парализованная или иным образом беспомощная соседняя цель касается автоматически.| Недобровольная дееспособная цель требует обычной рукопашной проверки касания с доступной активной защитой; пробитие и урон не выполняются.| При промахе эффект не применяется, но действие и 20 ОЭ не возвращаются.| Полностью герметичная защита делает цель недопустимой, пока не нарушена.</t>
  </si>
  <si>
    <t xml:space="preserve">PAR-00884</t>
  </si>
  <si>
    <t xml:space="preserve">PAR-00885</t>
  </si>
  <si>
    <t xml:space="preserve">PAR-00886</t>
  </si>
  <si>
    <t xml:space="preserve">Броски, ресурсы и выражения: 20 ОЭ</t>
  </si>
  <si>
    <t xml:space="preserve">PAR-00887</t>
  </si>
  <si>
    <t xml:space="preserve">PAR-00888</t>
  </si>
  <si>
    <t xml:space="preserve">PAR-00889</t>
  </si>
  <si>
    <t xml:space="preserve">PAR-00890</t>
  </si>
  <si>
    <t xml:space="preserve">PAR-00891</t>
  </si>
  <si>
    <t xml:space="preserve">PAR-00892</t>
  </si>
  <si>
    <t xml:space="preserve">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t>
  </si>
  <si>
    <t xml:space="preserve">PAR-00893</t>
  </si>
  <si>
    <t xml:space="preserve">Обычное лечение HP, не снимающее тяжёлое ранение, эффект не прерывает.</t>
  </si>
  <si>
    <t xml:space="preserve">PAR-00894</t>
  </si>
  <si>
    <t xml:space="preserve">Поля состояния: HP| таймер/срок</t>
  </si>
  <si>
    <t xml:space="preserve">PAR-00895</t>
  </si>
  <si>
    <t xml:space="preserve">Броски, ресурсы и выражения: HP</t>
  </si>
  <si>
    <t xml:space="preserve">PAR-00896</t>
  </si>
  <si>
    <t xml:space="preserve">Числа и сроки: Любой эффект, который прямо снимает тяжёлое ранение, останавливает таймер смерти и устанавливает HP выше нуля, немедленно снимает «Замену органа» как более не имеющую объекта.| Отложенное восстановление органа при результате 15+ после этого не срабатывает повторно.</t>
  </si>
  <si>
    <t xml:space="preserve">PAR-00897</t>
  </si>
  <si>
    <t xml:space="preserve">PAR-00898</t>
  </si>
  <si>
    <t xml:space="preserve">PAR-00899</t>
  </si>
  <si>
    <t xml:space="preserve">PAR-00900</t>
  </si>
  <si>
    <t xml:space="preserve">После её разрешения оставшиеся действия используются обычно</t>
  </si>
  <si>
    <t xml:space="preserve">PAR-00901</t>
  </si>
  <si>
    <t xml:space="preserve">Первое доступное боевое действие хода обязательно расходуется на одну атаку по этой цели; тип доступной атаки выбирает игрок.</t>
  </si>
  <si>
    <t xml:space="preserve">PAR-00902</t>
  </si>
  <si>
    <t xml:space="preserve">Если допустимых целей нет, обязательная атака в этот ход не выполняется и действие не списывается.</t>
  </si>
  <si>
    <t xml:space="preserve">PAR-00903</t>
  </si>
  <si>
    <t xml:space="preserve">Поля состояния: боевые действия| раса</t>
  </si>
  <si>
    <t xml:space="preserve">PAR-00904</t>
  </si>
  <si>
    <t xml:space="preserve">Числа и сроки: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После её разрешения оставшиеся действия используются обычно.| Если допустимых целей нет, обязательная атака в этот ход не выполняется и действие не списывается.</t>
  </si>
  <si>
    <t xml:space="preserve">PAR-00905</t>
  </si>
  <si>
    <t xml:space="preserve">PAR-00906</t>
  </si>
  <si>
    <t xml:space="preserve">PAR-00907</t>
  </si>
  <si>
    <t xml:space="preserve">Выборы и условия: 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 Первое доступное боевое действие хода обязательно расходуется на одну атаку по этой цели; тип доступной атаки выбирает игрок.| Если допустимых целей нет, обязательная атака в этот ход не выполняется и действие не списывается.</t>
  </si>
  <si>
    <t xml:space="preserve">PAR-00908</t>
  </si>
  <si>
    <t xml:space="preserve">В начале каждого личного хода эффекта приложение случайно выбирает одного живого участника боя, кроме самого носителя, которого можно атаковать хотя бы одной доступной носителю атакой.</t>
  </si>
  <si>
    <t xml:space="preserve">PAR-00909</t>
  </si>
  <si>
    <t xml:space="preserve">PAR-00910</t>
  </si>
  <si>
    <t xml:space="preserve">PAR-00911</t>
  </si>
  <si>
    <t xml:space="preserve">PAR-00912</t>
  </si>
  <si>
    <t xml:space="preserve">PAR-00913</t>
  </si>
  <si>
    <t xml:space="preserve">После снятия режима HP ограничиваются обычным максимумом</t>
  </si>
  <si>
    <t xml:space="preserve">PAR-00914</t>
  </si>
  <si>
    <t xml:space="preserve">При попытке выполнить или проверить: носитель войти в тяжёлое ранение или умереть от исчерпания 1000 HP во время «Абсолютной регенерации», и что именно восстанавливается через два хода</t>
  </si>
  <si>
    <t xml:space="preserve">PAR-00915</t>
  </si>
  <si>
    <t xml:space="preserve">На время эффекта максимум и текущее значение HP устанавливаются равными 1000.</t>
  </si>
  <si>
    <t xml:space="preserve">PAR-00916</t>
  </si>
  <si>
    <t xml:space="preserve">Урон может уменьшать HP, но не ниже 1; тяжёлое ранение и окончательная смерть от потери HP до окончания эффекта не наступают.</t>
  </si>
  <si>
    <t xml:space="preserve">PAR-00917</t>
  </si>
  <si>
    <t xml:space="preserve">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t>
  </si>
  <si>
    <t xml:space="preserve">PAR-00918</t>
  </si>
  <si>
    <t xml:space="preserve">PAR-00919</t>
  </si>
  <si>
    <t xml:space="preserve">PAR-00920</t>
  </si>
  <si>
    <t xml:space="preserve">PAR-00921</t>
  </si>
  <si>
    <t xml:space="preserve">Числа и сроки: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После снятия режима HP ограничиваются обычным максимумом, а незавершённые таймеры лечения продолжаются с этим ограничением.</t>
  </si>
  <si>
    <t xml:space="preserve">PAR-00922</t>
  </si>
  <si>
    <t xml:space="preserve">Выборы и условия: На время эффекта максимум и текущее значение HP устанавливаются равными 1000.| Урон может уменьшать HP, но не ниже 1; тяжёлое ранение и окончательная смерть от потери HP до окончания эффекта не наступают.| Каждая фактически потерянная порция HP создаёт отдельный таймер на два личных хода; по его окончании восстанавливается та же порция HP и снимаются вызванные ею травмы.| Прямой эффект, который убивает без уменьшения HP, не отменяется этой способностью.| После снятия режима HP ограничиваются обычным максимумом, а незавершённые таймеры лечения продолжаются с этим ограничением.</t>
  </si>
  <si>
    <t xml:space="preserve">PAR-00923</t>
  </si>
  <si>
    <t xml:space="preserve">Поля состояния: боевые действия| таймер/срок| раса</t>
  </si>
  <si>
    <t xml:space="preserve">PAR-00924</t>
  </si>
  <si>
    <t xml:space="preserve">Числа и сроки: 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t>
  </si>
  <si>
    <t xml:space="preserve">PAR-00925</t>
  </si>
  <si>
    <t xml:space="preserve">Нанесение слюны на одно оружие либо один снаряд требует 1 боевого действия.</t>
  </si>
  <si>
    <t xml:space="preserve">PAR-00926</t>
  </si>
  <si>
    <t xml:space="preserve">«Зубы-огниво»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t>
  </si>
  <si>
    <t xml:space="preserve">PAR-00927</t>
  </si>
  <si>
    <t xml:space="preserve">При вычислении или разрешении: цена, воспламенение, срок и расходование горючей слюны, нанесённой на оружие или снаряд</t>
  </si>
  <si>
    <t xml:space="preserve">PAR-00928</t>
  </si>
  <si>
    <t xml:space="preserve">Броски, ресурсы и выражения: 3 хода</t>
  </si>
  <si>
    <t xml:space="preserve">PAR-00929</t>
  </si>
  <si>
    <t xml:space="preserve">После воспламенения покрытие горит 3 хода</t>
  </si>
  <si>
    <t xml:space="preserve">PAR-00930</t>
  </si>
  <si>
    <t xml:space="preserve">PAR-00931</t>
  </si>
  <si>
    <t xml:space="preserve">PAR-00932</t>
  </si>
  <si>
    <t xml:space="preserve">PAR-00933</t>
  </si>
  <si>
    <t xml:space="preserve">PAR-00934</t>
  </si>
  <si>
    <t xml:space="preserve">После воспламенения покрытие горит 3 хода, либо 6 при «Долгом горении».</t>
  </si>
  <si>
    <t xml:space="preserve">PAR-00935</t>
  </si>
  <si>
    <t xml:space="preserve">PAR-00936</t>
  </si>
  <si>
    <t xml:space="preserve">После оплаты сначала бросается активационный R20</t>
  </si>
  <si>
    <t xml:space="preserve">PAR-00937</t>
  </si>
  <si>
    <t xml:space="preserve">После оплаты сначала бросается активационный R20.</t>
  </si>
  <si>
    <t xml:space="preserve">PAR-00938</t>
  </si>
  <si>
    <t xml:space="preserve">Затем отдельно определяются радиус R12 и урон R20+L.</t>
  </si>
  <si>
    <t xml:space="preserve">PAR-00939</t>
  </si>
  <si>
    <t xml:space="preserve">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t>
  </si>
  <si>
    <t xml:space="preserve">PAR-00940</t>
  </si>
  <si>
    <t xml:space="preserve">PAR-00941</t>
  </si>
  <si>
    <t xml:space="preserve">PAR-00942</t>
  </si>
  <si>
    <t xml:space="preserve">Выборы и условия: После оплаты сначала бросается активационный R20.| При 4+ он одновременно задаёт максимальную дальность 2R20+L, после чего игрок выбирает точку в пределах этой дальности.| Проверки меткости нет.| Затем отдельно определяются радиус R12 и урон R20+L.| Каждый участник в радиусе может выполнить одно обычное уклонение со штрафом, равным радиусу + стандартный штраф на уклонение от дальней атаки, сравнение происходит с суммой значений ловкости носителя дракона и результата активационного R20; успех полностью отменяет и чистый урон, и горение для этой цели.| При натуральной 1 точкой становится позиция носителя, радиус равен 12, урон — 20+L; носитель и остальные участники сохраняют то же право на уклонение.</t>
  </si>
  <si>
    <t xml:space="preserve">PAR-00943</t>
  </si>
  <si>
    <t xml:space="preserve">PAR-00944</t>
  </si>
  <si>
    <t xml:space="preserve">PAR-00945</t>
  </si>
  <si>
    <t xml:space="preserve">Результаты 11+ и 18+ добавляют сведения по принятой таблице, но не создают постоянную видимость.</t>
  </si>
  <si>
    <t xml:space="preserve">PAR-00946</t>
  </si>
  <si>
    <t xml:space="preserve">PAR-00947</t>
  </si>
  <si>
    <t xml:space="preserve">При выполнении или разрешении: приложение подтверждает час словесной ролевой игры для «Век живи — век учись» и выбирает получателя опыта</t>
  </si>
  <si>
    <t xml:space="preserve">PAR-00948</t>
  </si>
  <si>
    <t xml:space="preserve">Числа и сроки: Мастер вручную нажимает команду подтверждения каждого полного часа.|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t>
  </si>
  <si>
    <t xml:space="preserve">PAR-00949</t>
  </si>
  <si>
    <t xml:space="preserve">Мастер вручную нажимает команду подтверждения каждого полного часа.</t>
  </si>
  <si>
    <t xml:space="preserve">PAR-00950</t>
  </si>
  <si>
    <t xml:space="preserve">PAR-00951</t>
  </si>
  <si>
    <t xml:space="preserve">Броски, ресурсы и выражения: 1 XP| XP</t>
  </si>
  <si>
    <t xml:space="preserve">PAR-00952</t>
  </si>
  <si>
    <t xml:space="preserve">Если других симбионтов нет, подтверждение не создаёт XP.</t>
  </si>
  <si>
    <t xml:space="preserve">PAR-00953</t>
  </si>
  <si>
    <t xml:space="preserve">Выборы и условия: После подтверждения приложение равновероятно выбирает один из присутствующих у персонажа симбионтов, кроме Учителя, и начисляет ему 1 XP; состояние отключения не исключает симбионта из выбора.| Если других симбионтов нет, подтверждение не создаёт XP.</t>
  </si>
  <si>
    <t xml:space="preserve">PAR-00954</t>
  </si>
  <si>
    <t xml:space="preserve">PAR-00955</t>
  </si>
  <si>
    <t xml:space="preserve">PAR-00956</t>
  </si>
  <si>
    <t xml:space="preserve">PAR-00957</t>
  </si>
  <si>
    <t xml:space="preserve">PAR-00958</t>
  </si>
  <si>
    <t xml:space="preserve">Доплата списывается с ОЭ Учителя.</t>
  </si>
  <si>
    <t xml:space="preserve">PAR-00959</t>
  </si>
  <si>
    <t xml:space="preserve">Поля состояния: ОЭ</t>
  </si>
  <si>
    <t xml:space="preserve">PAR-00960</t>
  </si>
  <si>
    <t xml:space="preserve">PAR-00961</t>
  </si>
  <si>
    <t xml:space="preserve">Числа и сроки: В пул входят изученные активные способности всех активных симбионтов носителя Учителя, кроме «Свети, ученик», «Внимай, ученик» и иных способностей, результатом которых является новое копирование.| Дополнительно применяются ограничения Q-SYM-024 по фиксированной цене и разрешимости.|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Способности, требующие выбрать точку, предмет, составной набор целей или отсутствующую анатомию, из пула исключаются.</t>
  </si>
  <si>
    <t xml:space="preserve">PAR-00962</t>
  </si>
  <si>
    <t xml:space="preserve">Выборы и условия: После случайного выбора способности приложение строит множество всех допустимых для неё персонажей на поле, включая союзников и противников, а самого применяющего — только если исходная способность разрешает себя; цель выбирается равновероятно.| Доплата списывается с ОЭ Учителя.</t>
  </si>
  <si>
    <t xml:space="preserve">PAR-00963</t>
  </si>
  <si>
    <t xml:space="preserve">PAR-00964</t>
  </si>
  <si>
    <t xml:space="preserve">PAR-00965</t>
  </si>
  <si>
    <t xml:space="preserve">PAR-00966</t>
  </si>
  <si>
    <t xml:space="preserve">PAR-00967</t>
  </si>
  <si>
    <t xml:space="preserve">При равенстве оба остаются живы и последующие траты или восстановление ОЭ автоматического нового боя не вызывают</t>
  </si>
  <si>
    <t xml:space="preserve">PAR-00968</t>
  </si>
  <si>
    <t xml:space="preserve">При проверке условия «Повторяется ли»: бой Трогра и Хранителя после равенства текущих ОЭ или последующего изменения их запасов</t>
  </si>
  <si>
    <t xml:space="preserve">PAR-00969</t>
  </si>
  <si>
    <t xml:space="preserve">При равенстве оба остаются живы и последующие траты или восстановление ОЭ автоматического нового боя не вызывают.</t>
  </si>
  <si>
    <t xml:space="preserve">PAR-00970</t>
  </si>
  <si>
    <t xml:space="preserve">PAR-00971</t>
  </si>
  <si>
    <t xml:space="preserve">PAR-00972</t>
  </si>
  <si>
    <t xml:space="preserve">PAR-00973</t>
  </si>
  <si>
    <t xml:space="preserve">PAR-00974</t>
  </si>
  <si>
    <t xml:space="preserve">Для уже находящихся в одном теле Трогра и Хранителя сравнение выполняется один раз при первом возникновении совместного присутствия.</t>
  </si>
  <si>
    <t xml:space="preserve">PAR-00975</t>
  </si>
  <si>
    <t xml:space="preserve">Он требует того же порога текущих ОЭ не ниже 2000, стоит 50 ОЭ и 1 действие, но не выбирает цель и не накладывает глухоту, страх или бессознательность.</t>
  </si>
  <si>
    <t xml:space="preserve">PAR-00976</t>
  </si>
  <si>
    <t xml:space="preserve">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</si>
  <si>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PAR-00977</t>
  </si>
  <si>
    <t xml:space="preserve">Поля состояния: ОЭ| уровень L| координата/позиция| боевые действия| раса</t>
  </si>
  <si>
    <t xml:space="preserve">PAR-00978</t>
  </si>
  <si>
    <t xml:space="preserve">Броски, ресурсы и выражения: ОЭ| 50 ОЭ| 1 действие| R20| L</t>
  </si>
  <si>
    <t xml:space="preserve">PAR-00979</t>
  </si>
  <si>
    <t xml:space="preserve">Числа и сроки: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</si>
  <si>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PAR-00980</t>
  </si>
  <si>
    <t xml:space="preserve">PAR-00981</t>
  </si>
  <si>
    <t xml:space="preserve">PAR-00982</t>
  </si>
  <si>
    <t xml:space="preserve">PAR-00983</t>
  </si>
  <si>
    <t xml:space="preserve">PAR-00984</t>
  </si>
  <si>
    <t xml:space="preserve">Выборы и условия: появляется отдельный режим «Эхолокация».| Он требует того же порога текущих ОЭ не ниже 2000, стоит 50 ОЭ и 1 действие, но не выбирает цель и не накладывает глухоту, страх или бессознательность.| Выполняется чистый R20; при результате выше 12−L Трогра приложение до начала следующего хода носителя раскрывает ему текущие позиции всех участников боя, включая скрытых, по механике боевой части Эхолокации Дельфина.</t>
  </si>
  <si>
    <t xml:space="preserve">PAR-00985</t>
  </si>
  <si>
    <t xml:space="preserve">PAR-00986</t>
  </si>
  <si>
    <t xml:space="preserve">PAR-00987</t>
  </si>
  <si>
    <t xml:space="preserve">PAR-00988</t>
  </si>
  <si>
    <t xml:space="preserve">PAR-00989</t>
  </si>
  <si>
    <t xml:space="preserve">PAR-00990</t>
  </si>
  <si>
    <t xml:space="preserve">PAR-00991</t>
  </si>
  <si>
    <t xml:space="preserve">PAR-00992</t>
  </si>
  <si>
    <t xml:space="preserve">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</si>
  <si>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PAR-00993</t>
  </si>
  <si>
    <t xml:space="preserve">Поля состояния: currentHP| maxHP| ОЭ| уровень L| инициатива| координата/позиция| боевые действия| таймер/срок</t>
  </si>
  <si>
    <t xml:space="preserve">PAR-00994</t>
  </si>
  <si>
    <t xml:space="preserve">Числа и сроки: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Жизненный таймер L суток запускается немедленно.| Позднее уточнение Application QA (приоритетно в пересекающейся части):|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</si>
  <si>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PAR-00995</t>
  </si>
  <si>
    <t xml:space="preserve">Выборы и условия: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Жизненный таймер L суток запускается немедленно.|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</si>
  <si>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PAR-00996</t>
  </si>
  <si>
    <t xml:space="preserve">PAR-00997</t>
  </si>
  <si>
    <t xml:space="preserve">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t>
  </si>
  <si>
    <t xml:space="preserve">PAR-00998</t>
  </si>
  <si>
    <t xml:space="preserve">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t>
  </si>
  <si>
    <t xml:space="preserve">PAR-00999</t>
  </si>
  <si>
    <t xml:space="preserve">PAR-01000</t>
  </si>
  <si>
    <t xml:space="preserve">Броски, ресурсы и выражения: currentHP| maxHP| ОЭ| L</t>
  </si>
  <si>
    <t xml:space="preserve">PAR-01001</t>
  </si>
  <si>
    <t xml:space="preserve">PAR-01002</t>
  </si>
  <si>
    <t xml:space="preserve">PAR-01003</t>
  </si>
  <si>
    <t xml:space="preserve">PAR-01004</t>
  </si>
  <si>
    <t xml:space="preserve">PAR-01005</t>
  </si>
  <si>
    <t xml:space="preserve">PAR-01006</t>
  </si>
  <si>
    <t xml:space="preserve">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 разрешается: приложение создаёт самостоятельного Хранителя</t>
  </si>
  <si>
    <t xml:space="preserve">PAR-01007</t>
  </si>
  <si>
    <t xml:space="preserve">Жизненный таймер L суток запускается немедленно.</t>
  </si>
  <si>
    <t xml:space="preserve">PAR-01008</t>
  </si>
  <si>
    <t xml:space="preserve">Срок автономной жизни L суток начинается в момент смерти, как уже указано в ответе пользователя, даже если создание отдельной сущности отложено.</t>
  </si>
  <si>
    <t xml:space="preserve">PAR-01009</t>
  </si>
  <si>
    <t xml:space="preserve">PAR-01010</t>
  </si>
  <si>
    <t xml:space="preserve">PAR-01011</t>
  </si>
  <si>
    <t xml:space="preserve">PAR-01012</t>
  </si>
  <si>
    <t xml:space="preserve">PAR-01013</t>
  </si>
  <si>
    <t xml:space="preserve">PAR-01014</t>
  </si>
  <si>
    <t xml:space="preserve">Выборы и условия: После выхода хранителя из тела, воскрешение этого тела уже невозможно никакими способами.</t>
  </si>
  <si>
    <t xml:space="preserve">PAR-01015</t>
  </si>
  <si>
    <t xml:space="preserve">PAR-01016</t>
  </si>
  <si>
    <t xml:space="preserve">Поля состояния: ОЭ| координата/позиция| боевые действия| слоты| раса</t>
  </si>
  <si>
    <t xml:space="preserve">PAR-01017</t>
  </si>
  <si>
    <t xml:space="preserve">Числа и сроки: При большем currentOE Хранитель побеждает по Q-SYM-074.|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 Позднее он может попытаться снова обычным действием.</t>
  </si>
  <si>
    <t xml:space="preserve">PAR-01018</t>
  </si>
  <si>
    <t xml:space="preserve">Позднее он может попытаться снова обычным действием.</t>
  </si>
  <si>
    <t xml:space="preserve">PAR-01019</t>
  </si>
  <si>
    <t xml:space="preserve">При равенстве никто не теряет ОЭ и Хранитель немедленно изгоняется наружу в координаты цели</t>
  </si>
  <si>
    <t xml:space="preserve">PAR-01020</t>
  </si>
  <si>
    <t xml:space="preserve">При меньшем currentOE Хранитель уничтожается, а победитель теряет количество ОЭ, равное запасу Хранителя до боя.</t>
  </si>
  <si>
    <t xml:space="preserve">PAR-01021</t>
  </si>
  <si>
    <t xml:space="preserve">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t>
  </si>
  <si>
    <t xml:space="preserve">PAR-01022</t>
  </si>
  <si>
    <t xml:space="preserve">PAR-01023</t>
  </si>
  <si>
    <t xml:space="preserve">PAR-01024</t>
  </si>
  <si>
    <t xml:space="preserve">PAR-01025</t>
  </si>
  <si>
    <t xml:space="preserve">PAR-01026</t>
  </si>
  <si>
    <t xml:space="preserve">Выборы и условия: Перед проникновением выбирается симбионт-жертва; если его вид не раскрыт игроку, приложение выбирает жертву случайно среди симбионтов тела.| При меньшем currentOE Хранитель уничтожается, а победитель теряет количество ОЭ, равное запасу Хранителя до боя.| При равенстве никто не теряет ОЭ и Хранитель немедленно изгоняется наружу в координаты цели, не занимая слот; в этот же ход повторить проникновение нельзя.</t>
  </si>
  <si>
    <t xml:space="preserve">PAR-01027</t>
  </si>
  <si>
    <t xml:space="preserve">Если новое тело умирает до окончания 24-часовой перезаписи</t>
  </si>
  <si>
    <t xml:space="preserve">PAR-01028</t>
  </si>
  <si>
    <t xml:space="preserve">При разрешении сценария: Какие данные персонажа и право управления сохраняются после 24-часовой перезаписи тела Хранителем</t>
  </si>
  <si>
    <t xml:space="preserve">PAR-01029</t>
  </si>
  <si>
    <t xml:space="preserve">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</si>
  <si>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PAR-01030</t>
  </si>
  <si>
    <t xml:space="preserve">Поля состояния: HP| S| D| M| Z| I| W| C| боевые действия| состояние| слоты| раса| класс| навыки</t>
  </si>
  <si>
    <t xml:space="preserve">PAR-01031</t>
  </si>
  <si>
    <t xml:space="preserve">Числа и сроки: От исходного носителя Хранителя переносятся I, W, C, класс, изученные навыки, их уровни, счётчики развития и личная история; физические ограничения нового тела по-прежнему применяются.| После завершения перезаписи карточка переходит под управление игрока Хранителя; прежняя личность и управление прежнего игрока удаляются.| До этого момента телом управляет прежний игрок, а в 24-часовой фазе действий нет.| Снимок личности исходного носителя фиксируется в момент его окончательной смерти и не перезаписывается мыслями промежуточного носителя.|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</si>
  <si>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PAR-01032</t>
  </si>
  <si>
    <t xml:space="preserve">От нового тела сохраняются раса, пол, внешность, S, D, M, Z, max/current HP, травмы, экипировка, инвентарь и все оставшиеся в теле симбионты.</t>
  </si>
  <si>
    <t xml:space="preserve">PAR-01033</t>
  </si>
  <si>
    <t xml:space="preserve">PAR-01034</t>
  </si>
  <si>
    <t xml:space="preserve">Броски, ресурсы и выражения: S| D| M| Z| HP| I| W| C</t>
  </si>
  <si>
    <t xml:space="preserve">PAR-01035</t>
  </si>
  <si>
    <t xml:space="preserve">Выборы и условия: От нового тела сохраняются раса, пол, внешность, S, D, M, Z, max/current HP, травмы, экипировка, инвентарь и все оставшиеся в теле симбионты.| Игровая условность, если была перезаписана личность персонажа, который не управляется одним из игроков, носитель хранителя получает управление новым персонажем сразу.| Если новое тело умирает до окончания 24-часовой перезаписи, Хранитель снова выходит с тем же снимком исходной личности и сохранённым собственным состоянием.</t>
  </si>
  <si>
    <t xml:space="preserve">PAR-01036</t>
  </si>
  <si>
    <t xml:space="preserve">PAR-01037</t>
  </si>
  <si>
    <t xml:space="preserve">PAR-01038</t>
  </si>
  <si>
    <t xml:space="preserve">PAR-01039</t>
  </si>
  <si>
    <t xml:space="preserve">PAR-01040</t>
  </si>
  <si>
    <t xml:space="preserve">PAR-01041</t>
  </si>
  <si>
    <t xml:space="preserve">До этого момента телом управляет прежний игрок, а в 24-часовой фазе действий нет.</t>
  </si>
  <si>
    <t xml:space="preserve">PAR-01042</t>
  </si>
  <si>
    <t xml:space="preserve">Числа и сроки: Игрок Хранителя выбирает порядок оставшихся симбионтов и перед каждым боем сравниваются их текущие ОЭ по Q-SYM-074.|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Дальнейшее восстановление выполняется по уже принятому Q-SYM-039.| Позднее уточнение Application QA (приоритетно в пересекающейся части):|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t>
  </si>
  <si>
    <t xml:space="preserve">PAR-01043</t>
  </si>
  <si>
    <t xml:space="preserve">PAR-01044</t>
  </si>
  <si>
    <t xml:space="preserve">Игрок может оставить часть симбионтов нового тела.</t>
  </si>
  <si>
    <t xml:space="preserve">PAR-01045</t>
  </si>
  <si>
    <t xml:space="preserve">Перед каждым боем сравниваются текущие ОЭ по Q-SYM-074</t>
  </si>
  <si>
    <t xml:space="preserve">PAR-01046</t>
  </si>
  <si>
    <t xml:space="preserve">При заселении Вольного генетический материал «Попутчиков» теряется</t>
  </si>
  <si>
    <t xml:space="preserve">PAR-01047</t>
  </si>
  <si>
    <t xml:space="preserve">Игрок Хранителя выбирает порядок оставшихся симбионтов и перед каждым боем сравниваются их текущие ОЭ по Q-SYM-074.</t>
  </si>
  <si>
    <t xml:space="preserve">PAR-01048</t>
  </si>
  <si>
    <t xml:space="preserve">Игрок вправе выбрать не всех симбионтов цели за раз и продолжить после восстановления ОЭ хранителем.</t>
  </si>
  <si>
    <t xml:space="preserve">PAR-01049</t>
  </si>
  <si>
    <t xml:space="preserve">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t>
  </si>
  <si>
    <t xml:space="preserve">PAR-01050</t>
  </si>
  <si>
    <t xml:space="preserve">PAR-01051</t>
  </si>
  <si>
    <t xml:space="preserve">PAR-01052</t>
  </si>
  <si>
    <t xml:space="preserve">PAR-01053</t>
  </si>
  <si>
    <t xml:space="preserve">При разрешении сценария: Какое событие и сколько действий требуют «Вкус крови» Клеща, и как долго сохраняются раскрытые сведения</t>
  </si>
  <si>
    <t xml:space="preserve">PAR-01054</t>
  </si>
  <si>
    <t xml:space="preserve">При разрешении сценария: Какое событие и сколько действий требуют разные способы получить кровь для «Вкуса крови», и как долго сохраняются раскрытые сведения</t>
  </si>
  <si>
    <t xml:space="preserve">PAR-01055</t>
  </si>
  <si>
    <t xml:space="preserve">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t>
  </si>
  <si>
    <t xml:space="preserve">PAR-01056</t>
  </si>
  <si>
    <t xml:space="preserve">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t>
  </si>
  <si>
    <t xml:space="preserve">PAR-01057</t>
  </si>
  <si>
    <t xml:space="preserve">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t>
  </si>
  <si>
    <t xml:space="preserve">PAR-01058</t>
  </si>
  <si>
    <t xml:space="preserve">Если безоружная атака рукой с пастью Клеща нанесла цели хотя бы 1 фактический HP урона</t>
  </si>
  <si>
    <t xml:space="preserve">PAR-01059</t>
  </si>
  <si>
    <t xml:space="preserve">Способность бесплатно и автоматически срабатывает, когда безоружная рукопашная атака нанесла цели хотя бы 1 фактический HP урона.</t>
  </si>
  <si>
    <t xml:space="preserve">PAR-01060</t>
  </si>
  <si>
    <t xml:space="preserve">Так же носитель клеща может попробовать кровь согласной/беспомощной соседней цели; проверки и ОЭ не нужны.</t>
  </si>
  <si>
    <t xml:space="preserve">PAR-01061</t>
  </si>
  <si>
    <t xml:space="preserve">PAR-01062</t>
  </si>
  <si>
    <t xml:space="preserve">PAR-01063</t>
  </si>
  <si>
    <t xml:space="preserve">Числа и сроки: Способность бесплатно и автоматически срабатывает, когда безоружная рукопашная атака нанесла цели хотя бы 1 фактический HP урона.| Позднее уточнение Application QA (приоритетно в пересекающейся части):|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t>
  </si>
  <si>
    <t xml:space="preserve">PAR-01064</t>
  </si>
  <si>
    <t xml:space="preserve">PAR-01065</t>
  </si>
  <si>
    <t xml:space="preserve">Обычная атака оружием и безоружная атака другой частью тела пробу не дают.</t>
  </si>
  <si>
    <t xml:space="preserve">PAR-01066</t>
  </si>
  <si>
    <t xml:space="preserve">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t>
  </si>
  <si>
    <t xml:space="preserve">PAR-01067</t>
  </si>
  <si>
    <t xml:space="preserve">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</si>
  <si>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PAR-01068</t>
  </si>
  <si>
    <t xml:space="preserve">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t>
  </si>
  <si>
    <t xml:space="preserve">PAR-01069</t>
  </si>
  <si>
    <t xml:space="preserve">Поля состояния: уровень L| S| координата/позиция| боевые действия| состояние| раса</t>
  </si>
  <si>
    <t xml:space="preserve">PAR-01070</t>
  </si>
  <si>
    <t xml:space="preserve">PAR-01071</t>
  </si>
  <si>
    <t xml:space="preserve">Числа и сроки: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Позднее уточнение Application QA (приоритетно в пересекающейся части):|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</si>
  <si>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PAR-01072</t>
  </si>
  <si>
    <t xml:space="preserve">Выборы и условия: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Цель не получает дополнительного урона, а гарпун снова считается готовым к выстрелу.|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</si>
  <si>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PAR-01073</t>
  </si>
  <si>
    <t xml:space="preserve">PAR-01074</t>
  </si>
  <si>
    <t xml:space="preserve">PAR-01075</t>
  </si>
  <si>
    <t xml:space="preserve">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t>
  </si>
  <si>
    <t xml:space="preserve">PAR-01076</t>
  </si>
  <si>
    <t xml:space="preserve">PAR-01077</t>
  </si>
  <si>
    <t xml:space="preserve">PAR-01078</t>
  </si>
  <si>
    <t xml:space="preserve">PAR-01079</t>
  </si>
  <si>
    <t xml:space="preserve">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t>
  </si>
  <si>
    <t xml:space="preserve">PAR-01080</t>
  </si>
  <si>
    <t xml:space="preserve">PAR-01081</t>
  </si>
  <si>
    <t xml:space="preserve">PAR-01082</t>
  </si>
  <si>
    <t xml:space="preserve">PAR-01083</t>
  </si>
  <si>
    <t xml:space="preserve">PAR-01084</t>
  </si>
  <si>
    <t xml:space="preserve">PAR-01085</t>
  </si>
  <si>
    <t xml:space="preserve">PAR-01086</t>
  </si>
  <si>
    <t xml:space="preserve">PAR-01087</t>
  </si>
  <si>
    <t xml:space="preserve">Поля состояния: ОЭ| боевые действия| раса</t>
  </si>
  <si>
    <t xml:space="preserve">PAR-01088</t>
  </si>
  <si>
    <t xml:space="preserve">PAR-01089</t>
  </si>
  <si>
    <t xml:space="preserve">Выборы и условия: Перед списанием 30 ОЭ приложение отправляет мастеру запрос «цель находится на фоне зелёных растений».| Только подтверждение мастера позволяет объявить способность; отказ не расходует действие и ОЭ.| После активации условие повторно не проверяется, пока носитель остаётся неподвижен.</t>
  </si>
  <si>
    <t xml:space="preserve">PAR-01090</t>
  </si>
  <si>
    <t xml:space="preserve">Перед списанием 30 ОЭ приложение отправляет мастеру запрос «цель находится на фоне зелёных растений»</t>
  </si>
  <si>
    <t xml:space="preserve">PAR-01091</t>
  </si>
  <si>
    <t xml:space="preserve">Перед списанием 30 ОЭ приложение отправляет мастеру запрос «цель находится на фоне зелёных растений».</t>
  </si>
  <si>
    <t xml:space="preserve">PAR-01092</t>
  </si>
  <si>
    <t xml:space="preserve">PAR-01093</t>
  </si>
  <si>
    <t xml:space="preserve">PAR-01094</t>
  </si>
  <si>
    <t xml:space="preserve">Броски, ресурсы и выражения: 30 ОЭ| ОЭ</t>
  </si>
  <si>
    <t xml:space="preserve">PAR-01095</t>
  </si>
  <si>
    <t xml:space="preserve">PAR-01096</t>
  </si>
  <si>
    <t xml:space="preserve">PAR-01097</t>
  </si>
  <si>
    <t xml:space="preserve">PAR-01098</t>
  </si>
  <si>
    <t xml:space="preserve">PAR-01099</t>
  </si>
  <si>
    <t xml:space="preserve">Числа и сроки: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Позднее уточнение Application QA (приоритетно в пересекающейся части):|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t>
  </si>
  <si>
    <t xml:space="preserve">PAR-01100</t>
  </si>
  <si>
    <t xml:space="preserve">PAR-01101</t>
  </si>
  <si>
    <t xml:space="preserve">PAR-01102</t>
  </si>
  <si>
    <t xml:space="preserve">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t>
  </si>
  <si>
    <t xml:space="preserve">PAR-01103</t>
  </si>
  <si>
    <t xml:space="preserve">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t>
  </si>
  <si>
    <t xml:space="preserve">PAR-01104</t>
  </si>
  <si>
    <t xml:space="preserve">PAR-01105</t>
  </si>
  <si>
    <t xml:space="preserve">PAR-01106</t>
  </si>
  <si>
    <t xml:space="preserve">Выборы и условия: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t>
  </si>
  <si>
    <t xml:space="preserve">PAR-01107</t>
  </si>
  <si>
    <t xml:space="preserve">При результате 11+ Сверчок в конце текущего хода удаляется с тактической карты и получает состояния «в полёте» и числовую «дистанцию до боя»</t>
  </si>
  <si>
    <t xml:space="preserve">PAR-01108</t>
  </si>
  <si>
    <t xml:space="preserve">При результате 11+ персонаж в конце текущего хода удаляется с тактической карты и получает состояния «в полёте» и числовую «дистанцию до боя»</t>
  </si>
  <si>
    <t xml:space="preserve">PAR-01109</t>
  </si>
  <si>
    <t xml:space="preserve">При результате 11+ Сверчок в конце текущего хода удаляется с тактической карты и получает состояния «в полёте» и числовую «дистанцию до боя».</t>
  </si>
  <si>
    <t xml:space="preserve">PAR-01110</t>
  </si>
  <si>
    <t xml:space="preserve">PAR-01111</t>
  </si>
  <si>
    <t xml:space="preserve">Пока дистанция больше нуля, персонаж не получает обычного хода и не может быть целью на карте.</t>
  </si>
  <si>
    <t xml:space="preserve">PAR-01112</t>
  </si>
  <si>
    <t xml:space="preserve">При достижении нуля мастер выбирает свободную точку возвращения, персонаж появляется в начале следующего круга и состояние полёта снимается.</t>
  </si>
  <si>
    <t xml:space="preserve">PAR-01113</t>
  </si>
  <si>
    <t xml:space="preserve">При достижении нуля мастер выбирает свободную точку возвращения</t>
  </si>
  <si>
    <t xml:space="preserve">PAR-01114</t>
  </si>
  <si>
    <t xml:space="preserve">При достижении нуля мастер выбирает свободную точку</t>
  </si>
  <si>
    <t xml:space="preserve">PAR-01115</t>
  </si>
  <si>
    <t xml:space="preserve">PAR-01116</t>
  </si>
  <si>
    <t xml:space="preserve">Если бой завершился раньше, он остаётся вне сцены и возвращается в небоевом режиме по решению мастера.</t>
  </si>
  <si>
    <t xml:space="preserve">PAR-01117</t>
  </si>
  <si>
    <t xml:space="preserve">При достижении нуля мастер выбирает свободную точку; персонаж появляется в начале следующего круга, после чего состояние полёта снимается.</t>
  </si>
  <si>
    <t xml:space="preserve">PAR-01118</t>
  </si>
  <si>
    <t xml:space="preserve">Носитель по-прежнему может отсоединить нить за 1 действие, цель — освободиться за 1 действие проверкой R20+S &gt; 15+L.</t>
  </si>
  <si>
    <t xml:space="preserve">PAR-01119</t>
  </si>
  <si>
    <t xml:space="preserve">Поля состояния: уровень L| S| боевые действия</t>
  </si>
  <si>
    <t xml:space="preserve">PAR-01120</t>
  </si>
  <si>
    <t xml:space="preserve">PAR-01121</t>
  </si>
  <si>
    <t xml:space="preserve">PAR-01122</t>
  </si>
  <si>
    <t xml:space="preserve">Выборы и условия: Считать связь ограничителем максимальной дистанции 10 м.| Носитель по-прежнему может отсоединить нить за 1 действие, цель — освободиться за 1 действие проверкой R20+S &gt; 15+L.</t>
  </si>
  <si>
    <t xml:space="preserve">PAR-01123</t>
  </si>
  <si>
    <t xml:space="preserve">PAR-01124</t>
  </si>
  <si>
    <t xml:space="preserve">PAR-01125</t>
  </si>
  <si>
    <t xml:space="preserve">PAR-01126</t>
  </si>
  <si>
    <t xml:space="preserve">PAR-01127</t>
  </si>
  <si>
    <t xml:space="preserve">PAR-01128</t>
  </si>
  <si>
    <t xml:space="preserve">PAR-01129</t>
  </si>
  <si>
    <t xml:space="preserve">В начале своего хода носитель может потратить 1 действие и попытаться освободиться по той же формуле R20+S &gt; 15+L; при успехе эффект снимается.</t>
  </si>
  <si>
    <t xml:space="preserve">PAR-01130</t>
  </si>
  <si>
    <t xml:space="preserve">PAR-01131</t>
  </si>
  <si>
    <t xml:space="preserve">PAR-01132</t>
  </si>
  <si>
    <t xml:space="preserve">Числа и сроки: 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 В начале своего хода носитель может потратить 1 действие и попытаться освободиться по той же формуле R20+S &gt; 15+L; при успехе эффект снимается.| Штраф −5 критический исход сам по себе не накладывает.</t>
  </si>
  <si>
    <t xml:space="preserve">PAR-01133</t>
  </si>
  <si>
    <t xml:space="preserve">Выборы и условия: Перемещение, уклонение и ментальные способности доступны.| В начале своего хода носитель может потратить 1 действие и попытаться освободиться по той же формуле R20+S &gt; 15+L; при успехе эффект снимается.</t>
  </si>
  <si>
    <t xml:space="preserve">PAR-01134</t>
  </si>
  <si>
    <t xml:space="preserve">PAR-01135</t>
  </si>
  <si>
    <t xml:space="preserve">PAR-01136</t>
  </si>
  <si>
    <t xml:space="preserve">PAR-01137</t>
  </si>
  <si>
    <t xml:space="preserve">PAR-01138</t>
  </si>
  <si>
    <t xml:space="preserve">PAR-01139</t>
  </si>
  <si>
    <t xml:space="preserve">PAR-01140</t>
  </si>
  <si>
    <t xml:space="preserve">PAR-01141</t>
  </si>
  <si>
    <t xml:space="preserve">PAR-01142</t>
  </si>
  <si>
    <t xml:space="preserve">PAR-01143</t>
  </si>
  <si>
    <t xml:space="preserve">PAR-01144</t>
  </si>
  <si>
    <t xml:space="preserve">PAR-01145</t>
  </si>
  <si>
    <t xml:space="preserve">На 4 личных хода носитель не может выполнять действия, требующие одной или двух рук: оружейные атаки, блок оружием/щитом, применение предметов и способности с ручным жестом.</t>
  </si>
  <si>
    <t xml:space="preserve">PAR-01146</t>
  </si>
  <si>
    <t xml:space="preserve">PAR-01147</t>
  </si>
  <si>
    <t xml:space="preserve">PAR-01148</t>
  </si>
  <si>
    <t xml:space="preserve">A одновременно является проверкой активации и определяет срок A/4 минут или личных ходов</t>
  </si>
  <si>
    <t xml:space="preserve">PAR-01149</t>
  </si>
  <si>
    <t xml:space="preserve">При A≥3 эффект создаётся, при A=2 отсутствует, при A=1 Пингвин теряет способность вырабатывать феромоны на 3 часа и B не бросается.</t>
  </si>
  <si>
    <t xml:space="preserve">PAR-01150</t>
  </si>
  <si>
    <t xml:space="preserve">PAR-01151</t>
  </si>
  <si>
    <t xml:space="preserve">Числа и сроки: Выполняются два независимых чистых R20: A и B.| A одновременно является проверкой активации и определяет срок A/4 минут или личных ходов</t>
  </si>
  <si>
    <t xml:space="preserve">PAR-01152</t>
  </si>
  <si>
    <t xml:space="preserve">B определяет прибавку к радиусу в метрах.| При A≥3 эффект создаётся, при A=2 отсутствует, при A=1 Пингвин теряет способность вырабатывать феромоны на 3 часа и B не бросается.</t>
  </si>
  <si>
    <t xml:space="preserve">PAR-01153</t>
  </si>
  <si>
    <t xml:space="preserve">PAR-01154</t>
  </si>
  <si>
    <t xml:space="preserve">Выполняются два независимых чистых R20: A и B.</t>
  </si>
  <si>
    <t xml:space="preserve">PAR-01155</t>
  </si>
  <si>
    <t xml:space="preserve">PAR-01156</t>
  </si>
  <si>
    <t xml:space="preserve">PAR-01157</t>
  </si>
  <si>
    <t xml:space="preserve">PAR-01158</t>
  </si>
  <si>
    <t xml:space="preserve">PAR-01159</t>
  </si>
  <si>
    <t xml:space="preserve">Выборы и условия: Выполняются два независимых чистых R20: A и B.| A одновременно является проверкой активации и определяет срок A/4 минут или личных ходов</t>
  </si>
  <si>
    <t xml:space="preserve">PAR-01160</t>
  </si>
  <si>
    <t xml:space="preserve">PAR-01161</t>
  </si>
  <si>
    <t xml:space="preserve">PAR-01162</t>
  </si>
  <si>
    <t xml:space="preserve">Поля состояния: таймер/срок</t>
  </si>
  <si>
    <t xml:space="preserve">PAR-01163</t>
  </si>
  <si>
    <t xml:space="preserve">PAR-01164</t>
  </si>
  <si>
    <t xml:space="preserve">PAR-01165</t>
  </si>
  <si>
    <t xml:space="preserve">PAR-01166</t>
  </si>
  <si>
    <t xml:space="preserve">После её полного разрешения оставшиеся действия используются свободно</t>
  </si>
  <si>
    <t xml:space="preserve">PAR-01167</t>
  </si>
  <si>
    <t xml:space="preserve">При необходимости сближения и когда принуждение прекращается; разрешается: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t>
  </si>
  <si>
    <t xml:space="preserve">PAR-01168</t>
  </si>
  <si>
    <t xml:space="preserve">Если атака невозможна, цель тратит доступное перемещение на сближение; остальные действия может использовать свободно.</t>
  </si>
  <si>
    <t xml:space="preserve">PAR-01169</t>
  </si>
  <si>
    <t xml:space="preserve">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t>
  </si>
  <si>
    <t xml:space="preserve">PAR-01170</t>
  </si>
  <si>
    <t xml:space="preserve">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t>
  </si>
  <si>
    <t xml:space="preserve">PAR-01171</t>
  </si>
  <si>
    <t xml:space="preserve">PAR-01172</t>
  </si>
  <si>
    <t xml:space="preserve">Если атака невозможна</t>
  </si>
  <si>
    <t xml:space="preserve">PAR-01173</t>
  </si>
  <si>
    <t xml:space="preserve">PAR-01174</t>
  </si>
  <si>
    <t xml:space="preserve">PAR-01175</t>
  </si>
  <si>
    <t xml:space="preserve">Числа и сроки: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Позднее уточнение Application QA (приоритетно в пересекающейся части):|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t>
  </si>
  <si>
    <t xml:space="preserve">PAR-01176</t>
  </si>
  <si>
    <t xml:space="preserve">Выборы и условия: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</si>
  <si>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PAR-01177</t>
  </si>
  <si>
    <t xml:space="preserve">При выполнении или разрешении: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t>
  </si>
  <si>
    <t xml:space="preserve">PAR-01178</t>
  </si>
  <si>
    <t xml:space="preserve">PAR-01179</t>
  </si>
  <si>
    <t xml:space="preserve">На один следующий личный ход цели её приоритетом становится доступная атака носителя Пингвина.</t>
  </si>
  <si>
    <t xml:space="preserve">PAR-01180</t>
  </si>
  <si>
    <t xml:space="preserve">В следующий личный ход цели носитель Пингвина является её обязательной целью до разрешения одной атаки.</t>
  </si>
  <si>
    <t xml:space="preserve">PAR-01181</t>
  </si>
  <si>
    <t xml:space="preserve">PAR-01182</t>
  </si>
  <si>
    <t xml:space="preserve">PAR-01183</t>
  </si>
  <si>
    <t xml:space="preserve">Затем в начале каждого следующего личного хода до действий снова списывать 30 ОЭ и 10 hp.</t>
  </si>
  <si>
    <t xml:space="preserve">PAR-01184</t>
  </si>
  <si>
    <t xml:space="preserve">Если полной оплаты нет, дуга прекращается до действий.</t>
  </si>
  <si>
    <t xml:space="preserve">PAR-01185</t>
  </si>
  <si>
    <t xml:space="preserve">PAR-01186</t>
  </si>
  <si>
    <t xml:space="preserve">Числа и сроки: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</si>
  <si>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PAR-01187</t>
  </si>
  <si>
    <t xml:space="preserve">Выборы и условия: При объявлении сразу списать 30 ОЭ и 10 hp — это оплата первого интервала и условие создания дуги.| Затем в начале каждого следующего личного хода до действий снова списывать 30 ОЭ и 10 hp.| Если полной оплаты нет, дуга прекращается до действий.</t>
  </si>
  <si>
    <t xml:space="preserve">PAR-01188</t>
  </si>
  <si>
    <t xml:space="preserve">При объявлении сразу списать 30 ОЭ и 10 hp — это оплата первого интервала и условие создания дуги</t>
  </si>
  <si>
    <t xml:space="preserve">PAR-01189</t>
  </si>
  <si>
    <t xml:space="preserve">Когда списывается первая стоимость поддержания «Электрической дуги» — при объявлении или только в начале следующего хода</t>
  </si>
  <si>
    <t xml:space="preserve">PAR-01190</t>
  </si>
  <si>
    <t xml:space="preserve">При объявлении сразу списать 30 ОЭ и 10 hp — это оплата первого интервала и условие создания дуги.</t>
  </si>
  <si>
    <t xml:space="preserve">PAR-01191</t>
  </si>
  <si>
    <t xml:space="preserve">PAR-01192</t>
  </si>
  <si>
    <t xml:space="preserve">PAR-01193</t>
  </si>
  <si>
    <t xml:space="preserve">PAR-01194</t>
  </si>
  <si>
    <t xml:space="preserve">PAR-01195</t>
  </si>
  <si>
    <t xml:space="preserve">PAR-01196</t>
  </si>
  <si>
    <t xml:space="preserve">PAR-01197</t>
  </si>
  <si>
    <t xml:space="preserve">PAR-01198</t>
  </si>
  <si>
    <t xml:space="preserve">Числа и сроки: Да, пока каждая характеристика остаётся не ниже 1 и хватает ОЭ.| 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</si>
  <si>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PAR-01199</t>
  </si>
  <si>
    <t xml:space="preserve">Частичного восстановления нет: весь накопленный пул возвращается одновременно после совместного выполнения трёх условий, перечисленных в уточнении рулбука.</t>
  </si>
  <si>
    <t xml:space="preserve">PAR-01200</t>
  </si>
  <si>
    <t xml:space="preserve">PAR-01201</t>
  </si>
  <si>
    <t xml:space="preserve">PAR-01202</t>
  </si>
  <si>
    <t xml:space="preserve">Поля состояния: ОЭ| раса</t>
  </si>
  <si>
    <t xml:space="preserve">PAR-01203</t>
  </si>
  <si>
    <t xml:space="preserve">PAR-01204</t>
  </si>
  <si>
    <t xml:space="preserve">PAR-01205</t>
  </si>
  <si>
    <t xml:space="preserve">PAR-01206</t>
  </si>
  <si>
    <t xml:space="preserve">PAR-01207</t>
  </si>
  <si>
    <t xml:space="preserve">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t>
  </si>
  <si>
    <t xml:space="preserve">PAR-01208</t>
  </si>
  <si>
    <t xml:space="preserve">Поля состояния: уровень L| боевые действия| навыки</t>
  </si>
  <si>
    <t xml:space="preserve">PAR-01209</t>
  </si>
  <si>
    <t xml:space="preserve">Броски, ресурсы и выражения: L| 1 действие</t>
  </si>
  <si>
    <t xml:space="preserve">PAR-01210</t>
  </si>
  <si>
    <t xml:space="preserve">PAR-01211</t>
  </si>
  <si>
    <t xml:space="preserve">Выборы и условия: Считать язык специальной рукопашной атакой дальностью L м и стоимостью 1 действие: обычная точность по рукопашному навыку и обычная активная защита, без базового урона и без проверки бронепробития.| Доставка яда успешна только если выбранная/случайная зона открыта либо прикрыта обычной тканью без показателя брони; любой броневой слой на зоне блокирует доставку.| Для «Амфибиоморфной асфиксии» вместо автоматического блока используется её отдельная проверка иглы.</t>
  </si>
  <si>
    <t xml:space="preserve">PAR-01212</t>
  </si>
  <si>
    <t xml:space="preserve">PAR-01213</t>
  </si>
  <si>
    <t xml:space="preserve">PAR-01214</t>
  </si>
  <si>
    <t xml:space="preserve">PAR-01215</t>
  </si>
  <si>
    <t xml:space="preserve">PAR-01216</t>
  </si>
  <si>
    <t xml:space="preserve">PAR-01217</t>
  </si>
  <si>
    <t xml:space="preserve">Числа и сроки: Позднее уточнение Application QA (приоритетно в пересекающейся части):|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Срок автономного существования L часов продолжает идти; при его истечении Крыса погибает по общему правилу.</t>
  </si>
  <si>
    <t xml:space="preserve">PAR-01218</t>
  </si>
  <si>
    <t xml:space="preserve">PAR-01219</t>
  </si>
  <si>
    <t xml:space="preserve">Срок автономного существования L часов продолжает идти; при его истечении Крыса погибает по общему правилу.</t>
  </si>
  <si>
    <t xml:space="preserve">PAR-01220</t>
  </si>
  <si>
    <t xml:space="preserve">PAR-01221</t>
  </si>
  <si>
    <t xml:space="preserve">PAR-01222</t>
  </si>
  <si>
    <t xml:space="preserve">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t>
  </si>
  <si>
    <t xml:space="preserve">PAR-01223</t>
  </si>
  <si>
    <t xml:space="preserve">PAR-01224</t>
  </si>
  <si>
    <t xml:space="preserve">PAR-01225</t>
  </si>
  <si>
    <t xml:space="preserve">PAR-01226</t>
  </si>
  <si>
    <t xml:space="preserve">При возвращении Крысы в живого носителя «Ретранслятор» передаёт носителю управление на 24 часа</t>
  </si>
  <si>
    <t xml:space="preserve">PAR-01227</t>
  </si>
  <si>
    <t xml:space="preserve">PAR-01228</t>
  </si>
  <si>
    <t xml:space="preserve">PAR-01229</t>
  </si>
  <si>
    <t xml:space="preserve">Числа и сроки: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 Смерть носителя либо истечение 24 часов прекращает контроль и запускает разбегание стаи.</t>
  </si>
  <si>
    <t xml:space="preserve">PAR-01230</t>
  </si>
  <si>
    <t xml:space="preserve">Выборы и условия: При возвращении Крысы в живого носителя «Ретранслятор» передаёт носителю управление на 24 часа: последний приказ продолжает исполняться, даже если носитель без сознания или временно вне карты, но новые приказы в этот период невозможны.</t>
  </si>
  <si>
    <t xml:space="preserve">PAR-01231</t>
  </si>
  <si>
    <t xml:space="preserve">PAR-01232</t>
  </si>
  <si>
    <t xml:space="preserve">PAR-01233</t>
  </si>
  <si>
    <t xml:space="preserve">PAR-01234</t>
  </si>
  <si>
    <t xml:space="preserve">PAR-01235</t>
  </si>
  <si>
    <t xml:space="preserve">PAR-01236</t>
  </si>
  <si>
    <t xml:space="preserve">PAR-01237</t>
  </si>
  <si>
    <t xml:space="preserve">PAR-01238</t>
  </si>
  <si>
    <t xml:space="preserve">PAR-01239</t>
  </si>
  <si>
    <t xml:space="preserve">PAR-01240</t>
  </si>
  <si>
    <t xml:space="preserve">Смерть носителя либо истечение 24 часов прекращает контроль и запускает разбегание стаи.</t>
  </si>
  <si>
    <t xml:space="preserve">PAR-01241</t>
  </si>
  <si>
    <t xml:space="preserve">Числа и сроки: Раскрытие действует с успешного применения до начала следующего личного хода носителя Дельфина.</t>
  </si>
  <si>
    <t xml:space="preserve">PAR-01242</t>
  </si>
  <si>
    <t xml:space="preserve">Раскрытие действует с успешного применения до начала следующего личного хода носителя Дельфина.</t>
  </si>
  <si>
    <t xml:space="preserve">PAR-01243</t>
  </si>
  <si>
    <t xml:space="preserve">PAR-01244</t>
  </si>
  <si>
    <t xml:space="preserve">PAR-01245</t>
  </si>
  <si>
    <t xml:space="preserve">Оба удара входят в одно боевое действие, но объявляются и разрешаются последовательно.</t>
  </si>
  <si>
    <t xml:space="preserve">PAR-01246</t>
  </si>
  <si>
    <t xml:space="preserve">PAR-01247</t>
  </si>
  <si>
    <t xml:space="preserve">PAR-01248</t>
  </si>
  <si>
    <t xml:space="preserve">Поля состояния: M| боевые действия</t>
  </si>
  <si>
    <t xml:space="preserve">PAR-01249</t>
  </si>
  <si>
    <t xml:space="preserve">PAR-01250</t>
  </si>
  <si>
    <t xml:space="preserve">Выборы и условия: Герметичный Нэйт или независимая замкнутая система дыхания полностью предотвращают снижение M и ограничение действий, пока защита герметична.</t>
  </si>
  <si>
    <t xml:space="preserve">PAR-01251</t>
  </si>
  <si>
    <t xml:space="preserve">PAR-01252</t>
  </si>
  <si>
    <t xml:space="preserve">PAR-01253</t>
  </si>
  <si>
    <t xml:space="preserve">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t>
  </si>
  <si>
    <t xml:space="preserve">PAR-01254</t>
  </si>
  <si>
    <t xml:space="preserve">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t>
  </si>
  <si>
    <t xml:space="preserve">PAR-01255</t>
  </si>
  <si>
    <t xml:space="preserve">Поля состояния: уровень L| D| боевые действия| раса</t>
  </si>
  <si>
    <t xml:space="preserve">PAR-01256</t>
  </si>
  <si>
    <t xml:space="preserve">Числа и сроки: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Позднее уточнение Application QA (приоритетно в пересекающейся части):|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</si>
  <si>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PAR-01257</t>
  </si>
  <si>
    <t xml:space="preserve">Выборы и условия: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</si>
  <si>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PAR-01258</t>
  </si>
  <si>
    <t xml:space="preserve">PAR-01259</t>
  </si>
  <si>
    <t xml:space="preserve">PAR-01260</t>
  </si>
  <si>
    <t xml:space="preserve">Эта формулировка заменяет прежний ответ с 5L/10L; нормативная формула рулбука — 2×R20 с места и R20 на бегу.</t>
  </si>
  <si>
    <t xml:space="preserve">PAR-01261</t>
  </si>
  <si>
    <t xml:space="preserve">Затем выполняется один чистый R20 дальности.</t>
  </si>
  <si>
    <t xml:space="preserve">PAR-01262</t>
  </si>
  <si>
    <t xml:space="preserve">Максимальная дальность центра взрыва равна 2×R20 метров с места и R20 метров на бегу.</t>
  </si>
  <si>
    <t xml:space="preserve">PAR-01263</t>
  </si>
  <si>
    <t xml:space="preserve">Затем отдельно бросается R12 радиуса, а для каждого персонажа в области отдельно применяется таблица «Анальной железы» по Q-SYM-070.</t>
  </si>
  <si>
    <t xml:space="preserve">PAR-01264</t>
  </si>
  <si>
    <t xml:space="preserve">PAR-01265</t>
  </si>
  <si>
    <t xml:space="preserve">PAR-01266</t>
  </si>
  <si>
    <t xml:space="preserve">PAR-01267</t>
  </si>
  <si>
    <t xml:space="preserve">PAR-01268</t>
  </si>
  <si>
    <t xml:space="preserve">PAR-01269</t>
  </si>
  <si>
    <t xml:space="preserve">PAR-01270</t>
  </si>
  <si>
    <t xml:space="preserve">PAR-01271</t>
  </si>
  <si>
    <t xml:space="preserve">PAR-01272</t>
  </si>
  <si>
    <t xml:space="preserve">PAR-01273</t>
  </si>
  <si>
    <t xml:space="preserve">Выполняется только указанный чистый R20 способности, после чего сохраняется её информационный или наградной результат.</t>
  </si>
  <si>
    <t xml:space="preserve">PAR-01274</t>
  </si>
  <si>
    <t xml:space="preserve">PAR-01275</t>
  </si>
  <si>
    <t xml:space="preserve">PAR-01276</t>
  </si>
  <si>
    <t xml:space="preserve">Выборы и условия: Выбирается одна живая цель, которую Химера видит на текущей боевой карте; отдельного ограничения дальности нет.| Проверки меткости, зоны попадания, активной защиты, ментального сопротивления и брони не выполняются: это сенсорная оценка, а не воздействие на цель.| Выполняется только указанный чистый R20 способности, после чего сохраняется её информационный или наградной результат.</t>
  </si>
  <si>
    <t xml:space="preserve">PAR-01277</t>
  </si>
  <si>
    <t xml:space="preserve">Проверки меткости, зоны попадания, активной защиты, ментального сопротивления и брони не выполняются: это сенсорная оценка, а не воздействие на цель.</t>
  </si>
  <si>
    <t xml:space="preserve">PAR-01278</t>
  </si>
  <si>
    <t xml:space="preserve">PAR-01279</t>
  </si>
  <si>
    <t xml:space="preserve">PAR-01280</t>
  </si>
  <si>
    <t xml:space="preserve">PAR-01281</t>
  </si>
  <si>
    <t xml:space="preserve">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t>
  </si>
  <si>
    <t xml:space="preserve">PAR-01282</t>
  </si>
  <si>
    <t xml:space="preserve">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t>
  </si>
  <si>
    <t xml:space="preserve">PAR-01283</t>
  </si>
  <si>
    <t xml:space="preserve">Поля состояния: боевые действия| таймер/срок</t>
  </si>
  <si>
    <t xml:space="preserve">PAR-01284</t>
  </si>
  <si>
    <t xml:space="preserve">Числа и сроки: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Позднее уточнение Application QA (приоритетно в пересекающейся части):|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Метка и бонус немедленно снимаются при окончательной смерти цели, её удалении с боевой карты, завершении боя или истечении срока «Гончей».</t>
  </si>
  <si>
    <t xml:space="preserve">PAR-01285</t>
  </si>
  <si>
    <t xml:space="preserve">Выборы и условия: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Метка и бонус снимаются, когда цель либо удалена с боевой карты; новая цель требует нового срабатывания способности.|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t>
  </si>
  <si>
    <t xml:space="preserve">PAR-01286</t>
  </si>
  <si>
    <t xml:space="preserve">При выполнении или разрешении: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</si>
  <si>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PAR-01287</t>
  </si>
  <si>
    <t xml:space="preserve">PAR-01288</t>
  </si>
  <si>
    <t xml:space="preserve">PAR-01289</t>
  </si>
  <si>
    <t xml:space="preserve">PAR-01290</t>
  </si>
  <si>
    <t xml:space="preserve">Метка и бонус немедленно снимаются при окончательной смерти цели, её удалении с боевой карты, завершении боя или истечении срока «Гончей».</t>
  </si>
  <si>
    <t xml:space="preserve">PAR-01291</t>
  </si>
  <si>
    <t xml:space="preserve">PAR-01292</t>
  </si>
  <si>
    <t xml:space="preserve">Поля состояния: таймер/срок| состояние</t>
  </si>
  <si>
    <t xml:space="preserve">PAR-01293</t>
  </si>
  <si>
    <t xml:space="preserve">Числа и сроки: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t>
  </si>
  <si>
    <t xml:space="preserve">PAR-01294</t>
  </si>
  <si>
    <t xml:space="preserve">Выборы и условия: При успешной проверке немедленно снять все действующие эффекты физического и ментального контроля, включая захват, обездвиживание, оглушение и принуждение, а затем до конца срока отменять новые такие эффекты.</t>
  </si>
  <si>
    <t xml:space="preserve">PAR-01295</t>
  </si>
  <si>
    <t xml:space="preserve">PAR-01296</t>
  </si>
  <si>
    <t xml:space="preserve">PAR-01297</t>
  </si>
  <si>
    <t xml:space="preserve">Числа и сроки: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 Это не боевое действие и не удваивается «Охотничьим азартом».</t>
  </si>
  <si>
    <t xml:space="preserve">PAR-01298</t>
  </si>
  <si>
    <t xml:space="preserve">Это не боевое действие и не удваивается «Охотничьим азартом».</t>
  </si>
  <si>
    <t xml:space="preserve">PAR-01299</t>
  </si>
  <si>
    <t xml:space="preserve">PAR-01300</t>
  </si>
  <si>
    <t xml:space="preserve">PAR-01301</t>
  </si>
  <si>
    <t xml:space="preserve">PAR-01302</t>
  </si>
  <si>
    <t xml:space="preserve">Выборы и условия: Один раз за личный ход, если отмеченная «Гончей» живая цель находится не дальше 20 м, Химера может бесплатно переместиться по прямой к ближайшей допустимой точке в 2 м от неё.</t>
  </si>
  <si>
    <t xml:space="preserve">PAR-01303</t>
  </si>
  <si>
    <t xml:space="preserve">PAR-01304</t>
  </si>
  <si>
    <t xml:space="preserve">PAR-01305</t>
  </si>
  <si>
    <t xml:space="preserve">PAR-01306</t>
  </si>
  <si>
    <t xml:space="preserve">PAR-01307</t>
  </si>
  <si>
    <t xml:space="preserve">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t>
  </si>
  <si>
    <t xml:space="preserve">PAR-01308</t>
  </si>
  <si>
    <t xml:space="preserve">Числа и сроки: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Критическая 1 уже однозначна по Q-MON-009: она отключает саму Химеру до конца боя и форму не создаёт.</t>
  </si>
  <si>
    <t xml:space="preserve">PAR-01309</t>
  </si>
  <si>
    <t xml:space="preserve">Выборы и условия: Смерть или отключение Химеры немедленно завершает форму, как и окончание её таймера.| Сначала убрать удвоение S, D, M, Z и maxHP, затем установить currentHP равным ceil(текущего удвоенного currentHP/2), но не выше нового maxHP, после чего заново проверить тяжёлое ранение и смерть.| Выданные формой метки Гончей, Неудержимость и пассивные проверки Последнего взгляда прекращаются одновременно.</t>
  </si>
  <si>
    <t xml:space="preserve">PAR-01310</t>
  </si>
  <si>
    <t xml:space="preserve">PAR-01311</t>
  </si>
  <si>
    <t xml:space="preserve">Критическая 1 уже однозначна по Q-MON-009: она отключает саму Химеру до конца боя и форму не создаёт.</t>
  </si>
  <si>
    <t xml:space="preserve">PAR-01312</t>
  </si>
  <si>
    <t xml:space="preserve">Поля состояния: currentHP| maxHP| S| D| M| Z| таймер/срок</t>
  </si>
  <si>
    <t xml:space="preserve">PAR-01313</t>
  </si>
  <si>
    <t xml:space="preserve">PAR-01314</t>
  </si>
  <si>
    <t xml:space="preserve">PAR-01315</t>
  </si>
  <si>
    <t xml:space="preserve">PAR-01316</t>
  </si>
  <si>
    <t xml:space="preserve">PAR-01317</t>
  </si>
  <si>
    <t xml:space="preserve">PAR-01318</t>
  </si>
  <si>
    <t xml:space="preserve">PAR-01319</t>
  </si>
  <si>
    <t xml:space="preserve">PAR-01320</t>
  </si>
  <si>
    <t xml:space="preserve">Другие ограничения не обрабатываются; марионетка не получает дополнительных действий и не игнорирует физические ограничения.</t>
  </si>
  <si>
    <t xml:space="preserve">PAR-01321</t>
  </si>
  <si>
    <t xml:space="preserve">PAR-01322</t>
  </si>
  <si>
    <t xml:space="preserve">PAR-01323</t>
  </si>
  <si>
    <t xml:space="preserve">PAR-01324</t>
  </si>
  <si>
    <t xml:space="preserve">PAR-01325</t>
  </si>
  <si>
    <t xml:space="preserve">PAR-01326</t>
  </si>
  <si>
    <t xml:space="preserve">PAR-01327</t>
  </si>
  <si>
    <t xml:space="preserve">PAR-01328</t>
  </si>
  <si>
    <t xml:space="preserve">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</si>
  <si>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PAR-01329</t>
  </si>
  <si>
    <t xml:space="preserve">PAR-01330</t>
  </si>
  <si>
    <t xml:space="preserve">PAR-01331</t>
  </si>
  <si>
    <t xml:space="preserve">Выборы и условия: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t>
  </si>
  <si>
    <t xml:space="preserve">PAR-01332</t>
  </si>
  <si>
    <t xml:space="preserve">PAR-01333</t>
  </si>
  <si>
    <t xml:space="preserve">Числа и сроки: На срок иммунитета новые заражения невозможны; после окончания прежние ассистенты и эффекты не восстанавливаются.</t>
  </si>
  <si>
    <t xml:space="preserve">PAR-01334</t>
  </si>
  <si>
    <t xml:space="preserve">На срок иммунитета новые заражения невозможны; после окончания прежние ассистенты и эффекты не восстанавливаются.</t>
  </si>
  <si>
    <t xml:space="preserve">PAR-01335</t>
  </si>
  <si>
    <t xml:space="preserve">PAR-01336</t>
  </si>
  <si>
    <t xml:space="preserve">PAR-01337</t>
  </si>
  <si>
    <t xml:space="preserve">PAR-01338</t>
  </si>
  <si>
    <t xml:space="preserve">Числа и сроки: Позднее уточнение Application QA (приоритетно в пересекающейся части):| При newLimit=0 уничтожаются все ассистенты этого Доктора.</t>
  </si>
  <si>
    <t xml:space="preserve">PAR-01339</t>
  </si>
  <si>
    <t xml:space="preserve">PAR-01340</t>
  </si>
  <si>
    <t xml:space="preserve">При newLimit=0 уничтожаются все ассистенты этого Доктора</t>
  </si>
  <si>
    <t xml:space="preserve">PAR-01341</t>
  </si>
  <si>
    <t xml:space="preserve">PAR-01342</t>
  </si>
  <si>
    <t xml:space="preserve">При newLimit=0 уничтожаются все ассистенты этого Доктора.</t>
  </si>
  <si>
    <t xml:space="preserve">PAR-01343</t>
  </si>
  <si>
    <t xml:space="preserve">PAR-01344</t>
  </si>
  <si>
    <t xml:space="preserve">PAR-01345</t>
  </si>
  <si>
    <t xml:space="preserve">При выполнении или разрешении: минимум две серии действий от «Мёртвого вестника» соотносится с верхним пределом действий, пропуском хода, тяжёлым ранением и другими эффектами, задающими фиксированное число действий</t>
  </si>
  <si>
    <t xml:space="preserve">PAR-01346</t>
  </si>
  <si>
    <t xml:space="preserve">Поля состояния: боевые действия| серия действий| раса</t>
  </si>
  <si>
    <t xml:space="preserve">PAR-01347</t>
  </si>
  <si>
    <t xml:space="preserve">PAR-01348</t>
  </si>
  <si>
    <t xml:space="preserve">Числа и сроки: Сначала применить эффекты полного пропуска хода и недееспособности: они дают 0 действий и имеют абсолютный приоритет.| Иначе рассчитать обычное число серий с бонусом +1, применить все фиксированные значения и верхние пределы, затем поднять результат до 2.| Если другой эффект прямо устанавливает максимум 1, этот максимум имеет приоритет и остаётся 1.</t>
  </si>
  <si>
    <t xml:space="preserve">PAR-01349</t>
  </si>
  <si>
    <t xml:space="preserve">Сначала применить эффекты полного пропуска хода и недееспособности: они дают 0 действий и имеют абсолютный приоритет.</t>
  </si>
  <si>
    <t xml:space="preserve">PAR-01350</t>
  </si>
  <si>
    <t xml:space="preserve">PAR-01351</t>
  </si>
  <si>
    <t xml:space="preserve">PAR-01352</t>
  </si>
  <si>
    <t xml:space="preserve">PAR-01353</t>
  </si>
  <si>
    <t xml:space="preserve">PAR-01354</t>
  </si>
  <si>
    <t xml:space="preserve">PAR-01355</t>
  </si>
  <si>
    <t xml:space="preserve">Жаба перемещается по прямой к заявленной точке на 12+R20 метров, но не дальше заявленной точки и не дальше общего предела 32 м.</t>
  </si>
  <si>
    <t xml:space="preserve">PAR-01356</t>
  </si>
  <si>
    <t xml:space="preserve">PAR-01357</t>
  </si>
  <si>
    <t xml:space="preserve">Числа и сроки: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 Препятствия и высота в принятой 2D-модели не учитываются.</t>
  </si>
  <si>
    <t xml:space="preserve">PAR-01358</t>
  </si>
  <si>
    <t xml:space="preserve">Выборы и условия: Жаба перемещается по прямой к заявленной точке на 12+R20 метров, но не дальше заявленной точки и не дальше общего предела 32 м.| 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</si>
  <si>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PAR-01359</t>
  </si>
  <si>
    <t xml:space="preserve">Если достигнутой дистанции недостаточно, это считается неудачным прыжком: Жаба остаётся в достигнутой точке и получает −4 к защите до начала своего следующего хода.</t>
  </si>
  <si>
    <t xml:space="preserve">PAR-01360</t>
  </si>
  <si>
    <t xml:space="preserve">PAR-01361</t>
  </si>
  <si>
    <t xml:space="preserve">PAR-01362</t>
  </si>
  <si>
    <t xml:space="preserve">Если его атака нанесла хотя бы 1 урон после защиты, заражение создаётся автоматически без отдельного действия и без проверки заражения.</t>
  </si>
  <si>
    <t xml:space="preserve">PAR-01363</t>
  </si>
  <si>
    <t xml:space="preserve">Поля состояния: HP| боевые действия</t>
  </si>
  <si>
    <t xml:space="preserve">PAR-01364</t>
  </si>
  <si>
    <t xml:space="preserve">PAR-01365</t>
  </si>
  <si>
    <t xml:space="preserve">Выборы и условия: Если его атака нанесла хотя бы 1 урон после защиты, заражение создаётся автоматически без отдельного действия и без проверки заражения.| 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</si>
  <si>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PAR-01366</t>
  </si>
  <si>
    <t xml:space="preserve">Выдвижение и втягивание клинка занимают по 1 действию; клинок остаётся выдвинутым до явного втягивания.</t>
  </si>
  <si>
    <t xml:space="preserve">PAR-01367</t>
  </si>
  <si>
    <t xml:space="preserve">Лимит, «Вакцинация» и полный иммунитет всё равно применяются; герметичный Нэйт, уже пробитый до HP этим ударом, не защищает от введённых внутрь ассистентов.</t>
  </si>
  <si>
    <t xml:space="preserve">PAR-01368</t>
  </si>
  <si>
    <t xml:space="preserve">PAR-01369</t>
  </si>
  <si>
    <t xml:space="preserve">PAR-01370</t>
  </si>
  <si>
    <t xml:space="preserve">PAR-01371</t>
  </si>
  <si>
    <t xml:space="preserve">PAR-01372</t>
  </si>
  <si>
    <t xml:space="preserve">PAR-01373</t>
  </si>
  <si>
    <t xml:space="preserve">PAR-01374</t>
  </si>
  <si>
    <t xml:space="preserve">Это правило распространяется на «Чтение мыслей», «Рассеянность», «Ментального ученика», «Превосходство» и «Отмену действия».</t>
  </si>
  <si>
    <t xml:space="preserve">PAR-01375</t>
  </si>
  <si>
    <t xml:space="preserve">PAR-01376</t>
  </si>
  <si>
    <t xml:space="preserve">PAR-01377</t>
  </si>
  <si>
    <t xml:space="preserve">PAR-01378</t>
  </si>
  <si>
    <t xml:space="preserve">PAR-01379</t>
  </si>
  <si>
    <t xml:space="preserve">PAR-01380</t>
  </si>
  <si>
    <t xml:space="preserve">Выборы и условия: После каждого пересчёта для каждой сниженной характеристики X проверяется итоговое X+итоговое Z&lt;1; успех хотя бы одной проверки даёт бессознательность до снятия соответствующего снижения.| Автоматические проверки заражения, выбор болезни и попытки лечения не выполняются без отдельной команды мастера.</t>
  </si>
  <si>
    <t xml:space="preserve">PAR-01381</t>
  </si>
  <si>
    <t xml:space="preserve">PAR-01382</t>
  </si>
  <si>
    <t xml:space="preserve">PAR-01383</t>
  </si>
  <si>
    <t xml:space="preserve">PAR-01384</t>
  </si>
  <si>
    <t xml:space="preserve">PAR-01385</t>
  </si>
  <si>
    <t xml:space="preserve">PAR-01386</t>
  </si>
  <si>
    <t xml:space="preserve">После импорта все ссылки, цели и журнал кампании используют campaignCharacterId</t>
  </si>
  <si>
    <t xml:space="preserve">PAR-01387</t>
  </si>
  <si>
    <t xml:space="preserve">После каждого подтверждённого пользовательского действия приложение атомарно сохраняет версию черновика</t>
  </si>
  <si>
    <t xml:space="preserve">PAR-01388</t>
  </si>
  <si>
    <t xml:space="preserve">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t>
  </si>
  <si>
    <t xml:space="preserve">PAR-01389</t>
  </si>
  <si>
    <t xml:space="preserve">Поля состояния: боевые действия| навыки</t>
  </si>
  <si>
    <t xml:space="preserve">PAR-01390</t>
  </si>
  <si>
    <t xml:space="preserve">PAR-01391</t>
  </si>
  <si>
    <t xml:space="preserve">Выборы и условия: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</si>
  <si>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PAR-01392</t>
  </si>
  <si>
    <t xml:space="preserve">Если снижение характеристики сделает невозможным использование уже выбранного навыка персонажа</t>
  </si>
  <si>
    <t xml:space="preserve">PAR-01393</t>
  </si>
  <si>
    <t xml:space="preserve">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t>
  </si>
  <si>
    <t xml:space="preserve">PAR-01394</t>
  </si>
  <si>
    <t xml:space="preserve">PAR-01395</t>
  </si>
  <si>
    <t xml:space="preserve">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t>
  </si>
  <si>
    <t xml:space="preserve">PAR-01396</t>
  </si>
  <si>
    <t xml:space="preserve">PAR-01397</t>
  </si>
  <si>
    <t xml:space="preserve">PAR-01398</t>
  </si>
  <si>
    <t xml:space="preserve">PAR-01399</t>
  </si>
  <si>
    <t xml:space="preserve">PAR-01400</t>
  </si>
  <si>
    <t xml:space="preserve">PAR-01401</t>
  </si>
  <si>
    <t xml:space="preserve">В каждом черновике до первого случайного результата фиксируется diceInputMode = virtual| physical.</t>
  </si>
  <si>
    <t xml:space="preserve">PAR-01402</t>
  </si>
  <si>
    <t xml:space="preserve">Выборы и условия: 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t>
  </si>
  <si>
    <t xml:space="preserve">PAR-01403</t>
  </si>
  <si>
    <t xml:space="preserve">PAR-01404</t>
  </si>
  <si>
    <t xml:space="preserve">В режиме physical пользователь вводит целое значение в диапазоне соответствующего дайса; приложение не проверяет честность, но помечает источник как ручной.</t>
  </si>
  <si>
    <t xml:space="preserve">PAR-01405</t>
  </si>
  <si>
    <t xml:space="preserve">PAR-01406</t>
  </si>
  <si>
    <t xml:space="preserve">В режиме virtual значение генерирует сервер/хост/приложение и сразу журналирует.</t>
  </si>
  <si>
    <t xml:space="preserve">PAR-01407</t>
  </si>
  <si>
    <t xml:space="preserve">PAR-01408</t>
  </si>
  <si>
    <t xml:space="preserve">PAR-01409</t>
  </si>
  <si>
    <t xml:space="preserve">При смене расы, класса, ручного симбионта и возврате на предыдущий этап; вычисляются: данные сохраняются, пересчитываются или удаляются</t>
  </si>
  <si>
    <t xml:space="preserve">PAR-01410</t>
  </si>
  <si>
    <t xml:space="preserve">В ручном режиме набор можно заменять свободно.</t>
  </si>
  <si>
    <t xml:space="preserve">PAR-01411</t>
  </si>
  <si>
    <t xml:space="preserve">Выборы и условия: После первого броска характеристик способ проброса характеристик и режим дайсов блокируются (далее в рамках создания этого персонажа игрок не может их изменить).| При переходе к Чистому весь набор симбионтов и его зависимые данные удаляются из активной карточки, затем обязательно выбирается класс.| 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 Для случайного режима все натуральные броски, подтверждения и уже разрешённые типы хранятся по UUID черновика и не перебрасываются.| Если у Единого был только результат-чудовище, для ветки Вольного один раз создаётся отдельный обычный результат.| При последующих переключениях каждая уже созданная ветка восстанавливается без новых бросков.| Выбор одного из трёх чудовищ, уже открытый сохранённым критом Единого, можно менять до финала, поскольку это не новый случайный результат.| В ручном режиме набор можно заменять свободно.| Навык, окончательно утративший требование из-за подтверждённой смены, удаляется и освобождает слоты того же стартового пула; если после пересчёта стартовые слоты стали незаполненными, финальное сохранение блокируется и пользователь возвращается к навыкам.| 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</si>
  <si>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PAR-01412</t>
  </si>
  <si>
    <t xml:space="preserve">При переходе от Чистого его класс и классовый навык удаляются, после чего восстанавливается ранее зафиксированный режим заражения; если черновик был начат как Чистый и такого режима ещё не было, пользователь выбирает его один раз в составе атомарного перехода, после чего режим блокируется.</t>
  </si>
  <si>
    <t xml:space="preserve">PAR-01413</t>
  </si>
  <si>
    <t xml:space="preserve">Если у Единого был только результат-чудовище, для ветки Вольного один раз создаётся отдельный обычный результат.</t>
  </si>
  <si>
    <t xml:space="preserve">PAR-01414</t>
  </si>
  <si>
    <t xml:space="preserve">Данные удалённого Советника хранятся в неактивной ветке черновика и восстанавливаются вместе с той же веткой; повторное случайное создание Советника в новой ветке получает новую карточку только один раз и затем также переиспользуется, что исключает выбор лучшего результата повторными переключениями.</t>
  </si>
  <si>
    <t xml:space="preserve">PAR-01415</t>
  </si>
  <si>
    <t xml:space="preserve">PAR-01416</t>
  </si>
  <si>
    <t xml:space="preserve">PAR-01417</t>
  </si>
  <si>
    <t xml:space="preserve">Поля состояния: S| D| M| Z| I| W| C| боевые действия| раса| класс</t>
  </si>
  <si>
    <t xml:space="preserve">PAR-01418</t>
  </si>
  <si>
    <t xml:space="preserve">PAR-01419</t>
  </si>
  <si>
    <t xml:space="preserve">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t>
  </si>
  <si>
    <t xml:space="preserve">PAR-01420</t>
  </si>
  <si>
    <t xml:space="preserve">PAR-01421</t>
  </si>
  <si>
    <t xml:space="preserve">PAR-01422</t>
  </si>
  <si>
    <t xml:space="preserve">Пределы применяются к итоговой характеристике после суммирования всех активных дельт: при активном Учителе W = min(Wraw, 20), при активном Дельфине I = min(Iraw, 30).</t>
  </si>
  <si>
    <t xml:space="preserve">PAR-01423</t>
  </si>
  <si>
    <t xml:space="preserve">PAR-01424</t>
  </si>
  <si>
    <t xml:space="preserve">При ручной попытке выбрать любую комбинацию симбионтов</t>
  </si>
  <si>
    <t xml:space="preserve">PAR-01425</t>
  </si>
  <si>
    <t xml:space="preserve">В ручном режиме общего пола нет.</t>
  </si>
  <si>
    <t xml:space="preserve">PAR-01426</t>
  </si>
  <si>
    <t xml:space="preserve">PAR-01427</t>
  </si>
  <si>
    <t xml:space="preserve">Выборы и условия: Если несколько активных явных пределов относятся к одному параметру, применяется наиболее строгий.|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В ручном режиме общего пола нет.</t>
  </si>
  <si>
    <t xml:space="preserve">PAR-01428</t>
  </si>
  <si>
    <t xml:space="preserve">PAR-01429</t>
  </si>
  <si>
    <t xml:space="preserve">PAR-01430</t>
  </si>
  <si>
    <t xml:space="preserve">Эти броски не запускают критические цепочки создания, не создают штраф критической единицы и не дают опыта.</t>
  </si>
  <si>
    <t xml:space="preserve">PAR-01431</t>
  </si>
  <si>
    <t xml:space="preserve">Советник не применяет навыки и не получает опыт.</t>
  </si>
  <si>
    <t xml:space="preserve">PAR-01432</t>
  </si>
  <si>
    <t xml:space="preserve">Броски, ресурсы и выражения: R20| I| W| W/2| I/W| S/D| M/Z| C</t>
  </si>
  <si>
    <t xml:space="preserve">PAR-01433</t>
  </si>
  <si>
    <t xml:space="preserve">PAR-01434</t>
  </si>
  <si>
    <t xml:space="preserve">Выборы и условия: 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 Эти броски не запускают критические цепочки создания, не создают штраф критической единицы и не дают опыта.| При проверке требований и последующем использовании навыка берутся собственные I/W Советника, а S/D/M/Z/C — текущие характеристики тела носителя; при смене тела они пересчитываются.| Если Трогр подавляет Советника уже при создании, I, W и навыки всё равно создаются и сохраняются, но скрываются как неактивные</t>
  </si>
  <si>
    <t xml:space="preserve">PAR-01435</t>
  </si>
  <si>
    <t xml:space="preserve">При первом получении Советника автоматически и один раз выполняются два независимых чистых R20 в зафиксированном режиме дайсов</t>
  </si>
  <si>
    <t xml:space="preserve">PAR-01436</t>
  </si>
  <si>
    <t xml:space="preserve">При первом получении Советника автоматически и один раз выполняются два независимых чистых R20 в зафиксированном режиме дайсов: сначала I, затем W; к каждому прибавляется 8.</t>
  </si>
  <si>
    <t xml:space="preserve">PAR-01437</t>
  </si>
  <si>
    <t xml:space="preserve">Одноразовый бонус подавления B определяется как R20/4 с округлением по Q-SYM-005: до ближайшего целого, ровно 0,5 — вверх.</t>
  </si>
  <si>
    <t xml:space="preserve">PAR-01438</t>
  </si>
  <si>
    <t xml:space="preserve">PAR-01439</t>
  </si>
  <si>
    <t xml:space="preserve">PAR-01440</t>
  </si>
  <si>
    <t xml:space="preserve">PAR-01441</t>
  </si>
  <si>
    <t xml:space="preserve">Советник не применяет навыки и не получает опыт.| Одноразовый бонус подавления B определяется как R20/4 с округлением по Q-SYM-005: до ближайшего целого, ровно 0,5 — вверх.| Для него выполняется отдельный устойчивый бросок.| После удаления Трогра восстанавливается та же карточка без новых бросков.</t>
  </si>
  <si>
    <t xml:space="preserve">PAR-01442</t>
  </si>
  <si>
    <t xml:space="preserve">Советник получает ceil(W/2) стартовых слотов и обязан заполнить их навыками из таблицы 6 по обычной стоимости.</t>
  </si>
  <si>
    <t xml:space="preserve">PAR-01443</t>
  </si>
  <si>
    <t xml:space="preserve">PAR-01444</t>
  </si>
  <si>
    <t xml:space="preserve">PAR-01445</t>
  </si>
  <si>
    <t xml:space="preserve">PAR-01446</t>
  </si>
  <si>
    <t xml:space="preserve">PAR-01447</t>
  </si>
  <si>
    <t xml:space="preserve">PAR-01448</t>
  </si>
  <si>
    <t xml:space="preserve">PAR-01449</t>
  </si>
  <si>
    <t xml:space="preserve">PAR-01450</t>
  </si>
  <si>
    <t xml:space="preserve">PAR-01451</t>
  </si>
  <si>
    <t xml:space="preserve">После каждого принятого случайного результата либо после подтверждения ручного состава немедленно разрешаются взаимодействия</t>
  </si>
  <si>
    <t xml:space="preserve">PAR-01452</t>
  </si>
  <si>
    <t xml:space="preserve">Ручной Единый до разрешения взаимодействий выбирает ровно четыре разных обычных вида.</t>
  </si>
  <si>
    <t xml:space="preserve">PAR-01453</t>
  </si>
  <si>
    <t xml:space="preserve">После каждого принятого случайного результата либо после подтверждения ручного состава немедленно разрешаются взаимодействия.</t>
  </si>
  <si>
    <t xml:space="preserve">PAR-01454</t>
  </si>
  <si>
    <t xml:space="preserve">В ручном режиме игрок до финального сохранения вправе вернуться и выбрать другой исходный состав, но не может добавить пятый вид поверх уже разрешённой четвёрки.</t>
  </si>
  <si>
    <t xml:space="preserve">PAR-01455</t>
  </si>
  <si>
    <t xml:space="preserve">PAR-01456</t>
  </si>
  <si>
    <t xml:space="preserve">При событии: при создании устанавливаются уровень, максимум и текущие ОЭ, бесплатные способности L1 и результат поглощения Дельфина Трогром</t>
  </si>
  <si>
    <t xml:space="preserve">PAR-01457</t>
  </si>
  <si>
    <t xml:space="preserve">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t>
  </si>
  <si>
    <t xml:space="preserve">PAR-01458</t>
  </si>
  <si>
    <t xml:space="preserve">Поглощение Учителя меняет стоимость слотов и минимумы, но не ОЭ.</t>
  </si>
  <si>
    <t xml:space="preserve">PAR-01459</t>
  </si>
  <si>
    <t xml:space="preserve">У выживших симбионтов сохраняются уже списанные в ходе взаимодействия ОЭ.</t>
  </si>
  <si>
    <t xml:space="preserve">PAR-01460</t>
  </si>
  <si>
    <t xml:space="preserve">Поля состояния: ОЭ| XP| уровень L| слоты</t>
  </si>
  <si>
    <t xml:space="preserve">PAR-01461</t>
  </si>
  <si>
    <t xml:space="preserve">Каждый принятый кандидат сначала создаётся на L1, получает все способности L1 бесплатно, XP=0, maxOE по L1 и currentOE=maxOE.</t>
  </si>
  <si>
    <t xml:space="preserve">PAR-01462</t>
  </si>
  <si>
    <t xml:space="preserve">Числа и сроки: 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У выживших симбионтов сохраняются уже списанные в ходе взаимодействия ОЭ.</t>
  </si>
  <si>
    <t xml:space="preserve">PAR-01463</t>
  </si>
  <si>
    <t xml:space="preserve">Выборы и условия: Каждый принятый кандидат сначала создаётся на L1, получает все способности L1 бесплатно, XP=0, maxOE по L1 и currentOE=maxOE.|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t>
  </si>
  <si>
    <t xml:space="preserve">PAR-01464</t>
  </si>
  <si>
    <t xml:space="preserve">PAR-01465</t>
  </si>
  <si>
    <t xml:space="preserve">PAR-01466</t>
  </si>
  <si>
    <t xml:space="preserve">PAR-01467</t>
  </si>
  <si>
    <t xml:space="preserve">При разрешении сценария: Какие текущие HP, состояния, таймеры, положения встроенных органов/симбионтов и подготовленные объекты получает только что сохранённый персонаж</t>
  </si>
  <si>
    <t xml:space="preserve">PAR-01468</t>
  </si>
  <si>
    <t xml:space="preserve">Поля состояния: currentHP| maxHP| HP| уровень L| C| инициатива| таймер/срок| состояние</t>
  </si>
  <si>
    <t xml:space="preserve">PAR-01469</t>
  </si>
  <si>
    <t xml:space="preserve">Броски, ресурсы и выражения: HP| currentHP| maxHP| C</t>
  </si>
  <si>
    <t xml:space="preserve">PAR-01470</t>
  </si>
  <si>
    <t xml:space="preserve">При финальном сохранении currentHP=maxHP</t>
  </si>
  <si>
    <t xml:space="preserve">PAR-01471</t>
  </si>
  <si>
    <t xml:space="preserve">Числа и сроки: 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Крыса и Хранитель находятся внутри носителя; внешние сущности не создаются.| Клинки Богомола находятся в обычном сложенном состоянии.|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</si>
  <si>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PAR-01472</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</si>
  <si>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t>
  </si>
  <si>
    <t xml:space="preserve">PAR-01473</t>
  </si>
  <si>
    <t xml:space="preserve">Не создаются заранее паутина, слюна, мины, покрытия, накопленные заряды или иные объекты, если способность прямо не говорит, что они существуют постоянно.</t>
  </si>
  <si>
    <t xml:space="preserve">PAR-01474</t>
  </si>
  <si>
    <t xml:space="preserve">PAR-01475</t>
  </si>
  <si>
    <t xml:space="preserve">Скунс даёт свой постоянный штраф C, пока реально не экипирован герметичный Нэйт.|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t>
  </si>
  <si>
    <t xml:space="preserve">PAR-01476</t>
  </si>
  <si>
    <t xml:space="preserve">Крыса и Хранитель находятся внутри носителя; внешние сущности не создаются.</t>
  </si>
  <si>
    <t xml:space="preserve">PAR-01477</t>
  </si>
  <si>
    <t xml:space="preserve">PAR-01478</t>
  </si>
  <si>
    <t xml:space="preserve">PAR-01479</t>
  </si>
  <si>
    <t xml:space="preserve">Произвольная анатомия задается чек-боксом, если он заполнен, атака в любую часть существа считается атакой по корпусу.</t>
  </si>
  <si>
    <t xml:space="preserve">PAR-01480</t>
  </si>
  <si>
    <t xml:space="preserve">Числа и сроки: До финальной проверки масса обязательна как положительное число килограммов с точностью 0,1.|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Эти привязки сохраняются в листе и используются при потере/отключении соответствующей части тела.</t>
  </si>
  <si>
    <t xml:space="preserve">PAR-01481</t>
  </si>
  <si>
    <t xml:space="preserve">Выборы и условия: 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При выборе Совы игрок выбирает правый или левый глаз, по умолчанию правый; при выборе Угря — правую или левую руку, по умолчанию правую.</t>
  </si>
  <si>
    <t xml:space="preserve">PAR-01482</t>
  </si>
  <si>
    <t xml:space="preserve">Эти привязки сохраняются в листе и используются при потере/отключении соответствующей части тела.</t>
  </si>
  <si>
    <t xml:space="preserve">PAR-01483</t>
  </si>
  <si>
    <t xml:space="preserve">PAR-01484</t>
  </si>
  <si>
    <t xml:space="preserve">PAR-01485</t>
  </si>
  <si>
    <t xml:space="preserve">PAR-01486</t>
  </si>
  <si>
    <t xml:space="preserve">PAR-01487</t>
  </si>
  <si>
    <t xml:space="preserve">PAR-01488</t>
  </si>
  <si>
    <t xml:space="preserve">PAR-01489</t>
  </si>
  <si>
    <t xml:space="preserve">PAR-01490</t>
  </si>
  <si>
    <t xml:space="preserve">Числа и сроки: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t>
  </si>
  <si>
    <t xml:space="preserve">PAR-01491</t>
  </si>
  <si>
    <t xml:space="preserve">Выборы и условия: 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t>
  </si>
  <si>
    <t xml:space="preserve">PAR-01492</t>
  </si>
  <si>
    <t xml:space="preserve">PAR-01493</t>
  </si>
  <si>
    <t xml:space="preserve">PAR-01494</t>
  </si>
  <si>
    <t xml:space="preserve">PAR-01495</t>
  </si>
  <si>
    <t xml:space="preserve">Поля состояния: S| D| C| боевые действия| раса| навыки</t>
  </si>
  <si>
    <t xml:space="preserve">PAR-01496</t>
  </si>
  <si>
    <t xml:space="preserve">PAR-01497</t>
  </si>
  <si>
    <t xml:space="preserve">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t>
  </si>
  <si>
    <t xml:space="preserve">PAR-01498</t>
  </si>
  <si>
    <t xml:space="preserve">PAR-01499</t>
  </si>
  <si>
    <t xml:space="preserve">PAR-01500</t>
  </si>
  <si>
    <t xml:space="preserve">PAR-01501</t>
  </si>
  <si>
    <t xml:space="preserve">Действие «Создать вариант» копирует только имя/описание/арт в новый черновик с новым UUID, без кампании и без случайных результатов.</t>
  </si>
  <si>
    <t xml:space="preserve">PAR-01502</t>
  </si>
  <si>
    <t xml:space="preserve">PAR-01503</t>
  </si>
  <si>
    <t xml:space="preserve">Выборы и условия: 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Действие «Создать вариант» копирует только имя/описание/арт в новый черновик с новым UUID, без кампании и без случайных результатов.</t>
  </si>
  <si>
    <t xml:space="preserve">PAR-01504</t>
  </si>
  <si>
    <t xml:space="preserve">PAR-01505</t>
  </si>
  <si>
    <t xml:space="preserve">Все последующие механические изменения выполняются механизмами развития, заражения/операций, инвентаря или отдельной журналируемой коррекцией мастера.</t>
  </si>
  <si>
    <t xml:space="preserve">PAR-01506</t>
  </si>
  <si>
    <t xml:space="preserve">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t>
  </si>
  <si>
    <t xml:space="preserve">PAR-01507</t>
  </si>
  <si>
    <t xml:space="preserve">PAR-01508</t>
  </si>
  <si>
    <t xml:space="preserve">PAR-01509</t>
  </si>
  <si>
    <t xml:space="preserve">PAR-01510</t>
  </si>
  <si>
    <t xml:space="preserve">PAR-01511</t>
  </si>
  <si>
    <t xml:space="preserve">Поля состояния: HP| ОЭ| состояние</t>
  </si>
  <si>
    <t xml:space="preserve">PAR-01512</t>
  </si>
  <si>
    <t xml:space="preserve">Броски, ресурсы и выражения: HP| ОЭ</t>
  </si>
  <si>
    <t xml:space="preserve">PAR-01513</t>
  </si>
  <si>
    <t xml:space="preserve">PAR-01514</t>
  </si>
  <si>
    <t xml:space="preserve">Выборы и условия: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t>
  </si>
  <si>
    <t xml:space="preserve">PAR-01515</t>
  </si>
  <si>
    <t xml:space="preserve">PAR-01516</t>
  </si>
  <si>
    <t xml:space="preserve">PAR-01517</t>
  </si>
  <si>
    <t xml:space="preserve">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t>
  </si>
  <si>
    <t xml:space="preserve">PAR-01518</t>
  </si>
  <si>
    <t xml:space="preserve">Импорт «как копию» всегда создаёт новый UUID и независимый журнал; совпадение отображаемого имени допустимо.</t>
  </si>
  <si>
    <t xml:space="preserve">PAR-01519</t>
  </si>
  <si>
    <t xml:space="preserve">PAR-01520</t>
  </si>
  <si>
    <t xml:space="preserve">Новый валидный персонаж при наличии свободного места может быть принят мастером и получает campaignCharacterId только после атомарного подтверждения.</t>
  </si>
  <si>
    <t xml:space="preserve">PAR-01521</t>
  </si>
  <si>
    <t xml:space="preserve">Выборы и условия: Новый валидный персонаж при наличии свободного места может быть принят мастером и получает campaignCharacterId только после атомарного подтверждения.| Персонажа с неподтверждённой массой или незакрытой обязательной строкой имущества можно принять только в список кампании/лобби; до разрешения всех таких заявок он не становится активным, не подтверждает готовность и не может быть помещён в сцену, резерв или инициативу.| Вне активного боя мастер сразу выбирает ему локацию.| Во время боя новый персонаж сначала попадает в резерв и не является целью или источником эффектов; мастер может ввести его только отдельным событием подкрепления, задав сторону, момент входа, позицию, обнаруженность и бросок инициативы.| Если момент входа ещё не наступил либо бой завершился раньше, персонаж остаётся вне боевой карты, но сохраняет принятое место кампании.</t>
  </si>
  <si>
    <t xml:space="preserve">PAR-01522</t>
  </si>
  <si>
    <t xml:space="preserve">Отключение не удаляет персонажа, не завершает его ход и не выбирает действие автоматически.</t>
  </si>
  <si>
    <t xml:space="preserve">PAR-01523</t>
  </si>
  <si>
    <t xml:space="preserve">Мастер явно выбирает: ждать, временно принять управление до безопасной границы либо завершить текущий ход без новых активных действий.</t>
  </si>
  <si>
    <t xml:space="preserve">PAR-01524</t>
  </si>
  <si>
    <t xml:space="preserve">PAR-01525</t>
  </si>
  <si>
    <t xml:space="preserve">Числа и сроки: Отключение не удаляет персонажа, не завершает его ход и не выбирает действие автоматически.| Уже подтверждённая часть операции сохраняется на точном checkpoint; неподтверждённые поля не применяются.|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</si>
  <si>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PAR-01526</t>
  </si>
  <si>
    <t xml:space="preserve">Выборы и условия: Отключение не удаляет персонажа, не завершает его ход и не выбирает действие автоматически.| Мастер явно выбирает: ждать, временно принять управление до безопасной границы либо завершить текущий ход без новых активных действий.| 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</si>
  <si>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PAR-01527</t>
  </si>
  <si>
    <t xml:space="preserve">Для запроса препарата закрытие окна, отключение либо явно запущенный мастером тайм-аут считается отказом по Q-CORE-067; для остальных запросов отсутствие ответа само по себе ничего не выбирает.</t>
  </si>
  <si>
    <t xml:space="preserve">PAR-01528</t>
  </si>
  <si>
    <t xml:space="preserve">PAR-01529</t>
  </si>
  <si>
    <t xml:space="preserve">PAR-01530</t>
  </si>
  <si>
    <t xml:space="preserve">При определении: приложение делает с персонажем, если управляющее устройство отключилось или не отвечает в момент хода, защиты, выбора цели либо подтверждения</t>
  </si>
  <si>
    <t xml:space="preserve">PAR-01531</t>
  </si>
  <si>
    <t xml:space="preserve">PAR-01532</t>
  </si>
  <si>
    <t xml:space="preserve">PAR-01533</t>
  </si>
  <si>
    <t xml:space="preserve">PAR-01534</t>
  </si>
  <si>
    <t xml:space="preserve">PAR-01535</t>
  </si>
  <si>
    <t xml:space="preserve">Уже подтверждённая часть операции сохраняется на точном checkpoint; неподтверждённые поля не применяются.</t>
  </si>
  <si>
    <t xml:space="preserve">PAR-01536</t>
  </si>
  <si>
    <t xml:space="preserve">PAR-01537</t>
  </si>
  <si>
    <t xml:space="preserve">PAR-01538</t>
  </si>
  <si>
    <t xml:space="preserve">PAR-01539</t>
  </si>
  <si>
    <t xml:space="preserve">Числа и сроки: Пауза и закрытие хоста сначала атомарно сохраняют текущий транзакционный checkpoint, после чего замораживают виртуальное время, таймеры и новые команды.| «Завершить кампанию» — отдельная операция вне незавершённых действий; она переводит кампанию в неизменяемый архив и освобождает активные привязки.</t>
  </si>
  <si>
    <t xml:space="preserve">PAR-01540</t>
  </si>
  <si>
    <t xml:space="preserve">«Завершить кампанию» — отдельная операция вне незавершённых действий; она переводит кампанию в неизменяемый архив и освобождает активные привязки.</t>
  </si>
  <si>
    <t xml:space="preserve">PAR-01541</t>
  </si>
  <si>
    <t xml:space="preserve">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t>
  </si>
  <si>
    <t xml:space="preserve">PAR-01542</t>
  </si>
  <si>
    <t xml:space="preserve">Выборы и условия: Пауза и закрытие хоста сначала атомарно сохраняют текущий транзакционный checkpoint, после чего замораживают виртуальное время, таймеры и новые команды.|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Для завершения требуется ввод пароля мастера.</t>
  </si>
  <si>
    <t xml:space="preserve">PAR-01543</t>
  </si>
  <si>
    <t xml:space="preserve">PAR-01544</t>
  </si>
  <si>
    <t xml:space="preserve">PAR-01545</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</si>
  <si>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t>
  </si>
  <si>
    <t xml:space="preserve">PAR-01546</t>
  </si>
  <si>
    <t xml:space="preserve">PAR-01547</t>
  </si>
  <si>
    <t xml:space="preserve">PAR-01548</t>
  </si>
  <si>
    <t xml:space="preserve">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t>
  </si>
  <si>
    <t xml:space="preserve">PAR-01549</t>
  </si>
  <si>
    <t xml:space="preserve">Числа и сроки: Кампания хранит монотонное виртуальное время, не связанное с системными часами.|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После 21:00 по игровым часам начинается ночь, с 6:00 по игровым часам начинается день.</t>
  </si>
  <si>
    <t xml:space="preserve">PAR-01550</t>
  </si>
  <si>
    <t xml:space="preserve">Выборы и условия: Начальную дату и время задаёт мастер.|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t>
  </si>
  <si>
    <t xml:space="preserve">PAR-01551</t>
  </si>
  <si>
    <t xml:space="preserve">Кампания хранит монотонное виртуальное время, не связанное с системными часами.</t>
  </si>
  <si>
    <t xml:space="preserve">PAR-01552</t>
  </si>
  <si>
    <t xml:space="preserve">По умолчанию 10 реальных минут = 1 игровому часу.</t>
  </si>
  <si>
    <t xml:space="preserve">PAR-01553</t>
  </si>
  <si>
    <t xml:space="preserve">PAR-01554</t>
  </si>
  <si>
    <t xml:space="preserve">PAR-01555</t>
  </si>
  <si>
    <t xml:space="preserve">PAR-01556</t>
  </si>
  <si>
    <t xml:space="preserve">Поля состояния: таймер/срок| освещение</t>
  </si>
  <si>
    <t xml:space="preserve">PAR-01557</t>
  </si>
  <si>
    <t xml:space="preserve">PAR-01558</t>
  </si>
  <si>
    <t xml:space="preserve">PAR-01559</t>
  </si>
  <si>
    <t xml:space="preserve">PAR-01560</t>
  </si>
  <si>
    <t xml:space="preserve">PAR-01561</t>
  </si>
  <si>
    <t xml:space="preserve">PAR-01562</t>
  </si>
  <si>
    <t xml:space="preserve">PAR-01563</t>
  </si>
  <si>
    <t xml:space="preserve">PAR-01564</t>
  </si>
  <si>
    <t xml:space="preserve">Числа и сроки: Затем: 1) списываются обязательные цены и выполняются периодические тики</t>
  </si>
  <si>
    <t xml:space="preserve">PAR-01565</t>
  </si>
  <si>
    <t xml:space="preserve">Затем: 1) списываются обязательные цены и выполняются периодические тики</t>
  </si>
  <si>
    <t xml:space="preserve">PAR-01566</t>
  </si>
  <si>
    <t xml:space="preserve">PAR-01567</t>
  </si>
  <si>
    <t xml:space="preserve">PAR-01568</t>
  </si>
  <si>
    <t xml:space="preserve">4) истекают эффекты, срок которых закончился на этой метке</t>
  </si>
  <si>
    <t xml:space="preserve">PAR-01569</t>
  </si>
  <si>
    <t xml:space="preserve">PAR-01570</t>
  </si>
  <si>
    <t xml:space="preserve">Числа и сроки: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Не участвующие персонажи продолжают получать свои обычные временные события.</t>
  </si>
  <si>
    <t xml:space="preserve">PAR-01571</t>
  </si>
  <si>
    <t xml:space="preserve">Выборы и условия: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t>
  </si>
  <si>
    <t xml:space="preserve">PAR-01572</t>
  </si>
  <si>
    <t xml:space="preserve">Кнопка игрока создаёт запрос и указывает длительность отдыха, но не меняет HP, ОЭ или время.</t>
  </si>
  <si>
    <t xml:space="preserve">PAR-01573</t>
  </si>
  <si>
    <t xml:space="preserve">Поля состояния: HP| ОЭ| таймер/срок</t>
  </si>
  <si>
    <t xml:space="preserve">PAR-01574</t>
  </si>
  <si>
    <t xml:space="preserve">PAR-01575</t>
  </si>
  <si>
    <t xml:space="preserve">PAR-01576</t>
  </si>
  <si>
    <t xml:space="preserve">PAR-01577</t>
  </si>
  <si>
    <t xml:space="preserve">PAR-01578</t>
  </si>
  <si>
    <t xml:space="preserve">PAR-01579</t>
  </si>
  <si>
    <t xml:space="preserve">PAR-01580</t>
  </si>
  <si>
    <t xml:space="preserve">PAR-01581</t>
  </si>
  <si>
    <t xml:space="preserve">PAR-01582</t>
  </si>
  <si>
    <t xml:space="preserve">Мастер выбирает участников, момент начала и длительность, затем подтверждает единое продвижение мирового времени.</t>
  </si>
  <si>
    <t xml:space="preserve">PAR-01583</t>
  </si>
  <si>
    <t xml:space="preserve">PAR-01584</t>
  </si>
  <si>
    <t xml:space="preserve">PAR-01585</t>
  </si>
  <si>
    <t xml:space="preserve">После завершения боя часы продолжают идти с временной точки</t>
  </si>
  <si>
    <t xml:space="preserve">PAR-01586</t>
  </si>
  <si>
    <t xml:space="preserve">При разрешении сценария: Продвигают ли боевые круги часы кампании и что происходит с начатым отдыхом и часовыми таймерами при открытии боя</t>
  </si>
  <si>
    <t xml:space="preserve">PAR-01587</t>
  </si>
  <si>
    <t xml:space="preserve">Числа и сроки: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t>
  </si>
  <si>
    <t xml:space="preserve">PAR-01588</t>
  </si>
  <si>
    <t xml:space="preserve">Боевые круги сами по себе не прибавляют минуты или часы кампании.</t>
  </si>
  <si>
    <t xml:space="preserve">PAR-01589</t>
  </si>
  <si>
    <t xml:space="preserve">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t>
  </si>
  <si>
    <t xml:space="preserve">PAR-01590</t>
  </si>
  <si>
    <t xml:space="preserve">PAR-01591</t>
  </si>
  <si>
    <t xml:space="preserve">PAR-01592</t>
  </si>
  <si>
    <t xml:space="preserve">PAR-01593</t>
  </si>
  <si>
    <t xml:space="preserve">PAR-01594</t>
  </si>
  <si>
    <t xml:space="preserve">PAR-01595</t>
  </si>
  <si>
    <t xml:space="preserve">PAR-01596</t>
  </si>
  <si>
    <t xml:space="preserve">PAR-01597</t>
  </si>
  <si>
    <t xml:space="preserve">Бросок выполняется в текущем ручном/автоматическом режиме, использует общую критическую цепочку и сохраняется в журнале.</t>
  </si>
  <si>
    <t xml:space="preserve">PAR-01598</t>
  </si>
  <si>
    <t xml:space="preserve">Выборы и условия: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t>
  </si>
  <si>
    <t xml:space="preserve">PAR-01599</t>
  </si>
  <si>
    <t xml:space="preserve">PAR-01600</t>
  </si>
  <si>
    <t xml:space="preserve">PAR-01601</t>
  </si>
  <si>
    <t xml:space="preserve">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t>
  </si>
  <si>
    <t xml:space="preserve">PAR-01602</t>
  </si>
  <si>
    <t xml:space="preserve">Поля состояния: dead| HP| ОЭ| боевые действия| состояние| раса</t>
  </si>
  <si>
    <t xml:space="preserve">PAR-01603</t>
  </si>
  <si>
    <t xml:space="preserve">PAR-01604</t>
  </si>
  <si>
    <t xml:space="preserve">Выборы и условия: 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Флаг dead=true является терминальным: обычное лечение HP, повышение HP или снятие состояния не возвращает сущность к жизни.</t>
  </si>
  <si>
    <t xml:space="preserve">PAR-01605</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</si>
  <si>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t>
  </si>
  <si>
    <t xml:space="preserve">PAR-01606</t>
  </si>
  <si>
    <t xml:space="preserve">Флаг dead=true является терминальным: обычное лечение HP, повышение HP или снятие состояния не возвращает сущность к жизни.</t>
  </si>
  <si>
    <t xml:space="preserve">PAR-01607</t>
  </si>
  <si>
    <t xml:space="preserve">PAR-01608</t>
  </si>
  <si>
    <t xml:space="preserve">PAR-01609</t>
  </si>
  <si>
    <t xml:space="preserve">PAR-01610</t>
  </si>
  <si>
    <t xml:space="preserve">PAR-01611</t>
  </si>
  <si>
    <t xml:space="preserve">PAR-01612</t>
  </si>
  <si>
    <t xml:space="preserve">PAR-01613</t>
  </si>
  <si>
    <t xml:space="preserve">PAR-01614</t>
  </si>
  <si>
    <t xml:space="preserve">PAR-01615</t>
  </si>
  <si>
    <t xml:space="preserve">PAR-01616</t>
  </si>
  <si>
    <t xml:space="preserve">PAR-01617</t>
  </si>
  <si>
    <t xml:space="preserve">Выборы и условия: Свободный текст создаёт только сюжетную пометку и никогда не влияет на числа или доступность действий.</t>
  </si>
  <si>
    <t xml:space="preserve">PAR-01618</t>
  </si>
  <si>
    <t xml:space="preserve">PAR-01619</t>
  </si>
  <si>
    <t xml:space="preserve">PAR-01620</t>
  </si>
  <si>
    <t xml:space="preserve">PAR-01621</t>
  </si>
  <si>
    <t xml:space="preserve">При создании боя мастер выбирает одну или несколько подгрупп</t>
  </si>
  <si>
    <t xml:space="preserve">PAR-01622</t>
  </si>
  <si>
    <t xml:space="preserve">При создании боя мастер выбирает одну или несколько подгрупп; участники из других мест не добавляются автоматически.</t>
  </si>
  <si>
    <t xml:space="preserve">PAR-01623</t>
  </si>
  <si>
    <t xml:space="preserve">PAR-01624</t>
  </si>
  <si>
    <t xml:space="preserve">Выборы и условия: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t>
  </si>
  <si>
    <t xml:space="preserve">PAR-01625</t>
  </si>
  <si>
    <t xml:space="preserve">Когда при продвижении времени проходит несколько полных часов экспозиции или мастер закрывает запрос</t>
  </si>
  <si>
    <t xml:space="preserve">PAR-01626</t>
  </si>
  <si>
    <t xml:space="preserve">Числа и сроки: Для каждого персонажа хранится отдельный непрерывный таймер экспозиции, который мастер запускает и останавливает вручную.| Продвижение времени останавливается на каждом полном часу, для которого ещё нет решения.</t>
  </si>
  <si>
    <t xml:space="preserve">PAR-01627</t>
  </si>
  <si>
    <t xml:space="preserve">Продвижение времени останавливается на каждом полном часу, для которого ещё нет решения.</t>
  </si>
  <si>
    <t xml:space="preserve">PAR-01628</t>
  </si>
  <si>
    <t xml:space="preserve">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t>
  </si>
  <si>
    <t xml:space="preserve">PAR-01629</t>
  </si>
  <si>
    <t xml:space="preserve">Выборы и условия: Для каждого персонажа хранится отдельный непрерывный таймер экспозиции, который мастер запускает и останавливает вручную.| Мастер подтверждает или отклоняет заражение; при подтверждении выбирает допустимый обычный вид либо запускает равновероятный выбор среди доступных видов.| Если персонаж Чистый, защищён от заражения или не имеет допустимого слота, приложение показывает причину и закрывает событие без заражения.</t>
  </si>
  <si>
    <t xml:space="preserve">PAR-01630</t>
  </si>
  <si>
    <t xml:space="preserve">PAR-01631</t>
  </si>
  <si>
    <t xml:space="preserve">Поля состояния: таймер/срок| слоты</t>
  </si>
  <si>
    <t xml:space="preserve">PAR-01632</t>
  </si>
  <si>
    <t xml:space="preserve">PAR-01633</t>
  </si>
  <si>
    <t xml:space="preserve">PAR-01634</t>
  </si>
  <si>
    <t xml:space="preserve">PAR-01635</t>
  </si>
  <si>
    <t xml:space="preserve">PAR-01636</t>
  </si>
  <si>
    <t xml:space="preserve">PAR-01637</t>
  </si>
  <si>
    <t xml:space="preserve">PAR-01638</t>
  </si>
  <si>
    <t xml:space="preserve">Поля состояния: боевые действия| локация</t>
  </si>
  <si>
    <t xml:space="preserve">PAR-01639</t>
  </si>
  <si>
    <t xml:space="preserve">PAR-01640</t>
  </si>
  <si>
    <t xml:space="preserve">Выборы и условия: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</si>
  <si>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PAR-01641</t>
  </si>
  <si>
    <t xml:space="preserve">Игрок в бою может экипировать/снять предмет, потратив на это 1 боевое действие.</t>
  </si>
  <si>
    <t xml:space="preserve">PAR-01642</t>
  </si>
  <si>
    <t xml:space="preserve">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t>
  </si>
  <si>
    <t xml:space="preserve">PAR-01643</t>
  </si>
  <si>
    <t xml:space="preserve">PAR-01644</t>
  </si>
  <si>
    <t xml:space="preserve">PAR-01645</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</si>
  <si>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t>
  </si>
  <si>
    <t xml:space="preserve">PAR-01646</t>
  </si>
  <si>
    <t xml:space="preserve">Если мастер хочет сохранить экземпляр как постоянного НПС, приложение переносит его текущую запись без восстановления HP или расходников.</t>
  </si>
  <si>
    <t xml:space="preserve">PAR-01647</t>
  </si>
  <si>
    <t xml:space="preserve">Поля состояния: HP| раса</t>
  </si>
  <si>
    <t xml:space="preserve">PAR-01648</t>
  </si>
  <si>
    <t xml:space="preserve">PAR-01649</t>
  </si>
  <si>
    <t xml:space="preserve">PAR-01650</t>
  </si>
  <si>
    <t xml:space="preserve">PAR-01651</t>
  </si>
  <si>
    <t xml:space="preserve">PAR-01652</t>
  </si>
  <si>
    <t xml:space="preserve">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</si>
  <si>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PAR-01653</t>
  </si>
  <si>
    <t xml:space="preserve">Поля состояния: HP| инициатива| боевые действия| раса</t>
  </si>
  <si>
    <t xml:space="preserve">PAR-01654</t>
  </si>
  <si>
    <t xml:space="preserve">PAR-01655</t>
  </si>
  <si>
    <t xml:space="preserve">Выборы и условия: «Отпустить»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</si>
  <si>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PAR-01656</t>
  </si>
  <si>
    <t xml:space="preserve">«Добавить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t>
  </si>
  <si>
    <t xml:space="preserve">PAR-01657</t>
  </si>
  <si>
    <t xml:space="preserve">PAR-01658</t>
  </si>
  <si>
    <t xml:space="preserve">PAR-01659</t>
  </si>
  <si>
    <t xml:space="preserve">PAR-01660</t>
  </si>
  <si>
    <t xml:space="preserve">PAR-01661</t>
  </si>
  <si>
    <t xml:space="preserve">«Отпустить» выводит участника из боевой сцены, сохраняет итог в истории и не создаёт постоянного НПС, если он не был им ранее.</t>
  </si>
  <si>
    <t xml:space="preserve">PAR-01662</t>
  </si>
  <si>
    <t xml:space="preserve">PAR-01663</t>
  </si>
  <si>
    <t xml:space="preserve">PAR-01664</t>
  </si>
  <si>
    <t xml:space="preserve">PAR-01665</t>
  </si>
  <si>
    <t xml:space="preserve">PAR-01666</t>
  </si>
  <si>
    <t xml:space="preserve">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t>
  </si>
  <si>
    <t xml:space="preserve">PAR-01667</t>
  </si>
  <si>
    <t xml:space="preserve">PAR-01668</t>
  </si>
  <si>
    <t xml:space="preserve">Выборы и условия: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</si>
  <si>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PAR-01669</t>
  </si>
  <si>
    <t xml:space="preserve">При попытке выполнить или проверить: мастер менять участника/цель/ресурс посреди операции или откатывать уже показанный бросок</t>
  </si>
  <si>
    <t xml:space="preserve">PAR-01670</t>
  </si>
  <si>
    <t xml:space="preserve">На время операции блокируются задействованные актор, цель, выбранный предмет/способность и зарезервированные ресурсы.</t>
  </si>
  <si>
    <t xml:space="preserve">PAR-01671</t>
  </si>
  <si>
    <t xml:space="preserve">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t>
  </si>
  <si>
    <t xml:space="preserve">PAR-01672</t>
  </si>
  <si>
    <t xml:space="preserve">Выборы и условия: На время операции блокируются задействованные актор, цель, выбранный предмет/способность и зарезервированные ресурсы.|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t>
  </si>
  <si>
    <t xml:space="preserve">PAR-01673</t>
  </si>
  <si>
    <t xml:space="preserve">После показа случайного результата или применения внешнего эффекта универсальный rewind запрещён</t>
  </si>
  <si>
    <t xml:space="preserve">PAR-01674</t>
  </si>
  <si>
    <t xml:space="preserve">После показа случайного результата или применения внешнего эффекта универсальный rewind запрещён.</t>
  </si>
  <si>
    <t xml:space="preserve">PAR-01675</t>
  </si>
  <si>
    <t xml:space="preserve">PAR-01676</t>
  </si>
  <si>
    <t xml:space="preserve">Полный атомарный rollback допустим только при программной ошибке до раскрытия любого случайного результата и до фиксации побочного эффекта.</t>
  </si>
  <si>
    <t xml:space="preserve">PAR-01677</t>
  </si>
  <si>
    <t xml:space="preserve">PAR-01678</t>
  </si>
  <si>
    <t xml:space="preserve">Числа и сроки: Этот результат является входом для правил «после победы».| Автоматический возврат разрешённого метательного оружия получают только относящиеся к нему участники победившей стороны.| Если победила сторона игроков, фаза мародёрства доступна каждому игроку по Q-CORE-064 независимо от участия его персонажа в последнем бою.| Краткосрочные эффекты «до конца боя» завершаются в установленном порядке, а более долгие сохраняют остаток по CORE-153.</t>
  </si>
  <si>
    <t xml:space="preserve">PAR-01679</t>
  </si>
  <si>
    <t xml:space="preserve">Краткосрочные эффекты «до конца боя» завершаются в установленном порядке, а более долгие сохраняют остаток по CORE-153.</t>
  </si>
  <si>
    <t xml:space="preserve">PAR-01680</t>
  </si>
  <si>
    <t xml:space="preserve">При подтверждении конца боя мастер выбирает победившую сторону либо ничью и основание</t>
  </si>
  <si>
    <t xml:space="preserve">PAR-01681</t>
  </si>
  <si>
    <t xml:space="preserve">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t>
  </si>
  <si>
    <t xml:space="preserve">PAR-01682</t>
  </si>
  <si>
    <t xml:space="preserve">Выборы и условия: При подтверждении конца боя мастер выбирает победившую сторону либо ничью и основание: уничтожение, сдача, бегство, потеря возможности, мирное расхождение или временное решение.| Если победила сторона игроков, фаза мародёрства доступна каждому игроку по Q-CORE-064 независимо от участия его персонажа в последнем бою.</t>
  </si>
  <si>
    <t xml:space="preserve">PAR-01683</t>
  </si>
  <si>
    <t xml:space="preserve">PAR-01684</t>
  </si>
  <si>
    <t xml:space="preserve">После боя мастер выбирает его группу/локацию</t>
  </si>
  <si>
    <t xml:space="preserve">PAR-01685</t>
  </si>
  <si>
    <t xml:space="preserve">После боя мастер выбирает его группу/локацию; для сдавшегося добавляется немеханическая пометка «пленник».</t>
  </si>
  <si>
    <t xml:space="preserve">PAR-01686</t>
  </si>
  <si>
    <t xml:space="preserve">Выборы и условия: После боя мастер выбирает его группу/локацию; для сдавшегося добавляется немеханическая пометка «пленник».| Если все активные участники стороны бежали или сдались, эта сторона утратила намерение продолжать бой и противоположная сторона может быть объявлена победителем.</t>
  </si>
  <si>
    <t xml:space="preserve">PAR-01687</t>
  </si>
  <si>
    <t xml:space="preserve">Изменение режима не создаёт бросок и не позволяет заменить уже введённое/сгенерированное значение.</t>
  </si>
  <si>
    <t xml:space="preserve">PAR-01688</t>
  </si>
  <si>
    <t xml:space="preserve">Выборы и условия: 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t>
  </si>
  <si>
    <t xml:space="preserve">PAR-01689</t>
  </si>
  <si>
    <t xml:space="preserve">PAR-01690</t>
  </si>
  <si>
    <t xml:space="preserve">PAR-01691</t>
  </si>
  <si>
    <t xml:space="preserve">PAR-01692</t>
  </si>
  <si>
    <t xml:space="preserve">PAR-01693</t>
  </si>
  <si>
    <t xml:space="preserve">PAR-01694</t>
  </si>
  <si>
    <t xml:space="preserve">PAR-01695</t>
  </si>
  <si>
    <t xml:space="preserve">Числа и сроки: Постоянными НПС, противниками и экземплярами бестиария по умолчанию управляет роль мастера через мастерский ход.| Временно отключённого героя мастер может принять только явной аудированной командой по Q-CAMP-006; это не меняет постоянное назначение устройства.</t>
  </si>
  <si>
    <t xml:space="preserve">PAR-01696</t>
  </si>
  <si>
    <t xml:space="preserve">PAR-01697</t>
  </si>
  <si>
    <t xml:space="preserve">PAR-01698</t>
  </si>
  <si>
    <t xml:space="preserve">Постоянными НПС, противниками и экземплярами бестиария по умолчанию управляет роль мастера через мастерский ход.</t>
  </si>
  <si>
    <t xml:space="preserve">PAR-01699</t>
  </si>
  <si>
    <t xml:space="preserve">До резервирования ОЭ, боевых действий, предметов или других ресурсов приложение показывает мастеру конкретный вопрос с вариантами «да», «нет» и «неизвестно».</t>
  </si>
  <si>
    <t xml:space="preserve">PAR-01700</t>
  </si>
  <si>
    <t xml:space="preserve">PAR-01701</t>
  </si>
  <si>
    <t xml:space="preserve">PAR-01702</t>
  </si>
  <si>
    <t xml:space="preserve">Выборы и условия: До резервирования ОЭ, боевых действий, предметов или других ресурсов приложение показывает мастеру конкретный вопрос с вариантами «да», «нет» и «неизвестно».| masterPredicate подтверждает только немоделируемый факт сцены и не может обходить обычную валидность цели; труп или окончательно мёртвая сущность допустимы только тогда, когда выбранное правило или способность прямо разрешают такую цель.</t>
  </si>
  <si>
    <t xml:space="preserve">PAR-01703</t>
  </si>
  <si>
    <t xml:space="preserve">До резервирования ОЭ</t>
  </si>
  <si>
    <t xml:space="preserve">PAR-01704</t>
  </si>
  <si>
    <t xml:space="preserve">PAR-01705</t>
  </si>
  <si>
    <t xml:space="preserve">PAR-01706</t>
  </si>
  <si>
    <t xml:space="preserve">PAR-01707</t>
  </si>
  <si>
    <t xml:space="preserve">PAR-01708</t>
  </si>
  <si>
    <t xml:space="preserve">PAR-01709</t>
  </si>
  <si>
    <t xml:space="preserve">PAR-01710</t>
  </si>
  <si>
    <t xml:space="preserve">PAR-01711</t>
  </si>
  <si>
    <t xml:space="preserve">Поля состояния: ОЭ| боевые действия| таймер/срок| раса</t>
  </si>
  <si>
    <t xml:space="preserve">PAR-01712</t>
  </si>
  <si>
    <t xml:space="preserve">Числа и сроки: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t>
  </si>
  <si>
    <t xml:space="preserve">PAR-01713</t>
  </si>
  <si>
    <t xml:space="preserve">Вне боя отдельный пул боевых действий и искусственный личный ход не создаются.</t>
  </si>
  <si>
    <t xml:space="preserve">PAR-01714</t>
  </si>
  <si>
    <t xml:space="preserve">Пометка «1 боевое действие» ограничивает только использование в бою и вне боя не создаёт дополнительной минутной длительности или лимита применений.</t>
  </si>
  <si>
    <t xml:space="preserve">PAR-01715</t>
  </si>
  <si>
    <t xml:space="preserve">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t>
  </si>
  <si>
    <t xml:space="preserve">PAR-01716</t>
  </si>
  <si>
    <t xml:space="preserve">Повторное применение вне боя разрешено, пока хватает ресурсов и не запрещают длительность, поддержание, восстановление или мастерский факт сцены.</t>
  </si>
  <si>
    <t xml:space="preserve">PAR-01717</t>
  </si>
  <si>
    <t xml:space="preserve">PAR-01718</t>
  </si>
  <si>
    <t xml:space="preserve">PAR-01719</t>
  </si>
  <si>
    <t xml:space="preserve">PAR-01720</t>
  </si>
  <si>
    <t xml:space="preserve">PAR-01721</t>
  </si>
  <si>
    <t xml:space="preserve">PAR-01722</t>
  </si>
  <si>
    <t xml:space="preserve">Выборы и условия: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Повторное применение вне боя разрешено, пока хватает ресурсов и не запрещают длительность, поддержание, восстановление или мастерский факт сцены.| Список способностей симбионтов, которые автоматизируются приложением и которые доступны в мирной ситуации, должен быть явно формализован.</t>
  </si>
  <si>
    <t xml:space="preserve">PAR-01723</t>
  </si>
  <si>
    <t xml:space="preserve">PAR-01724</t>
  </si>
  <si>
    <t xml:space="preserve">PAR-01725</t>
  </si>
  <si>
    <t xml:space="preserve">PAR-01726</t>
  </si>
  <si>
    <t xml:space="preserve">PAR-01727</t>
  </si>
  <si>
    <t xml:space="preserve">PAR-01728</t>
  </si>
  <si>
    <t xml:space="preserve">PAR-01729</t>
  </si>
  <si>
    <t xml:space="preserve">PAR-01730</t>
  </si>
  <si>
    <t xml:space="preserve">PAR-01731</t>
  </si>
  <si>
    <t xml:space="preserve">PAR-01732</t>
  </si>
  <si>
    <t xml:space="preserve">PAR-01733</t>
  </si>
  <si>
    <t xml:space="preserve">PAR-01734</t>
  </si>
  <si>
    <t xml:space="preserve">PAR-01735</t>
  </si>
  <si>
    <t xml:space="preserve">Мастер каждый раз выбирает цель, действие или способность, маршрут и конечную точку движения, расход ограниченного ресурса и защитную реакцию.</t>
  </si>
  <si>
    <t xml:space="preserve">PAR-01736</t>
  </si>
  <si>
    <t xml:space="preserve">PAR-01737</t>
  </si>
  <si>
    <t xml:space="preserve">PAR-01738</t>
  </si>
  <si>
    <t xml:space="preserve">PAR-01739</t>
  </si>
  <si>
    <t xml:space="preserve">Без полного выбора мастера новая команда не выполняется.</t>
  </si>
  <si>
    <t xml:space="preserve">PAR-01740</t>
  </si>
  <si>
    <t xml:space="preserve">PAR-01741</t>
  </si>
  <si>
    <t xml:space="preserve">PAR-01742</t>
  </si>
  <si>
    <t xml:space="preserve">При newLimit=0 уничтожаются все</t>
  </si>
  <si>
    <t xml:space="preserve">PAR-01743</t>
  </si>
  <si>
    <t xml:space="preserve">PAR-01744</t>
  </si>
  <si>
    <t xml:space="preserve">При newLimit=0 уничтожаются все.</t>
  </si>
  <si>
    <t xml:space="preserve">PAR-01745</t>
  </si>
  <si>
    <t xml:space="preserve">PAR-01746</t>
  </si>
  <si>
    <t xml:space="preserve">PAR-01747</t>
  </si>
  <si>
    <t xml:space="preserve">PAR-01748</t>
  </si>
  <si>
    <t xml:space="preserve">PAR-01749</t>
  </si>
  <si>
    <t xml:space="preserve">PAR-01750</t>
  </si>
  <si>
    <t xml:space="preserve">PAR-01751</t>
  </si>
  <si>
    <t xml:space="preserve">armorBundle содержит от одного до шести элементов для разных анатомических зон и разрешается одним D20; один итоговый тег качества применяется ко всему набору.</t>
  </si>
  <si>
    <t xml:space="preserve">PAR-01752</t>
  </si>
  <si>
    <t xml:space="preserve">Оружие выбирается строго одно и получает отдельный D20.</t>
  </si>
  <si>
    <t xml:space="preserve">PAR-01753</t>
  </si>
  <si>
    <t xml:space="preserve">Деньги получают отдельный D20.</t>
  </si>
  <si>
    <t xml:space="preserve">PAR-01754</t>
  </si>
  <si>
    <t xml:space="preserve">Каждая из пяти произвольных позиций содержит один вид предмета и выбранное положительное количество; один D20 относится ко всему стеку.</t>
  </si>
  <si>
    <t xml:space="preserve">PAR-01755</t>
  </si>
  <si>
    <t xml:space="preserve">PAR-01756</t>
  </si>
  <si>
    <t xml:space="preserve">PAR-01757</t>
  </si>
  <si>
    <t xml:space="preserve">Выборы и условия: 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</si>
  <si>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PAR-01758</t>
  </si>
  <si>
    <t xml:space="preserve">PAR-01759</t>
  </si>
  <si>
    <t xml:space="preserve">PAR-01760</t>
  </si>
  <si>
    <t xml:space="preserve">До мастерской проверки любой выбранный предмет и всё выбранное количество находятся в локальном инвентаре независимо от D20</t>
  </si>
  <si>
    <t xml:space="preserve">PAR-01761</t>
  </si>
  <si>
    <t xml:space="preserve">При разрешении сценария: 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t>
  </si>
  <si>
    <t xml:space="preserve">PAR-01762</t>
  </si>
  <si>
    <t xml:space="preserve">До мастерской проверки любой выбранный предмет и всё выбранное количество находятся в локальном инвентаре независимо от D20.</t>
  </si>
  <si>
    <t xml:space="preserve">PAR-01763</t>
  </si>
  <si>
    <t xml:space="preserve">PAR-01764</t>
  </si>
  <si>
    <t xml:space="preserve">PAR-01765</t>
  </si>
  <si>
    <t xml:space="preserve">Выборы и условия: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Мастер обязан завершить проверку итоговым инвентарём, но вправе оставить отдельную категорию пустой или деньги равными нулю.</t>
  </si>
  <si>
    <t xml:space="preserve">PAR-01766</t>
  </si>
  <si>
    <t xml:space="preserve">Бросок не меняет количество и не даёт механических бонусов; он сохраняется как рекомендация качества по шкале V7 и показывается мастеру.</t>
  </si>
  <si>
    <t xml:space="preserve">PAR-01767</t>
  </si>
  <si>
    <t xml:space="preserve">PAR-01768</t>
  </si>
  <si>
    <t xml:space="preserve">PAR-01769</t>
  </si>
  <si>
    <t xml:space="preserve">«Нельзя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</si>
  <si>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PAR-01770</t>
  </si>
  <si>
    <t xml:space="preserve">PAR-01771</t>
  </si>
  <si>
    <t xml:space="preserve">PAR-01772</t>
  </si>
  <si>
    <t xml:space="preserve">PAR-01773</t>
  </si>
  <si>
    <t xml:space="preserve">При создании кампании часы стоят</t>
  </si>
  <si>
    <t xml:space="preserve">PAR-01774</t>
  </si>
  <si>
    <t xml:space="preserve">При проверке условия «Всегда ли»: игровые часы автоматически идут вне боя или мастер может запускать и останавливать их; какое состояние восстанавливается после боя, паузы и ручной промотки</t>
  </si>
  <si>
    <t xml:space="preserve">PAR-01775</t>
  </si>
  <si>
    <t xml:space="preserve">PAR-01776</t>
  </si>
  <si>
    <t xml:space="preserve">Числа и сроки: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t>
  </si>
  <si>
    <t xml:space="preserve">PAR-01777</t>
  </si>
  <si>
    <t xml:space="preserve">Выборы и условия: Бой временно замораживает автоматическое продвижение и запоминает прежний режим; после боя часы продолжаются только если до боя были running.| Ручная промотка временно приостанавливает реальный таймер, обрабатывается транзакционно, затем восстанавливает прежний режим.</t>
  </si>
  <si>
    <t xml:space="preserve">PAR-01778</t>
  </si>
  <si>
    <t xml:space="preserve">PAR-01779</t>
  </si>
  <si>
    <t xml:space="preserve">Кампания хранит clockMode=paused|running; скорость running фиксирована: 10 реальных минут = 1 игровой час.</t>
  </si>
  <si>
    <t xml:space="preserve">PAR-01780</t>
  </si>
  <si>
    <t xml:space="preserve">PAR-01781</t>
  </si>
  <si>
    <t xml:space="preserve">PAR-01782</t>
  </si>
  <si>
    <t xml:space="preserve">PAR-01783</t>
  </si>
  <si>
    <t xml:space="preserve">PAR-01784</t>
  </si>
  <si>
    <t xml:space="preserve">PAR-01785</t>
  </si>
  <si>
    <t xml:space="preserve">PAR-01786</t>
  </si>
  <si>
    <t xml:space="preserve">PAR-01787</t>
  </si>
  <si>
    <t xml:space="preserve">Ручная промотка временно приостанавливает реальный таймер, обрабатывается транзакционно, затем восстанавливает прежний режим.</t>
  </si>
  <si>
    <t xml:space="preserve">PAR-01788</t>
  </si>
  <si>
    <t xml:space="preserve">PAR-01789</t>
  </si>
  <si>
    <t xml:space="preserve">PAR-01790</t>
  </si>
  <si>
    <t xml:space="preserve">PAR-01791</t>
  </si>
  <si>
    <t xml:space="preserve">PAR-01792</t>
  </si>
  <si>
    <t xml:space="preserve">PAR-01793</t>
  </si>
  <si>
    <t xml:space="preserve">PAR-01794</t>
  </si>
  <si>
    <t xml:space="preserve">Мастер использует только структурированные операции Q-GM-006: HP, ОЭ, расходники, формализованное состояние и модификатор характеристики.</t>
  </si>
  <si>
    <t xml:space="preserve">PAR-01795</t>
  </si>
  <si>
    <t xml:space="preserve">Поля состояния: HP| ОЭ| состояние| раса</t>
  </si>
  <si>
    <t xml:space="preserve">PAR-01796</t>
  </si>
  <si>
    <t xml:space="preserve">PAR-01797</t>
  </si>
  <si>
    <t xml:space="preserve">PAR-01798</t>
  </si>
  <si>
    <t xml:space="preserve">Выборы и условия: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t>
  </si>
  <si>
    <t xml:space="preserve">PAR-01799</t>
  </si>
  <si>
    <t xml:space="preserve">PAR-01800</t>
  </si>
  <si>
    <t xml:space="preserve">PAR-01801</t>
  </si>
  <si>
    <t xml:space="preserve">При принятии нового героя мастер выбирает существующую группу или создаёт новую</t>
  </si>
  <si>
    <t xml:space="preserve">PAR-01802</t>
  </si>
  <si>
    <t xml:space="preserve">При принятии нового героя мастер выбирает существующую группу или создаёт новую; без выбора герой попадает в стартовую группу.</t>
  </si>
  <si>
    <t xml:space="preserve">PAR-01803</t>
  </si>
  <si>
    <t xml:space="preserve">Выборы и условия: При принятии нового героя мастер выбирает существующую группу или создаёт новую; без выбора герой попадает в стартовую группу.| Обычный запуск боя выбирает ровно одну группу игроков; другие группы автоматически не подключаются.</t>
  </si>
  <si>
    <t xml:space="preserve">PAR-01804</t>
  </si>
  <si>
    <t xml:space="preserve">При враждебном действии против дееспособной несогласной цели ресурсы ещё не списываются</t>
  </si>
  <si>
    <t xml:space="preserve">PAR-01805</t>
  </si>
  <si>
    <t xml:space="preserve">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</si>
  <si>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PAR-01806</t>
  </si>
  <si>
    <t xml:space="preserve">PAR-01807</t>
  </si>
  <si>
    <t xml:space="preserve">PAR-01808</t>
  </si>
  <si>
    <t xml:space="preserve">Выборы и условия: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t>
  </si>
  <si>
    <t xml:space="preserve">PAR-01809</t>
  </si>
  <si>
    <t xml:space="preserve">PAR-01810</t>
  </si>
  <si>
    <t xml:space="preserve">PAR-01811</t>
  </si>
  <si>
    <t xml:space="preserve">PAR-01812</t>
  </si>
  <si>
    <t xml:space="preserve">PAR-01813</t>
  </si>
  <si>
    <t xml:space="preserve">PAR-01814</t>
  </si>
  <si>
    <t xml:space="preserve">PAR-01815</t>
  </si>
  <si>
    <t xml:space="preserve">PAR-01816</t>
  </si>
  <si>
    <t xml:space="preserve">PAR-01817</t>
  </si>
  <si>
    <t xml:space="preserve">PAR-01818</t>
  </si>
  <si>
    <t xml:space="preserve">PAR-01819</t>
  </si>
  <si>
    <t xml:space="preserve">Донор, врач, стоимость, регион и медицинская проверка приложением не моделируются.</t>
  </si>
  <si>
    <t xml:space="preserve">PAR-01820</t>
  </si>
  <si>
    <t xml:space="preserve">PAR-01821</t>
  </si>
  <si>
    <t xml:space="preserve">PAR-01822</t>
  </si>
  <si>
    <t xml:space="preserve">Поля состояния: боевые действия| таймер/срок| состояние| раса</t>
  </si>
  <si>
    <t xml:space="preserve">PAR-01823</t>
  </si>
  <si>
    <t xml:space="preserve">Числа и сроки: Операция недоступна Чистому, окончательно мёртвому персонажу, во время боя, незавершённого действия или другой операции.</t>
  </si>
  <si>
    <t xml:space="preserve">PAR-01824</t>
  </si>
  <si>
    <t xml:space="preserve">Операция недоступна Чистому, окончательно мёртвому персонажу, во время боя, незавершённого действия или другой операции.</t>
  </si>
  <si>
    <t xml:space="preserve">PAR-01825</t>
  </si>
  <si>
    <t xml:space="preserve">Регион, специалист, стоимость и длительность автоматически не проверяются; изменение применяется в текущий момент виртуального времени.</t>
  </si>
  <si>
    <t xml:space="preserve">PAR-01826</t>
  </si>
  <si>
    <t xml:space="preserve">Выборы и условия: Цель — живой неархивный персонаж игрока расы Единый или Вольный.| Регион, специалист, стоимость и длительность автоматически не проверяются; изменение применяется в текущий момент виртуального времени.</t>
  </si>
  <si>
    <t xml:space="preserve">PAR-01827</t>
  </si>
  <si>
    <t xml:space="preserve">PAR-01828</t>
  </si>
  <si>
    <t xml:space="preserve">PAR-01829</t>
  </si>
  <si>
    <t xml:space="preserve">При разрешении сценария: Второй симбионт Вольного является разовой подсадкой или навсегда открывает дополнительный слот; повторяется ли штраф R6 после удаления или замены и как начисляется опыт двум симбионтам</t>
  </si>
  <si>
    <t xml:space="preserve">PAR-01830</t>
  </si>
  <si>
    <t xml:space="preserve">PAR-01831</t>
  </si>
  <si>
    <t xml:space="preserve">Броски, ресурсы и выражения: R6| S| M| Z</t>
  </si>
  <si>
    <t xml:space="preserve">PAR-01832</t>
  </si>
  <si>
    <t xml:space="preserve">Выборы и условия: Один чистый R6 одновременно вычитается из S, M и Z, но не ниже 1.| Удаление второго симбионта не возвращает характеристики и не закрывает слот; последующая замена не требует нового R6.| Удвоенное получение опыта Вольного применяется к обоим симбионтам независимо: один бросок по-прежнему выбирает только одного претендента, после чего его награда удваивается.</t>
  </si>
  <si>
    <t xml:space="preserve">PAR-01833</t>
  </si>
  <si>
    <t xml:space="preserve">PAR-01834</t>
  </si>
  <si>
    <t xml:space="preserve">Один чистый R6 одновременно вычитается из S, M и Z, но не ниже 1.</t>
  </si>
  <si>
    <t xml:space="preserve">PAR-01835</t>
  </si>
  <si>
    <t xml:space="preserve">Удаление второго симбионта не возвращает характеристики и не закрывает слот; последующая замена не требует нового R6.</t>
  </si>
  <si>
    <t xml:space="preserve">PAR-01836</t>
  </si>
  <si>
    <t xml:space="preserve">PAR-01837</t>
  </si>
  <si>
    <t xml:space="preserve">PAR-01838</t>
  </si>
  <si>
    <t xml:space="preserve">PAR-01839</t>
  </si>
  <si>
    <t xml:space="preserve">Когда Вольный впервые должен занять больше одного симбиотического слота, операция навсегда устанавливает extraSymbiontSlotUnlocked=true и увеличивает вместимость с одного до двух слотов.</t>
  </si>
  <si>
    <t xml:space="preserve">PAR-01840</t>
  </si>
  <si>
    <t xml:space="preserve">PAR-01841</t>
  </si>
  <si>
    <t xml:space="preserve">PAR-01842</t>
  </si>
  <si>
    <t xml:space="preserve">PAR-01843</t>
  </si>
  <si>
    <t xml:space="preserve">PAR-01844</t>
  </si>
  <si>
    <t xml:space="preserve">PAR-01845</t>
  </si>
  <si>
    <t xml:space="preserve">PAR-01846</t>
  </si>
  <si>
    <t xml:space="preserve">Выборы и условия: Приложение строит предварительный итог без промежуточного сохранения: сначала применяет выбранные удаления, затем добавляет кандидатов, разрешает поглощение Учителя или Дельфина Трогром, бой Трогра с Хранителем, подавление Советника или Пингвина и остальные профильные взаимодействия, пересчитывает стоимость слотов Трогра и только после этого проверяет вместимость и запрет дубликатов вида.| Добавление допустимо, если окончательный состав помещается, даже когда до взаимодействия свободного слота не было.</t>
  </si>
  <si>
    <t xml:space="preserve">PAR-01847</t>
  </si>
  <si>
    <t xml:space="preserve">PAR-01848</t>
  </si>
  <si>
    <t xml:space="preserve">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</si>
  <si>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PAR-01849</t>
  </si>
  <si>
    <t xml:space="preserve">Поля состояния: ОЭ| XP| уровень L| боевые действия</t>
  </si>
  <si>
    <t xml:space="preserve">PAR-01850</t>
  </si>
  <si>
    <t xml:space="preserve">PAR-01851</t>
  </si>
  <si>
    <t xml:space="preserve">Выборы и условия: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t>
  </si>
  <si>
    <t xml:space="preserve">PAR-01852</t>
  </si>
  <si>
    <t xml:space="preserve">PAR-01853</t>
  </si>
  <si>
    <t xml:space="preserve">PAR-01854</t>
  </si>
  <si>
    <t xml:space="preserve">Броски, ресурсы и выражения: L| XP| ОЭ</t>
  </si>
  <si>
    <t xml:space="preserve">PAR-01855</t>
  </si>
  <si>
    <t xml:space="preserve">PAR-01856</t>
  </si>
  <si>
    <t xml:space="preserve">PAR-01857</t>
  </si>
  <si>
    <t xml:space="preserve">PAR-01858</t>
  </si>
  <si>
    <t xml:space="preserve">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t>
  </si>
  <si>
    <t xml:space="preserve">PAR-01859</t>
  </si>
  <si>
    <t xml:space="preserve">PAR-01860</t>
  </si>
  <si>
    <t xml:space="preserve">Штрафы ручного выбора при создании персонажа повторно не применяются.</t>
  </si>
  <si>
    <t xml:space="preserve">PAR-01861</t>
  </si>
  <si>
    <t xml:space="preserve">Его ОЭ, XP, способности, таймеры и внутренняя идентичность утрачиваются.</t>
  </si>
  <si>
    <t xml:space="preserve">PAR-01862</t>
  </si>
  <si>
    <t xml:space="preserve">Поля состояния: ОЭ| XP| таймер/срок</t>
  </si>
  <si>
    <t xml:space="preserve">PAR-01863</t>
  </si>
  <si>
    <t xml:space="preserve">Броски, ресурсы и выражения: ОЭ| XP</t>
  </si>
  <si>
    <t xml:space="preserve">PAR-01864</t>
  </si>
  <si>
    <t xml:space="preserve">Числа и сроки: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</si>
  <si>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PAR-01865</t>
  </si>
  <si>
    <t xml:space="preserve">Выборы и условия: Удалять можно активного и отключённого симбионта, если он физически находится в теле.| Его ОЭ, XP, способности, таймеры и внутренняя идентичность утрачиваются.</t>
  </si>
  <si>
    <t xml:space="preserve">PAR-01866</t>
  </si>
  <si>
    <t xml:space="preserve">PAR-01867</t>
  </si>
  <si>
    <t xml:space="preserve">PAR-01868</t>
  </si>
  <si>
    <t xml:space="preserve">PAR-01869</t>
  </si>
  <si>
    <t xml:space="preserve">PAR-01870</t>
  </si>
  <si>
    <t xml:space="preserve">PAR-01871</t>
  </si>
  <si>
    <t xml:space="preserve">Числа и сроки: 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 Выбранный яд, выпущенные когти, взведённые клинки, накопленный заряд, природное оружие, броня и крылья, зависящие от присутствия симбионта, исчезают или становятся недоступны.</t>
  </si>
  <si>
    <t xml:space="preserve">PAR-01872</t>
  </si>
  <si>
    <t xml:space="preserve">Уже разрешённые эффекты с собственным сроком продолжаются по сохранённому снимку; нанесённые яд, урон, лечение, горение и полностью восстановленный Ткачом орган не откатываются.</t>
  </si>
  <si>
    <t xml:space="preserve">PAR-01873</t>
  </si>
  <si>
    <t xml:space="preserve">При попытке выполнить: завершить операцию, если пересчёт характеристик нарушает требования навыков, уменьшает максимум HP либо делает экипировку невалидной</t>
  </si>
  <si>
    <t xml:space="preserve">PAR-01874</t>
  </si>
  <si>
    <t xml:space="preserve">Поля состояния: currentHP| maxHP| HP| W| слоты| навыки</t>
  </si>
  <si>
    <t xml:space="preserve">PAR-01875</t>
  </si>
  <si>
    <t xml:space="preserve">Броски, ресурсы и выражения: HP| maxHP| W| currentHP</t>
  </si>
  <si>
    <t xml:space="preserve">PAR-01876</t>
  </si>
  <si>
    <t xml:space="preserve">PAR-01877</t>
  </si>
  <si>
    <t xml:space="preserve">PAR-01878</t>
  </si>
  <si>
    <t xml:space="preserve">PAR-01879</t>
  </si>
  <si>
    <t xml:space="preserve">Выборы и условия: В момент удаления текущий вклад Трогра в S, D, M, Z, I, W и C преобразуется в постоянный снимковый модификатор, поэтому семь характеристик непосредственно после операции не меняются.</t>
  </si>
  <si>
    <t xml:space="preserve">PAR-01880</t>
  </si>
  <si>
    <t xml:space="preserve">PAR-01881</t>
  </si>
  <si>
    <t xml:space="preserve">При удалении Советника его управление телом немедленно прекращается без действия и ОЭ</t>
  </si>
  <si>
    <t xml:space="preserve">PAR-01882</t>
  </si>
  <si>
    <t xml:space="preserve">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t>
  </si>
  <si>
    <t xml:space="preserve">PAR-01883</t>
  </si>
  <si>
    <t xml:space="preserve">Поля состояния: ОЭ| I| W| боевые действия| слоты| раса| навыки</t>
  </si>
  <si>
    <t xml:space="preserve">PAR-01884</t>
  </si>
  <si>
    <t xml:space="preserve">PAR-01885</t>
  </si>
  <si>
    <t xml:space="preserve">Выборы и условия: 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 Если Советник сразу подавлен Трогром, карточка всё равно создаётся и отдельно выполняется бросок бонуса подавления.| При удалении Советника его управление телом немедленно прекращается без действия и ОЭ; контроль возвращается личности носителя, а недееспособный носитель остаётся недееспособным.| Новый Советник получает новые броски и новую карточку.</t>
  </si>
  <si>
    <t xml:space="preserve">PAR-01886</t>
  </si>
  <si>
    <t xml:space="preserve">PAR-01887</t>
  </si>
  <si>
    <t xml:space="preserve">PAR-01888</t>
  </si>
  <si>
    <t xml:space="preserve">PAR-01889</t>
  </si>
  <si>
    <t xml:space="preserve">Броски, ресурсы и выражения: R20| I| W| ОЭ</t>
  </si>
  <si>
    <t xml:space="preserve">PAR-01890</t>
  </si>
  <si>
    <t xml:space="preserve">PAR-01891</t>
  </si>
  <si>
    <t xml:space="preserve">После окончательного подтверждения добавления один раз выполняются два чистых R20 в текущем режиме кампании для I и W Советника</t>
  </si>
  <si>
    <t xml:space="preserve">PAR-01892</t>
  </si>
  <si>
    <t xml:space="preserve">После окончательного подтверждения добавления один раз выполняются два чистых R20 в текущем режиме кампании для I и W Советника; мастер выбирает его валидные навыки и обязан заполнить рассчитанные слоты до завершения операции.</t>
  </si>
  <si>
    <t xml:space="preserve">PAR-01893</t>
  </si>
  <si>
    <t xml:space="preserve">PAR-01894</t>
  </si>
  <si>
    <t xml:space="preserve">PAR-01895</t>
  </si>
  <si>
    <t xml:space="preserve">PAR-01896</t>
  </si>
  <si>
    <t xml:space="preserve">PAR-01897</t>
  </si>
  <si>
    <t xml:space="preserve">PAR-01898</t>
  </si>
  <si>
    <t xml:space="preserve">PAR-01899</t>
  </si>
  <si>
    <t xml:space="preserve">PAR-01900</t>
  </si>
  <si>
    <t xml:space="preserve">PAR-01901</t>
  </si>
  <si>
    <t xml:space="preserve">PAR-01902</t>
  </si>
  <si>
    <t xml:space="preserve">PAR-01903</t>
  </si>
  <si>
    <t xml:space="preserve">PAR-01904</t>
  </si>
  <si>
    <t xml:space="preserve">PAR-01905</t>
  </si>
  <si>
    <t xml:space="preserve">Удаление крысы, находящейся вне тела, невозможно (операция заблокирована) до возвращения крысы в носителя.</t>
  </si>
  <si>
    <t xml:space="preserve">PAR-01906</t>
  </si>
  <si>
    <t xml:space="preserve">PAR-01907</t>
  </si>
  <si>
    <t xml:space="preserve">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</si>
  <si>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PAR-01908</t>
  </si>
  <si>
    <t xml:space="preserve">Поля состояния: HP| ОЭ| XP| состояние| навыки</t>
  </si>
  <si>
    <t xml:space="preserve">PAR-01909</t>
  </si>
  <si>
    <t xml:space="preserve">Броски, ресурсы и выражения: R6| XP| ОЭ| HP</t>
  </si>
  <si>
    <t xml:space="preserve">PAR-01910</t>
  </si>
  <si>
    <t xml:space="preserve">PAR-01911</t>
  </si>
  <si>
    <t xml:space="preserve">Выборы и условия: Сначала мастер формирует черновик, выбирает цель, удаления, кандидатов, деревья развития и указывает обязательную причину.| После финального подтверждения выполняются случайные броски; с показа первого результата отмена и выбор нового результата запрещены.| Если требуется заполнить Советника, операция остаётся в обязательном состоянии продолжения и восстанавливается после переподключения.| Аудит хранит operationId, мастера, время, причину, снимки до и после, UUID симбионтов, способности, XP/ОЭ, броски, взаимодействия, изменения характеристик, HP, навыков и судьбу эффектов.</t>
  </si>
  <si>
    <t xml:space="preserve">PAR-01912</t>
  </si>
  <si>
    <t xml:space="preserve">При событии: операция становится необратимой и какие данные сохраняются, особенно если она содержит R6 Вольного или броски и заполнение карточки Советника</t>
  </si>
  <si>
    <t xml:space="preserve">PAR-01913</t>
  </si>
  <si>
    <t xml:space="preserve">PAR-01914</t>
  </si>
  <si>
    <t xml:space="preserve">После финального подтверждения выполняются случайные броски; с показа первого результата отмена и выбор нового результата запрещены.</t>
  </si>
  <si>
    <t xml:space="preserve">PAR-01915</t>
  </si>
  <si>
    <t xml:space="preserve">PAR-01916</t>
  </si>
  <si>
    <t xml:space="preserve">PAR-01917</t>
  </si>
  <si>
    <t xml:space="preserve">PAR-01918</t>
  </si>
  <si>
    <t xml:space="preserve">PAR-01919</t>
  </si>
  <si>
    <t xml:space="preserve">PAR-01920</t>
  </si>
  <si>
    <t xml:space="preserve">PAR-01921</t>
  </si>
  <si>
    <t xml:space="preserve">Числа и сроки: Мастер выбирает участников, формирует или редактирует график и подтверждает запуск.</t>
  </si>
  <si>
    <t xml:space="preserve">PAR-01922</t>
  </si>
  <si>
    <t xml:space="preserve">Мастер выбирает участников, формирует или редактирует график и подтверждает запуск.</t>
  </si>
  <si>
    <t xml:space="preserve">PAR-01923</t>
  </si>
  <si>
    <t xml:space="preserve">PAR-01924</t>
  </si>
  <si>
    <t xml:space="preserve">Выборы и условия: Игрок создаёт запрос длительного отдыха для своей текущей группы и указывает желаемую длительность.| Мастер выбирает участников, формирует или редактирует график и подтверждает запуск.</t>
  </si>
  <si>
    <t xml:space="preserve">PAR-01925</t>
  </si>
  <si>
    <t xml:space="preserve">Числа и сроки: График покрывает весь заявленный интервал отдыха [начало; конец) с точностью до целой игровой минуты.</t>
  </si>
  <si>
    <t xml:space="preserve">PAR-01926</t>
  </si>
  <si>
    <t xml:space="preserve">График покрывает весь заявленный интервал отдыха [начало; конец) с точностью до целой игровой минуты.</t>
  </si>
  <si>
    <t xml:space="preserve">PAR-01927</t>
  </si>
  <si>
    <t xml:space="preserve">PAR-01928</t>
  </si>
  <si>
    <t xml:space="preserve">Мастер выбирает режим отдыха группы: с дозором или без.</t>
  </si>
  <si>
    <t xml:space="preserve">PAR-01929</t>
  </si>
  <si>
    <t xml:space="preserve">Для режима с дозором: в любой момент назначен хотя бы один дозорный; без полного покрытия отдых не запускается.</t>
  </si>
  <si>
    <t xml:space="preserve">PAR-01930</t>
  </si>
  <si>
    <t xml:space="preserve">Выборы и условия: Мастер выбирает режим отдыха группы: с дозором или без.| Для режима с дозором: в любой момент назначен хотя бы один дозорный; без полного покрытия отдых не запускается.</t>
  </si>
  <si>
    <t xml:space="preserve">PAR-01931</t>
  </si>
  <si>
    <t xml:space="preserve">Одновременно можно назначить любое число дозорных.</t>
  </si>
  <si>
    <t xml:space="preserve">PAR-01932</t>
  </si>
  <si>
    <t xml:space="preserve">PAR-01933</t>
  </si>
  <si>
    <t xml:space="preserve">PAR-01934</t>
  </si>
  <si>
    <t xml:space="preserve">PAR-01935</t>
  </si>
  <si>
    <t xml:space="preserve">PAR-01936</t>
  </si>
  <si>
    <t xml:space="preserve">PAR-01937</t>
  </si>
  <si>
    <t xml:space="preserve">PAR-01938</t>
  </si>
  <si>
    <t xml:space="preserve">PAR-01939</t>
  </si>
  <si>
    <t xml:space="preserve">Во время собственной смены дозорный не накапливает отдых, но мировое время, таймеры и периодические эффекты идут обычно.</t>
  </si>
  <si>
    <t xml:space="preserve">PAR-01940</t>
  </si>
  <si>
    <t xml:space="preserve">Числа и сроки: Во время собственной смены дозорный не накапливает отдых, но мировое время, таймеры и периодические эффекты идут обычно.</t>
  </si>
  <si>
    <t xml:space="preserve">PAR-01941</t>
  </si>
  <si>
    <t xml:space="preserve">Выборы и условия: Персонажи других групп и временные сущности боя недоступны; постоянного НПС можно назначить только если мастер явно включил его в операцию отдыха.| Во время собственной смены дозорный не накапливает отдых, но мировое время, таймеры и периодические эффекты идут обычно.</t>
  </si>
  <si>
    <t xml:space="preserve">PAR-01942</t>
  </si>
  <si>
    <t xml:space="preserve">Дозорным можно назначить только живого, неархивного и дееспособного персонажа той группы, которая заявила отдых.</t>
  </si>
  <si>
    <t xml:space="preserve">PAR-01943</t>
  </si>
  <si>
    <t xml:space="preserve">Поля состояния: инициатива| таймер/срок</t>
  </si>
  <si>
    <t xml:space="preserve">PAR-01944</t>
  </si>
  <si>
    <t xml:space="preserve">PAR-01945</t>
  </si>
  <si>
    <t xml:space="preserve">PAR-01946</t>
  </si>
  <si>
    <t xml:space="preserve">PAR-01947</t>
  </si>
  <si>
    <t xml:space="preserve">PAR-01948</t>
  </si>
  <si>
    <t xml:space="preserve">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t>
  </si>
  <si>
    <t xml:space="preserve">PAR-01949</t>
  </si>
  <si>
    <t xml:space="preserve">PAR-01950</t>
  </si>
  <si>
    <t xml:space="preserve">Числа и сроки: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t>
  </si>
  <si>
    <t xml:space="preserve">PAR-01951</t>
  </si>
  <si>
    <t xml:space="preserve">Выборы и условия: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После боя мастер выбирает отмену либо продолжение оставшегося интервала; при продолжении непрерывный сон участников боя начинается заново.</t>
  </si>
  <si>
    <t xml:space="preserve">PAR-01952</t>
  </si>
  <si>
    <t xml:space="preserve">Другие группы просто не накапливают время, пока мировые часы заморожены боем.</t>
  </si>
  <si>
    <t xml:space="preserve">PAR-01953</t>
  </si>
  <si>
    <t xml:space="preserve">PAR-01954</t>
  </si>
  <si>
    <t xml:space="preserve">PAR-01955</t>
  </si>
  <si>
    <t xml:space="preserve">PAR-01956</t>
  </si>
  <si>
    <t xml:space="preserve">Подтверждение мастером запуска боя прерывает сон всех персонажей выбранной группы; все они могут действовать по обычным правилам независимо от дозора.</t>
  </si>
  <si>
    <t xml:space="preserve">PAR-01957</t>
  </si>
  <si>
    <t xml:space="preserve">PAR-01958</t>
  </si>
  <si>
    <t xml:space="preserve">PAR-01959</t>
  </si>
  <si>
    <t xml:space="preserve">После боя мастер выбирает отмену либо продолжение оставшегося интервала</t>
  </si>
  <si>
    <t xml:space="preserve">PAR-01960</t>
  </si>
  <si>
    <t xml:space="preserve">После боя мастер выбирает отмену либо продолжение оставшегося интервала; при продолжении непрерывный сон участников боя начинается заново.</t>
  </si>
  <si>
    <t xml:space="preserve">PAR-01961</t>
  </si>
  <si>
    <t xml:space="preserve">PAR-01962</t>
  </si>
  <si>
    <t xml:space="preserve">PAR-01963</t>
  </si>
  <si>
    <t xml:space="preserve">Когда применяются последствия полноценного отдыха, как они соотносятся с 24-часовым лимитом и в каком порядке включаются симбионты, восстанавливаются HP/ОЭ и срабатывают особые эффекты</t>
  </si>
  <si>
    <t xml:space="preserve">PAR-01964</t>
  </si>
  <si>
    <t xml:space="preserve">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t>
  </si>
  <si>
    <t xml:space="preserve">PAR-01965</t>
  </si>
  <si>
    <t xml:space="preserve">2) если прошло не менее 24 часов после предыдущего восстановления, восстанавливает Z HP и заполняет ОЭ активных после шага 1 симбионтов</t>
  </si>
  <si>
    <t xml:space="preserve">PAR-01966</t>
  </si>
  <si>
    <t xml:space="preserve">Специальные последствия срабатывают даже когда восстановление HP/ОЭ ещё заблокировано 24-часовым лимитом.</t>
  </si>
  <si>
    <t xml:space="preserve">PAR-01967</t>
  </si>
  <si>
    <t xml:space="preserve">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t>
  </si>
  <si>
    <t xml:space="preserve">PAR-01968</t>
  </si>
  <si>
    <t xml:space="preserve">PAR-01969</t>
  </si>
  <si>
    <t xml:space="preserve">PAR-01970</t>
  </si>
  <si>
    <t xml:space="preserve">PAR-01971</t>
  </si>
  <si>
    <t xml:space="preserve">PAR-01972</t>
  </si>
  <si>
    <t xml:space="preserve">Частные исключения, включая ОЭ 0 у выращенных «Попутчиками», сильнее общего порядка.</t>
  </si>
  <si>
    <t xml:space="preserve">PAR-01973</t>
  </si>
  <si>
    <t xml:space="preserve">PAR-01974</t>
  </si>
  <si>
    <t xml:space="preserve">PAR-01975</t>
  </si>
  <si>
    <t xml:space="preserve">PAR-01976</t>
  </si>
  <si>
    <t xml:space="preserve">PAR-01977</t>
  </si>
  <si>
    <t xml:space="preserve">PAR-01978</t>
  </si>
  <si>
    <t xml:space="preserve">PAR-01979</t>
  </si>
  <si>
    <t xml:space="preserve">При разрешении сценария: Кому, когда и в каком объёме мастер может выдать последствия длительного отдыха без четырёх часов непрерывного сна, и обходится ли 24-часовой лимит</t>
  </si>
  <si>
    <t xml:space="preserve">PAR-01980</t>
  </si>
  <si>
    <t xml:space="preserve">Ограничение восстановления HP/ОЭ раз в 24 часа не обходится.</t>
  </si>
  <si>
    <t xml:space="preserve">PAR-01981</t>
  </si>
  <si>
    <t xml:space="preserve">Броски, ресурсы и выражения: HP| ОЭ| 24 часа</t>
  </si>
  <si>
    <t xml:space="preserve">PAR-01982</t>
  </si>
  <si>
    <t xml:space="preserve">Числа и сроки: Оно не проматывает время и отменяет только требование четырёх часов; остальные предусловия специальных правил сохраняются.|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</si>
  <si>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PAR-01983</t>
  </si>
  <si>
    <t xml:space="preserve">Выборы и условия: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</si>
  <si>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PAR-01984</t>
  </si>
  <si>
    <t xml:space="preserve">PAR-01985</t>
  </si>
  <si>
    <t xml:space="preserve">Поля состояния: HP| ОЭ</t>
  </si>
  <si>
    <t xml:space="preserve">PAR-01986</t>
  </si>
  <si>
    <t xml:space="preserve">PAR-01987</t>
  </si>
  <si>
    <t xml:space="preserve">PAR-01988</t>
  </si>
  <si>
    <t xml:space="preserve">PAR-01989</t>
  </si>
  <si>
    <t xml:space="preserve">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</si>
  <si>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PAR-01990</t>
  </si>
  <si>
    <t xml:space="preserve">PAR-01991</t>
  </si>
  <si>
    <t xml:space="preserve">PAR-01992</t>
  </si>
  <si>
    <t xml:space="preserve">PAR-01993</t>
  </si>
  <si>
    <t xml:space="preserve">PAR-01994</t>
  </si>
  <si>
    <t xml:space="preserve">PAR-01995</t>
  </si>
  <si>
    <t xml:space="preserve">PAR-01996</t>
  </si>
  <si>
    <t xml:space="preserve">PAR-01997</t>
  </si>
  <si>
    <t xml:space="preserve">PAR-01998</t>
  </si>
  <si>
    <t xml:space="preserve">Числа и сроки: 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t>
  </si>
  <si>
    <t xml:space="preserve">PAR-01999</t>
  </si>
  <si>
    <t xml:space="preserve">Операция выполняется атомарно и журналирует UUID персонажа и мастера, игровое время, обязательную причину, фактическую продолжительность непрерывного сна, активную заявку и смену дозора, обход требования четырёх часов, состояние 24-часового лимита, все значения до и после и идентификаторы сработавших или подавленных правил.</t>
  </si>
  <si>
    <t xml:space="preserve">PAR-02000</t>
  </si>
  <si>
    <t xml:space="preserve">PAR-02001</t>
  </si>
  <si>
    <t xml:space="preserve">PAR-02002</t>
  </si>
  <si>
    <t xml:space="preserve">PAR-02003</t>
  </si>
  <si>
    <t xml:space="preserve">PAR-02004</t>
  </si>
  <si>
    <t xml:space="preserve">PAR-02005</t>
  </si>
  <si>
    <t xml:space="preserve">PAR-02006</t>
  </si>
  <si>
    <t xml:space="preserve">PAR-02007</t>
  </si>
  <si>
    <t xml:space="preserve">PAR-02008</t>
  </si>
  <si>
    <t xml:space="preserve">PAR-02009</t>
  </si>
  <si>
    <t xml:space="preserve">PAR-02010</t>
  </si>
  <si>
    <t xml:space="preserve">Поля состояния: боевые действия| состояние| раса</t>
  </si>
  <si>
    <t xml:space="preserve">PAR-02011</t>
  </si>
  <si>
    <t xml:space="preserve">Числа и сроки: Складывание по-прежнему затрагивает оба клинка и занимает 20 секунд вне боя либо два последовательных боевых действия в бою.| Нормализация v1.0: для каждого клинка хранится состояние «обычный» или «взведённый».</t>
  </si>
  <si>
    <t xml:space="preserve">PAR-02012</t>
  </si>
  <si>
    <t xml:space="preserve">Складывание по-прежнему затрагивает оба клинка и занимает 20 секунд вне боя либо два последовательных боевых действия в бою.</t>
  </si>
  <si>
    <t xml:space="preserve">PAR-02013</t>
  </si>
  <si>
    <t xml:space="preserve">PAR-02014</t>
  </si>
  <si>
    <t xml:space="preserve">PAR-02015</t>
  </si>
  <si>
    <t xml:space="preserve">При активации SYM-032 вне боя 100 ОЭ списываются до броска</t>
  </si>
  <si>
    <t xml:space="preserve">PAR-02016</t>
  </si>
  <si>
    <t xml:space="preserve">При активации SYM-032 вне боя 100 ОЭ списываются до броска.</t>
  </si>
  <si>
    <t xml:space="preserve">PAR-02017</t>
  </si>
  <si>
    <t xml:space="preserve">Повторного броска и возврата ОЭ нет.</t>
  </si>
  <si>
    <t xml:space="preserve">PAR-02018</t>
  </si>
  <si>
    <t xml:space="preserve">Поля состояния: ОЭ| S| D</t>
  </si>
  <si>
    <t xml:space="preserve">PAR-02019</t>
  </si>
  <si>
    <t xml:space="preserve">Броски, ресурсы и выражения: 100 ОЭ| R20| S| D| ОЭ</t>
  </si>
  <si>
    <t xml:space="preserve">PAR-02020</t>
  </si>
  <si>
    <t xml:space="preserve">Если первый R20 даёт натуральную 1</t>
  </si>
  <si>
    <t xml:space="preserve">PAR-02021</t>
  </si>
  <si>
    <t xml:space="preserve">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t>
  </si>
  <si>
    <t xml:space="preserve">PAR-02022</t>
  </si>
  <si>
    <t xml:space="preserve">PAR-02023</t>
  </si>
  <si>
    <t xml:space="preserve">Числа и сроки: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При A≥2 способность исполняется штатно.| В бою ветвь натуральной 1 остаётся прежней.</t>
  </si>
  <si>
    <t xml:space="preserve">PAR-02024</t>
  </si>
  <si>
    <t xml:space="preserve">Выборы и условия: При активации SYM-032 вне боя 100 ОЭ списываются до броска.| Если первый R20 даёт натуральную 1, специальная ветвь не создаётся: нет +20 к S и D, пятиминутного эффекта и обязательных случайных атак; бой автоматически не открывается.| Повторного броска и возврата ОЭ нет.</t>
  </si>
  <si>
    <t xml:space="preserve">PAR-02025</t>
  </si>
  <si>
    <t xml:space="preserve">PAR-02026</t>
  </si>
  <si>
    <t xml:space="preserve">PAR-02027</t>
  </si>
  <si>
    <t xml:space="preserve">PAR-02028</t>
  </si>
  <si>
    <t xml:space="preserve">При выполнении или разрешении: исполняется натуральная 1 «Анаболического форсажа», если SYM-032 применён вне боя, где нет личных ходов и заранее сформированного списка участников</t>
  </si>
  <si>
    <t xml:space="preserve">PAR-02029</t>
  </si>
  <si>
    <t xml:space="preserve">PAR-02030</t>
  </si>
  <si>
    <t xml:space="preserve">Если 240-я минута завершается точно в момент начала смены</t>
  </si>
  <si>
    <t xml:space="preserve">PAR-02031</t>
  </si>
  <si>
    <t xml:space="preserve">PAR-02032</t>
  </si>
  <si>
    <t xml:space="preserve">PAR-02033</t>
  </si>
  <si>
    <t xml:space="preserve">Числа и сроки: Начало плановой смены дозора завершает текущий отрезок, но уже накопленные минуты не удаляет; во время смены новые минуты отдыха не начисляются.|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t>
  </si>
  <si>
    <t xml:space="preserve">PAR-02034</t>
  </si>
  <si>
    <t xml:space="preserve">Выборы и условия: Если 240-я минута завершается точно в момент начала смены, сначала полностью разрешается событие полноценного отдыха, затем персонаж переходит в дозор.</t>
  </si>
  <si>
    <t xml:space="preserve">PAR-02035</t>
  </si>
  <si>
    <t xml:space="preserve">PAR-02036</t>
  </si>
  <si>
    <t xml:space="preserve">PAR-02037</t>
  </si>
  <si>
    <t xml:space="preserve">PAR-02038</t>
  </si>
  <si>
    <t xml:space="preserve">PAR-02039</t>
  </si>
  <si>
    <t xml:space="preserve">Начало плановой смены дозора завершает текущий отрезок, но уже накопленные минуты не удаляет; во время смены новые минуты отдыха не начисляются.</t>
  </si>
  <si>
    <t xml:space="preserve">PAR-02040</t>
  </si>
  <si>
    <t xml:space="preserve">PAR-02041</t>
  </si>
  <si>
    <t xml:space="preserve">PAR-02042</t>
  </si>
  <si>
    <t xml:space="preserve">PAR-02043</t>
  </si>
  <si>
    <t xml:space="preserve">PAR-02044</t>
  </si>
  <si>
    <t xml:space="preserve">PAR-02045</t>
  </si>
  <si>
    <t xml:space="preserve">PAR-02046</t>
  </si>
  <si>
    <t xml:space="preserve">PAR-02047</t>
  </si>
  <si>
    <t xml:space="preserve">PAR-02048</t>
  </si>
  <si>
    <t xml:space="preserve">сцена нападения не считается обычным ходом для усталости; область действия правила требует подтверждения Q-CORE-001.</t>
  </si>
  <si>
    <t xml:space="preserve">PAR-02049</t>
  </si>
  <si>
    <t xml:space="preserve">safeTurns=max(1, round_math(M/5)); первые safeTurns личных ходов не штрафуются; в начале следующего личного хода fatiguePenalty=1, затем увеличивается на 1 в каждом последующем личном ходу; combatActions=max(0, baseSeries+bonuses−fatiguePenalty).</t>
  </si>
  <si>
    <t xml:space="preserve">PAR-02050</t>
  </si>
  <si>
    <t xml:space="preserve">В приложении будет допущение: мы в принципе никак не учитываем усталость, игнорируем формулу.</t>
  </si>
  <si>
    <t xml:space="preserve">PAR-02051</t>
  </si>
  <si>
    <t xml:space="preserve">PAR-02052</t>
  </si>
  <si>
    <t xml:space="preserve">PAR-02053</t>
  </si>
  <si>
    <t xml:space="preserve">PAR-02054</t>
  </si>
  <si>
    <t xml:space="preserve">PAR-02055</t>
  </si>
  <si>
    <t xml:space="preserve">PAR-02056</t>
  </si>
  <si>
    <t xml:space="preserve">PAR-02057</t>
  </si>
  <si>
    <t xml:space="preserve">PAR-02058</t>
  </si>
  <si>
    <t xml:space="preserve">PAR-02059</t>
  </si>
  <si>
    <t xml:space="preserve">завершить ход без действий и реакций; установить consecutiveTurnCount=0, fatiguePenalty=0; новый отсчёт начинается со следующего личного хода.</t>
  </si>
  <si>
    <t xml:space="preserve">PAR-02060</t>
  </si>
  <si>
    <t xml:space="preserve">частичный пропуск или ход с любой защитой сброса не даёт; область субъектов должна совпадать с ответом по CORE-002.</t>
  </si>
  <si>
    <t xml:space="preserve">PAR-02061</t>
  </si>
  <si>
    <t xml:space="preserve">PAR-02062</t>
  </si>
  <si>
    <t xml:space="preserve">PAR-02063</t>
  </si>
  <si>
    <t xml:space="preserve">PAR-02064</t>
  </si>
  <si>
    <t xml:space="preserve">PAR-02065</t>
  </si>
  <si>
    <t xml:space="preserve">PAR-02066</t>
  </si>
  <si>
    <t xml:space="preserve">PAR-02067</t>
  </si>
  <si>
    <t xml:space="preserve">PAR-02068</t>
  </si>
  <si>
    <t xml:space="preserve">PAR-02069</t>
  </si>
  <si>
    <t xml:space="preserve">PAR-02070</t>
  </si>
  <si>
    <t xml:space="preserve">PAR-02071</t>
  </si>
  <si>
    <t xml:space="preserve">PAR-02072</t>
  </si>
  <si>
    <t xml:space="preserve">PAR-02073</t>
  </si>
  <si>
    <t xml:space="preserve">PAR-02074</t>
  </si>
  <si>
    <t xml:space="preserve">PAR-02075</t>
  </si>
  <si>
    <t xml:space="preserve">PAR-02076</t>
  </si>
  <si>
    <t xml:space="preserve">PAR-02077</t>
  </si>
  <si>
    <t xml:space="preserve">PAR-02078</t>
  </si>
  <si>
    <t xml:space="preserve">PAR-02079</t>
  </si>
  <si>
    <t xml:space="preserve">PAR-02080</t>
  </si>
  <si>
    <t xml:space="preserve">PAR-02081</t>
  </si>
  <si>
    <t xml:space="preserve">PAR-02082</t>
  </si>
  <si>
    <t xml:space="preserve">PAR-02083</t>
  </si>
  <si>
    <t xml:space="preserve">PAR-02084</t>
  </si>
  <si>
    <t xml:space="preserve">L=итоговый бонус Крафта; требования округлить вверх; для Rs/Rd без собственного минимума применить min=1.</t>
  </si>
  <si>
    <t xml:space="preserve">PAR-02085</t>
  </si>
  <si>
    <t xml:space="preserve">PAR-02086</t>
  </si>
  <si>
    <t xml:space="preserve">PAR-02087</t>
  </si>
  <si>
    <t xml:space="preserve">PAR-02088</t>
  </si>
  <si>
    <t xml:space="preserve">PAR-02089</t>
  </si>
  <si>
    <t xml:space="preserve">PAR-02090</t>
  </si>
  <si>
    <t xml:space="preserve">[Q-CORE-004] Суммировать (если например оружие требует 14 силы и 13 ловкости, а у персонажа 12 силы и 12 ловкости, дефицит = 3, штраф = 6)</t>
  </si>
  <si>
    <t xml:space="preserve">PAR-02091</t>
  </si>
  <si>
    <t xml:space="preserve">PAR-02092</t>
  </si>
  <si>
    <t xml:space="preserve">PAR-02093</t>
  </si>
  <si>
    <t xml:space="preserve">PAR-02094</t>
  </si>
  <si>
    <t xml:space="preserve">PAR-02095</t>
  </si>
  <si>
    <t xml:space="preserve">PAR-02096</t>
  </si>
  <si>
    <t xml:space="preserve">Pr=R20+20; damage=R20+30; перезарядка 2 действия; без классового навыка −15 к точности.</t>
  </si>
  <si>
    <t xml:space="preserve">PAR-02097</t>
  </si>
  <si>
    <t xml:space="preserve">PAR-02098</t>
  </si>
  <si>
    <t xml:space="preserve">При нехватке действий начать её нельзя, а частичный прогресс между ходами не сохраняется, если конкретный предмет прямо не говорит иное.</t>
  </si>
  <si>
    <t xml:space="preserve">PAR-02099</t>
  </si>
  <si>
    <t xml:space="preserve">точная семантика специального R6 требует Q-CORE-006; оплата двух действий Q-CORE-055; смысл невыполненного требования навыка Q-CORE-056.</t>
  </si>
  <si>
    <t xml:space="preserve">PAR-02100</t>
  </si>
  <si>
    <t xml:space="preserve">PAR-02101</t>
  </si>
  <si>
    <t xml:space="preserve">PAR-02102</t>
  </si>
  <si>
    <t xml:space="preserve">PAR-02103</t>
  </si>
  <si>
    <t xml:space="preserve">При абсолютной «Стрельбе» R6&gt;2 означает попадание туда, куда целился стрелок.</t>
  </si>
  <si>
    <t xml:space="preserve">PAR-02104</t>
  </si>
  <si>
    <t xml:space="preserve">PAR-02105</t>
  </si>
  <si>
    <t xml:space="preserve">PAR-02106</t>
  </si>
  <si>
    <t xml:space="preserve">PAR-02107</t>
  </si>
  <si>
    <t xml:space="preserve">PAR-02108</t>
  </si>
  <si>
    <t xml:space="preserve">PAR-02109</t>
  </si>
  <si>
    <t xml:space="preserve">Pr=R12 на выстрел; перезарядка 1 действие.</t>
  </si>
  <si>
    <t xml:space="preserve">PAR-02110</t>
  </si>
  <si>
    <t xml:space="preserve">С высокого уровня перезарядка не расходует действие; с абсолютного R6&gt;2 даёт точное попадание.</t>
  </si>
  <si>
    <t xml:space="preserve">PAR-02111</t>
  </si>
  <si>
    <t xml:space="preserve">Dm=R6+L</t>
  </si>
  <si>
    <t xml:space="preserve">PAR-02112</t>
  </si>
  <si>
    <t xml:space="preserve">PAR-02113</t>
  </si>
  <si>
    <t xml:space="preserve">Rs=max(5,ceil(Dm×Rn/(R20+2.5×Lw)))</t>
  </si>
  <si>
    <t xml:space="preserve">PAR-02114</t>
  </si>
  <si>
    <t xml:space="preserve">Rd=max(5,ceil(3×Rn/(Lw+R6)))</t>
  </si>
  <si>
    <t xml:space="preserve">PAR-02115</t>
  </si>
  <si>
    <t xml:space="preserve">PAR-02116</t>
  </si>
  <si>
    <t xml:space="preserve">PAR-02117</t>
  </si>
  <si>
    <t xml:space="preserve">PAR-02118</t>
  </si>
  <si>
    <t xml:space="preserve">Dm=R12+L</t>
  </si>
  <si>
    <t xml:space="preserve">PAR-02119</t>
  </si>
  <si>
    <t xml:space="preserve">PAR-02120</t>
  </si>
  <si>
    <t xml:space="preserve">Rs=max(6,ceil(Dm×Rn/(R20+2×Lw)))</t>
  </si>
  <si>
    <t xml:space="preserve">PAR-02121</t>
  </si>
  <si>
    <t xml:space="preserve">Rd=max(7,ceil(4×Rn/(Lw+R6)))</t>
  </si>
  <si>
    <t xml:space="preserve">PAR-02122</t>
  </si>
  <si>
    <t xml:space="preserve">PAR-02123</t>
  </si>
  <si>
    <t xml:space="preserve">PAR-02124</t>
  </si>
  <si>
    <t xml:space="preserve">PAR-02125</t>
  </si>
  <si>
    <t xml:space="preserve">Rn=R20+Dm+1.5×L</t>
  </si>
  <si>
    <t xml:space="preserve">PAR-02126</t>
  </si>
  <si>
    <t xml:space="preserve">Rs=max(8,ceil(Dm×Rn/(R20+1.5×Lw)))</t>
  </si>
  <si>
    <t xml:space="preserve">PAR-02127</t>
  </si>
  <si>
    <t xml:space="preserve">Rd=max(9,ceil(5×Rn/(Lw+R6)))</t>
  </si>
  <si>
    <t xml:space="preserve">PAR-02128</t>
  </si>
  <si>
    <t xml:space="preserve">PAR-02129</t>
  </si>
  <si>
    <t xml:space="preserve">PAR-02130</t>
  </si>
  <si>
    <t xml:space="preserve">[Q-CORE-007] Если цель находится дальше максимальной дальности стрельбы, сделать выстрел невозможно</t>
  </si>
  <si>
    <t xml:space="preserve">PAR-02131</t>
  </si>
  <si>
    <t xml:space="preserve">автоматическая валидация невозможна.</t>
  </si>
  <si>
    <t xml:space="preserve">PAR-02132</t>
  </si>
  <si>
    <t xml:space="preserve">PAR-02133</t>
  </si>
  <si>
    <t xml:space="preserve">PAR-02134</t>
  </si>
  <si>
    <t xml:space="preserve">PAR-02135</t>
  </si>
  <si>
    <t xml:space="preserve">Rs=max(11,ceil((80−Lw)/(R4+L)))</t>
  </si>
  <si>
    <t xml:space="preserve">PAR-02136</t>
  </si>
  <si>
    <t xml:space="preserve">Rd=max(6,ceil((40−Lw)/(R4+L))); точность модифицирует D, урон S; без навыка −3; на атаке Pr=R12, damage=R12+модификаторы; если броня не пробита, всё равно проходит половина конечного урона; если урон более чем втрое превышает Z цели, цель бросает чистый D20, при &lt;10 оглушена на 3 своих хода.</t>
  </si>
  <si>
    <t xml:space="preserve">PAR-02137</t>
  </si>
  <si>
    <t xml:space="preserve">[Q-CORE-008] Если урон, нанесенный цели, в 3 или более раза превышает показатель ее характеристики «Здоровье», цель бросает D20.</t>
  </si>
  <si>
    <t xml:space="preserve">PAR-02138</t>
  </si>
  <si>
    <t xml:space="preserve">PAR-02139</t>
  </si>
  <si>
    <t xml:space="preserve">PAR-02140</t>
  </si>
  <si>
    <t xml:space="preserve">При выпадении значения меньше 10, цель пропускает следующие 3 боевых круга</t>
  </si>
  <si>
    <t xml:space="preserve">PAR-02141</t>
  </si>
  <si>
    <t xml:space="preserve">PAR-02142</t>
  </si>
  <si>
    <t xml:space="preserve">PAR-02143</t>
  </si>
  <si>
    <t xml:space="preserve">PAR-02144</t>
  </si>
  <si>
    <t xml:space="preserve">одна рука: Rs=max(13,ceil((100−(Lw+Ls)/2)/(R4+L))), Rd=max(9,ceil((50−(Lw+Ls)/2)/(R4+L))); две руки: Rs=max(9,ceil((60−(Lw+Ls)/2)/(R4+L))), Rd как выше.</t>
  </si>
  <si>
    <t xml:space="preserve">PAR-02145</t>
  </si>
  <si>
    <t xml:space="preserve">На атаке Pr=R20, базовый damage=R20, точность D, урон S.</t>
  </si>
  <si>
    <t xml:space="preserve">PAR-02146</t>
  </si>
  <si>
    <t xml:space="preserve">PAR-02147</t>
  </si>
  <si>
    <t xml:space="preserve">PAR-02148</t>
  </si>
  <si>
    <t xml:space="preserve">Высокий навык с двумя кинжалами даёт 2 отдельных удара за одно действие не чаще раза в личный ход.</t>
  </si>
  <si>
    <t xml:space="preserve">PAR-02149</t>
  </si>
  <si>
    <t xml:space="preserve">Rs=max(6,ceil((50−(Lw+Ls)/2)/(R6+L)))</t>
  </si>
  <si>
    <t xml:space="preserve">PAR-02150</t>
  </si>
  <si>
    <t xml:space="preserve">Rd=max(11,ceil((80−(Lw+Ls)/2)/(R4+L)))</t>
  </si>
  <si>
    <t xml:space="preserve">PAR-02151</t>
  </si>
  <si>
    <t xml:space="preserve">Pr=R6, базовый damage=R12</t>
  </si>
  <si>
    <t xml:space="preserve">PAR-02152</t>
  </si>
  <si>
    <t xml:space="preserve">[Q-CORE-010] Порог 30+/35+/37+/40+/41+ сравнивается с итоговой проверкой меткости R20+D+профильный навык+все применимые модификаторы.</t>
  </si>
  <si>
    <t xml:space="preserve">PAR-02153</t>
  </si>
  <si>
    <t xml:space="preserve">PAR-02154</t>
  </si>
  <si>
    <t xml:space="preserve">PAR-02155</t>
  </si>
  <si>
    <t xml:space="preserve">PAR-02156</t>
  </si>
  <si>
    <t xml:space="preserve">PAR-02157</t>
  </si>
  <si>
    <t xml:space="preserve">Rs=max(7,ceil((60−(Lw+Ls)/2)/(R6+L)))</t>
  </si>
  <si>
    <t xml:space="preserve">PAR-02158</t>
  </si>
  <si>
    <t xml:space="preserve">PAR-02159</t>
  </si>
  <si>
    <t xml:space="preserve">Pr=R20, базовый damage=R6</t>
  </si>
  <si>
    <t xml:space="preserve">PAR-02160</t>
  </si>
  <si>
    <t xml:space="preserve">При названном итоговом «роле» ≥40 броня игнорируется, базовый урон = 20, затем модифицируется.</t>
  </si>
  <si>
    <t xml:space="preserve">PAR-02161</t>
  </si>
  <si>
    <t xml:space="preserve">PAR-02162</t>
  </si>
  <si>
    <t xml:space="preserve">PAR-02163</t>
  </si>
  <si>
    <t xml:space="preserve">PAR-02164</t>
  </si>
  <si>
    <t xml:space="preserve">PAR-02165</t>
  </si>
  <si>
    <t xml:space="preserve">Rs=max(10,ceil((90−(Lw+Ls)/2)/(R6+L)))</t>
  </si>
  <si>
    <t xml:space="preserve">PAR-02166</t>
  </si>
  <si>
    <t xml:space="preserve">PAR-02167</t>
  </si>
  <si>
    <t xml:space="preserve">Pr=R20, базовый damage=R12; при названном итоговом «роле» ≥41 броня игнорируется и базовый урон =20</t>
  </si>
  <si>
    <t xml:space="preserve">PAR-02168</t>
  </si>
  <si>
    <t xml:space="preserve">PAR-02169</t>
  </si>
  <si>
    <t xml:space="preserve">PAR-02170</t>
  </si>
  <si>
    <t xml:space="preserve">PAR-02171</t>
  </si>
  <si>
    <t xml:space="preserve">PAR-02172</t>
  </si>
  <si>
    <t xml:space="preserve">Rs=max(12,ceil((100−(Lw+Ls)/2)/(R6+L)))</t>
  </si>
  <si>
    <t xml:space="preserve">PAR-02173</t>
  </si>
  <si>
    <t xml:space="preserve">Rd=max(9,ceil((90−(Lw+Ls)/2)/(R6+L)))</t>
  </si>
  <si>
    <t xml:space="preserve">PAR-02174</t>
  </si>
  <si>
    <t xml:space="preserve">Pr=R20+5, базовый damage=R6; при названном итоговом «роле» ≥35 игнорировать броню и установить базовый урон 20</t>
  </si>
  <si>
    <t xml:space="preserve">PAR-02175</t>
  </si>
  <si>
    <t xml:space="preserve">PAR-02176</t>
  </si>
  <si>
    <t xml:space="preserve">PAR-02177</t>
  </si>
  <si>
    <t xml:space="preserve">PAR-02178</t>
  </si>
  <si>
    <t xml:space="preserve">PAR-02179</t>
  </si>
  <si>
    <t xml:space="preserve">Rs=max(14,ceil((100−(Lw+Ls)/2)/(R4+L)))</t>
  </si>
  <si>
    <t xml:space="preserve">PAR-02180</t>
  </si>
  <si>
    <t xml:space="preserve">Rd=max(9,ceil((80−(Lw+Ls)/2)/(R4+L)))</t>
  </si>
  <si>
    <t xml:space="preserve">PAR-02181</t>
  </si>
  <si>
    <t xml:space="preserve">Pr=R20+10, базовый damage=R20; при названном итоговом «роле» ≥37 броня игнорируется и базовый урон =20; метание дополнительно −10</t>
  </si>
  <si>
    <t xml:space="preserve">PAR-02182</t>
  </si>
  <si>
    <t xml:space="preserve">PAR-02183</t>
  </si>
  <si>
    <t xml:space="preserve">PAR-02184</t>
  </si>
  <si>
    <t xml:space="preserve">PAR-02185</t>
  </si>
  <si>
    <t xml:space="preserve">PAR-02186</t>
  </si>
  <si>
    <t xml:space="preserve">PAR-02187</t>
  </si>
  <si>
    <t xml:space="preserve">Rs=max(10,ceil((90−Lw)/(R6+L)))</t>
  </si>
  <si>
    <t xml:space="preserve">PAR-02188</t>
  </si>
  <si>
    <t xml:space="preserve">PAR-02189</t>
  </si>
  <si>
    <t xml:space="preserve">PAR-02190</t>
  </si>
  <si>
    <t xml:space="preserve">PAR-02191</t>
  </si>
  <si>
    <t xml:space="preserve">PAR-02192</t>
  </si>
  <si>
    <t xml:space="preserve">PAR-02193</t>
  </si>
  <si>
    <t xml:space="preserve">PAR-02194</t>
  </si>
  <si>
    <t xml:space="preserve">PAR-02195</t>
  </si>
  <si>
    <t xml:space="preserve">PAR-02196</t>
  </si>
  <si>
    <t xml:space="preserve">PAR-02197</t>
  </si>
  <si>
    <t xml:space="preserve">PAR-02198</t>
  </si>
  <si>
    <t xml:space="preserve">PAR-02199</t>
  </si>
  <si>
    <t xml:space="preserve">PAR-02200</t>
  </si>
  <si>
    <t xml:space="preserve">PAR-02201</t>
  </si>
  <si>
    <t xml:space="preserve">Rs=max(11,ceil((100−Lw)/(R4+L)))</t>
  </si>
  <si>
    <t xml:space="preserve">PAR-02202</t>
  </si>
  <si>
    <t xml:space="preserve">PAR-02203</t>
  </si>
  <si>
    <t xml:space="preserve">PAR-02204</t>
  </si>
  <si>
    <t xml:space="preserve">PAR-02205</t>
  </si>
  <si>
    <t xml:space="preserve">PAR-02206</t>
  </si>
  <si>
    <t xml:space="preserve">PAR-02207</t>
  </si>
  <si>
    <t xml:space="preserve">PAR-02208</t>
  </si>
  <si>
    <t xml:space="preserve">Rs=max(14,ceil((120−Lw)/(R4+L)))</t>
  </si>
  <si>
    <t xml:space="preserve">PAR-02209</t>
  </si>
  <si>
    <t xml:space="preserve">PAR-02210</t>
  </si>
  <si>
    <t xml:space="preserve">PAR-02211</t>
  </si>
  <si>
    <t xml:space="preserve">PAR-02212</t>
  </si>
  <si>
    <t xml:space="preserve">PAR-02213</t>
  </si>
  <si>
    <t xml:space="preserve">PAR-02214</t>
  </si>
  <si>
    <t xml:space="preserve">PAR-02215</t>
  </si>
  <si>
    <t xml:space="preserve">PAR-02216</t>
  </si>
  <si>
    <t xml:space="preserve">PAR-02217</t>
  </si>
  <si>
    <t xml:space="preserve">HP щита=200; можно метать любую часть.</t>
  </si>
  <si>
    <t xml:space="preserve">PAR-02218</t>
  </si>
  <si>
    <t xml:space="preserve">PAR-02219</t>
  </si>
  <si>
    <t xml:space="preserve">PAR-02220</t>
  </si>
  <si>
    <t xml:space="preserve">Щит: Pr=R12, базовый damage=R12, при итоговом роле ≥30 потрясение −1 к следующей серии; шпага: Pr=R20, базовый damage=R12; «после атаки щитом» атака шпагой получает +5 к точности, урону и пробитию; защита +5 к парированию, +3 к блоку</t>
  </si>
  <si>
    <t xml:space="preserve">PAR-02221</t>
  </si>
  <si>
    <t xml:space="preserve">PAR-02222</t>
  </si>
  <si>
    <t xml:space="preserve">PAR-02223</t>
  </si>
  <si>
    <t xml:space="preserve">PAR-02224</t>
  </si>
  <si>
    <t xml:space="preserve">PAR-02225</t>
  </si>
  <si>
    <t xml:space="preserve">[Q-CORE-012] После разрешения атаки щитом, независимо от попадания, следующая атака шпагой той же Бларадэ в этом же личном ходу получает +5 к меткости, пробитию и урону.</t>
  </si>
  <si>
    <t xml:space="preserve">PAR-02226</t>
  </si>
  <si>
    <t xml:space="preserve">После этой атаки бонус расходуется; в конце хода неиспользованный бонус сгорает.</t>
  </si>
  <si>
    <t xml:space="preserve">PAR-02227</t>
  </si>
  <si>
    <t xml:space="preserve">PAR-02228</t>
  </si>
  <si>
    <t xml:space="preserve">PAR-02229</t>
  </si>
  <si>
    <t xml:space="preserve">PAR-02230</t>
  </si>
  <si>
    <t xml:space="preserve">каждый слой закрытой зоны armor+=R12; шлем не закрывает лицо; одновременно голова+корпус дают «Твёрдую защиту шеи» (иммунитет к удушающему приёму); −1 к бегу и акробатике за элемент; если элементов &gt;2, M−=3 один раз.</t>
  </si>
  <si>
    <t xml:space="preserve">PAR-02231</t>
  </si>
  <si>
    <t xml:space="preserve">PAR-02232</t>
  </si>
  <si>
    <t xml:space="preserve">PAR-02233</t>
  </si>
  <si>
    <t xml:space="preserve">PAR-02234</t>
  </si>
  <si>
    <t xml:space="preserve">PAR-02235</t>
  </si>
  <si>
    <t xml:space="preserve">PAR-02236</t>
  </si>
  <si>
    <t xml:space="preserve">PAR-02237</t>
  </si>
  <si>
    <t xml:space="preserve">каждый слой зоны armor+=R12; при электрическом уроне уменьшить порцию на R12; −1 к бегу/акробатике за элемент; если элементов &gt;2, M−=3 один раз.</t>
  </si>
  <si>
    <t xml:space="preserve">PAR-02238</t>
  </si>
  <si>
    <t xml:space="preserve">PAR-02239</t>
  </si>
  <si>
    <t xml:space="preserve">PAR-02240</t>
  </si>
  <si>
    <t xml:space="preserve">PAR-02241</t>
  </si>
  <si>
    <t xml:space="preserve">PAR-02242</t>
  </si>
  <si>
    <t xml:space="preserve">PAR-02243</t>
  </si>
  <si>
    <t xml:space="preserve">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t>
  </si>
  <si>
    <t xml:space="preserve">PAR-02244</t>
  </si>
  <si>
    <t xml:space="preserve">PAR-02245</t>
  </si>
  <si>
    <t xml:space="preserve">PAR-02246</t>
  </si>
  <si>
    <t xml:space="preserve">PAR-02247</t>
  </si>
  <si>
    <t xml:space="preserve">PAR-02248</t>
  </si>
  <si>
    <t xml:space="preserve">PAR-02249</t>
  </si>
  <si>
    <t xml:space="preserve">PAR-02250</t>
  </si>
  <si>
    <t xml:space="preserve">PAR-02251</t>
  </si>
  <si>
    <t xml:space="preserve">PAR-02252</t>
  </si>
  <si>
    <t xml:space="preserve">[Q-CORE-016]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t>
  </si>
  <si>
    <t xml:space="preserve">PAR-02253</t>
  </si>
  <si>
    <t xml:space="preserve">[Q-CORE-060] Применение к себе либо введение соседней согласной или беспомощной цели требует 1 боевого действия и 1 дозы и автоматически успешно.</t>
  </si>
  <si>
    <t xml:space="preserve">PAR-02254</t>
  </si>
  <si>
    <t xml:space="preserve">Передача соседней согласной цели требует 1 действия и перемещает дозу в её инвентарь без активации.</t>
  </si>
  <si>
    <t xml:space="preserve">PAR-02255</t>
  </si>
  <si>
    <t xml:space="preserve">PAR-02256</t>
  </si>
  <si>
    <t xml:space="preserve">PAR-02257</t>
  </si>
  <si>
    <t xml:space="preserve">PAR-02258</t>
  </si>
  <si>
    <t xml:space="preserve">PAR-02259</t>
  </si>
  <si>
    <t xml:space="preserve">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</si>
  <si>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PAR-02260</t>
  </si>
  <si>
    <t xml:space="preserve">PAR-02261</t>
  </si>
  <si>
    <t xml:space="preserve">PAR-02262</t>
  </si>
  <si>
    <t xml:space="preserve">Для дееспособного персонажа другого игрока согласие запрашивается до объявления и списания; отказ ничего не расходует.</t>
  </si>
  <si>
    <t xml:space="preserve">PAR-02263</t>
  </si>
  <si>
    <t xml:space="preserve">PAR-02264</t>
  </si>
  <si>
    <t xml:space="preserve">PAR-02265</t>
  </si>
  <si>
    <t xml:space="preserve">PAR-02266</t>
  </si>
  <si>
    <t xml:space="preserve">PAR-02267</t>
  </si>
  <si>
    <t xml:space="preserve">PAR-02268</t>
  </si>
  <si>
    <t xml:space="preserve">PAR-02269</t>
  </si>
  <si>
    <t xml:space="preserve">В бою обработка своей раны или раны соседней согласной цели требует одного боевого действия; принудительное применение разрешается по процедуре Q-CORE-060.</t>
  </si>
  <si>
    <t xml:space="preserve">PAR-02270</t>
  </si>
  <si>
    <t xml:space="preserve">расход действия вне боя/длительность обработки не заданы.</t>
  </si>
  <si>
    <t xml:space="preserve">PAR-02271</t>
  </si>
  <si>
    <t xml:space="preserve">PAR-02272</t>
  </si>
  <si>
    <t xml:space="preserve">PAR-02273</t>
  </si>
  <si>
    <t xml:space="preserve">PAR-02274</t>
  </si>
  <si>
    <t xml:space="preserve">PAR-02275</t>
  </si>
  <si>
    <t xml:space="preserve">вычислить sleepAttack=(R20+5)×K; если он строго превышает R20+Z+модификаторы цели, цель спит 1 час; получение любого урона немедленно будит</t>
  </si>
  <si>
    <t xml:space="preserve">PAR-02276</t>
  </si>
  <si>
    <t xml:space="preserve">PAR-02277</t>
  </si>
  <si>
    <t xml:space="preserve">PAR-02278</t>
  </si>
  <si>
    <t xml:space="preserve">PAR-02279</t>
  </si>
  <si>
    <t xml:space="preserve">PAR-02280</t>
  </si>
  <si>
    <t xml:space="preserve">PAR-02281</t>
  </si>
  <si>
    <t xml:space="preserve">PAR-02282</t>
  </si>
  <si>
    <t xml:space="preserve">PAR-02283</t>
  </si>
  <si>
    <t xml:space="preserve">PAR-02284</t>
  </si>
  <si>
    <t xml:space="preserve">PAR-02285</t>
  </si>
  <si>
    <t xml:space="preserve">PAR-02286</t>
  </si>
  <si>
    <t xml:space="preserve">PAR-02287</t>
  </si>
  <si>
    <t xml:space="preserve">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t>
  </si>
  <si>
    <t xml:space="preserve">PAR-02288</t>
  </si>
  <si>
    <t xml:space="preserve">PAR-02289</t>
  </si>
  <si>
    <t xml:space="preserve">K и бой — Q-CORE-016; ментальные действия CORE-103.</t>
  </si>
  <si>
    <t xml:space="preserve">PAR-02290</t>
  </si>
  <si>
    <t xml:space="preserve">PAR-02291</t>
  </si>
  <si>
    <t xml:space="preserve">PAR-02292</t>
  </si>
  <si>
    <t xml:space="preserve">PAR-02293</t>
  </si>
  <si>
    <t xml:space="preserve">PAR-02294</t>
  </si>
  <si>
    <t xml:space="preserve">PAR-02295</t>
  </si>
  <si>
    <t xml:space="preserve">PAR-02296</t>
  </si>
  <si>
    <t xml:space="preserve">PAR-02297</t>
  </si>
  <si>
    <t xml:space="preserve">PAR-02298</t>
  </si>
  <si>
    <t xml:space="preserve">PAR-02299</t>
  </si>
  <si>
    <t xml:space="preserve">PAR-02300</t>
  </si>
  <si>
    <t xml:space="preserve">PAR-02301</t>
  </si>
  <si>
    <t xml:space="preserve">[Q-CORE-018] Одна доза кровоостанавливающего отвара прекращает все имеющиеся у персонажа в данный момент кровотечения.</t>
  </si>
  <si>
    <t xml:space="preserve">PAR-02302</t>
  </si>
  <si>
    <t xml:space="preserve">множественные источники и охват одной дозы не указаны.</t>
  </si>
  <si>
    <t xml:space="preserve">PAR-02303</t>
  </si>
  <si>
    <t xml:space="preserve">PAR-02304</t>
  </si>
  <si>
    <t xml:space="preserve">PAR-02305</t>
  </si>
  <si>
    <t xml:space="preserve">PAR-02306</t>
  </si>
  <si>
    <t xml:space="preserve">PAR-02307</t>
  </si>
  <si>
    <t xml:space="preserve">[Q-CORE-019] При применении одной дозы игрок выбирает одного симбионта носителя; только его текущий запас ОЭ увеличивается на 50, но не выше его максимума.</t>
  </si>
  <si>
    <t xml:space="preserve">PAR-02308</t>
  </si>
  <si>
    <t xml:space="preserve">PAR-02309</t>
  </si>
  <si>
    <t xml:space="preserve">PAR-02310</t>
  </si>
  <si>
    <t xml:space="preserve">PAR-02311</t>
  </si>
  <si>
    <t xml:space="preserve">PAR-02312</t>
  </si>
  <si>
    <t xml:space="preserve">PAR-02313</t>
  </si>
  <si>
    <t xml:space="preserve">PAR-02314</t>
  </si>
  <si>
    <t xml:space="preserve">на max(1,round_math(R20/3)) личных ходов +3 к проверкам точности и полная безэмоциональность; повтор обновляет.</t>
  </si>
  <si>
    <t xml:space="preserve">PAR-02315</t>
  </si>
  <si>
    <t xml:space="preserve">PAR-02316</t>
  </si>
  <si>
    <t xml:space="preserve">PAR-02317</t>
  </si>
  <si>
    <t xml:space="preserve">PAR-02318</t>
  </si>
  <si>
    <t xml:space="preserve">PAR-02319</t>
  </si>
  <si>
    <t xml:space="preserve">следующее действие получает +6 к ролу на S; до конца текущего боя персонаж сохраняет дееспособность при тяжёлом ранении.</t>
  </si>
  <si>
    <t xml:space="preserve">PAR-02320</t>
  </si>
  <si>
    <t xml:space="preserve">[Q-CORE-021] Бонус +6 применяется к первой следующей проверке, модификатором которой является S; действие без проверки S его не расходует.</t>
  </si>
  <si>
    <t xml:space="preserve">PAR-02321</t>
  </si>
  <si>
    <t xml:space="preserve">потребление/срок «следующего действия» требует Q-CORE-021; новый урон всё равно добивает тяжело раненного по CORE-155.</t>
  </si>
  <si>
    <t xml:space="preserve">PAR-02322</t>
  </si>
  <si>
    <t xml:space="preserve">PAR-02323</t>
  </si>
  <si>
    <t xml:space="preserve">PAR-02324</t>
  </si>
  <si>
    <t xml:space="preserve">PAR-02325</t>
  </si>
  <si>
    <t xml:space="preserve">PAR-02326</t>
  </si>
  <si>
    <t xml:space="preserve">PAR-02327</t>
  </si>
  <si>
    <t xml:space="preserve">[Q-CORE-022]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t>
  </si>
  <si>
    <t xml:space="preserve">PAR-02328</t>
  </si>
  <si>
    <t xml:space="preserve">PAR-02329</t>
  </si>
  <si>
    <t xml:space="preserve">PAR-02330</t>
  </si>
  <si>
    <t xml:space="preserve">до конца боя +5 ко всем проверкам сопротивления эффектам контроля; повтор не складывает.</t>
  </si>
  <si>
    <t xml:space="preserve">PAR-02331</t>
  </si>
  <si>
    <t xml:space="preserve">PAR-02332</t>
  </si>
  <si>
    <t xml:space="preserve">PAR-02333</t>
  </si>
  <si>
    <t xml:space="preserve">PAR-02334</t>
  </si>
  <si>
    <t xml:space="preserve">[Q-CORE-023] Одноимённые эффекты не суммируются независимо от источника: действует наибольшее числовое значение, а сроки каждого источника отсчитываются отдельно.</t>
  </si>
  <si>
    <t xml:space="preserve">PAR-02335</t>
  </si>
  <si>
    <t xml:space="preserve">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</si>
  <si>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PAR-02336</t>
  </si>
  <si>
    <t xml:space="preserve">PAR-02337</t>
  </si>
  <si>
    <t xml:space="preserve">startSlots=ceil(W/2); отдельный trainingSlots=floor(W/2); повышение W после выбора навыков не добавляет стартовых слотов — новые считаются учебными; снижение W не удаляет уже полученные навыки.</t>
  </si>
  <si>
    <t xml:space="preserve">PAR-02338</t>
  </si>
  <si>
    <t xml:space="preserve">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</si>
  <si>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PAR-02339</t>
  </si>
  <si>
    <t xml:space="preserve">PAR-02340</t>
  </si>
  <si>
    <t xml:space="preserve">PAR-02341</t>
  </si>
  <si>
    <t xml:space="preserve">PAR-02342</t>
  </si>
  <si>
    <t xml:space="preserve">если характеристика одна — адресовать ей отметки; если несколько — равновероятно выбрать одну из действительно прибавленных; counter+=grade; за каждые 10 отметок characteristic+=1, остаток сохранить.</t>
  </si>
  <si>
    <t xml:space="preserve">PAR-02343</t>
  </si>
  <si>
    <t xml:space="preserve">grade (Crit=1, Double=2, Triple=3, Ultra=4, Rampage=5), список участвовавших характеристик.</t>
  </si>
  <si>
    <t xml:space="preserve">PAR-02344</t>
  </si>
  <si>
    <t xml:space="preserve">PAR-02345</t>
  </si>
  <si>
    <t xml:space="preserve">Общий крит-счётчик характеристик не создаётся; отдельный symbiontXpProgressPoints v1.6 разрешён и не связан с ростом характеристик.</t>
  </si>
  <si>
    <t xml:space="preserve">PAR-02346</t>
  </si>
  <si>
    <t xml:space="preserve">PAR-02347</t>
  </si>
  <si>
    <t xml:space="preserve">PAR-02348</t>
  </si>
  <si>
    <t xml:space="preserve">для учёта сцена атакующей стороны имеет инициативу 21; каждый обнаруженный атакующий получает ровно 1 боевое действие; серии и небоевого действия нет; внутренний порядок атакующих определяется чистым R20, ничья перебрасывается; затем все бросают обычную инициативу; сцена не считается обычным кругом для длительностей/усталости.</t>
  </si>
  <si>
    <t xml:space="preserve">PAR-02349</t>
  </si>
  <si>
    <t xml:space="preserve">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</si>
  <si>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PAR-02350</t>
  </si>
  <si>
    <t xml:space="preserve">PAR-02351</t>
  </si>
  <si>
    <t xml:space="preserve">PAR-02352</t>
  </si>
  <si>
    <t xml:space="preserve">PAR-02353</t>
  </si>
  <si>
    <t xml:space="preserve">PAR-02354</t>
  </si>
  <si>
    <t xml:space="preserve">PAR-02355</t>
  </si>
  <si>
    <t xml:space="preserve">PAR-02356</t>
  </si>
  <si>
    <t xml:space="preserve">PAR-02357</t>
  </si>
  <si>
    <t xml:space="preserve">PAR-02358</t>
  </si>
  <si>
    <t xml:space="preserve">PAR-02359</t>
  </si>
  <si>
    <t xml:space="preserve">получить одну собственную сцену нападения/одно действие; немедленно бросить инициативу и вставить в очередь; если новая позиция текущего круга уже прошла, первый обычный ход — следующий круг.</t>
  </si>
  <si>
    <t xml:space="preserve">PAR-02360</t>
  </si>
  <si>
    <t xml:space="preserve">PAR-02361</t>
  </si>
  <si>
    <t xml:space="preserve">PAR-02362</t>
  </si>
  <si>
    <t xml:space="preserve">PAR-02363</t>
  </si>
  <si>
    <t xml:space="preserve">PAR-02364</t>
  </si>
  <si>
    <t xml:space="preserve">PAR-02365</t>
  </si>
  <si>
    <t xml:space="preserve">PAR-02366</t>
  </si>
  <si>
    <t xml:space="preserve">PAR-02367</t>
  </si>
  <si>
    <t xml:space="preserve">PAR-02368</t>
  </si>
  <si>
    <t xml:space="preserve">PAR-02369</t>
  </si>
  <si>
    <t xml:space="preserve">PAR-02370</t>
  </si>
  <si>
    <t xml:space="preserve">PAR-02371</t>
  </si>
  <si>
    <t xml:space="preserve">PAR-02372</t>
  </si>
  <si>
    <t xml:space="preserve">PAR-02373</t>
  </si>
  <si>
    <t xml:space="preserve">Нулевая дистанция всё равно расходует действие.</t>
  </si>
  <si>
    <t xml:space="preserve">PAR-02374</t>
  </si>
  <si>
    <t xml:space="preserve">PAR-02375</t>
  </si>
  <si>
    <t xml:space="preserve">distance=max(0,R20+D−10×En) м, где En — число разных противников на дистанции рукопашной атаки в начале; сложная местность, плавание, карабканье или ползком делят итог на 2; вертикаль входит в путь.</t>
  </si>
  <si>
    <t xml:space="preserve">PAR-02376</t>
  </si>
  <si>
    <t xml:space="preserve">PAR-02377</t>
  </si>
  <si>
    <t xml:space="preserve">PAR-02378</t>
  </si>
  <si>
    <t xml:space="preserve">PAR-02379</t>
  </si>
  <si>
    <t xml:space="preserve">PAR-02380</t>
  </si>
  <si>
    <t xml:space="preserve">Для обычного эффекта 1 ход равен 1 минуте; для тяжёлого ранения 1 ход равен 5 минутам.</t>
  </si>
  <si>
    <t xml:space="preserve">PAR-02381</t>
  </si>
  <si>
    <t xml:space="preserve">PAR-02382</t>
  </si>
  <si>
    <t xml:space="preserve">Порции урона остаются отдельными для сопротивлений и триггеров, но изменение HP применяется до единой проверки состояния.</t>
  </si>
  <si>
    <t xml:space="preserve">PAR-02383</t>
  </si>
  <si>
    <t xml:space="preserve">PAR-02384</t>
  </si>
  <si>
    <t xml:space="preserve">PAR-02385</t>
  </si>
  <si>
    <t xml:space="preserve">PAR-02386</t>
  </si>
  <si>
    <t xml:space="preserve">PAR-02387</t>
  </si>
  <si>
    <t xml:space="preserve">PAR-02388</t>
  </si>
  <si>
    <t xml:space="preserve">PAR-02389</t>
  </si>
  <si>
    <t xml:space="preserve">PAR-02390</t>
  </si>
  <si>
    <t xml:space="preserve">Остаток хранится в точном базовом значении без округления, а округление вверх используется только для отображения числа предстоящих ходов.</t>
  </si>
  <si>
    <t xml:space="preserve">PAR-02391</t>
  </si>
  <si>
    <t xml:space="preserve">PAR-02392</t>
  </si>
  <si>
    <t xml:space="preserve">PAR-02393</t>
  </si>
  <si>
    <t xml:space="preserve">если первый R20&lt;2, создать шрам на атакованной части; второй R20: чем ниже, тем виднее; при втором 19–20 игрок сам выбирает локализацию и шрам даёт контекстное C+1; иначе видимый шрам даёт контекстное C−2 при общении с НПС.</t>
  </si>
  <si>
    <t xml:space="preserve">PAR-02394</t>
  </si>
  <si>
    <t xml:space="preserve">PAR-02395</t>
  </si>
  <si>
    <t xml:space="preserve">PAR-02396</t>
  </si>
  <si>
    <t xml:space="preserve">PAR-02397</t>
  </si>
  <si>
    <t xml:space="preserve">PAR-02398</t>
  </si>
  <si>
    <t xml:space="preserve">PAR-02399</t>
  </si>
  <si>
    <t xml:space="preserve">пища: порция R4, частота R12 раз в сутки, срок R20×2−Z часов; если срок ≤0, эффект не возникает.</t>
  </si>
  <si>
    <t xml:space="preserve">PAR-02400</t>
  </si>
  <si>
    <t xml:space="preserve">PAR-02401</t>
  </si>
  <si>
    <t xml:space="preserve">PAR-02402</t>
  </si>
  <si>
    <t xml:space="preserve">PAR-02403</t>
  </si>
  <si>
    <t xml:space="preserve">PAR-02404</t>
  </si>
  <si>
    <t xml:space="preserve">распределение R12 тиков внутри суток не задано.</t>
  </si>
  <si>
    <t xml:space="preserve">PAR-02405</t>
  </si>
  <si>
    <t xml:space="preserve">PAR-02406</t>
  </si>
  <si>
    <t xml:space="preserve">PAR-02407</t>
  </si>
  <si>
    <t xml:space="preserve">PAR-02408</t>
  </si>
  <si>
    <t xml:space="preserve">PAR-02409</t>
  </si>
  <si>
    <t xml:space="preserve">PAR-02410</t>
  </si>
  <si>
    <t xml:space="preserve">PAR-02411</t>
  </si>
  <si>
    <t xml:space="preserve">PAR-02412</t>
  </si>
  <si>
    <t xml:space="preserve">PAR-02413</t>
  </si>
  <si>
    <t xml:space="preserve">PAR-02414</t>
  </si>
  <si>
    <t xml:space="preserve">Если фактически полученная порция &gt;30, чистый R20: при &lt;4 создать ожог в зоне; второй R20 определяет видимость качественно; видимый ожог имеет C−5 при общении с НПС.</t>
  </si>
  <si>
    <t xml:space="preserve">PAR-02415</t>
  </si>
  <si>
    <t xml:space="preserve">PAR-02416</t>
  </si>
  <si>
    <t xml:space="preserve">PAR-02417</t>
  </si>
  <si>
    <t xml:space="preserve">PAR-02418</t>
  </si>
  <si>
    <t xml:space="preserve">огонь игнорирует броню, не травмирует; наносит 10 урона раз в минуту/в конце каждого боевого хода цели; длительность увеличивается на 2 минуты/хода за каждую закрытую часть тела и ещё 2 за рюкзак; предмет, не потушенный 2 минуты/хода, негоден, включая содержимое рюкзака, кроме предметов без горючих элементов.</t>
  </si>
  <si>
    <t xml:space="preserve">PAR-02419</t>
  </si>
  <si>
    <t xml:space="preserve">Досрочное тушение обычными действиями отдельно не рассчитывается: после его разрешения по сцене мастер снимает статус вручную.</t>
  </si>
  <si>
    <t xml:space="preserve">PAR-02420</t>
  </si>
  <si>
    <t xml:space="preserve">PAR-02421</t>
  </si>
  <si>
    <t xml:space="preserve">PAR-02422</t>
  </si>
  <si>
    <t xml:space="preserve">PAR-02423</t>
  </si>
  <si>
    <t xml:space="preserve">PAR-02424</t>
  </si>
  <si>
    <t xml:space="preserve">PAR-02425</t>
  </si>
  <si>
    <t xml:space="preserve">PAR-02426</t>
  </si>
  <si>
    <t xml:space="preserve">PAR-02427</t>
  </si>
  <si>
    <t xml:space="preserve">PAR-02428</t>
  </si>
  <si>
    <t xml:space="preserve">[Q-CORE-030] Горение хранится как один двоичный статус персонажа без зон тела и предметов экипировки, с параметрами «оставшиеся ходы» и «урон за тик».</t>
  </si>
  <si>
    <t xml:space="preserve">PAR-02429</t>
  </si>
  <si>
    <t xml:space="preserve">Источник задаёт начальную длительность; если она не указана, применяется 2 хода.</t>
  </si>
  <si>
    <t xml:space="preserve">PAR-02430</t>
  </si>
  <si>
    <t xml:space="preserve">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t>
  </si>
  <si>
    <t xml:space="preserve">PAR-02431</t>
  </si>
  <si>
    <t xml:space="preserve">PAR-02432</t>
  </si>
  <si>
    <t xml:space="preserve">если персонаж строго превышает мастера — свобода действий; иначе все доступные действия тратятся на избавление от горящих частей/тушение при воде или горящей плоти; сложность отдельных действий назначает мастер.</t>
  </si>
  <si>
    <t xml:space="preserve">PAR-02433</t>
  </si>
  <si>
    <t xml:space="preserve">При успехе действия используются обычно.</t>
  </si>
  <si>
    <t xml:space="preserve">PAR-02434</t>
  </si>
  <si>
    <t xml:space="preserve">При провале персонаж бросает обычную серию действий и автоматически тратит каждое полученное действие на уменьшение remainingTurns горения на 1.</t>
  </si>
  <si>
    <t xml:space="preserve">PAR-02435</t>
  </si>
  <si>
    <t xml:space="preserve">Если remainingTurns достигает нуля раньше исчерпания серии, горение снимается, а оставшиеся действия этого хода доступны обычно.</t>
  </si>
  <si>
    <t xml:space="preserve">PAR-02436</t>
  </si>
  <si>
    <t xml:space="preserve">PAR-02437</t>
  </si>
  <si>
    <t xml:space="preserve">PAR-02438</t>
  </si>
  <si>
    <t xml:space="preserve">PAR-02439</t>
  </si>
  <si>
    <t xml:space="preserve">[Q-CORE-031] В начале каждого личного хода горящего персонажа выполняется проверка самообладания.</t>
  </si>
  <si>
    <t xml:space="preserve">PAR-02440</t>
  </si>
  <si>
    <t xml:space="preserve">PAR-02441</t>
  </si>
  <si>
    <t xml:space="preserve">Полный автоматический пропуск хода не применяется.</t>
  </si>
  <si>
    <t xml:space="preserve">PAR-02442</t>
  </si>
  <si>
    <t xml:space="preserve">PAR-02443</t>
  </si>
  <si>
    <t xml:space="preserve">PAR-02444</t>
  </si>
  <si>
    <t xml:space="preserve">чистый R20</t>
  </si>
  <si>
    <t xml:space="preserve">PAR-02445</t>
  </si>
  <si>
    <t xml:space="preserve">D6 зоны, если зон несколько; второй R20 локализации.</t>
  </si>
  <si>
    <t xml:space="preserve">PAR-02446</t>
  </si>
  <si>
    <t xml:space="preserve">на каждом пороге 30 бросить R20; при &lt;5 создать ожог; при нескольких зонах случайно D6 выбрать одну; второй R20 задаёт качественную видимость; видимый ожог C−5 при общении с НПС.</t>
  </si>
  <si>
    <t xml:space="preserve">PAR-02447</t>
  </si>
  <si>
    <t xml:space="preserve">D6-карта для произвольного множества/не-гуманоида и точная локализация не заданы.</t>
  </si>
  <si>
    <t xml:space="preserve">PAR-02448</t>
  </si>
  <si>
    <t xml:space="preserve">PAR-02449</t>
  </si>
  <si>
    <t xml:space="preserve">PAR-02450</t>
  </si>
  <si>
    <t xml:space="preserve">PAR-02451</t>
  </si>
  <si>
    <t xml:space="preserve">injury=max(0,round_math(R12−Z/3)); нога — штраф injury к перемещению/уклонению (штрафы двух ног суммируются); рука — штраф injury к атаке/защите при использовании этой руки.</t>
  </si>
  <si>
    <t xml:space="preserve">PAR-02452</t>
  </si>
  <si>
    <t xml:space="preserve">PAR-02453</t>
  </si>
  <si>
    <t xml:space="preserve">PAR-02454</t>
  </si>
  <si>
    <t xml:space="preserve">PAR-02455</t>
  </si>
  <si>
    <t xml:space="preserve">наложить прямой −injury на следующее действие цели; если injury&gt;6 — оглушить: пропуск следующего хода в бою / отключение на 5 минут вне боя.</t>
  </si>
  <si>
    <t xml:space="preserve">PAR-02456</t>
  </si>
  <si>
    <t xml:space="preserve">[Q-CORE-034] 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t>
  </si>
  <si>
    <t xml:space="preserve">PAR-02457</t>
  </si>
  <si>
    <t xml:space="preserve">Действие без проверочного броска штраф не расходует.</t>
  </si>
  <si>
    <t xml:space="preserve">PAR-02458</t>
  </si>
  <si>
    <t xml:space="preserve">что считается «следующим действием» при реакции до своего хода — Q-CORE-034.</t>
  </si>
  <si>
    <t xml:space="preserve">PAR-02459</t>
  </si>
  <si>
    <t xml:space="preserve">PAR-02460</t>
  </si>
  <si>
    <t xml:space="preserve">PAR-02461</t>
  </si>
  <si>
    <t xml:space="preserve">PAR-02462</t>
  </si>
  <si>
    <t xml:space="preserve">PAR-02463</t>
  </si>
  <si>
    <t xml:space="preserve">PAR-02464</t>
  </si>
  <si>
    <t xml:space="preserve">PAR-02465</t>
  </si>
  <si>
    <t xml:space="preserve">PAR-02466</t>
  </si>
  <si>
    <t xml:space="preserve">PAR-02467</t>
  </si>
  <si>
    <t xml:space="preserve">PAR-02468</t>
  </si>
  <si>
    <t xml:space="preserve">PAR-02469</t>
  </si>
  <si>
    <t xml:space="preserve">перемещающая конечность: штраф к перемещению round_math(Li/Ht); при Ht=0 движение этими конечностями невозможно и деления нет.</t>
  </si>
  <si>
    <t xml:space="preserve">PAR-02470</t>
  </si>
  <si>
    <t xml:space="preserve">Атакующая: штраф атак этой конечностью max(0,round_math(R12−Z/3)).</t>
  </si>
  <si>
    <t xml:space="preserve">PAR-02471</t>
  </si>
  <si>
    <t xml:space="preserve">После изменения числа нетравмированных перемещающих конечностей Ht он пересчитывается; при Ht=0 такое перемещение невозможно.</t>
  </si>
  <si>
    <t xml:space="preserve">PAR-02472</t>
  </si>
  <si>
    <t xml:space="preserve">PAR-02473</t>
  </si>
  <si>
    <t xml:space="preserve">PAR-02474</t>
  </si>
  <si>
    <t xml:space="preserve">PAR-02475</t>
  </si>
  <si>
    <t xml:space="preserve">PAR-02476</t>
  </si>
  <si>
    <t xml:space="preserve">PAR-02477</t>
  </si>
  <si>
    <t xml:space="preserve">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используется max(0, R20+D−En×10), а режим «бежать несмотря ни на что» не включается.</t>
  </si>
  <si>
    <t xml:space="preserve">PAR-02478</t>
  </si>
  <si>
    <t xml:space="preserve">PAR-02479</t>
  </si>
  <si>
    <t xml:space="preserve">PAR-02480</t>
  </si>
  <si>
    <t xml:space="preserve">PAR-02481</t>
  </si>
  <si>
    <t xml:space="preserve">PAR-02482</t>
  </si>
  <si>
    <t xml:space="preserve">PAR-02483</t>
  </si>
  <si>
    <t xml:space="preserve">PAR-02484</t>
  </si>
  <si>
    <t xml:space="preserve">PAR-02485</t>
  </si>
  <si>
    <t xml:space="preserve">[Q-CORE-037] Флаг «бегство» устанавливается добровольно в начале личного хода либо принудительно эффектом правила.</t>
  </si>
  <si>
    <t xml:space="preserve">PAR-02486</t>
  </si>
  <si>
    <t xml:space="preserve">PAR-02487</t>
  </si>
  <si>
    <t xml:space="preserve">PAR-02488</t>
  </si>
  <si>
    <t xml:space="preserve">PAR-02489</t>
  </si>
  <si>
    <t xml:space="preserve">PAR-02490</t>
  </si>
  <si>
    <t xml:space="preserve">PAR-02491</t>
  </si>
  <si>
    <t xml:space="preserve">PAR-02492</t>
  </si>
  <si>
    <t xml:space="preserve">PAR-02493</t>
  </si>
  <si>
    <t xml:space="preserve">range=max(0,round_math(R12+L+S/4+applicablePenalties)); если оружие не долетает, действие/оружие всё равно разрешаются по траектории и отмены нет; если живой объект достижим — случайно определить зону.</t>
  </si>
  <si>
    <t xml:space="preserve">PAR-02494</t>
  </si>
  <si>
    <t xml:space="preserve">Соседний персонаж может подобрать объект за 1 действие.</t>
  </si>
  <si>
    <t xml:space="preserve">PAR-02495</t>
  </si>
  <si>
    <t xml:space="preserve">R12, бонус «Метания» L, S, фактическая дистанция</t>
  </si>
  <si>
    <t xml:space="preserve">PAR-02496</t>
  </si>
  <si>
    <t xml:space="preserve">D6/D4 зоны.</t>
  </si>
  <si>
    <t xml:space="preserve">PAR-02497</t>
  </si>
  <si>
    <t xml:space="preserve">PAR-02498</t>
  </si>
  <si>
    <t xml:space="preserve">При недолёте он оказывается на максимальной рассчитанной дальности по направлению к цели; при промахе отклоняется от цели на R6 метров в направлении D12 по циферблату с ограничением дальностью броска.</t>
  </si>
  <si>
    <t xml:space="preserve">PAR-02499</t>
  </si>
  <si>
    <t xml:space="preserve">PAR-02500</t>
  </si>
  <si>
    <t xml:space="preserve">PAR-02501</t>
  </si>
  <si>
    <t xml:space="preserve">PAR-02502</t>
  </si>
  <si>
    <t xml:space="preserve">PAR-02503</t>
  </si>
  <si>
    <t xml:space="preserve">PAR-02504</t>
  </si>
  <si>
    <t xml:space="preserve">PAR-02505</t>
  </si>
  <si>
    <t xml:space="preserve">PAR-02506</t>
  </si>
  <si>
    <t xml:space="preserve">PAR-02507</t>
  </si>
  <si>
    <t xml:space="preserve">PAR-02508</t>
  </si>
  <si>
    <t xml:space="preserve">PAR-02509</t>
  </si>
  <si>
    <t xml:space="preserve">бросить как CORE-130/131; при ударе цели о первое препятствие именно брошенный персонаж получает damage=R12+S+Mkg.</t>
  </si>
  <si>
    <t xml:space="preserve">PAR-02510</t>
  </si>
  <si>
    <t xml:space="preserve">PAR-02511</t>
  </si>
  <si>
    <t xml:space="preserve">PAR-02512</t>
  </si>
  <si>
    <t xml:space="preserve">PAR-02513</t>
  </si>
  <si>
    <t xml:space="preserve">PAR-02514</t>
  </si>
  <si>
    <t xml:space="preserve">PAR-02515</t>
  </si>
  <si>
    <t xml:space="preserve">PAR-02516</t>
  </si>
  <si>
    <t xml:space="preserve">PAR-02517</t>
  </si>
  <si>
    <t xml:space="preserve">цель не может уклоняться; −5 ко всем её атакующим/защитным действиям кроме способностей симбионтов; борец получает −8 на противодействие всем, кроме захваченного.</t>
  </si>
  <si>
    <t xml:space="preserve">PAR-02518</t>
  </si>
  <si>
    <t xml:space="preserve">PAR-02519</t>
  </si>
  <si>
    <t xml:space="preserve">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t>
  </si>
  <si>
    <t xml:space="preserve">PAR-02520</t>
  </si>
  <si>
    <t xml:space="preserve">PAR-02521</t>
  </si>
  <si>
    <t xml:space="preserve">PAR-02522</t>
  </si>
  <si>
    <t xml:space="preserve">PAR-02523</t>
  </si>
  <si>
    <t xml:space="preserve">PAR-02524</t>
  </si>
  <si>
    <t xml:space="preserve">при успехе цель получает 10 урона борьбы; затем чистый D20, при &lt;3 без сознания на 5 минут/1 личный боевой ход.</t>
  </si>
  <si>
    <t xml:space="preserve">PAR-02525</t>
  </si>
  <si>
    <t xml:space="preserve">Чтобы встать, цели требуется обычное одно боевое действие.</t>
  </si>
  <si>
    <t xml:space="preserve">PAR-02526</t>
  </si>
  <si>
    <t xml:space="preserve">PAR-02527</t>
  </si>
  <si>
    <t xml:space="preserve">PAR-02528</t>
  </si>
  <si>
    <t xml:space="preserve">PAR-02529</t>
  </si>
  <si>
    <t xml:space="preserve">PAR-02530</t>
  </si>
  <si>
    <t xml:space="preserve">PAR-02531</t>
  </si>
  <si>
    <t xml:space="preserve">PAR-02532</t>
  </si>
  <si>
    <t xml:space="preserve">PAR-02533</t>
  </si>
  <si>
    <t xml:space="preserve">PAR-02534</t>
  </si>
  <si>
    <t xml:space="preserve">создать одноразовый +5 к следующему действию/проверке борьбы.</t>
  </si>
  <si>
    <t xml:space="preserve">PAR-02535</t>
  </si>
  <si>
    <t xml:space="preserve">PAR-02536</t>
  </si>
  <si>
    <t xml:space="preserve">срок, потребление при провале и необходимость захвата не указаны.</t>
  </si>
  <si>
    <t xml:space="preserve">PAR-02537</t>
  </si>
  <si>
    <t xml:space="preserve">PAR-02538</t>
  </si>
  <si>
    <t xml:space="preserve">нанести 10 урона борьбы; если Mcheck цели строго превышает результат приёма — свобода действий; иначе цель до снятия может делать только защитные действия борьбы для устранения источника боли.</t>
  </si>
  <si>
    <t xml:space="preserve">PAR-02539</t>
  </si>
  <si>
    <t xml:space="preserve">Одна попытка освобождения стоит 1 боевое действие и является встречной борьбой; равенство сохраняет приём.</t>
  </si>
  <si>
    <t xml:space="preserve">PAR-02540</t>
  </si>
  <si>
    <t xml:space="preserve">PAR-02541</t>
  </si>
  <si>
    <t xml:space="preserve">PAR-02542</t>
  </si>
  <si>
    <t xml:space="preserve">PAR-02543</t>
  </si>
  <si>
    <t xml:space="preserve">PAR-02544</t>
  </si>
  <si>
    <t xml:space="preserve">[Q-CORE-046] Удушающий приём выполняется только по цепочке: действующий захват этой цели → успешное занятие выгодной позиции → отдельное действие удушения.</t>
  </si>
  <si>
    <t xml:space="preserve">PAR-02545</t>
  </si>
  <si>
    <t xml:space="preserve">PAR-02546</t>
  </si>
  <si>
    <t xml:space="preserve">PAR-02547</t>
  </si>
  <si>
    <t xml:space="preserve">PAR-02548</t>
  </si>
  <si>
    <t xml:space="preserve">PAR-02549</t>
  </si>
  <si>
    <t xml:space="preserve">PAR-02550</t>
  </si>
  <si>
    <t xml:space="preserve">PAR-02551</t>
  </si>
  <si>
    <t xml:space="preserve">PAR-02552</t>
  </si>
  <si>
    <t xml:space="preserve">PAR-02553</t>
  </si>
  <si>
    <t xml:space="preserve">PAR-02554</t>
  </si>
  <si>
    <t xml:space="preserve">PAR-02555</t>
  </si>
  <si>
    <t xml:space="preserve">PAR-02556</t>
  </si>
  <si>
    <t xml:space="preserve">PAR-02557</t>
  </si>
  <si>
    <t xml:space="preserve">PAR-02558</t>
  </si>
  <si>
    <t xml:space="preserve">PAR-02559</t>
  </si>
  <si>
    <t xml:space="preserve">PAR-02560</t>
  </si>
  <si>
    <t xml:space="preserve">PAR-02561</t>
  </si>
  <si>
    <t xml:space="preserve">clamp HP=0, избыточный урон не хранить; немедленно войти в тяжёлое ранение и считать один жизненно важный орган повреждённым; по умолчанию запретить действия, реакции, активные защиты.</t>
  </si>
  <si>
    <t xml:space="preserve">PAR-02562</t>
  </si>
  <si>
    <t xml:space="preserve">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</si>
  <si>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PAR-02563</t>
  </si>
  <si>
    <t xml:space="preserve">PAR-02564</t>
  </si>
  <si>
    <t xml:space="preserve">PAR-02565</t>
  </si>
  <si>
    <t xml:space="preserve">PAR-02566</t>
  </si>
  <si>
    <t xml:space="preserve">PAR-02567</t>
  </si>
  <si>
    <t xml:space="preserve">PAR-02568</t>
  </si>
  <si>
    <t xml:space="preserve">PAR-02569</t>
  </si>
  <si>
    <t xml:space="preserve">PAR-02570</t>
  </si>
  <si>
    <t xml:space="preserve">PAR-02571</t>
  </si>
  <si>
    <t xml:space="preserve">PAR-02572</t>
  </si>
  <si>
    <t xml:space="preserve">PAR-02573</t>
  </si>
  <si>
    <t xml:space="preserve">в бою remainingTurns=D6, в конце каждого последующего собственного хода −1, при 0 смерть; вне боя отдельный D6×5 минут.</t>
  </si>
  <si>
    <t xml:space="preserve">PAR-02574</t>
  </si>
  <si>
    <t xml:space="preserve">PAR-02575</t>
  </si>
  <si>
    <t xml:space="preserve">PAR-02576</t>
  </si>
  <si>
    <t xml:space="preserve">PAR-02577</t>
  </si>
  <si>
    <t xml:space="preserve">PAR-02578</t>
  </si>
  <si>
    <t xml:space="preserve">PAR-02579</t>
  </si>
  <si>
    <t xml:space="preserve">PAR-02580</t>
  </si>
  <si>
    <t xml:space="preserve">PAR-02581</t>
  </si>
  <si>
    <t xml:space="preserve">PAR-02582</t>
  </si>
  <si>
    <t xml:space="preserve">PAR-02583</t>
  </si>
  <si>
    <t xml:space="preserve">PAR-02584</t>
  </si>
  <si>
    <t xml:space="preserve">разрешить действовать в тяжёлом ранении; таймер ×4; если временный дубль исчез — запретить действия, таймер оставить.</t>
  </si>
  <si>
    <t xml:space="preserve">PAR-02585</t>
  </si>
  <si>
    <t xml:space="preserve">PAR-02586</t>
  </si>
  <si>
    <t xml:space="preserve">PAR-02587</t>
  </si>
  <si>
    <t xml:space="preserve">Химера «вдвое дольше» в уточнении унифицирована как ×4.</t>
  </si>
  <si>
    <t xml:space="preserve">PAR-02588</t>
  </si>
  <si>
    <t xml:space="preserve">PAR-02589</t>
  </si>
  <si>
    <t xml:space="preserve">PAR-02590</t>
  </si>
  <si>
    <t xml:space="preserve">PAR-02591</t>
  </si>
  <si>
    <t xml:space="preserve">PAR-02592</t>
  </si>
  <si>
    <t xml:space="preserve">PAR-02593</t>
  </si>
  <si>
    <t xml:space="preserve">PAR-02594</t>
  </si>
  <si>
    <t xml:space="preserve">PAR-02595</t>
  </si>
  <si>
    <t xml:space="preserve">PAR-02596</t>
  </si>
  <si>
    <t xml:space="preserve">PAR-02597</t>
  </si>
  <si>
    <t xml:space="preserve">минимальное ручное значение до поправок и момент подтверждения критов относительно решения — Q-CORE-048/Q-CORE-049.</t>
  </si>
  <si>
    <t xml:space="preserve">PAR-02598</t>
  </si>
  <si>
    <t xml:space="preserve">PAR-02599</t>
  </si>
  <si>
    <t xml:space="preserve">PAR-02600</t>
  </si>
  <si>
    <t xml:space="preserve">после первого либо принять, либо навсегда отказаться и бросить второй; второй либо принять, либо вручную распределить ровно 85 очков (max20 до поправок).</t>
  </si>
  <si>
    <t xml:space="preserve">PAR-02601</t>
  </si>
  <si>
    <t xml:space="preserve">PAR-02602</t>
  </si>
  <si>
    <t xml:space="preserve">PAR-02603</t>
  </si>
  <si>
    <t xml:space="preserve">PAR-02604</t>
  </si>
  <si>
    <t xml:space="preserve">PAR-02605</t>
  </si>
  <si>
    <t xml:space="preserve">PAR-02606</t>
  </si>
  <si>
    <t xml:space="preserve">PAR-02607</t>
  </si>
  <si>
    <t xml:space="preserve">PAR-02608</t>
  </si>
  <si>
    <t xml:space="preserve">PAR-02609</t>
  </si>
  <si>
    <t xml:space="preserve">PAR-02610</t>
  </si>
  <si>
    <t xml:space="preserve">PAR-02611</t>
  </si>
  <si>
    <t xml:space="preserve">подтверждённая 20: базовое значение 20+grade (Rampage=25); подтверждённая 1: характеристика остаётся базово 1, но добавить постоянный штраф −grade ко всем проверкам этой характеристики; неподтверждённая остаётся 20/1 без эффекта.</t>
  </si>
  <si>
    <t xml:space="preserve">PAR-02612</t>
  </si>
  <si>
    <t xml:space="preserve">PAR-02613</t>
  </si>
  <si>
    <t xml:space="preserve">PAR-02614</t>
  </si>
  <si>
    <t xml:space="preserve">PAR-02615</t>
  </si>
  <si>
    <t xml:space="preserve">PAR-02616</t>
  </si>
  <si>
    <t xml:space="preserve">PAR-02617</t>
  </si>
  <si>
    <t xml:space="preserve">PAR-02618</t>
  </si>
  <si>
    <t xml:space="preserve">Для одежды, оружия и денег выполняются три независимых D20.</t>
  </si>
  <si>
    <t xml:space="preserve">PAR-02619</t>
  </si>
  <si>
    <t xml:space="preserve">Для одежды и оружия результат задаёт описательный уровень качества по шкале PDF; сам тег не меняет характеристики без отдельной таблицы кампании.</t>
  </si>
  <si>
    <t xml:space="preserve">PAR-02620</t>
  </si>
  <si>
    <t xml:space="preserve">Мастер может одобрить, отклонить или заменить предмет и подтвердить либо скорректировать деньги.</t>
  </si>
  <si>
    <t xml:space="preserve">PAR-02621</t>
  </si>
  <si>
    <t xml:space="preserve">PAR-02622</t>
  </si>
  <si>
    <t xml:space="preserve">PAR-02623</t>
  </si>
  <si>
    <t xml:space="preserve">PAR-02624</t>
  </si>
  <si>
    <t xml:space="preserve">PAR-02625</t>
  </si>
  <si>
    <t xml:space="preserve">[Q-CORE-054] При ручном выборе Вольный обязан выбрать ровно одного обычного симбионта.</t>
  </si>
  <si>
    <t xml:space="preserve">PAR-02626</t>
  </si>
  <si>
    <t xml:space="preserve">PAR-02627</t>
  </si>
  <si>
    <t xml:space="preserve">PAR-02628</t>
  </si>
  <si>
    <t xml:space="preserve">PAR-02629</t>
  </si>
  <si>
    <t xml:space="preserve">PAR-02630</t>
  </si>
  <si>
    <t xml:space="preserve">PAR-02631</t>
  </si>
  <si>
    <t xml:space="preserve">PAR-02632</t>
  </si>
  <si>
    <t xml:space="preserve">PAR-02633</t>
  </si>
  <si>
    <t xml:space="preserve">PAR-02634</t>
  </si>
  <si>
    <t xml:space="preserve">PAR-02635</t>
  </si>
  <si>
    <t xml:space="preserve">PAR-02636</t>
  </si>
  <si>
    <t xml:space="preserve">PAR-02637</t>
  </si>
  <si>
    <t xml:space="preserve">PAR-02638</t>
  </si>
  <si>
    <t xml:space="preserve">PAR-02639</t>
  </si>
  <si>
    <t xml:space="preserve">PAR-02640</t>
  </si>
  <si>
    <t xml:space="preserve">PAR-02641</t>
  </si>
  <si>
    <t xml:space="preserve">PAR-02642</t>
  </si>
  <si>
    <t xml:space="preserve">PAR-02643</t>
  </si>
  <si>
    <t xml:space="preserve">PAR-02644</t>
  </si>
  <si>
    <t xml:space="preserve">PAR-02645</t>
  </si>
  <si>
    <t xml:space="preserve">PAR-02646</t>
  </si>
  <si>
    <t xml:space="preserve">[Q-SYM-002] 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t>
  </si>
  <si>
    <t xml:space="preserve">PAR-02647</t>
  </si>
  <si>
    <t xml:space="preserve">У мастера должна быть возможность проматывать игровое время (пропускать выбранное количество часов)</t>
  </si>
  <si>
    <t xml:space="preserve">PAR-02648</t>
  </si>
  <si>
    <t xml:space="preserve">PAR-02649</t>
  </si>
  <si>
    <t xml:space="preserve">PAR-02650</t>
  </si>
  <si>
    <t xml:space="preserve">PAR-02651</t>
  </si>
  <si>
    <t xml:space="preserve">Только плановая смена дозора может разделять эти минуты без потери accumulatedRestMinutes; любое иное прерывание из AQ2-030 обнуляет текущий отрезок и накопленный итог.</t>
  </si>
  <si>
    <t xml:space="preserve">PAR-02652</t>
  </si>
  <si>
    <t xml:space="preserve">PAR-02653</t>
  </si>
  <si>
    <t xml:space="preserve">PAR-02654</t>
  </si>
  <si>
    <t xml:space="preserve">PAR-02655</t>
  </si>
  <si>
    <t xml:space="preserve">PAR-02656</t>
  </si>
  <si>
    <t xml:space="preserve">PAR-02657</t>
  </si>
  <si>
    <t xml:space="preserve">PAR-02658</t>
  </si>
  <si>
    <t xml:space="preserve">PAR-02659</t>
  </si>
  <si>
    <t xml:space="preserve">PAR-02660</t>
  </si>
  <si>
    <t xml:space="preserve">[AQ3-003] В одной подтверждённой заявке отдыха полноценный отдых наступает при накоплении 240 минут.</t>
  </si>
  <si>
    <t xml:space="preserve">PAR-02661</t>
  </si>
  <si>
    <t xml:space="preserve">PAR-02662</t>
  </si>
  <si>
    <t xml:space="preserve">PAR-02663</t>
  </si>
  <si>
    <t xml:space="preserve">PAR-02664</t>
  </si>
  <si>
    <t xml:space="preserve">пересчитать maxOE; при повышении уровня не восстанавливать текущие ОЭ; при снижении/смене максимума установить currentOE=min(currentOE,maxOE).</t>
  </si>
  <si>
    <t xml:space="preserve">PAR-02665</t>
  </si>
  <si>
    <t xml:space="preserve">[Q-SYM-003] Новый симбионт, полученный при создании персонажа или естественном заражении, начинает с полным текущим запасом ОЭ по своему уровню.</t>
  </si>
  <si>
    <t xml:space="preserve">PAR-02666</t>
  </si>
  <si>
    <t xml:space="preserve">За исключением пересадки симбионта, у пересаженного симбионта ОЭ равны нулю</t>
  </si>
  <si>
    <t xml:space="preserve">PAR-02667</t>
  </si>
  <si>
    <t xml:space="preserve">PAR-02668</t>
  </si>
  <si>
    <t xml:space="preserve">PAR-02669</t>
  </si>
  <si>
    <t xml:space="preserve">PAR-02670</t>
  </si>
  <si>
    <t xml:space="preserve">PAR-02671</t>
  </si>
  <si>
    <t xml:space="preserve">Кромсатель Хранителя заменяет формулу на 200×L.</t>
  </si>
  <si>
    <t xml:space="preserve">PAR-02672</t>
  </si>
  <si>
    <t xml:space="preserve">PAR-02673</t>
  </si>
  <si>
    <t xml:space="preserve">PAR-02674</t>
  </si>
  <si>
    <t xml:space="preserve">PAR-02675</t>
  </si>
  <si>
    <t xml:space="preserve">если цена не указана, назначить 1 боевое действие + 0 ОЭ.</t>
  </si>
  <si>
    <t xml:space="preserve">PAR-02676</t>
  </si>
  <si>
    <t xml:space="preserve">[Q-SYM-004] 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t>
  </si>
  <si>
    <t xml:space="preserve">PAR-02677</t>
  </si>
  <si>
    <t xml:space="preserve">Защитное действие не расходует боевые действия своего хода, если способность прямо не говорит обратное.</t>
  </si>
  <si>
    <t xml:space="preserve">PAR-02678</t>
  </si>
  <si>
    <t xml:space="preserve">PAR-02679</t>
  </si>
  <si>
    <t xml:space="preserve">PAR-02680</t>
  </si>
  <si>
    <t xml:space="preserve">PAR-02681</t>
  </si>
  <si>
    <t xml:space="preserve">PAR-02682</t>
  </si>
  <si>
    <t xml:space="preserve">явно указанная цена, подготовка, защитная реакция или пассивность имеют приоритет.</t>
  </si>
  <si>
    <t xml:space="preserve">PAR-02683</t>
  </si>
  <si>
    <t xml:space="preserve">PAR-02684</t>
  </si>
  <si>
    <t xml:space="preserve">PAR-02685</t>
  </si>
  <si>
    <t xml:space="preserve">Убирать действия в подготовку можно только в свой ход.</t>
  </si>
  <si>
    <t xml:space="preserve">PAR-02686</t>
  </si>
  <si>
    <t xml:space="preserve">PAR-02687</t>
  </si>
  <si>
    <t xml:space="preserve">PAR-02688</t>
  </si>
  <si>
    <t xml:space="preserve">PAR-02689</t>
  </si>
  <si>
    <t xml:space="preserve">PAR-02690</t>
  </si>
  <si>
    <t xml:space="preserve">PAR-02691</t>
  </si>
  <si>
    <t xml:space="preserve">PAR-02692</t>
  </si>
  <si>
    <t xml:space="preserve">PAR-02693</t>
  </si>
  <si>
    <t xml:space="preserve">PAR-02694</t>
  </si>
  <si>
    <t xml:space="preserve">PAR-02695</t>
  </si>
  <si>
    <t xml:space="preserve">PAR-02696</t>
  </si>
  <si>
    <t xml:space="preserve">PAR-02697</t>
  </si>
  <si>
    <t xml:space="preserve">R=1: Ткач отключён на 30 минут/4 хода.</t>
  </si>
  <si>
    <t xml:space="preserve">PAR-02698</t>
  </si>
  <si>
    <t xml:space="preserve">PAR-02699</t>
  </si>
  <si>
    <t xml:space="preserve">[Q-SYM-008] Способность немедленно и без расходования действий носителя объявляется при потере сознания от тяжёлого ранения</t>
  </si>
  <si>
    <t xml:space="preserve">PAR-02700</t>
  </si>
  <si>
    <t xml:space="preserve">PAR-02701</t>
  </si>
  <si>
    <t xml:space="preserve">PAR-02702</t>
  </si>
  <si>
    <t xml:space="preserve">[Q-SYM-007] «Замена органа» автоматически объявляется сразу после входа носителя в тяжёлое ранение и потери сознания, если способность изучена и имеется 50 ОЭ; стоимость списывается, затем бросается чистый R20.</t>
  </si>
  <si>
    <t xml:space="preserve">PAR-02703</t>
  </si>
  <si>
    <t xml:space="preserve">На 15+ таймер устанавливается равным max(исходный таймер×4, длительность эффекта) и не обнуляется раньше; если до окончания не было новой потери HP, орган восстанавливается, тяжёлое ранение и таймер снимаются, HP=1.</t>
  </si>
  <si>
    <t xml:space="preserve">PAR-02704</t>
  </si>
  <si>
    <t xml:space="preserve">Любая новая потеря хотя бы 1 HP во время тяжёлого ранения вызывает окончательную смерть.</t>
  </si>
  <si>
    <t xml:space="preserve">PAR-02705</t>
  </si>
  <si>
    <t xml:space="preserve">PAR-02706</t>
  </si>
  <si>
    <t xml:space="preserve">PAR-02707</t>
  </si>
  <si>
    <t xml:space="preserve">R=2: активация неуспешна.</t>
  </si>
  <si>
    <t xml:space="preserve">PAR-02708</t>
  </si>
  <si>
    <t xml:space="preserve">R≥3: клетки заменяют функцию органа на R/3 ходов; носитель сохраняет дееспособность в тяжёлом ранении, время до смерти ×4.</t>
  </si>
  <si>
    <t xml:space="preserve">PAR-02709</t>
  </si>
  <si>
    <t xml:space="preserve">PAR-02710</t>
  </si>
  <si>
    <t xml:space="preserve">PAR-02711</t>
  </si>
  <si>
    <t xml:space="preserve">PAR-02712</t>
  </si>
  <si>
    <t xml:space="preserve">PAR-02713</t>
  </si>
  <si>
    <t xml:space="preserve">PAR-02714</t>
  </si>
  <si>
    <t xml:space="preserve">PAR-02715</t>
  </si>
  <si>
    <t xml:space="preserve">PAR-02716</t>
  </si>
  <si>
    <t xml:space="preserve">PAR-02717</t>
  </si>
  <si>
    <t xml:space="preserve">PAR-02718</t>
  </si>
  <si>
    <t xml:space="preserve">PAR-02719</t>
  </si>
  <si>
    <t xml:space="preserve">PAR-02720</t>
  </si>
  <si>
    <t xml:space="preserve">PAR-02721</t>
  </si>
  <si>
    <t xml:space="preserve">PAR-02722</t>
  </si>
  <si>
    <t xml:space="preserve">PAR-02723</t>
  </si>
  <si>
    <t xml:space="preserve">PAR-02724</t>
  </si>
  <si>
    <t xml:space="preserve">R=1: дополнительно сжечь 100 ОЭ; если 100 больше оставшегося запаса, установить недееспособность Ткача до 4 часов сна.</t>
  </si>
  <si>
    <t xml:space="preserve">PAR-02725</t>
  </si>
  <si>
    <t xml:space="preserve">PAR-02726</t>
  </si>
  <si>
    <t xml:space="preserve">Дополнительное отключение наступает только там, где оно прямо указано, в частности у Ткача при неудаче «Дублирования органов».</t>
  </si>
  <si>
    <t xml:space="preserve">PAR-02727</t>
  </si>
  <si>
    <t xml:space="preserve">PAR-02728</t>
  </si>
  <si>
    <t xml:space="preserve">PAR-02729</t>
  </si>
  <si>
    <t xml:space="preserve">Если при эффекте HP должны стать ≤0, вместо тяжёлого ранения установить HP=1 и снять эффект.</t>
  </si>
  <si>
    <t xml:space="preserve">PAR-02730</t>
  </si>
  <si>
    <t xml:space="preserve">PAR-02731</t>
  </si>
  <si>
    <t xml:space="preserve">PAR-02732</t>
  </si>
  <si>
    <t xml:space="preserve">PAR-02733</t>
  </si>
  <si>
    <t xml:space="preserve">PAR-02734</t>
  </si>
  <si>
    <t xml:space="preserve">PAR-02735</t>
  </si>
  <si>
    <t xml:space="preserve">PAR-02736</t>
  </si>
  <si>
    <t xml:space="preserve">PAR-02737</t>
  </si>
  <si>
    <t xml:space="preserve">PAR-02738</t>
  </si>
  <si>
    <t xml:space="preserve">PAR-02739</t>
  </si>
  <si>
    <t xml:space="preserve">R≥2: наложить «Задвоенные органы» на R/2 ходов.</t>
  </si>
  <si>
    <t xml:space="preserve">PAR-02740</t>
  </si>
  <si>
    <t xml:space="preserve">PAR-02741</t>
  </si>
  <si>
    <t xml:space="preserve">PAR-02742</t>
  </si>
  <si>
    <t xml:space="preserve">PAR-02743</t>
  </si>
  <si>
    <t xml:space="preserve">PAR-02744</t>
  </si>
  <si>
    <t xml:space="preserve">PAR-02745</t>
  </si>
  <si>
    <t xml:space="preserve">PAR-02746</t>
  </si>
  <si>
    <t xml:space="preserve">PAR-02747</t>
  </si>
  <si>
    <t xml:space="preserve">R≥5 и попадание: голая кожа → +2R HP; проницаемая одежда → +R HP; герметичная одежда → 0.</t>
  </si>
  <si>
    <t xml:space="preserve">PAR-02748</t>
  </si>
  <si>
    <t xml:space="preserve">PAR-02749</t>
  </si>
  <si>
    <t xml:space="preserve">PAR-02750</t>
  </si>
  <si>
    <t xml:space="preserve">R=1: вместо лечения кристаллизованная колючка наносит 2×R_damage урона, пробитие = R_penetration.</t>
  </si>
  <si>
    <t xml:space="preserve">PAR-02751</t>
  </si>
  <si>
    <t xml:space="preserve">стандартные дальняя атака/защита; активационная единица только выбирает ветку осложнения и не подставляется в формулы урона/пробития.</t>
  </si>
  <si>
    <t xml:space="preserve">PAR-02752</t>
  </si>
  <si>
    <t xml:space="preserve">PAR-02753</t>
  </si>
  <si>
    <t xml:space="preserve">PAR-02754</t>
  </si>
  <si>
    <t xml:space="preserve">PAR-02755</t>
  </si>
  <si>
    <t xml:space="preserve">PAR-02756</t>
  </si>
  <si>
    <t xml:space="preserve">PAR-02757</t>
  </si>
  <si>
    <t xml:space="preserve">PAR-02758</t>
  </si>
  <si>
    <t xml:space="preserve">100 ОЭ остаются израсходованными, повторного броска нет.</t>
  </si>
  <si>
    <t xml:space="preserve">PAR-02759</t>
  </si>
  <si>
    <t xml:space="preserve">Вне боя специальная ветвь не возникает; затраты 100 ОЭ не возвращаются.</t>
  </si>
  <si>
    <t xml:space="preserve">PAR-02760</t>
  </si>
  <si>
    <t xml:space="preserve">PAR-02761</t>
  </si>
  <si>
    <t xml:space="preserve">A≥2: S += A/2, D += A/2 на T/4 ходов.</t>
  </si>
  <si>
    <t xml:space="preserve">PAR-02762</t>
  </si>
  <si>
    <t xml:space="preserve">A=1: вместо этого S +=20, D +=20 на 5 ходов и каждый ход носитель атакует случайную цель в поле зрения.</t>
  </si>
  <si>
    <t xml:space="preserve">PAR-02763</t>
  </si>
  <si>
    <t xml:space="preserve">PAR-02764</t>
  </si>
  <si>
    <t xml:space="preserve">PAR-02765</t>
  </si>
  <si>
    <t xml:space="preserve">[AQ3-002] При применении вне боевой ситуации натуральная 1 не создаёт специальную ветвь эффекта: нет бонуса +20 к S/D, пятиминутного таймера и обязательных атак; бой не открывается.</t>
  </si>
  <si>
    <t xml:space="preserve">PAR-02766</t>
  </si>
  <si>
    <t xml:space="preserve">PAR-02767</t>
  </si>
  <si>
    <t xml:space="preserve">PAR-02768</t>
  </si>
  <si>
    <t xml:space="preserve">PAR-02769</t>
  </si>
  <si>
    <t xml:space="preserve">PAR-02770</t>
  </si>
  <si>
    <t xml:space="preserve">PAR-02771</t>
  </si>
  <si>
    <t xml:space="preserve">[Q-SYM-011] Применяется общее правило Q-CORE-023: одноимённые эффекты не суммируются, каждый сохраняет собственный срок, а действует сильнейшее ещё не истёкшее значение.</t>
  </si>
  <si>
    <t xml:space="preserve">PAR-02772</t>
  </si>
  <si>
    <t xml:space="preserve">PAR-02773</t>
  </si>
  <si>
    <t xml:space="preserve">PAR-02774</t>
  </si>
  <si>
    <t xml:space="preserve">PAR-02775</t>
  </si>
  <si>
    <t xml:space="preserve">PAR-02776</t>
  </si>
  <si>
    <t xml:space="preserve">R≥5: выполнить попадание и пробитие; если шип достиг плоти, вывести цель из тяжёлого ранения, установить HP=1.</t>
  </si>
  <si>
    <t xml:space="preserve">PAR-02777</t>
  </si>
  <si>
    <t xml:space="preserve">PAR-02778</t>
  </si>
  <si>
    <t xml:space="preserve">R=2–4: активация неуспешна.</t>
  </si>
  <si>
    <t xml:space="preserve">PAR-02779</t>
  </si>
  <si>
    <t xml:space="preserve">PAR-02780</t>
  </si>
  <si>
    <t xml:space="preserve">R=1: «добить цель».</t>
  </si>
  <si>
    <t xml:space="preserve">PAR-02781</t>
  </si>
  <si>
    <t xml:space="preserve">PAR-02782</t>
  </si>
  <si>
    <t xml:space="preserve">PAR-02783</t>
  </si>
  <si>
    <t xml:space="preserve">PAR-02784</t>
  </si>
  <si>
    <t xml:space="preserve">PAR-02785</t>
  </si>
  <si>
    <t xml:space="preserve">объявление; списать весь текущий ОЭ, но команда допустима только при ОЭ≥200</t>
  </si>
  <si>
    <t xml:space="preserve">PAR-02786</t>
  </si>
  <si>
    <t xml:space="preserve">R≥4: на R/4 ходов установить количество HP носителя 1000, запретить потерю дееспособности; каждая рана регенерирует через 2 хода.</t>
  </si>
  <si>
    <t xml:space="preserve">PAR-02787</t>
  </si>
  <si>
    <t xml:space="preserve">[Q-SYM-013] После окончания способности временное значение 1000 снимается, а текущие HP становятся равны min(текущие HP при эффекте, обычный максимум HP).</t>
  </si>
  <si>
    <t xml:space="preserve">PAR-02788</t>
  </si>
  <si>
    <t xml:space="preserve">Ткач становится 4 уровня; изученные узлы 5–6 уровней помечаются утраченными и недоступны, ранее потраченный на них опыт не возвращается.</t>
  </si>
  <si>
    <t xml:space="preserve">PAR-02789</t>
  </si>
  <si>
    <t xml:space="preserve">цена — вся энергия, не фиксированные 200.</t>
  </si>
  <si>
    <t xml:space="preserve">PAR-02790</t>
  </si>
  <si>
    <t xml:space="preserve">PAR-02791</t>
  </si>
  <si>
    <t xml:space="preserve">R=2–3: нет основного эффекта, вся энергия потрачена.</t>
  </si>
  <si>
    <t xml:space="preserve">PAR-02792</t>
  </si>
  <si>
    <t xml:space="preserve">R=1: Ткач отключён на сутки и деградирует до L=4.</t>
  </si>
  <si>
    <t xml:space="preserve">PAR-02793</t>
  </si>
  <si>
    <t xml:space="preserve">PAR-02794</t>
  </si>
  <si>
    <t xml:space="preserve">PAR-02795</t>
  </si>
  <si>
    <t xml:space="preserve">PAR-02796</t>
  </si>
  <si>
    <t xml:space="preserve">PAR-02797</t>
  </si>
  <si>
    <t xml:space="preserve">PAR-02798</t>
  </si>
  <si>
    <t xml:space="preserve">PAR-02799</t>
  </si>
  <si>
    <t xml:space="preserve">PAR-02800</t>
  </si>
  <si>
    <t xml:space="preserve">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t>
  </si>
  <si>
    <t xml:space="preserve">PAR-02801</t>
  </si>
  <si>
    <t xml:space="preserve">PAR-02802</t>
  </si>
  <si>
    <t xml:space="preserve">PAR-02803</t>
  </si>
  <si>
    <t xml:space="preserve">PAR-02804</t>
  </si>
  <si>
    <t xml:space="preserve">[Q-SYM-015] Сохранение мозга и части тела не проверяется – это игровая условность; цель воскресает с 1 HP вне тяжёлого ранения, Ткач сохраняется в носителе.</t>
  </si>
  <si>
    <t xml:space="preserve">PAR-02805</t>
  </si>
  <si>
    <t xml:space="preserve">T считается в ходах в бою и полных минутах вне боя по правилу перехода режимов Q-CORE-063.</t>
  </si>
  <si>
    <t xml:space="preserve">PAR-02806</t>
  </si>
  <si>
    <t xml:space="preserve">PAR-02807</t>
  </si>
  <si>
    <t xml:space="preserve">PAR-02808</t>
  </si>
  <si>
    <t xml:space="preserve">PAR-02809</t>
  </si>
  <si>
    <t xml:space="preserve">PAR-02810</t>
  </si>
  <si>
    <t xml:space="preserve">если R=1, цель любой степени повреждения воскресает с I=1 независимо от формулы.</t>
  </si>
  <si>
    <t xml:space="preserve">PAR-02811</t>
  </si>
  <si>
    <t xml:space="preserve">PAR-02812</t>
  </si>
  <si>
    <t xml:space="preserve">PAR-02813</t>
  </si>
  <si>
    <t xml:space="preserve">PAR-02814</t>
  </si>
  <si>
    <t xml:space="preserve">PAR-02815</t>
  </si>
  <si>
    <t xml:space="preserve">PAR-02816</t>
  </si>
  <si>
    <t xml:space="preserve">PAR-02817</t>
  </si>
  <si>
    <t xml:space="preserve">PAR-02818</t>
  </si>
  <si>
    <t xml:space="preserve">PAR-02819</t>
  </si>
  <si>
    <t xml:space="preserve">Уже наложенные на других персонажей эффекты яда продолжаются до окончания своего срока.</t>
  </si>
  <si>
    <t xml:space="preserve">PAR-02820</t>
  </si>
  <si>
    <t xml:space="preserve">PAR-02821</t>
  </si>
  <si>
    <t xml:space="preserve">одновременно вырабатывать один тип из {смертельный, ослабляющий, парализующий}; смена завершается через 1 игровой час/6 боевых ходов.</t>
  </si>
  <si>
    <t xml:space="preserve">PAR-02822</t>
  </si>
  <si>
    <t xml:space="preserve">[Q-SYM-076] 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t>
  </si>
  <si>
    <t xml:space="preserve">PAR-02823</t>
  </si>
  <si>
    <t xml:space="preserve">В течение следующего часа/6 полных ходов продолжает вырабатываться прежний яд, обычные действия носителя свободны.</t>
  </si>
  <si>
    <t xml:space="preserve">PAR-02824</t>
  </si>
  <si>
    <t xml:space="preserve">PAR-02825</t>
  </si>
  <si>
    <t xml:space="preserve">PAR-02826</t>
  </si>
  <si>
    <t xml:space="preserve">PAR-02827</t>
  </si>
  <si>
    <t xml:space="preserve">PAR-02828</t>
  </si>
  <si>
    <t xml:space="preserve">PAR-02829</t>
  </si>
  <si>
    <t xml:space="preserve">PAR-02830</t>
  </si>
  <si>
    <t xml:space="preserve">В пище доза хранится до употребления и после проглатывания применяет полный профиль яда.</t>
  </si>
  <si>
    <t xml:space="preserve">PAR-02831</t>
  </si>
  <si>
    <t xml:space="preserve">PAR-02832</t>
  </si>
  <si>
    <t xml:space="preserve">PAR-02833</t>
  </si>
  <si>
    <t xml:space="preserve">PAR-02834</t>
  </si>
  <si>
    <t xml:space="preserve">PAR-02835</t>
  </si>
  <si>
    <t xml:space="preserve">PAR-02836</t>
  </si>
  <si>
    <t xml:space="preserve">PAR-02837</t>
  </si>
  <si>
    <t xml:space="preserve">общие вопросы дозы/тика и округления — Q-SYM-005, Q-SYM-017.</t>
  </si>
  <si>
    <t xml:space="preserve">PAR-02838</t>
  </si>
  <si>
    <t xml:space="preserve">PAR-02839</t>
  </si>
  <si>
    <t xml:space="preserve">Цель получает за ход R20/5 + L урона в течение R20/2 ходов.</t>
  </si>
  <si>
    <t xml:space="preserve">PAR-02840</t>
  </si>
  <si>
    <t xml:space="preserve">PAR-02841</t>
  </si>
  <si>
    <t xml:space="preserve">PAR-02842</t>
  </si>
  <si>
    <t xml:space="preserve">PAR-02843</t>
  </si>
  <si>
    <t xml:space="preserve">PAR-02844</t>
  </si>
  <si>
    <t xml:space="preserve">При нанесении на оружие урон за ход делится пополам; остальные параметры неизменны.</t>
  </si>
  <si>
    <t xml:space="preserve">PAR-02845</t>
  </si>
  <si>
    <t xml:space="preserve">PAR-02846</t>
  </si>
  <si>
    <t xml:space="preserve">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</si>
  <si>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PAR-02847</t>
  </si>
  <si>
    <t xml:space="preserve">PAR-02848</t>
  </si>
  <si>
    <t xml:space="preserve">PAR-02849</t>
  </si>
  <si>
    <t xml:space="preserve">PAR-02850</t>
  </si>
  <si>
    <t xml:space="preserve">R=1: носитель получает −1 к серии приёмов на 1 час/до конца боя.</t>
  </si>
  <si>
    <t xml:space="preserve">PAR-02851</t>
  </si>
  <si>
    <t xml:space="preserve">PAR-02852</t>
  </si>
  <si>
    <t xml:space="preserve">ОЭ≥10.</t>
  </si>
  <si>
    <t xml:space="preserve">PAR-02853</t>
  </si>
  <si>
    <t xml:space="preserve">[Q-SYM-018]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t>
  </si>
  <si>
    <t xml:space="preserve">PAR-02854</t>
  </si>
  <si>
    <t xml:space="preserve">Дополнительные контакты не требуют новой активации и не расходуют ОЭ.</t>
  </si>
  <si>
    <t xml:space="preserve">PAR-02855</t>
  </si>
  <si>
    <t xml:space="preserve">PAR-02856</t>
  </si>
  <si>
    <t xml:space="preserve">PAR-02857</t>
  </si>
  <si>
    <t xml:space="preserve">PAR-02858</t>
  </si>
  <si>
    <t xml:space="preserve">PAR-02859</t>
  </si>
  <si>
    <t xml:space="preserve">PAR-02860</t>
  </si>
  <si>
    <t xml:space="preserve">PAR-02861</t>
  </si>
  <si>
    <t xml:space="preserve">срок существования проницаемой зоны не указан.</t>
  </si>
  <si>
    <t xml:space="preserve">PAR-02862</t>
  </si>
  <si>
    <t xml:space="preserve">PAR-02863</t>
  </si>
  <si>
    <t xml:space="preserve">PAR-02864</t>
  </si>
  <si>
    <t xml:space="preserve">PAR-02865</t>
  </si>
  <si>
    <t xml:space="preserve">PAR-02866</t>
  </si>
  <si>
    <t xml:space="preserve">PAR-02867</t>
  </si>
  <si>
    <t xml:space="preserve">R20=1: носитель теряет 10 HP.</t>
  </si>
  <si>
    <t xml:space="preserve">PAR-02868</t>
  </si>
  <si>
    <t xml:space="preserve">отдельный R20 активации</t>
  </si>
  <si>
    <t xml:space="preserve">PAR-02869</t>
  </si>
  <si>
    <t xml:space="preserve">R12 пробития; текущий яд.</t>
  </si>
  <si>
    <t xml:space="preserve">PAR-02870</t>
  </si>
  <si>
    <t xml:space="preserve">R20≥4: выполнить дальнюю атаку; пробитие=R12; если сгусток достиг кожи, наложить текущий яд.</t>
  </si>
  <si>
    <t xml:space="preserve">PAR-02871</t>
  </si>
  <si>
    <t xml:space="preserve">R20=2–3: нет эффекта.</t>
  </si>
  <si>
    <t xml:space="preserve">PAR-02872</t>
  </si>
  <si>
    <t xml:space="preserve">PAR-02873</t>
  </si>
  <si>
    <t xml:space="preserve">[Q-SYM-075] При попадании Плевка ядом немедленно уничтожается внешний элемент обычной одежды или лёгкой брони со спасброском не выше R6.</t>
  </si>
  <si>
    <t xml:space="preserve">PAR-02874</t>
  </si>
  <si>
    <t xml:space="preserve">PAR-02875</t>
  </si>
  <si>
    <t xml:space="preserve">PAR-02876</t>
  </si>
  <si>
    <t xml:space="preserve">PAR-02877</t>
  </si>
  <si>
    <t xml:space="preserve">PAR-02878</t>
  </si>
  <si>
    <t xml:space="preserve">PAR-02879</t>
  </si>
  <si>
    <t xml:space="preserve">PAR-02880</t>
  </si>
  <si>
    <t xml:space="preserve">Рассчитать K=R20+L−Z_target; снизить S,D,M цели на K, но ни одну не ниже 1; срок R20/2 ходов.</t>
  </si>
  <si>
    <t xml:space="preserve">PAR-02881</t>
  </si>
  <si>
    <t xml:space="preserve">PAR-02882</t>
  </si>
  <si>
    <t xml:space="preserve">[Q-SYM-019] Сила снижения K рассчитывается как max(0, R20 + L − Z).</t>
  </si>
  <si>
    <t xml:space="preserve">PAR-02883</t>
  </si>
  <si>
    <t xml:space="preserve">При K=0 яд считается попавшим, но характеристики цели не изменяются.</t>
  </si>
  <si>
    <t xml:space="preserve">PAR-02884</t>
  </si>
  <si>
    <t xml:space="preserve">PAR-02885</t>
  </si>
  <si>
    <t xml:space="preserve">PAR-02886</t>
  </si>
  <si>
    <t xml:space="preserve">PAR-02887</t>
  </si>
  <si>
    <t xml:space="preserve">PAR-02888</t>
  </si>
  <si>
    <t xml:space="preserve">PAR-02889</t>
  </si>
  <si>
    <t xml:space="preserve">PAR-02890</t>
  </si>
  <si>
    <t xml:space="preserve">PAR-02891</t>
  </si>
  <si>
    <t xml:space="preserve">R=1: Тайпан отключён на 1 час/6 ходов.</t>
  </si>
  <si>
    <t xml:space="preserve">PAR-02892</t>
  </si>
  <si>
    <t xml:space="preserve">PAR-02893</t>
  </si>
  <si>
    <t xml:space="preserve">PAR-02894</t>
  </si>
  <si>
    <t xml:space="preserve">PAR-02895</t>
  </si>
  <si>
    <t xml:space="preserve">R≥4: дальняя атака, пробитие=R+L, урон=R+L одной проверкой; если нанесён урон, наложить текущий яд.</t>
  </si>
  <si>
    <t xml:space="preserve">PAR-02896</t>
  </si>
  <si>
    <t xml:space="preserve">PAR-02897</t>
  </si>
  <si>
    <t xml:space="preserve">PAR-02898</t>
  </si>
  <si>
    <t xml:space="preserve">PAR-02899</t>
  </si>
  <si>
    <t xml:space="preserve">PAR-02900</t>
  </si>
  <si>
    <t xml:space="preserve">PAR-02901</t>
  </si>
  <si>
    <t xml:space="preserve">PAR-02902</t>
  </si>
  <si>
    <t xml:space="preserve">A=1: носитель получает 20 урона и оглушение на 40 минут/3 хода.</t>
  </si>
  <si>
    <t xml:space="preserve">PAR-02903</t>
  </si>
  <si>
    <t xml:space="preserve">PAR-02904</t>
  </si>
  <si>
    <t xml:space="preserve">PAR-02905</t>
  </si>
  <si>
    <t xml:space="preserve">PAR-02906</t>
  </si>
  <si>
    <t xml:space="preserve">A≥4: пробитие=(A+L)×2, урон=D+L; при нанесении урона наложить текущий яд.</t>
  </si>
  <si>
    <t xml:space="preserve">PAR-02907</t>
  </si>
  <si>
    <t xml:space="preserve">A=2–3: нет эффекта.</t>
  </si>
  <si>
    <t xml:space="preserve">PAR-02908</t>
  </si>
  <si>
    <t xml:space="preserve">PAR-02909</t>
  </si>
  <si>
    <t xml:space="preserve">PAR-02910</t>
  </si>
  <si>
    <t xml:space="preserve">PAR-02911</t>
  </si>
  <si>
    <t xml:space="preserve">PAR-02912</t>
  </si>
  <si>
    <t xml:space="preserve">Если R20+L &gt; Z_target, случайно выбрать D4 одну действующую конечность; уже онемевшие перебрасывать; наложить запрет действий конечностью на R20/3 ходов.</t>
  </si>
  <si>
    <t xml:space="preserve">PAR-02913</t>
  </si>
  <si>
    <t xml:space="preserve">PAR-02914</t>
  </si>
  <si>
    <t xml:space="preserve">PAR-02915</t>
  </si>
  <si>
    <t xml:space="preserve">Попадание в любую часть тела обсчитывается как попадание в корпус</t>
  </si>
  <si>
    <t xml:space="preserve">PAR-02916</t>
  </si>
  <si>
    <t xml:space="preserve">PAR-02917</t>
  </si>
  <si>
    <t xml:space="preserve">PAR-02918</t>
  </si>
  <si>
    <t xml:space="preserve">PAR-02919</t>
  </si>
  <si>
    <t xml:space="preserve">PAR-02920</t>
  </si>
  <si>
    <t xml:space="preserve">повторные применения могут выбирать другие действующие конечности; анатомия не-D4 требует решения.</t>
  </si>
  <si>
    <t xml:space="preserve">PAR-02921</t>
  </si>
  <si>
    <t xml:space="preserve">Если действующих конечностей нет, новое онемение не возникает.</t>
  </si>
  <si>
    <t xml:space="preserve">PAR-02922</t>
  </si>
  <si>
    <t xml:space="preserve">PAR-02923</t>
  </si>
  <si>
    <t xml:space="preserve">PAR-02924</t>
  </si>
  <si>
    <t xml:space="preserve">PAR-02925</t>
  </si>
  <si>
    <t xml:space="preserve">PAR-02926</t>
  </si>
  <si>
    <t xml:space="preserve">PAR-02927</t>
  </si>
  <si>
    <t xml:space="preserve">PAR-02928</t>
  </si>
  <si>
    <t xml:space="preserve">PAR-02929</t>
  </si>
  <si>
    <t xml:space="preserve">PAR-02930</t>
  </si>
  <si>
    <t xml:space="preserve">PAR-02931</t>
  </si>
  <si>
    <t xml:space="preserve">PAR-02932</t>
  </si>
  <si>
    <t xml:space="preserve">PAR-02933</t>
  </si>
  <si>
    <t xml:space="preserve">PAR-02934</t>
  </si>
  <si>
    <t xml:space="preserve">PAR-02935</t>
  </si>
  <si>
    <t xml:space="preserve">Активно: R=1–3 — нет данных</t>
  </si>
  <si>
    <t xml:space="preserve">PAR-02936</t>
  </si>
  <si>
    <t xml:space="preserve">R=4–10 — местоположение</t>
  </si>
  <si>
    <t xml:space="preserve">PAR-02937</t>
  </si>
  <si>
    <t xml:space="preserve">R=11–17 — местоположение и все характеристики</t>
  </si>
  <si>
    <t xml:space="preserve">PAR-02938</t>
  </si>
  <si>
    <t xml:space="preserve">R=18–20 — также виды симбионтов.</t>
  </si>
  <si>
    <t xml:space="preserve">PAR-02939</t>
  </si>
  <si>
    <t xml:space="preserve">PAR-02940</t>
  </si>
  <si>
    <t xml:space="preserve">PAR-02941</t>
  </si>
  <si>
    <t xml:space="preserve">PAR-02942</t>
  </si>
  <si>
    <t xml:space="preserve">PAR-02943</t>
  </si>
  <si>
    <t xml:space="preserve">При триггере заявленное целью действие расходуется, но ОЭ её отменённой способности не списываются.</t>
  </si>
  <si>
    <t xml:space="preserve">PAR-02944</t>
  </si>
  <si>
    <t xml:space="preserve">PAR-02945</t>
  </si>
  <si>
    <t xml:space="preserve">PAR-02946</t>
  </si>
  <si>
    <t xml:space="preserve">При R=1 полностью обнулить ОЭ всех симбионтов носителя Учителя.</t>
  </si>
  <si>
    <t xml:space="preserve">PAR-02947</t>
  </si>
  <si>
    <t xml:space="preserve">[Q-SYM-023] При наложении Учитель платит 40 ОЭ; маркер действует без срока до первого подходящего применения.</t>
  </si>
  <si>
    <t xml:space="preserve">PAR-02948</t>
  </si>
  <si>
    <t xml:space="preserve">PAR-02949</t>
  </si>
  <si>
    <t xml:space="preserve">PAR-02950</t>
  </si>
  <si>
    <t xml:space="preserve">PAR-02951</t>
  </si>
  <si>
    <t xml:space="preserve">PAR-02952</t>
  </si>
  <si>
    <t xml:space="preserve">PAR-02953</t>
  </si>
  <si>
    <t xml:space="preserve">PAR-02954</t>
  </si>
  <si>
    <t xml:space="preserve">PAR-02955</t>
  </si>
  <si>
    <t xml:space="preserve">PAR-02956</t>
  </si>
  <si>
    <t xml:space="preserve">[Q-SYM-024] Из копирования исключаются способности с ценой «вся энергия», HP, жертвой, поддержанием за интервал, многоэтапной оплатой или иной нефиксированной ценой.</t>
  </si>
  <si>
    <t xml:space="preserve">PAR-02957</t>
  </si>
  <si>
    <t xml:space="preserve">Копировать можно только способность с единой фиксированной ценой в ОЭ и разрешимым эффектом.</t>
  </si>
  <si>
    <t xml:space="preserve">PAR-02958</t>
  </si>
  <si>
    <t xml:space="preserve">[Q-SYM-025] Если у цели нет последней использованной допустимой активной способности, «Внимай, ученик» объявить нельзя: ОЭ не расходуются и Учитель не отключается.</t>
  </si>
  <si>
    <t xml:space="preserve">PAR-02959</t>
  </si>
  <si>
    <t xml:space="preserve">PAR-02960</t>
  </si>
  <si>
    <t xml:space="preserve">PAR-02961</t>
  </si>
  <si>
    <t xml:space="preserve">PAR-02962</t>
  </si>
  <si>
    <t xml:space="preserve">PAR-02963</t>
  </si>
  <si>
    <t xml:space="preserve">PAR-02964</t>
  </si>
  <si>
    <t xml:space="preserve">PAR-02965</t>
  </si>
  <si>
    <t xml:space="preserve">Он прикрывает носителя и другие союзные цели, чьи силуэты попадают в радиус действия способности (по ним нельзя заявлять атаки, пока щит действует).</t>
  </si>
  <si>
    <t xml:space="preserve">PAR-02966</t>
  </si>
  <si>
    <t xml:space="preserve">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</si>
  <si>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PAR-02967</t>
  </si>
  <si>
    <t xml:space="preserve">не работает против атак без права на защитное действие.</t>
  </si>
  <si>
    <t xml:space="preserve">PAR-02968</t>
  </si>
  <si>
    <t xml:space="preserve">PAR-02969</t>
  </si>
  <si>
    <t xml:space="preserve">PAR-02970</t>
  </si>
  <si>
    <t xml:space="preserve">PAR-02971</t>
  </si>
  <si>
    <t xml:space="preserve">R=2–3: защита не срабатывает.</t>
  </si>
  <si>
    <t xml:space="preserve">PAR-02972</t>
  </si>
  <si>
    <t xml:space="preserve">R=1: сковать обе руки персонажа.</t>
  </si>
  <si>
    <t xml:space="preserve">PAR-02973</t>
  </si>
  <si>
    <t xml:space="preserve">PAR-02974</t>
  </si>
  <si>
    <t xml:space="preserve">PAR-02975</t>
  </si>
  <si>
    <t xml:space="preserve">PAR-02976</t>
  </si>
  <si>
    <t xml:space="preserve">слюна вырабатывается в L раз больше обычной; стартовое горение 3 минуты/3 хода.</t>
  </si>
  <si>
    <t xml:space="preserve">PAR-02977</t>
  </si>
  <si>
    <t xml:space="preserve">PAR-02978</t>
  </si>
  <si>
    <t xml:space="preserve">PAR-02979</t>
  </si>
  <si>
    <t xml:space="preserve">PAR-02980</t>
  </si>
  <si>
    <t xml:space="preserve">указанные зоны не получают повреждений от температуры пламени до 4 минут/4 ходов; слюна не прилипает внутри рта.</t>
  </si>
  <si>
    <t xml:space="preserve">PAR-02981</t>
  </si>
  <si>
    <t xml:space="preserve">[Q-SYM-028] Четыре минуты/четыре боевых хода считаются отдельно для каждого непрерывного эпизода воздействия огня на рот и глотку.</t>
  </si>
  <si>
    <t xml:space="preserve">PAR-02982</t>
  </si>
  <si>
    <t xml:space="preserve">PAR-02983</t>
  </si>
  <si>
    <t xml:space="preserve">PAR-02984</t>
  </si>
  <si>
    <t xml:space="preserve">PAR-02985</t>
  </si>
  <si>
    <t xml:space="preserve">PAR-02986</t>
  </si>
  <si>
    <t xml:space="preserve">PAR-02987</t>
  </si>
  <si>
    <t xml:space="preserve">A=1: обнулить все ОЭ Дракона и запретить восстановление симбиотическим отваром 1 час.</t>
  </si>
  <si>
    <t xml:space="preserve">PAR-02988</t>
  </si>
  <si>
    <t xml:space="preserve">PAR-02989</t>
  </si>
  <si>
    <t xml:space="preserve">PAR-02990</t>
  </si>
  <si>
    <t xml:space="preserve">PAR-02991</t>
  </si>
  <si>
    <t xml:space="preserve">PAR-02992</t>
  </si>
  <si>
    <t xml:space="preserve">PAR-02993</t>
  </si>
  <si>
    <t xml:space="preserve">PAR-02994</t>
  </si>
  <si>
    <t xml:space="preserve">A≥4: длина струи A/4+L м; на каждую цель под струёй наложить горение на R6 элементов экипировки; при R6=6 горит вся экипировка, включая рюкзак.</t>
  </si>
  <si>
    <t xml:space="preserve">PAR-02995</t>
  </si>
  <si>
    <t xml:space="preserve">PAR-02996</t>
  </si>
  <si>
    <t xml:space="preserve">PAR-02997</t>
  </si>
  <si>
    <t xml:space="preserve">PAR-02998</t>
  </si>
  <si>
    <t xml:space="preserve">[Q-SYM-029] После успешной активации строится отрезок от позиции носителя длиной R20/4+L метров и шириной 1 метр.</t>
  </si>
  <si>
    <t xml:space="preserve">PAR-02999</t>
  </si>
  <si>
    <t xml:space="preserve">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t>
  </si>
  <si>
    <t xml:space="preserve">PAR-03000</t>
  </si>
  <si>
    <t xml:space="preserve">PAR-03001</t>
  </si>
  <si>
    <t xml:space="preserve">Активная защита от струи не выполняется.</t>
  </si>
  <si>
    <t xml:space="preserve">PAR-03002</t>
  </si>
  <si>
    <t xml:space="preserve">PAR-03003</t>
  </si>
  <si>
    <t xml:space="preserve">обычный отдых и иные способы восстановления не запрещены текстом.</t>
  </si>
  <si>
    <t xml:space="preserve">PAR-03004</t>
  </si>
  <si>
    <t xml:space="preserve">PAR-03005</t>
  </si>
  <si>
    <t xml:space="preserve">PAR-03006</t>
  </si>
  <si>
    <t xml:space="preserve">PAR-03007</t>
  </si>
  <si>
    <t xml:space="preserve">PAR-03008</t>
  </si>
  <si>
    <t xml:space="preserve">PAR-03009</t>
  </si>
  <si>
    <t xml:space="preserve">PAR-03010</t>
  </si>
  <si>
    <t xml:space="preserve">PAR-03011</t>
  </si>
  <si>
    <t xml:space="preserve">PAR-03012</t>
  </si>
  <si>
    <t xml:space="preserve">[Q-SYM-077] Строка «Стоимость: 30 ОЭ» считается опечаткой.</t>
  </si>
  <si>
    <t xml:space="preserve">PAR-03013</t>
  </si>
  <si>
    <t xml:space="preserve">PAR-03014</t>
  </si>
  <si>
    <t xml:space="preserve">заменить стартовую длительность на 6 ходов.</t>
  </si>
  <si>
    <t xml:space="preserve">PAR-03015</t>
  </si>
  <si>
    <t xml:space="preserve">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</si>
  <si>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PAR-03016</t>
  </si>
  <si>
    <t xml:space="preserve">PAR-03017</t>
  </si>
  <si>
    <t xml:space="preserve">PAR-03018</t>
  </si>
  <si>
    <t xml:space="preserve">PAR-03019</t>
  </si>
  <si>
    <t xml:space="preserve">PAR-03020</t>
  </si>
  <si>
    <t xml:space="preserve">PAR-03021</t>
  </si>
  <si>
    <t xml:space="preserve">A≥4: max дальность 2A+L м; радиус R м; штраф каждой цели на уклонение из зоны = R; при поражении нанести чистый урон D+L без проверки травмы и наложить горение на все элементы экипировки; если в зоне тела нет одежды/экипировки, горит кожа.</t>
  </si>
  <si>
    <t xml:space="preserve">PAR-03022</t>
  </si>
  <si>
    <t xml:space="preserve">A=2–3: эффекта нет.</t>
  </si>
  <si>
    <t xml:space="preserve">PAR-03023</t>
  </si>
  <si>
    <t xml:space="preserve">A=1: применить под ноги носителя с «максимальной мощностью и радиусом».</t>
  </si>
  <si>
    <t xml:space="preserve">PAR-03024</t>
  </si>
  <si>
    <t xml:space="preserve">PAR-03025</t>
  </si>
  <si>
    <t xml:space="preserve">PAR-03026</t>
  </si>
  <si>
    <t xml:space="preserve">PAR-03027</t>
  </si>
  <si>
    <t xml:space="preserve">[Q-SYM-031] 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t>
  </si>
  <si>
    <t xml:space="preserve">PAR-03028</t>
  </si>
  <si>
    <t xml:space="preserve">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t>
  </si>
  <si>
    <t xml:space="preserve">PAR-03029</t>
  </si>
  <si>
    <t xml:space="preserve">Для Советника один раз бросить R20 и зафиксировать «постоянный бонус к минимальному I = R20/4»; способ сложения с базовым минимумом и минимумом 4 от поглощённого Учителя требует решения.</t>
  </si>
  <si>
    <t xml:space="preserve">PAR-03030</t>
  </si>
  <si>
    <t xml:space="preserve">PAR-03031</t>
  </si>
  <si>
    <t xml:space="preserve">[Q-SYM-073] При начале подавления один раз определяется бонус B=R20/4 с общим математическим округлением.</t>
  </si>
  <si>
    <t xml:space="preserve">PAR-03032</t>
  </si>
  <si>
    <t xml:space="preserve">PAR-03033</t>
  </si>
  <si>
    <t xml:space="preserve">PAR-03034</t>
  </si>
  <si>
    <t xml:space="preserve">PAR-03035</t>
  </si>
  <si>
    <t xml:space="preserve">PAR-03036</t>
  </si>
  <si>
    <t xml:space="preserve">PAR-03037</t>
  </si>
  <si>
    <t xml:space="preserve">PAR-03038</t>
  </si>
  <si>
    <t xml:space="preserve">PAR-03039</t>
  </si>
  <si>
    <t xml:space="preserve">Если поглощён Учитель, минимум I и W=4 (складывается с «подавленным советником»).</t>
  </si>
  <si>
    <t xml:space="preserve">PAR-03040</t>
  </si>
  <si>
    <t xml:space="preserve">После поглощения одного из {Учитель, Дельфин} slotCost=2; обоих — 3.</t>
  </si>
  <si>
    <t xml:space="preserve">PAR-03041</t>
  </si>
  <si>
    <t xml:space="preserve">Поглощение Дельфина немедленно устанавливает L=5.</t>
  </si>
  <si>
    <t xml:space="preserve">PAR-03042</t>
  </si>
  <si>
    <t xml:space="preserve">судьба способностей при принудительном L=5 не определена.</t>
  </si>
  <si>
    <t xml:space="preserve">PAR-03043</t>
  </si>
  <si>
    <t xml:space="preserve">PAR-03044</t>
  </si>
  <si>
    <t xml:space="preserve">PAR-03045</t>
  </si>
  <si>
    <t xml:space="preserve">PAR-03046</t>
  </si>
  <si>
    <t xml:space="preserve">PAR-03047</t>
  </si>
  <si>
    <t xml:space="preserve">[Q-SYM-033] Считается суммарное количество фактически потерянных HP за текущую схватку, включая повторную потерю восстановленных HP.</t>
  </si>
  <si>
    <t xml:space="preserve">PAR-03048</t>
  </si>
  <si>
    <t xml:space="preserve">PAR-03049</t>
  </si>
  <si>
    <t xml:space="preserve">PAR-03050</t>
  </si>
  <si>
    <t xml:space="preserve">PAR-03051</t>
  </si>
  <si>
    <t xml:space="preserve">PAR-03052</t>
  </si>
  <si>
    <t xml:space="preserve">Разница 1–8: глухота 30 минут/6 ходов.</t>
  </si>
  <si>
    <t xml:space="preserve">PAR-03053</t>
  </si>
  <si>
    <t xml:space="preserve">9–18: глухота + «страх» (−1 действие в серии) на тот же срок.</t>
  </si>
  <si>
    <t xml:space="preserve">PAR-03054</t>
  </si>
  <si>
    <t xml:space="preserve">&gt;18: бессознательность 5 минут/1 ход.</t>
  </si>
  <si>
    <t xml:space="preserve">PAR-03055</t>
  </si>
  <si>
    <t xml:space="preserve">PAR-03056</t>
  </si>
  <si>
    <t xml:space="preserve">PAR-03057</t>
  </si>
  <si>
    <t xml:space="preserve">PAR-03058</t>
  </si>
  <si>
    <t xml:space="preserve">PAR-03059</t>
  </si>
  <si>
    <t xml:space="preserve">PAR-03060</t>
  </si>
  <si>
    <t xml:space="preserve">PAR-03061</t>
  </si>
  <si>
    <t xml:space="preserve">PAR-03062</t>
  </si>
  <si>
    <t xml:space="preserve">PAR-03063</t>
  </si>
  <si>
    <t xml:space="preserve">PAR-03064</t>
  </si>
  <si>
    <t xml:space="preserve">PAR-03065</t>
  </si>
  <si>
    <t xml:space="preserve">PAR-03066</t>
  </si>
  <si>
    <t xml:space="preserve">[Q-SYM-035] Эффект действует до конца текущей схватки.</t>
  </si>
  <si>
    <t xml:space="preserve">PAR-03067</t>
  </si>
  <si>
    <t xml:space="preserve">Его обязательное механическое последствие — немедленно обнулить и до конца эффекта запретить накопление бонуса «Трогр крушить!».</t>
  </si>
  <si>
    <t xml:space="preserve">PAR-03068</t>
  </si>
  <si>
    <t xml:space="preserve">PAR-03069</t>
  </si>
  <si>
    <t xml:space="preserve">После 4-часового сна нового тела и полного восстановления ОЭ за сутки стереть его личность; установить I,W,C от исходного хозяина, остальные характеристики — от нового тела.</t>
  </si>
  <si>
    <t xml:space="preserve">PAR-03070</t>
  </si>
  <si>
    <t xml:space="preserve">[Q-SYM-036] Проникновение в добровольного, бессознательного или полностью обездвиженного Единого/Вольного занимает 1 действие.</t>
  </si>
  <si>
    <t xml:space="preserve">PAR-03071</t>
  </si>
  <si>
    <t xml:space="preserve">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</si>
  <si>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PAR-03072</t>
  </si>
  <si>
    <t xml:space="preserve">PAR-03073</t>
  </si>
  <si>
    <t xml:space="preserve">для занятия ниши Хранитель должен иметь запас ОЭ строго больше запаса выбранного симбионта, убить его и уменьшить собственные ОЭ на запас ОЭ жертвы до восстановления.</t>
  </si>
  <si>
    <t xml:space="preserve">PAR-03074</t>
  </si>
  <si>
    <t xml:space="preserve">PAR-03075</t>
  </si>
  <si>
    <t xml:space="preserve">[Q-SYM-074] Сравниваются текущие ОЭ обоих симбионтов непосредственно перед боем.</t>
  </si>
  <si>
    <t xml:space="preserve">PAR-03076</t>
  </si>
  <si>
    <t xml:space="preserve">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</si>
  <si>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PAR-03077</t>
  </si>
  <si>
    <t xml:space="preserve">PAR-03078</t>
  </si>
  <si>
    <t xml:space="preserve">PAR-03079</t>
  </si>
  <si>
    <t xml:space="preserve">PAR-03080</t>
  </si>
  <si>
    <t xml:space="preserve">PAR-03081</t>
  </si>
  <si>
    <t xml:space="preserve">PAR-03082</t>
  </si>
  <si>
    <t xml:space="preserve">PAR-03083</t>
  </si>
  <si>
    <t xml:space="preserve">правило включено как часть механики выбора нового тела, а не социальная проверка.</t>
  </si>
  <si>
    <t xml:space="preserve">PAR-03084</t>
  </si>
  <si>
    <t xml:space="preserve">PAR-03085</t>
  </si>
  <si>
    <t xml:space="preserve">R=1: дополнительно потерять 100 ОЭ.</t>
  </si>
  <si>
    <t xml:space="preserve">PAR-03086</t>
  </si>
  <si>
    <t xml:space="preserve">PAR-03087</t>
  </si>
  <si>
    <t xml:space="preserve">PAR-03088</t>
  </si>
  <si>
    <t xml:space="preserve">R=2–4: данных нет</t>
  </si>
  <si>
    <t xml:space="preserve">PAR-03089</t>
  </si>
  <si>
    <t xml:space="preserve">PAR-03090</t>
  </si>
  <si>
    <t xml:space="preserve">PAR-03091</t>
  </si>
  <si>
    <t xml:space="preserve">PAR-03092</t>
  </si>
  <si>
    <t xml:space="preserve">PAR-03093</t>
  </si>
  <si>
    <t xml:space="preserve">PAR-03094</t>
  </si>
  <si>
    <t xml:space="preserve">PAR-03095</t>
  </si>
  <si>
    <t xml:space="preserve">PAR-03096</t>
  </si>
  <si>
    <t xml:space="preserve">PAR-03097</t>
  </si>
  <si>
    <t xml:space="preserve">PAR-03098</t>
  </si>
  <si>
    <t xml:space="preserve">R=1: дополнительно потерять 200 ОЭ.</t>
  </si>
  <si>
    <t xml:space="preserve">PAR-03099</t>
  </si>
  <si>
    <t xml:space="preserve">PAR-03100</t>
  </si>
  <si>
    <t xml:space="preserve">PAR-03101</t>
  </si>
  <si>
    <t xml:space="preserve">R=2–3: эффекта нет.</t>
  </si>
  <si>
    <t xml:space="preserve">PAR-03102</t>
  </si>
  <si>
    <t xml:space="preserve">PAR-03103</t>
  </si>
  <si>
    <t xml:space="preserve">PAR-03104</t>
  </si>
  <si>
    <t xml:space="preserve">PAR-03105</t>
  </si>
  <si>
    <t xml:space="preserve">PAR-03106</t>
  </si>
  <si>
    <t xml:space="preserve">PAR-03107</t>
  </si>
  <si>
    <t xml:space="preserve">за каждую минуту/боевой ход полёта списывать 20 ОЭ; в полёте добавить +10 к уклонению от ближней атаки и +20 от дальней.</t>
  </si>
  <si>
    <t xml:space="preserve">PAR-03108</t>
  </si>
  <si>
    <t xml:space="preserve">[Q-SYM-037] Взлёт и посадка требуют по 1 боевому действию.</t>
  </si>
  <si>
    <t xml:space="preserve">PAR-03109</t>
  </si>
  <si>
    <t xml:space="preserve">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</si>
  <si>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PAR-03110</t>
  </si>
  <si>
    <t xml:space="preserve">При любой причине состояние полёта снимается немедленно до новых действий.</t>
  </si>
  <si>
    <t xml:space="preserve">PAR-03111</t>
  </si>
  <si>
    <t xml:space="preserve">PAR-03112</t>
  </si>
  <si>
    <t xml:space="preserve">PAR-03113</t>
  </si>
  <si>
    <t xml:space="preserve">PAR-03114</t>
  </si>
  <si>
    <t xml:space="preserve">PAR-03115</t>
  </si>
  <si>
    <t xml:space="preserve">PAR-03116</t>
  </si>
  <si>
    <t xml:space="preserve">PAR-03117</t>
  </si>
  <si>
    <t xml:space="preserve">PAR-03118</t>
  </si>
  <si>
    <t xml:space="preserve">PAR-03119</t>
  </si>
  <si>
    <t xml:space="preserve">PAR-03120</t>
  </si>
  <si>
    <t xml:space="preserve">PAR-03121</t>
  </si>
  <si>
    <t xml:space="preserve">PAR-03122</t>
  </si>
  <si>
    <t xml:space="preserve">PAR-03123</t>
  </si>
  <si>
    <t xml:space="preserve">PAR-03124</t>
  </si>
  <si>
    <t xml:space="preserve">сохранить материал исходного набора.</t>
  </si>
  <si>
    <t xml:space="preserve">PAR-03125</t>
  </si>
  <si>
    <t xml:space="preserve">При заселении Вольного материал потерять.</t>
  </si>
  <si>
    <t xml:space="preserve">PAR-03126</t>
  </si>
  <si>
    <t xml:space="preserve">Хранитель не дублируется, текущие ОЭ новых симбионтов равны 0 и тем же отдыхом не восстанавливаются.</t>
  </si>
  <si>
    <t xml:space="preserve">PAR-03127</t>
  </si>
  <si>
    <t xml:space="preserve">PAR-03128</t>
  </si>
  <si>
    <t xml:space="preserve">PAR-03129</t>
  </si>
  <si>
    <t xml:space="preserve">PAR-03130</t>
  </si>
  <si>
    <t xml:space="preserve">PAR-03131</t>
  </si>
  <si>
    <t xml:space="preserve">PAR-03132</t>
  </si>
  <si>
    <t xml:space="preserve">PAR-03133</t>
  </si>
  <si>
    <t xml:space="preserve">PAR-03134</t>
  </si>
  <si>
    <t xml:space="preserve">A=1: дополнительно потерять 200 ОЭ.</t>
  </si>
  <si>
    <t xml:space="preserve">PAR-03135</t>
  </si>
  <si>
    <t xml:space="preserve">PAR-03136</t>
  </si>
  <si>
    <t xml:space="preserve">PAR-03137</t>
  </si>
  <si>
    <t xml:space="preserve">A≥3: стандартная дальняя атака, пробитие=A, урон=D+L</t>
  </si>
  <si>
    <t xml:space="preserve">PAR-03138</t>
  </si>
  <si>
    <t xml:space="preserve">A=2: нет эффекта</t>
  </si>
  <si>
    <t xml:space="preserve">PAR-03139</t>
  </si>
  <si>
    <t xml:space="preserve">PAR-03140</t>
  </si>
  <si>
    <t xml:space="preserve">PAR-03141</t>
  </si>
  <si>
    <t xml:space="preserve">PAR-03142</t>
  </si>
  <si>
    <t xml:space="preserve">PAR-03143</t>
  </si>
  <si>
    <t xml:space="preserve">PAR-03144</t>
  </si>
  <si>
    <t xml:space="preserve">[Q-SYM-040] Строка «Стоимость: 30 ОЭ» считается опечаткой.</t>
  </si>
  <si>
    <t xml:space="preserve">PAR-03145</t>
  </si>
  <si>
    <t xml:space="preserve">в карточке указана стоимость 30 ОЭ, хотя способность пассивная и maxOE L1=20.</t>
  </si>
  <si>
    <t xml:space="preserve">PAR-03146</t>
  </si>
  <si>
    <t xml:space="preserve">PAR-03147</t>
  </si>
  <si>
    <t xml:space="preserve">определить собственные I=R20+8, затем W=отдельный R20+8; игрок выбирает отдельный набор навыков; число слотов рассчитывается по W Советника как у носителя.</t>
  </si>
  <si>
    <t xml:space="preserve">PAR-03148</t>
  </si>
  <si>
    <t xml:space="preserve">PAR-03149</t>
  </si>
  <si>
    <t xml:space="preserve">PAR-03150</t>
  </si>
  <si>
    <t xml:space="preserve">PAR-03151</t>
  </si>
  <si>
    <t xml:space="preserve">на время контроля заменить набор навыков тела на набор Советника; каждые 5 минут/1 боевой ход списывать 10 ОЭ.</t>
  </si>
  <si>
    <t xml:space="preserve">PAR-03152</t>
  </si>
  <si>
    <t xml:space="preserve">Возврат против воли Советника занимает 5 минут/1 ход.</t>
  </si>
  <si>
    <t xml:space="preserve">PAR-03153</t>
  </si>
  <si>
    <t xml:space="preserve">[Q-SYM-041] 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t>
  </si>
  <si>
    <t xml:space="preserve">PAR-03154</t>
  </si>
  <si>
    <t xml:space="preserve">PAR-03155</t>
  </si>
  <si>
    <t xml:space="preserve">PAR-03156</t>
  </si>
  <si>
    <t xml:space="preserve">PAR-03157</t>
  </si>
  <si>
    <t xml:space="preserve">PAR-03158</t>
  </si>
  <si>
    <t xml:space="preserve">Автоматическое управление от «Системы устойчивости» ОЭ не расходует и прекращается при возвращении ясного сознания носителя.</t>
  </si>
  <si>
    <t xml:space="preserve">PAR-03159</t>
  </si>
  <si>
    <t xml:space="preserve">при нехватке ОЭ поведение не задано.</t>
  </si>
  <si>
    <t xml:space="preserve">PAR-03160</t>
  </si>
  <si>
    <t xml:space="preserve">PAR-03161</t>
  </si>
  <si>
    <t xml:space="preserve">PAR-03162</t>
  </si>
  <si>
    <t xml:space="preserve">PAR-03163</t>
  </si>
  <si>
    <t xml:space="preserve">PAR-03164</t>
  </si>
  <si>
    <t xml:space="preserve">PAR-03165</t>
  </si>
  <si>
    <t xml:space="preserve">PAR-03166</t>
  </si>
  <si>
    <t xml:space="preserve">Добровольный возврат в начале хода бесплатен, принудительный занимает полный ход/5 минут.</t>
  </si>
  <si>
    <t xml:space="preserve">PAR-03167</t>
  </si>
  <si>
    <t xml:space="preserve">PAR-03168</t>
  </si>
  <si>
    <t xml:space="preserve">PAR-03169</t>
  </si>
  <si>
    <t xml:space="preserve">передать интеллект Советника на одну проверку, затем отключить Советника на 12 часов.</t>
  </si>
  <si>
    <t xml:space="preserve">PAR-03170</t>
  </si>
  <si>
    <t xml:space="preserve">Навык и остальные модификаторы используются у носителя; после проверки Советник отключается на 12 часов.</t>
  </si>
  <si>
    <t xml:space="preserve">PAR-03171</t>
  </si>
  <si>
    <t xml:space="preserve">PAR-03172</t>
  </si>
  <si>
    <t xml:space="preserve">PAR-03173</t>
  </si>
  <si>
    <t xml:space="preserve">PAR-03174</t>
  </si>
  <si>
    <t xml:space="preserve">PAR-03175</t>
  </si>
  <si>
    <t xml:space="preserve">PAR-03176</t>
  </si>
  <si>
    <t xml:space="preserve">PAR-03177</t>
  </si>
  <si>
    <t xml:space="preserve">PAR-03178</t>
  </si>
  <si>
    <t xml:space="preserve">PAR-03179</t>
  </si>
  <si>
    <t xml:space="preserve">PAR-03180</t>
  </si>
  <si>
    <t xml:space="preserve">PAR-03181</t>
  </si>
  <si>
    <t xml:space="preserve">PAR-03182</t>
  </si>
  <si>
    <t xml:space="preserve">PAR-03183</t>
  </si>
  <si>
    <t xml:space="preserve">PAR-03184</t>
  </si>
  <si>
    <t xml:space="preserve">[Q-SYM-044] Выпускание когтей занимает одну полную минуту вне боя или весь боевой ход и стоит 30 ОЭ; дополнительное действие не добавляется.</t>
  </si>
  <si>
    <t xml:space="preserve">PAR-03185</t>
  </si>
  <si>
    <t xml:space="preserve">PAR-03186</t>
  </si>
  <si>
    <t xml:space="preserve">Разрешить втянуть когти без ОЭ.</t>
  </si>
  <si>
    <t xml:space="preserve">PAR-03187</t>
  </si>
  <si>
    <t xml:space="preserve">PAR-03188</t>
  </si>
  <si>
    <t xml:space="preserve">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</si>
  <si>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PAR-03189</t>
  </si>
  <si>
    <t xml:space="preserve">PAR-03190</t>
  </si>
  <si>
    <t xml:space="preserve">по завершении вывести 5 когтей; для каждой атаки урон=R20+S_mod, пробитие=отдельный R20+L, точность модифицировать D, общий модификатор — рукопашный бой; без навыка штраф не применять.</t>
  </si>
  <si>
    <t xml:space="preserve">PAR-03191</t>
  </si>
  <si>
    <t xml:space="preserve">PAR-03192</t>
  </si>
  <si>
    <t xml:space="preserve">PAR-03193</t>
  </si>
  <si>
    <t xml:space="preserve">PAR-03194</t>
  </si>
  <si>
    <t xml:space="preserve">PAR-03195</t>
  </si>
  <si>
    <t xml:space="preserve">PAR-03196</t>
  </si>
  <si>
    <t xml:space="preserve">R≥3: выпустить гарпун; грузоподъёмность S×L кг; после попадания отдельным действием выбрать втянуть гарпун, подтянуть носителя либо попытаться притянуть цель.</t>
  </si>
  <si>
    <t xml:space="preserve">PAR-03197</t>
  </si>
  <si>
    <t xml:space="preserve">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t>
  </si>
  <si>
    <t xml:space="preserve">PAR-03198</t>
  </si>
  <si>
    <t xml:space="preserve">PAR-03199</t>
  </si>
  <si>
    <t xml:space="preserve">PAR-03200</t>
  </si>
  <si>
    <t xml:space="preserve">чистый R20 активации</t>
  </si>
  <si>
    <t xml:space="preserve">PAR-03201</t>
  </si>
  <si>
    <t xml:space="preserve">PAR-03202</t>
  </si>
  <si>
    <t xml:space="preserve">PAR-03203</t>
  </si>
  <si>
    <t xml:space="preserve">R=1: выстрелить в случайную другую цель подходящей дальности, включая носителя.</t>
  </si>
  <si>
    <t xml:space="preserve">PAR-03204</t>
  </si>
  <si>
    <t xml:space="preserve">Объект тяжелее S×L кг переместить нельзя.</t>
  </si>
  <si>
    <t xml:space="preserve">PAR-03205</t>
  </si>
  <si>
    <t xml:space="preserve">PAR-03206</t>
  </si>
  <si>
    <t xml:space="preserve">При потере гарпуна восстановление 8−L суток.</t>
  </si>
  <si>
    <t xml:space="preserve">PAR-03207</t>
  </si>
  <si>
    <t xml:space="preserve">PAR-03208</t>
  </si>
  <si>
    <t xml:space="preserve">PAR-03209</t>
  </si>
  <si>
    <t xml:space="preserve">бросить один R20 и переместить прыжком на (R20)×2 метров; один раз за боевую ситуацию разрешить сократить дистанцию до противника без расхода действия.</t>
  </si>
  <si>
    <t xml:space="preserve">PAR-03210</t>
  </si>
  <si>
    <t xml:space="preserve">[Q-SYM-046] 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t>
  </si>
  <si>
    <t xml:space="preserve">PAR-03211</t>
  </si>
  <si>
    <t xml:space="preserve">PAR-03212</t>
  </si>
  <si>
    <t xml:space="preserve">PAR-03213</t>
  </si>
  <si>
    <t xml:space="preserve">PAR-03214</t>
  </si>
  <si>
    <t xml:space="preserve">цена ОЭ и бросок при бесплатном сокращении не уточнены.</t>
  </si>
  <si>
    <t xml:space="preserve">PAR-03215</t>
  </si>
  <si>
    <t xml:space="preserve">PAR-03216</t>
  </si>
  <si>
    <t xml:space="preserve">PAR-03217</t>
  </si>
  <si>
    <t xml:space="preserve">PAR-03218</t>
  </si>
  <si>
    <t xml:space="preserve">PAR-03219</t>
  </si>
  <si>
    <t xml:space="preserve">PAR-03220</t>
  </si>
  <si>
    <t xml:space="preserve">PAR-03221</t>
  </si>
  <si>
    <t xml:space="preserve">PAR-03222</t>
  </si>
  <si>
    <t xml:space="preserve">PAR-03223</t>
  </si>
  <si>
    <t xml:space="preserve">До посадки персонаж не совершает иных действий, кроме изменения направления.</t>
  </si>
  <si>
    <t xml:space="preserve">PAR-03224</t>
  </si>
  <si>
    <t xml:space="preserve">PAR-03225</t>
  </si>
  <si>
    <t xml:space="preserve">PAR-03226</t>
  </si>
  <si>
    <t xml:space="preserve">[Q-SYM-047] После прыжка более чем на 20 м персонаж отдельно оплачивает 60 ОЭ и выполняет проверку «Крыльев».</t>
  </si>
  <si>
    <t xml:space="preserve">PAR-03227</t>
  </si>
  <si>
    <t xml:space="preserve">первый чистый R20 A; при A≤10 отдельный R20 multiplier</t>
  </si>
  <si>
    <t xml:space="preserve">PAR-03228</t>
  </si>
  <si>
    <t xml:space="preserve">A≤10: увеличить дальность исходного прыжка в отдельный R20 раз.</t>
  </si>
  <si>
    <t xml:space="preserve">PAR-03229</t>
  </si>
  <si>
    <t xml:space="preserve">A≥11: начать полёт; max дальность max(0,M×L−C) км; при 0 приземлиться после прыжка.</t>
  </si>
  <si>
    <t xml:space="preserve">PAR-03230</t>
  </si>
  <si>
    <t xml:space="preserve">PAR-03231</t>
  </si>
  <si>
    <t xml:space="preserve">При результате 10- увеличение прыжка разрешается в пределах текущего хода по тексту способности.</t>
  </si>
  <si>
    <t xml:space="preserve">PAR-03232</t>
  </si>
  <si>
    <t xml:space="preserve">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t>
  </si>
  <si>
    <t xml:space="preserve">PAR-03233</t>
  </si>
  <si>
    <t xml:space="preserve">PAR-03234</t>
  </si>
  <si>
    <t xml:space="preserve">действия и хранение нити не заданы.</t>
  </si>
  <si>
    <t xml:space="preserve">PAR-03235</t>
  </si>
  <si>
    <t xml:space="preserve">PAR-03236</t>
  </si>
  <si>
    <t xml:space="preserve">PAR-03237</t>
  </si>
  <si>
    <t xml:space="preserve">PAR-03238</t>
  </si>
  <si>
    <t xml:space="preserve">занять max(1, round((20−R)/5)) минут или полных ходов после общего округления; создать точку с нагрузкой 100L кг.</t>
  </si>
  <si>
    <t xml:space="preserve">PAR-03239</t>
  </si>
  <si>
    <t xml:space="preserve">PAR-03240</t>
  </si>
  <si>
    <t xml:space="preserve">PAR-03241</t>
  </si>
  <si>
    <t xml:space="preserve">PAR-03242</t>
  </si>
  <si>
    <t xml:space="preserve">PAR-03243</t>
  </si>
  <si>
    <t xml:space="preserve">PAR-03244</t>
  </si>
  <si>
    <t xml:space="preserve">PAR-03245</t>
  </si>
  <si>
    <t xml:space="preserve">PAR-03246</t>
  </si>
  <si>
    <t xml:space="preserve">Отсоединение нити от запястья занимает 1 минуту/1 действие.</t>
  </si>
  <si>
    <t xml:space="preserve">PAR-03247</t>
  </si>
  <si>
    <t xml:space="preserve">Носитель отсоединяет нить за 1 действие; цель освобождается за 1 действие и успешную проверку R20+S против 15+L.</t>
  </si>
  <si>
    <t xml:space="preserve">PAR-03248</t>
  </si>
  <si>
    <t xml:space="preserve">PAR-03249</t>
  </si>
  <si>
    <t xml:space="preserve">PAR-03250</t>
  </si>
  <si>
    <t xml:space="preserve">PAR-03251</t>
  </si>
  <si>
    <t xml:space="preserve">R=1: носитель запутан, −5 ко всем проверкам до освобождения.</t>
  </si>
  <si>
    <t xml:space="preserve">PAR-03252</t>
  </si>
  <si>
    <t xml:space="preserve">PAR-03253</t>
  </si>
  <si>
    <t xml:space="preserve">PAR-03254</t>
  </si>
  <si>
    <t xml:space="preserve">PAR-03255</t>
  </si>
  <si>
    <t xml:space="preserve">PAR-03256</t>
  </si>
  <si>
    <t xml:space="preserve">PAR-03257</t>
  </si>
  <si>
    <t xml:space="preserve">PAR-03258</t>
  </si>
  <si>
    <t xml:space="preserve">R=1: руки носителя скованы на 20 минут/4 хода.</t>
  </si>
  <si>
    <t xml:space="preserve">PAR-03259</t>
  </si>
  <si>
    <t xml:space="preserve">PAR-03260</t>
  </si>
  <si>
    <t xml:space="preserve">PAR-03261</t>
  </si>
  <si>
    <t xml:space="preserve">PAR-03262</t>
  </si>
  <si>
    <t xml:space="preserve">PAR-03263</t>
  </si>
  <si>
    <t xml:space="preserve">R≥3: выстрелить сетью 2×2 м; при попадании цель получает −5 ко всем проверкам до освобождения.</t>
  </si>
  <si>
    <t xml:space="preserve">PAR-03264</t>
  </si>
  <si>
    <t xml:space="preserve">PAR-03265</t>
  </si>
  <si>
    <t xml:space="preserve">PAR-03266</t>
  </si>
  <si>
    <t xml:space="preserve">PAR-03267</t>
  </si>
  <si>
    <t xml:space="preserve">PAR-03268</t>
  </si>
  <si>
    <t xml:space="preserve">PAR-03269</t>
  </si>
  <si>
    <t xml:space="preserve">PAR-03270</t>
  </si>
  <si>
    <t xml:space="preserve">PAR-03271</t>
  </si>
  <si>
    <t xml:space="preserve">PAR-03272</t>
  </si>
  <si>
    <t xml:space="preserve">PAR-03273</t>
  </si>
  <si>
    <t xml:space="preserve">R=1: на 1 час окрас мухомора, −5 к скрытности и C-проверкам.</t>
  </si>
  <si>
    <t xml:space="preserve">PAR-03274</t>
  </si>
  <si>
    <t xml:space="preserve">PAR-03275</t>
  </si>
  <si>
    <t xml:space="preserve">PAR-03276</t>
  </si>
  <si>
    <t xml:space="preserve">PAR-03277</t>
  </si>
  <si>
    <t xml:space="preserve">PAR-03278</t>
  </si>
  <si>
    <t xml:space="preserve">PAR-03279</t>
  </si>
  <si>
    <t xml:space="preserve">PAR-03280</t>
  </si>
  <si>
    <t xml:space="preserve">PAR-03281</t>
  </si>
  <si>
    <t xml:space="preserve">PAR-03282</t>
  </si>
  <si>
    <t xml:space="preserve">PAR-03283</t>
  </si>
  <si>
    <t xml:space="preserve">PAR-03284</t>
  </si>
  <si>
    <t xml:space="preserve">PAR-03285</t>
  </si>
  <si>
    <t xml:space="preserve">PAR-03286</t>
  </si>
  <si>
    <t xml:space="preserve">PAR-03287</t>
  </si>
  <si>
    <t xml:space="preserve">PAR-03288</t>
  </si>
  <si>
    <t xml:space="preserve">PAR-03289</t>
  </si>
  <si>
    <t xml:space="preserve">PAR-03290</t>
  </si>
  <si>
    <t xml:space="preserve">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</si>
  <si>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PAR-03291</t>
  </si>
  <si>
    <t xml:space="preserve">PAR-03292</t>
  </si>
  <si>
    <t xml:space="preserve">базово единовременно вырабатывать ровно один выбранный тип; смена занимает 1 минуту/1 боевой ход.</t>
  </si>
  <si>
    <t xml:space="preserve">PAR-03293</t>
  </si>
  <si>
    <t xml:space="preserve">PAR-03294</t>
  </si>
  <si>
    <t xml:space="preserve">Полное отключение длится 2 хода/2 минуты, повторное включение выбранного типа — 1 ход/1 минуту.</t>
  </si>
  <si>
    <t xml:space="preserve">PAR-03295</t>
  </si>
  <si>
    <t xml:space="preserve">PAR-03296</t>
  </si>
  <si>
    <t xml:space="preserve">PAR-03297</t>
  </si>
  <si>
    <t xml:space="preserve">PAR-03298</t>
  </si>
  <si>
    <t xml:space="preserve">PAR-03299</t>
  </si>
  <si>
    <t xml:space="preserve">PAR-03300</t>
  </si>
  <si>
    <t xml:space="preserve">PAR-03301</t>
  </si>
  <si>
    <t xml:space="preserve">PAR-03302</t>
  </si>
  <si>
    <t xml:space="preserve">R≥4: цель получает +L S и +L D на R/5 минут/ходов.</t>
  </si>
  <si>
    <t xml:space="preserve">PAR-03303</t>
  </si>
  <si>
    <t xml:space="preserve">PAR-03304</t>
  </si>
  <si>
    <t xml:space="preserve">PAR-03305</t>
  </si>
  <si>
    <t xml:space="preserve">PAR-03306</t>
  </si>
  <si>
    <t xml:space="preserve">PAR-03307</t>
  </si>
  <si>
    <t xml:space="preserve">R=1: цель в течение 1 хода пытается убить носителя Пингвина.</t>
  </si>
  <si>
    <t xml:space="preserve">PAR-03308</t>
  </si>
  <si>
    <t xml:space="preserve">PAR-03309</t>
  </si>
  <si>
    <t xml:space="preserve">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</si>
  <si>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PAR-03310</t>
  </si>
  <si>
    <t xml:space="preserve">PAR-03311</t>
  </si>
  <si>
    <t xml:space="preserve">PAR-03312</t>
  </si>
  <si>
    <t xml:space="preserve">PAR-03313</t>
  </si>
  <si>
    <t xml:space="preserve">PAR-03314</t>
  </si>
  <si>
    <t xml:space="preserve">PAR-03315</t>
  </si>
  <si>
    <t xml:space="preserve">PAR-03316</t>
  </si>
  <si>
    <t xml:space="preserve">PAR-03317</t>
  </si>
  <si>
    <t xml:space="preserve">разрешить одновременно до двух выбранных типов; разрешить полное отключение выработки, занимающее 2 минуты/2 хода.</t>
  </si>
  <si>
    <t xml:space="preserve">PAR-03318</t>
  </si>
  <si>
    <t xml:space="preserve">PAR-03319</t>
  </si>
  <si>
    <t xml:space="preserve">PAR-03320</t>
  </si>
  <si>
    <t xml:space="preserve">PAR-03321</t>
  </si>
  <si>
    <t xml:space="preserve">PAR-03322</t>
  </si>
  <si>
    <t xml:space="preserve">PAR-03323</t>
  </si>
  <si>
    <t xml:space="preserve">PAR-03324</t>
  </si>
  <si>
    <t xml:space="preserve">PAR-03325</t>
  </si>
  <si>
    <t xml:space="preserve">PAR-03326</t>
  </si>
  <si>
    <t xml:space="preserve">PAR-03327</t>
  </si>
  <si>
    <t xml:space="preserve">A≥3: на A/4 минут/ходов увеличить радиус феромонов и дальность способностей на B метров.</t>
  </si>
  <si>
    <t xml:space="preserve">PAR-03328</t>
  </si>
  <si>
    <t xml:space="preserve">A=1: запретить выработку феромонов на 3 часа.</t>
  </si>
  <si>
    <t xml:space="preserve">PAR-03329</t>
  </si>
  <si>
    <t xml:space="preserve">PAR-03330</t>
  </si>
  <si>
    <t xml:space="preserve">PAR-03331</t>
  </si>
  <si>
    <t xml:space="preserve">PAR-03332</t>
  </si>
  <si>
    <t xml:space="preserve">A=2: нет эффекта.</t>
  </si>
  <si>
    <t xml:space="preserve">PAR-03333</t>
  </si>
  <si>
    <t xml:space="preserve">PAR-03334</t>
  </si>
  <si>
    <t xml:space="preserve">PAR-03335</t>
  </si>
  <si>
    <t xml:space="preserve">PAR-03336</t>
  </si>
  <si>
    <t xml:space="preserve">PAR-03337</t>
  </si>
  <si>
    <t xml:space="preserve">PAR-03338</t>
  </si>
  <si>
    <t xml:space="preserve">PAR-03339</t>
  </si>
  <si>
    <t xml:space="preserve">PAR-03340</t>
  </si>
  <si>
    <t xml:space="preserve">PAR-03341</t>
  </si>
  <si>
    <t xml:space="preserve">PAR-03342</t>
  </si>
  <si>
    <t xml:space="preserve">R≥3: на R/4 минут/ходов удвоить только числовые бонусы и штрафы эффектов Пингвина.</t>
  </si>
  <si>
    <t xml:space="preserve">PAR-03343</t>
  </si>
  <si>
    <t xml:space="preserve">PAR-03344</t>
  </si>
  <si>
    <t xml:space="preserve">PAR-03345</t>
  </si>
  <si>
    <t xml:space="preserve">PAR-03346</t>
  </si>
  <si>
    <t xml:space="preserve">Не удваивать радиус, длительность, стоимость, число целей и собственный множитель.</t>
  </si>
  <si>
    <t xml:space="preserve">PAR-03347</t>
  </si>
  <si>
    <t xml:space="preserve">Узел самого высокого утраченного уровня помечается утраченным и становится недоступным; ранее потраченный на него опыт не возвращается.</t>
  </si>
  <si>
    <t xml:space="preserve">PAR-03348</t>
  </si>
  <si>
    <t xml:space="preserve">PAR-03349</t>
  </si>
  <si>
    <t xml:space="preserve">PAR-03350</t>
  </si>
  <si>
    <t xml:space="preserve">R=1: Пингвин теряет один уровень.</t>
  </si>
  <si>
    <t xml:space="preserve">PAR-03351</t>
  </si>
  <si>
    <t xml:space="preserve">PAR-03352</t>
  </si>
  <si>
    <t xml:space="preserve">PAR-03353</t>
  </si>
  <si>
    <t xml:space="preserve">PAR-03354</t>
  </si>
  <si>
    <t xml:space="preserve">PAR-03355</t>
  </si>
  <si>
    <t xml:space="preserve">PAR-03356</t>
  </si>
  <si>
    <t xml:space="preserve">PAR-03357</t>
  </si>
  <si>
    <t xml:space="preserve">PAR-03358</t>
  </si>
  <si>
    <t xml:space="preserve">Если A&gt;22−L, оглушить поражённую цель на 5 минут/1 ход; если A&gt;20−L, отключить её симбионтов на тот же срок.</t>
  </si>
  <si>
    <t xml:space="preserve">PAR-03359</t>
  </si>
  <si>
    <t xml:space="preserve">A=1: носитель теряет сознание на 10 минут/2 хода, получает 30 урона, все его симбионты отключаются на тот же срок.</t>
  </si>
  <si>
    <t xml:space="preserve">PAR-03360</t>
  </si>
  <si>
    <t xml:space="preserve">PAR-03361</t>
  </si>
  <si>
    <t xml:space="preserve">PAR-03362</t>
  </si>
  <si>
    <t xml:space="preserve">PAR-03363</t>
  </si>
  <si>
    <t xml:space="preserve">PAR-03364</t>
  </si>
  <si>
    <t xml:space="preserve">[Q-SYM-056] При промахе носитель получает и отдельный обратный урон R20 и все.</t>
  </si>
  <si>
    <t xml:space="preserve">PAR-03365</t>
  </si>
  <si>
    <t xml:space="preserve">PAR-03366</t>
  </si>
  <si>
    <t xml:space="preserve">PAR-03367</t>
  </si>
  <si>
    <t xml:space="preserve">PAR-03368</t>
  </si>
  <si>
    <t xml:space="preserve">R20 A урона; защитные действия; при блоке отдельный R20.</t>
  </si>
  <si>
    <t xml:space="preserve">PAR-03369</t>
  </si>
  <si>
    <t xml:space="preserve">PAR-03370</t>
  </si>
  <si>
    <t xml:space="preserve">в начале каждого хода до действий списать 30 ОЭ и 10 HP.</t>
  </si>
  <si>
    <t xml:space="preserve">PAR-03371</t>
  </si>
  <si>
    <t xml:space="preserve">Дуга существует до добровольного прекращения в свой ход (0 действий) или исчерпания ОЭ.</t>
  </si>
  <si>
    <t xml:space="preserve">PAR-03372</t>
  </si>
  <si>
    <t xml:space="preserve">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</si>
  <si>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PAR-03373</t>
  </si>
  <si>
    <t xml:space="preserve">PAR-03374</t>
  </si>
  <si>
    <t xml:space="preserve">PAR-03375</t>
  </si>
  <si>
    <t xml:space="preserve">PAR-03376</t>
  </si>
  <si>
    <t xml:space="preserve">PAR-03377</t>
  </si>
  <si>
    <t xml:space="preserve">Если ОЭ меньше 30 или HP меньше 10, дуга прекращается до оплаты и ничего не списывается.</t>
  </si>
  <si>
    <t xml:space="preserve">PAR-03378</t>
  </si>
  <si>
    <t xml:space="preserve">PAR-03379</t>
  </si>
  <si>
    <t xml:space="preserve">A=1 → носитель получает специальное последствие SYM-137.</t>
  </si>
  <si>
    <t xml:space="preserve">PAR-03380</t>
  </si>
  <si>
    <t xml:space="preserve">При активной дуге успешный блок рукопашной/цельнометаллической атаки отменяет её и наносит атакующему R20 урона.</t>
  </si>
  <si>
    <t xml:space="preserve">PAR-03381</t>
  </si>
  <si>
    <t xml:space="preserve">PAR-03382</t>
  </si>
  <si>
    <t xml:space="preserve">PAR-03383</t>
  </si>
  <si>
    <t xml:space="preserve">PAR-03384</t>
  </si>
  <si>
    <t xml:space="preserve">PAR-03385</t>
  </si>
  <si>
    <t xml:space="preserve">A&gt;22−L → оглушение 1 ход/5 мин</t>
  </si>
  <si>
    <t xml:space="preserve">PAR-03386</t>
  </si>
  <si>
    <t xml:space="preserve">A&gt;20−L → отключение симбионтов на тот же срок</t>
  </si>
  <si>
    <t xml:space="preserve">PAR-03387</t>
  </si>
  <si>
    <t xml:space="preserve">PAR-03388</t>
  </si>
  <si>
    <t xml:space="preserve">PAR-03389</t>
  </si>
  <si>
    <t xml:space="preserve">PAR-03390</t>
  </si>
  <si>
    <t xml:space="preserve">в момент разрешения израсходовать все имеющиеся HP, отключить все симбионты носителя на 1 час, перевести носителя в тяжёлое ранение.</t>
  </si>
  <si>
    <t xml:space="preserve">PAR-03391</t>
  </si>
  <si>
    <t xml:space="preserve">Каждое попадание: 99 урона, гарантированное оглушение 3 хода и отключение всех симбионтов цели на 1 час.</t>
  </si>
  <si>
    <t xml:space="preserve">PAR-03392</t>
  </si>
  <si>
    <t xml:space="preserve">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</si>
  <si>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PAR-03393</t>
  </si>
  <si>
    <t xml:space="preserve">PAR-03394</t>
  </si>
  <si>
    <t xml:space="preserve">PAR-03395</t>
  </si>
  <si>
    <t xml:space="preserve">PAR-03396</t>
  </si>
  <si>
    <t xml:space="preserve">PAR-03397</t>
  </si>
  <si>
    <t xml:space="preserve">PAR-03398</t>
  </si>
  <si>
    <t xml:space="preserve">Выбрать случайную первую цель в радиусе; затем выполнить R6 перескоков в «другую» случайную цель.</t>
  </si>
  <si>
    <t xml:space="preserve">PAR-03399</t>
  </si>
  <si>
    <t xml:space="preserve">[Q-SYM-058] 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t>
  </si>
  <si>
    <t xml:space="preserve">PAR-03400</t>
  </si>
  <si>
    <t xml:space="preserve">PAR-03401</t>
  </si>
  <si>
    <t xml:space="preserve">PAR-03402</t>
  </si>
  <si>
    <t xml:space="preserve">PAR-03403</t>
  </si>
  <si>
    <t xml:space="preserve">PAR-03404</t>
  </si>
  <si>
    <t xml:space="preserve">PAR-03405</t>
  </si>
  <si>
    <t xml:space="preserve">способность разрешается до ходов всех персонажей.</t>
  </si>
  <si>
    <t xml:space="preserve">PAR-03406</t>
  </si>
  <si>
    <t xml:space="preserve">PAR-03407</t>
  </si>
  <si>
    <t xml:space="preserve">частота «регулярно», срок сохранения и точное копирование не заданы.</t>
  </si>
  <si>
    <t xml:space="preserve">PAR-03408</t>
  </si>
  <si>
    <t xml:space="preserve">PAR-03409</t>
  </si>
  <si>
    <t xml:space="preserve">PAR-03410</t>
  </si>
  <si>
    <t xml:space="preserve">PAR-03411</t>
  </si>
  <si>
    <t xml:space="preserve">по завершении суток присвоить крови и слюне свойства употреблённого яда.</t>
  </si>
  <si>
    <t xml:space="preserve">PAR-03412</t>
  </si>
  <si>
    <t xml:space="preserve">PAR-03413</t>
  </si>
  <si>
    <t xml:space="preserve">PAR-03414</t>
  </si>
  <si>
    <t xml:space="preserve">PAR-03415</t>
  </si>
  <si>
    <t xml:space="preserve">PAR-03416</t>
  </si>
  <si>
    <t xml:space="preserve">PAR-03417</t>
  </si>
  <si>
    <t xml:space="preserve">PAR-03418</t>
  </si>
  <si>
    <t xml:space="preserve">создать отдельного персонажа: каждая характеристика 2L, HP=10L, максимальная автономность L часов.</t>
  </si>
  <si>
    <t xml:space="preserve">PAR-03419</t>
  </si>
  <si>
    <t xml:space="preserve">В бою немедленно бросить чистую инициативу для следующего хода; в текущий момент Крыса может действовать, расходуя оставшиеся действия носителя.</t>
  </si>
  <si>
    <t xml:space="preserve">PAR-03420</t>
  </si>
  <si>
    <t xml:space="preserve">PAR-03421</t>
  </si>
  <si>
    <t xml:space="preserve">PAR-03422</t>
  </si>
  <si>
    <t xml:space="preserve">PAR-03423</t>
  </si>
  <si>
    <t xml:space="preserve">Укус: пробитие=R6, урон=тот же R6 + D_mod, D также модифицирует точность.</t>
  </si>
  <si>
    <t xml:space="preserve">PAR-03424</t>
  </si>
  <si>
    <t xml:space="preserve">PAR-03425</t>
  </si>
  <si>
    <t xml:space="preserve">PAR-03426</t>
  </si>
  <si>
    <t xml:space="preserve">PAR-03427</t>
  </si>
  <si>
    <t xml:space="preserve">PAR-03428</t>
  </si>
  <si>
    <t xml:space="preserve">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t>
  </si>
  <si>
    <t xml:space="preserve">PAR-03429</t>
  </si>
  <si>
    <t xml:space="preserve">после возвращения до следующей вылазки ждать 11−L часов.</t>
  </si>
  <si>
    <t xml:space="preserve">PAR-03430</t>
  </si>
  <si>
    <t xml:space="preserve">PAR-03431</t>
  </si>
  <si>
    <t xml:space="preserve">PAR-03432</t>
  </si>
  <si>
    <t xml:space="preserve">дальность базовой связи не указана, кроме автономного срока.</t>
  </si>
  <si>
    <t xml:space="preserve">PAR-03433</t>
  </si>
  <si>
    <t xml:space="preserve">PAR-03434</t>
  </si>
  <si>
    <t xml:space="preserve">одна единица: S=D=M=HP=N (N≤30), I=1,C=1,W=10,Z=10; брони и активной защиты нет; одна чистая инициатива и одно боевое действие.</t>
  </si>
  <si>
    <t xml:space="preserve">PAR-03435</t>
  </si>
  <si>
    <t xml:space="preserve">PAR-03436</t>
  </si>
  <si>
    <t xml:space="preserve">Каждая потеря 1 HP удаляет 1 крысу и сразу уменьшает S,D,M,HP.</t>
  </si>
  <si>
    <t xml:space="preserve">PAR-03437</t>
  </si>
  <si>
    <t xml:space="preserve">PAR-03438</t>
  </si>
  <si>
    <t xml:space="preserve">PAR-03439</t>
  </si>
  <si>
    <t xml:space="preserve">Укус: точность R20+D, пробитие 0, урон R6+N/5.</t>
  </si>
  <si>
    <t xml:space="preserve">PAR-03440</t>
  </si>
  <si>
    <t xml:space="preserve">PAR-03441</t>
  </si>
  <si>
    <t xml:space="preserve">PAR-03442</t>
  </si>
  <si>
    <t xml:space="preserve">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</si>
  <si>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PAR-03443</t>
  </si>
  <si>
    <t xml:space="preserve">PAR-03444</t>
  </si>
  <si>
    <t xml:space="preserve">PAR-03445</t>
  </si>
  <si>
    <t xml:space="preserve">PAR-03446</t>
  </si>
  <si>
    <t xml:space="preserve">PAR-03447</t>
  </si>
  <si>
    <t xml:space="preserve">PAR-03448</t>
  </si>
  <si>
    <t xml:space="preserve">PAR-03449</t>
  </si>
  <si>
    <t xml:space="preserve">PAR-03450</t>
  </si>
  <si>
    <t xml:space="preserve">PAR-03451</t>
  </si>
  <si>
    <t xml:space="preserve">PAR-03452</t>
  </si>
  <si>
    <t xml:space="preserve">если объект под водой — гарантированно получить план местности/объектов; иначе успех, если R20 &gt; 12−L.</t>
  </si>
  <si>
    <t xml:space="preserve">PAR-03453</t>
  </si>
  <si>
    <t xml:space="preserve">PAR-03454</t>
  </si>
  <si>
    <t xml:space="preserve">[Q-SYM-063] 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</si>
  <si>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PAR-03455</t>
  </si>
  <si>
    <t xml:space="preserve">PAR-03456</t>
  </si>
  <si>
    <t xml:space="preserve">PAR-03457</t>
  </si>
  <si>
    <t xml:space="preserve">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t>
  </si>
  <si>
    <t xml:space="preserve">PAR-03458</t>
  </si>
  <si>
    <t xml:space="preserve">Отдельного действия на «раскладывание» после атаки нет.</t>
  </si>
  <si>
    <t xml:space="preserve">PAR-03459</t>
  </si>
  <si>
    <t xml:space="preserve">[AQ3-001] Складывание переводит оба клинка во взведённое состояние за 20 секунд вне боя либо за два последовательных боевых действия.</t>
  </si>
  <si>
    <t xml:space="preserve">PAR-03460</t>
  </si>
  <si>
    <t xml:space="preserve">PAR-03461</t>
  </si>
  <si>
    <t xml:space="preserve">при каждой новой атаке бросить один R; защита цели получает штраф L; урон=R+L+S_mod, пробитие=R+L; точность модифицирует D; общий модификатор — фехтование.</t>
  </si>
  <si>
    <t xml:space="preserve">PAR-03462</t>
  </si>
  <si>
    <t xml:space="preserve">PAR-03463</t>
  </si>
  <si>
    <t xml:space="preserve">PAR-03464</t>
  </si>
  <si>
    <t xml:space="preserve">PAR-03465</t>
  </si>
  <si>
    <t xml:space="preserve">PAR-03466</t>
  </si>
  <si>
    <t xml:space="preserve">PAR-03467</t>
  </si>
  <si>
    <t xml:space="preserve">PAR-03468</t>
  </si>
  <si>
    <t xml:space="preserve">PAR-03469</t>
  </si>
  <si>
    <t xml:space="preserve">Выйти из состояния можно только в свой ход за 1 боевое действие.</t>
  </si>
  <si>
    <t xml:space="preserve">PAR-03470</t>
  </si>
  <si>
    <t xml:space="preserve">PAR-03471</t>
  </si>
  <si>
    <t xml:space="preserve">PAR-03472</t>
  </si>
  <si>
    <t xml:space="preserve">PAR-03473</t>
  </si>
  <si>
    <t xml:space="preserve">PAR-03474</t>
  </si>
  <si>
    <t xml:space="preserve">PAR-03475</t>
  </si>
  <si>
    <t xml:space="preserve">PAR-03476</t>
  </si>
  <si>
    <t xml:space="preserve">PAR-03477</t>
  </si>
  <si>
    <t xml:space="preserve">Затем: A=1 → D носителя=1 на R12 часов</t>
  </si>
  <si>
    <t xml:space="preserve">PAR-03478</t>
  </si>
  <si>
    <t xml:space="preserve">PAR-03479</t>
  </si>
  <si>
    <t xml:space="preserve">сначала полностью восстановить HP носителя и ОЭ Богомола.</t>
  </si>
  <si>
    <t xml:space="preserve">PAR-03480</t>
  </si>
  <si>
    <t xml:space="preserve">цена списывается до полного восстановления.</t>
  </si>
  <si>
    <t xml:space="preserve">PAR-03481</t>
  </si>
  <si>
    <t xml:space="preserve">PAR-03482</t>
  </si>
  <si>
    <t xml:space="preserve">PAR-03483</t>
  </si>
  <si>
    <t xml:space="preserve">A=2–10 → случайное воспоминание (небоевой результат хранится как запись)</t>
  </si>
  <si>
    <t xml:space="preserve">PAR-03484</t>
  </si>
  <si>
    <t xml:space="preserve">A=11–17 → при свободном слоте получить случайный навык цели, а градационный повысить на 1 до абсолютного даже если у цели ниже</t>
  </si>
  <si>
    <t xml:space="preserve">PAR-03485</t>
  </si>
  <si>
    <t xml:space="preserve">A=18–20 → случайная характеристика +1, если за жизнь получено &lt;5 таких эффектов.</t>
  </si>
  <si>
    <t xml:space="preserve">PAR-03486</t>
  </si>
  <si>
    <t xml:space="preserve">PAR-03487</t>
  </si>
  <si>
    <t xml:space="preserve">PAR-03488</t>
  </si>
  <si>
    <t xml:space="preserve">PAR-03489</t>
  </si>
  <si>
    <t xml:space="preserve">PAR-03490</t>
  </si>
  <si>
    <t xml:space="preserve">PAR-03491</t>
  </si>
  <si>
    <t xml:space="preserve">добавить L слотов только под боевые навыки; за одно действие разрешить две отдельные атаки клинками.</t>
  </si>
  <si>
    <t xml:space="preserve">PAR-03492</t>
  </si>
  <si>
    <t xml:space="preserve">PAR-03493</t>
  </si>
  <si>
    <t xml:space="preserve">PAR-03494</t>
  </si>
  <si>
    <t xml:space="preserve">PAR-03495</t>
  </si>
  <si>
    <t xml:space="preserve">PAR-03496</t>
  </si>
  <si>
    <t xml:space="preserve">PAR-03497</t>
  </si>
  <si>
    <t xml:space="preserve">PAR-03498</t>
  </si>
  <si>
    <t xml:space="preserve">PAR-03499</t>
  </si>
  <si>
    <t xml:space="preserve">PAR-03500</t>
  </si>
  <si>
    <t xml:space="preserve">Не реагировать на защитные, небоевые, пассивные и вызванные реакции; удары не запускают новые Веерные защиты.</t>
  </si>
  <si>
    <t xml:space="preserve">PAR-03501</t>
  </si>
  <si>
    <t xml:space="preserve">PAR-03502</t>
  </si>
  <si>
    <t xml:space="preserve">PAR-03503</t>
  </si>
  <si>
    <t xml:space="preserve">PAR-03504</t>
  </si>
  <si>
    <t xml:space="preserve">PAR-03505</t>
  </si>
  <si>
    <t xml:space="preserve">PAR-03506</t>
  </si>
  <si>
    <t xml:space="preserve">максимум один триггер на противника за круг.</t>
  </si>
  <si>
    <t xml:space="preserve">PAR-03507</t>
  </si>
  <si>
    <t xml:space="preserve">PAR-03508</t>
  </si>
  <si>
    <t xml:space="preserve">PAR-03509</t>
  </si>
  <si>
    <t xml:space="preserve">PAR-03510</t>
  </si>
  <si>
    <t xml:space="preserve">A=4–5: цель до конца боя получает −1 боевое действие каждый ход.</t>
  </si>
  <si>
    <t xml:space="preserve">PAR-03511</t>
  </si>
  <si>
    <t xml:space="preserve">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</si>
  <si>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PAR-03512</t>
  </si>
  <si>
    <t xml:space="preserve">PAR-03513</t>
  </si>
  <si>
    <t xml:space="preserve">PAR-03514</t>
  </si>
  <si>
    <t xml:space="preserve">A=1: вместо атаки носитель пачкает себя и снижает D,C,W на 7 до посещения бани.</t>
  </si>
  <si>
    <t xml:space="preserve">PAR-03515</t>
  </si>
  <si>
    <t xml:space="preserve">PAR-03516</t>
  </si>
  <si>
    <t xml:space="preserve">PAR-03517</t>
  </si>
  <si>
    <t xml:space="preserve">A=6–11: также эффект 4–5 и штраф P ко всем проверкам до конца боя, итог проверки не ниже 1.</t>
  </si>
  <si>
    <t xml:space="preserve">PAR-03518</t>
  </si>
  <si>
    <t xml:space="preserve">A=12–16: также оба нижних эффекта и прямой урон ядом 5L; при попадании в пламя погасить его.</t>
  </si>
  <si>
    <t xml:space="preserve">PAR-03519</t>
  </si>
  <si>
    <t xml:space="preserve">PAR-03520</t>
  </si>
  <si>
    <t xml:space="preserve">PAR-03521</t>
  </si>
  <si>
    <t xml:space="preserve">PAR-03522</t>
  </si>
  <si>
    <t xml:space="preserve">PAR-03523</t>
  </si>
  <si>
    <t xml:space="preserve">A≥17: цель пропускает следующий ход, но может защищаться в нём с −5 ко всем проверкам; при попадании в пламя погасить.</t>
  </si>
  <si>
    <t xml:space="preserve">PAR-03524</t>
  </si>
  <si>
    <t xml:space="preserve">PAR-03525</t>
  </si>
  <si>
    <t xml:space="preserve">PAR-03526</t>
  </si>
  <si>
    <t xml:space="preserve">[Q-SYM-068] 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t>
  </si>
  <si>
    <t xml:space="preserve">PAR-03527</t>
  </si>
  <si>
    <t xml:space="preserve">PAR-03528</t>
  </si>
  <si>
    <t xml:space="preserve">стоимость, дальность и естественная 1 не уточнены.</t>
  </si>
  <si>
    <t xml:space="preserve">PAR-03529</t>
  </si>
  <si>
    <t xml:space="preserve">PAR-03530</t>
  </si>
  <si>
    <t xml:space="preserve">вычислить эффективный результат max(1,floor(R20/2+0.5)), что для положительного целого R20 эквивалентно ceil(R20/2); разрешить диапазон эффекта Анальной железы по этому значению.</t>
  </si>
  <si>
    <t xml:space="preserve">PAR-03531</t>
  </si>
  <si>
    <t xml:space="preserve">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</si>
  <si>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PAR-03532</t>
  </si>
  <si>
    <t xml:space="preserve">PAR-03533</t>
  </si>
  <si>
    <t xml:space="preserve">PAR-03534</t>
  </si>
  <si>
    <t xml:space="preserve">PAR-03535</t>
  </si>
  <si>
    <t xml:space="preserve">создать вокруг носителя область на R4 минут/ходов радиусом R20 м; закрепление в исходной точке либо движение вместе с носителем требует ответа.</t>
  </si>
  <si>
    <t xml:space="preserve">PAR-03536</t>
  </si>
  <si>
    <t xml:space="preserve">Пока персонаж внутри, кроме носителя любого Скунса, снизить M на отдельный R20, но не ниже 1; при M=1 ограничить до 1 боевого действия в ход.</t>
  </si>
  <si>
    <t xml:space="preserve">PAR-03537</t>
  </si>
  <si>
    <t xml:space="preserve">Источник пламени, непрерывно находящийся внутри, гаснет через 2 минуты/2 хода.</t>
  </si>
  <si>
    <t xml:space="preserve">PAR-03538</t>
  </si>
  <si>
    <t xml:space="preserve">PAR-03539</t>
  </si>
  <si>
    <t xml:space="preserve">PAR-03540</t>
  </si>
  <si>
    <t xml:space="preserve">PAR-03541</t>
  </si>
  <si>
    <t xml:space="preserve">PAR-03542</t>
  </si>
  <si>
    <t xml:space="preserve">PAR-03543</t>
  </si>
  <si>
    <t xml:space="preserve">PAR-03544</t>
  </si>
  <si>
    <t xml:space="preserve">PAR-03545</t>
  </si>
  <si>
    <t xml:space="preserve">PAR-03546</t>
  </si>
  <si>
    <t xml:space="preserve">PAR-03547</t>
  </si>
  <si>
    <t xml:space="preserve">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t>
  </si>
  <si>
    <t xml:space="preserve">PAR-03548</t>
  </si>
  <si>
    <t xml:space="preserve">PAR-03549</t>
  </si>
  <si>
    <t xml:space="preserve">PAR-03550</t>
  </si>
  <si>
    <t xml:space="preserve">в режиме с места бросить один R20 и установить max дальность центра (R20)×2 м; в режиме на бегу бросить новый один R20 и установить max дальность R20 м; снаряд детонирует через 1 секунду после первого препятствия; радиус R12 м; каждой цели отдельно применить таблицу SYM-175 без дополнительной цены.</t>
  </si>
  <si>
    <t xml:space="preserve">PAR-03551</t>
  </si>
  <si>
    <t xml:space="preserve">PAR-03552</t>
  </si>
  <si>
    <t xml:space="preserve">PAR-03553</t>
  </si>
  <si>
    <t xml:space="preserve">Порог активации 4+, цена 20 ОЭ и самопоражение натуральной 1 не наследуются; результат 1 считается обычным диапазоном 1–5 для поражённой цели.</t>
  </si>
  <si>
    <t xml:space="preserve">PAR-03554</t>
  </si>
  <si>
    <t xml:space="preserve">PAR-03555</t>
  </si>
  <si>
    <t xml:space="preserve">PAR-03556</t>
  </si>
  <si>
    <t xml:space="preserve">[Q-SYM-070] 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t>
  </si>
  <si>
    <t xml:space="preserve">PAR-03557</t>
  </si>
  <si>
    <t xml:space="preserve">PAR-03558</t>
  </si>
  <si>
    <t xml:space="preserve">PAR-03559</t>
  </si>
  <si>
    <t xml:space="preserve">PAR-03560</t>
  </si>
  <si>
    <t xml:space="preserve">PAR-03561</t>
  </si>
  <si>
    <t xml:space="preserve">создать R4 укоренившихся активных мин, каждая активна R20 минут; при контакте живого существа применить эффект Анальной железы.</t>
  </si>
  <si>
    <t xml:space="preserve">PAR-03562</t>
  </si>
  <si>
    <t xml:space="preserve">PAR-03563</t>
  </si>
  <si>
    <t xml:space="preserve">PAR-03564</t>
  </si>
  <si>
    <t xml:space="preserve">R4 количества; формула незаметности (10+L)×2</t>
  </si>
  <si>
    <t xml:space="preserve">PAR-03565</t>
  </si>
  <si>
    <t xml:space="preserve">R20 срока; места установки.</t>
  </si>
  <si>
    <t xml:space="preserve">PAR-03566</t>
  </si>
  <si>
    <t xml:space="preserve">PAR-03567</t>
  </si>
  <si>
    <t xml:space="preserve">PAR-03568</t>
  </si>
  <si>
    <t xml:space="preserve">[Q-SYM-071] При применении создаются R4 отдельных одноразовых мин в текущей точке носителя.</t>
  </si>
  <si>
    <t xml:space="preserve">PAR-03569</t>
  </si>
  <si>
    <t xml:space="preserve">Они активируются в начале следующего боевого круга и после этого существуют R20 полных кругов.</t>
  </si>
  <si>
    <t xml:space="preserve">PAR-03570</t>
  </si>
  <si>
    <t xml:space="preserve">«незаметность (10+L)×2 (чистая проверка)» не содержит дайса; дальность/раскладка и расходование мины не заданы.</t>
  </si>
  <si>
    <t xml:space="preserve">PAR-03571</t>
  </si>
  <si>
    <t xml:space="preserve">PAR-03572</t>
  </si>
  <si>
    <t xml:space="preserve">PAR-03573</t>
  </si>
  <si>
    <t xml:space="preserve">PAR-03574</t>
  </si>
  <si>
    <t xml:space="preserve">PAR-03575</t>
  </si>
  <si>
    <t xml:space="preserve">PAR-03576</t>
  </si>
  <si>
    <t xml:space="preserve">PAR-03577</t>
  </si>
  <si>
    <t xml:space="preserve">PAR-03578</t>
  </si>
  <si>
    <t xml:space="preserve">действие 1: единожды списать 200 ОЭ и задать max удаление центра A² м.</t>
  </si>
  <si>
    <t xml:space="preserve">PAR-03579</t>
  </si>
  <si>
    <t xml:space="preserve">Действие 2: задать площадь 10B м² и прицелиться.</t>
  </si>
  <si>
    <t xml:space="preserve">PAR-03580</t>
  </si>
  <si>
    <t xml:space="preserve">PAR-03581</t>
  </si>
  <si>
    <t xml:space="preserve">PAR-03582</t>
  </si>
  <si>
    <t xml:space="preserve">PAR-03583</t>
  </si>
  <si>
    <t xml:space="preserve">Можно прервать после любого действия без возврата ОЭ.</t>
  </si>
  <si>
    <t xml:space="preserve">PAR-03584</t>
  </si>
  <si>
    <t xml:space="preserve">PAR-03585</t>
  </si>
  <si>
    <t xml:space="preserve">PAR-03586</t>
  </si>
  <si>
    <t xml:space="preserve">PAR-03587</t>
  </si>
  <si>
    <t xml:space="preserve">PAR-03588</t>
  </si>
  <si>
    <t xml:space="preserve">PAR-03589</t>
  </si>
  <si>
    <t xml:space="preserve">PAR-03590</t>
  </si>
  <si>
    <t xml:space="preserve">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t>
  </si>
  <si>
    <t xml:space="preserve">PAR-03591</t>
  </si>
  <si>
    <t xml:space="preserve">Все R20×6 мин размещаются отдельными объектами в той же зафиксированной точке и далее разрешаются по Q-SYM-071.</t>
  </si>
  <si>
    <t xml:space="preserve">PAR-03592</t>
  </si>
  <si>
    <t xml:space="preserve">PAR-03593</t>
  </si>
  <si>
    <t xml:space="preserve">PAR-03594</t>
  </si>
  <si>
    <t xml:space="preserve">PAR-03595</t>
  </si>
  <si>
    <t xml:space="preserve">PAR-03596</t>
  </si>
  <si>
    <t xml:space="preserve">PAR-03597</t>
  </si>
  <si>
    <t xml:space="preserve">PAR-03598</t>
  </si>
  <si>
    <t xml:space="preserve">PAR-03599</t>
  </si>
  <si>
    <t xml:space="preserve">(1) полностью восстановить текущее HP Химеры; (2) если у цели есть характеристики выше соответствующих характеристик Химеры, случайно выбрать одну и повысить её у Химеры на 1; (3) если у цели есть отсутствующие у Химеры навыки, случайно выбрать один и выдать; если выбран градационный навык, повысить его уровень на 1, не выше абсолютного уровня; (4) увеличить максимум HP на 5.</t>
  </si>
  <si>
    <t xml:space="preserve">PAR-03600</t>
  </si>
  <si>
    <t xml:space="preserve">При активном результате 20 «Взгляда мясника» применить вместо пунктов повышения характеристики/HP: гарантированно +2 к случайной характеристике и +10 к максимуму HP.</t>
  </si>
  <si>
    <t xml:space="preserve">PAR-03601</t>
  </si>
  <si>
    <t xml:space="preserve">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t>
  </si>
  <si>
    <t xml:space="preserve">PAR-03602</t>
  </si>
  <si>
    <t xml:space="preserve">PAR-03603</t>
  </si>
  <si>
    <t xml:space="preserve">PAR-03604</t>
  </si>
  <si>
    <t xml:space="preserve">PAR-03605</t>
  </si>
  <si>
    <t xml:space="preserve">PAR-03606</t>
  </si>
  <si>
    <t xml:space="preserve">PAR-03607</t>
  </si>
  <si>
    <t xml:space="preserve">PAR-03608</t>
  </si>
  <si>
    <t xml:space="preserve">PAR-03609</t>
  </si>
  <si>
    <t xml:space="preserve">20 — записать для этой цели усиленную награду «Пожирания» (+2 к случайной характеристике и +10 max HP вместо обычных наград).</t>
  </si>
  <si>
    <t xml:space="preserve">PAR-03610</t>
  </si>
  <si>
    <t xml:space="preserve">PAR-03611</t>
  </si>
  <si>
    <t xml:space="preserve">PAR-03612</t>
  </si>
  <si>
    <t xml:space="preserve">1 — информации нет, Химера обязана съесть цель в течение суток, иначе все её характеристики −2</t>
  </si>
  <si>
    <t xml:space="preserve">PAR-03613</t>
  </si>
  <si>
    <t xml:space="preserve">PAR-03614</t>
  </si>
  <si>
    <t xml:space="preserve">PAR-03615</t>
  </si>
  <si>
    <t xml:space="preserve">бронепробитие атаки = R12; добавить к урону бонус R12.</t>
  </si>
  <si>
    <t xml:space="preserve">PAR-03616</t>
  </si>
  <si>
    <t xml:space="preserve">[Q-MON-006] Для каждой атаки отбойником выполняются два независимых R12: первый определяет бронепробитие, второй — бонус к урону.</t>
  </si>
  <si>
    <t xml:space="preserve">PAR-03617</t>
  </si>
  <si>
    <t xml:space="preserve">PAR-03618</t>
  </si>
  <si>
    <t xml:space="preserve">PAR-03619</t>
  </si>
  <si>
    <t xml:space="preserve">PAR-03620</t>
  </si>
  <si>
    <t xml:space="preserve">бронепробитие = R12; добавить к урону бонус R12.</t>
  </si>
  <si>
    <t xml:space="preserve">PAR-03621</t>
  </si>
  <si>
    <t xml:space="preserve">PAR-03622</t>
  </si>
  <si>
    <t xml:space="preserve">PAR-03623</t>
  </si>
  <si>
    <t xml:space="preserve">PAR-03624</t>
  </si>
  <si>
    <t xml:space="preserve">2 действия; чистый R20.</t>
  </si>
  <si>
    <t xml:space="preserve">PAR-03625</t>
  </si>
  <si>
    <t xml:space="preserve">PAR-03626</t>
  </si>
  <si>
    <t xml:space="preserve">при R20 ≥4 на R20/2 ходов/минут дать иммунитет к параличу, оглушению, штрафу к серии приёмов, воздействиям на органы чувств и разум; при R20=1 установить I=1 на сутки; при 2–3 способность не активируется.</t>
  </si>
  <si>
    <t xml:space="preserve">PAR-03627</t>
  </si>
  <si>
    <t xml:space="preserve">PAR-03628</t>
  </si>
  <si>
    <t xml:space="preserve">PAR-03629</t>
  </si>
  <si>
    <t xml:space="preserve">150 ОЭ</t>
  </si>
  <si>
    <t xml:space="preserve">PAR-03630</t>
  </si>
  <si>
    <t xml:space="preserve">PAR-03631</t>
  </si>
  <si>
    <t xml:space="preserve">PAR-03632</t>
  </si>
  <si>
    <t xml:space="preserve">PAR-03633</t>
  </si>
  <si>
    <t xml:space="preserve">PAR-03634</t>
  </si>
  <si>
    <t xml:space="preserve">PAR-03635</t>
  </si>
  <si>
    <t xml:space="preserve">2–7 — 3 хода максимум 1 действие в серии</t>
  </si>
  <si>
    <t xml:space="preserve">PAR-03636</t>
  </si>
  <si>
    <t xml:space="preserve">Обычный Последний взгляд после этого всё равно требует 1 действия и 200 ОЭ.</t>
  </si>
  <si>
    <t xml:space="preserve">PAR-03637</t>
  </si>
  <si>
    <t xml:space="preserve">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</si>
  <si>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PAR-03638</t>
  </si>
  <si>
    <t xml:space="preserve">PAR-03639</t>
  </si>
  <si>
    <t xml:space="preserve">PAR-03640</t>
  </si>
  <si>
    <t xml:space="preserve">PAR-03641</t>
  </si>
  <si>
    <t xml:space="preserve">PAR-03642</t>
  </si>
  <si>
    <t xml:space="preserve">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</si>
  <si>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PAR-03643</t>
  </si>
  <si>
    <t xml:space="preserve">PAR-03644</t>
  </si>
  <si>
    <t xml:space="preserve">1 — до конца боя цель может атаковать только Химеру</t>
  </si>
  <si>
    <t xml:space="preserve">PAR-03645</t>
  </si>
  <si>
    <t xml:space="preserve">PAR-03646</t>
  </si>
  <si>
    <t xml:space="preserve">8–15 — 3 хода −5 к защитам против атак Химеры</t>
  </si>
  <si>
    <t xml:space="preserve">PAR-03647</t>
  </si>
  <si>
    <t xml:space="preserve">16–19 — пропустить следующий ход, сохранив защиты</t>
  </si>
  <si>
    <t xml:space="preserve">PAR-03648</t>
  </si>
  <si>
    <t xml:space="preserve">20 — Химера выбирает другого видимого персонажа, цель немедленно ходит вне очереди и атакует его серией, не может выбрать себя.</t>
  </si>
  <si>
    <t xml:space="preserve">PAR-03649</t>
  </si>
  <si>
    <t xml:space="preserve">PAR-03650</t>
  </si>
  <si>
    <t xml:space="preserve">способность не тратит действий; длительность R20/4 ходов; дать Химере эффект «Неудержимости»; наложить «Гончую» на все цели в поле зрения; сделать «Последний взгляд» пассивным для всех, кто заглянет в глаза; удвоить S,D,M,Z и текущий/максимальный HP.</t>
  </si>
  <si>
    <t xml:space="preserve">PAR-03651</t>
  </si>
  <si>
    <t xml:space="preserve">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</si>
  <si>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PAR-03652</t>
  </si>
  <si>
    <t xml:space="preserve">PAR-03653</t>
  </si>
  <si>
    <t xml:space="preserve">PAR-03654</t>
  </si>
  <si>
    <t xml:space="preserve">PAR-03655</t>
  </si>
  <si>
    <t xml:space="preserve">PAR-03656</t>
  </si>
  <si>
    <t xml:space="preserve">PAR-03657</t>
  </si>
  <si>
    <t xml:space="preserve">PAR-03658</t>
  </si>
  <si>
    <t xml:space="preserve">При R20=1 Химера отключается до конца боя.</t>
  </si>
  <si>
    <t xml:space="preserve">PAR-03659</t>
  </si>
  <si>
    <t xml:space="preserve">[Q-MON-009] 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t>
  </si>
  <si>
    <t xml:space="preserve">PAR-03660</t>
  </si>
  <si>
    <t xml:space="preserve">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t>
  </si>
  <si>
    <t xml:space="preserve">PAR-03661</t>
  </si>
  <si>
    <t xml:space="preserve">PAR-03662</t>
  </si>
  <si>
    <t xml:space="preserve">PAR-03663</t>
  </si>
  <si>
    <t xml:space="preserve">PAR-03664</t>
  </si>
  <si>
    <t xml:space="preserve">PAR-03665</t>
  </si>
  <si>
    <t xml:space="preserve">PAR-03666</t>
  </si>
  <si>
    <t xml:space="preserve">1–3 — в следующий ход выполнить один одномоментный приказ Кукловода, кроме суицида/потенциально смертельного для себя действия.</t>
  </si>
  <si>
    <t xml:space="preserve">PAR-03667</t>
  </si>
  <si>
    <t xml:space="preserve">[Q-MON-011] 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t>
  </si>
  <si>
    <t xml:space="preserve">PAR-03668</t>
  </si>
  <si>
    <t xml:space="preserve">PAR-03669</t>
  </si>
  <si>
    <t xml:space="preserve">PAR-03670</t>
  </si>
  <si>
    <t xml:space="preserve">PAR-03671</t>
  </si>
  <si>
    <t xml:space="preserve">15–19 — в этом ходу дополнительного эффекта нет</t>
  </si>
  <si>
    <t xml:space="preserve">PAR-03672</t>
  </si>
  <si>
    <t xml:space="preserve">9–14 — в следующий ход атаковать случайного участника боя</t>
  </si>
  <si>
    <t xml:space="preserve">PAR-03673</t>
  </si>
  <si>
    <t xml:space="preserve">4–8 — забыть все навыки на 2 хода</t>
  </si>
  <si>
    <t xml:space="preserve">PAR-03674</t>
  </si>
  <si>
    <t xml:space="preserve">PAR-03675</t>
  </si>
  <si>
    <t xml:space="preserve">PAR-03676</t>
  </si>
  <si>
    <t xml:space="preserve">PAR-03677</t>
  </si>
  <si>
    <t xml:space="preserve">PAR-03678</t>
  </si>
  <si>
    <t xml:space="preserve">PAR-03679</t>
  </si>
  <si>
    <t xml:space="preserve">без траты действий временно удалить у цели её лучший навык и выдать его Кукловоду; эффект прекращается при первом событии: цель совершила действие, обычно модифицируемое этим навыком, либо Кукловод использовал навык.</t>
  </si>
  <si>
    <t xml:space="preserve">PAR-03680</t>
  </si>
  <si>
    <t xml:space="preserve">PAR-03681</t>
  </si>
  <si>
    <t xml:space="preserve">PAR-03682</t>
  </si>
  <si>
    <t xml:space="preserve">PAR-03683</t>
  </si>
  <si>
    <t xml:space="preserve">50 ОЭ в начале каждого хода; номер хода n=1..4</t>
  </si>
  <si>
    <t xml:space="preserve">PAR-03684</t>
  </si>
  <si>
    <t xml:space="preserve">списать 50 ОЭ; не бросать серию и потратить весь боевой ход; в конце хода нанести L×2^(n−1) урона (L, 2L, 4L, 8L).</t>
  </si>
  <si>
    <t xml:space="preserve">PAR-03685</t>
  </si>
  <si>
    <t xml:space="preserve">[Q-MON-013] «Псионическое разложение» наносит прямой псионический урон непосредственно по HP: броня, бронепробитие и зона тела не определяются.</t>
  </si>
  <si>
    <t xml:space="preserve">PAR-03686</t>
  </si>
  <si>
    <t xml:space="preserve">Этот урон не вызывает отдельную травму, но переход в тяжёлое ранение при исчерпании HP происходит по общим правилам.</t>
  </si>
  <si>
    <t xml:space="preserve">PAR-03687</t>
  </si>
  <si>
    <t xml:space="preserve">PAR-03688</t>
  </si>
  <si>
    <t xml:space="preserve">PAR-03689</t>
  </si>
  <si>
    <t xml:space="preserve">PAR-03690</t>
  </si>
  <si>
    <t xml:space="preserve">PAR-03691</t>
  </si>
  <si>
    <t xml:space="preserve">PAR-03692</t>
  </si>
  <si>
    <t xml:space="preserve">Кукловод дееспособен; не прерван предыдущий ход; не более четырёх ходов.</t>
  </si>
  <si>
    <t xml:space="preserve">PAR-03693</t>
  </si>
  <si>
    <t xml:space="preserve">PAR-03694</t>
  </si>
  <si>
    <t xml:space="preserve">PAR-03695</t>
  </si>
  <si>
    <t xml:space="preserve">PAR-03696</t>
  </si>
  <si>
    <t xml:space="preserve">PAR-03697</t>
  </si>
  <si>
    <t xml:space="preserve">PAR-03698</t>
  </si>
  <si>
    <t xml:space="preserve">на 30 минут/3 боевых хода Кукловод получает данные органов чувств цели и теряет доступ к собственным.</t>
  </si>
  <si>
    <t xml:space="preserve">PAR-03699</t>
  </si>
  <si>
    <t xml:space="preserve">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t>
  </si>
  <si>
    <t xml:space="preserve">PAR-03700</t>
  </si>
  <si>
    <t xml:space="preserve">входящий урон Кукловоду немедленно прерывает эффект; добровольная отмена в бою стоит 1 действие.</t>
  </si>
  <si>
    <t xml:space="preserve">PAR-03701</t>
  </si>
  <si>
    <t xml:space="preserve">PAR-03702</t>
  </si>
  <si>
    <t xml:space="preserve">PAR-03703</t>
  </si>
  <si>
    <t xml:space="preserve">PAR-03704</t>
  </si>
  <si>
    <t xml:space="preserve">PAR-03705</t>
  </si>
  <si>
    <t xml:space="preserve">Связь прекращается при уроне Кукловоду, истечении срока или добровольной отмене.</t>
  </si>
  <si>
    <t xml:space="preserve">PAR-03706</t>
  </si>
  <si>
    <t xml:space="preserve">PAR-03707</t>
  </si>
  <si>
    <t xml:space="preserve">PAR-03708</t>
  </si>
  <si>
    <t xml:space="preserve">2 подготовленных действия; встречные проверки I.</t>
  </si>
  <si>
    <t xml:space="preserve">PAR-03709</t>
  </si>
  <si>
    <t xml:space="preserve">PAR-03710</t>
  </si>
  <si>
    <t xml:space="preserve">если I Кукловода &gt; I цели, цель останавливается и не доводит физическое действие до конца.</t>
  </si>
  <si>
    <t xml:space="preserve">PAR-03711</t>
  </si>
  <si>
    <t xml:space="preserve">PAR-03712</t>
  </si>
  <si>
    <t xml:space="preserve">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</si>
  <si>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PAR-03713</t>
  </si>
  <si>
    <t xml:space="preserve">PAR-03714</t>
  </si>
  <si>
    <t xml:space="preserve">PAR-03715</t>
  </si>
  <si>
    <t xml:space="preserve">PAR-03716</t>
  </si>
  <si>
    <t xml:space="preserve">PAR-03717</t>
  </si>
  <si>
    <t xml:space="preserve">на R20/4 минут/ходов заменить информацию органов чувств цели заданной Кукловодом; если подмена не соответствует реальности, все проверки физических действий цели получают −20.</t>
  </si>
  <si>
    <t xml:space="preserve">PAR-03718</t>
  </si>
  <si>
    <t xml:space="preserve">PAR-03719</t>
  </si>
  <si>
    <t xml:space="preserve">PAR-03720</t>
  </si>
  <si>
    <t xml:space="preserve">PAR-03721</t>
  </si>
  <si>
    <t xml:space="preserve">PAR-03722</t>
  </si>
  <si>
    <t xml:space="preserve">PAR-03723</t>
  </si>
  <si>
    <t xml:space="preserve">PAR-03724</t>
  </si>
  <si>
    <t xml:space="preserve">управление действиями цели передаётся источнику эффекта на таймер.</t>
  </si>
  <si>
    <t xml:space="preserve">PAR-03725</t>
  </si>
  <si>
    <t xml:space="preserve">PAR-03726</t>
  </si>
  <si>
    <t xml:space="preserve">PAR-03727</t>
  </si>
  <si>
    <t xml:space="preserve">на R20/4 ходов цель исполняет приказы Кукловода.</t>
  </si>
  <si>
    <t xml:space="preserve">PAR-03728</t>
  </si>
  <si>
    <t xml:space="preserve">PAR-03729</t>
  </si>
  <si>
    <t xml:space="preserve">PAR-03730</t>
  </si>
  <si>
    <t xml:space="preserve">PAR-03731</t>
  </si>
  <si>
    <t xml:space="preserve">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t>
  </si>
  <si>
    <t xml:space="preserve">PAR-03732</t>
  </si>
  <si>
    <t xml:space="preserve">PAR-03733</t>
  </si>
  <si>
    <t xml:space="preserve">без траты действий создать одноразовый усилитель; при следующем применении выбранной способности разрешить её отдельно для каждой цели, отдельно оплатив цену и выполнив все проверки.</t>
  </si>
  <si>
    <t xml:space="preserve">PAR-03734</t>
  </si>
  <si>
    <t xml:space="preserve">[Q-MON-018] Цена следующей способности в боевых действиях оплачивается один раз за всё многоцелевое применение.</t>
  </si>
  <si>
    <t xml:space="preserve">PAR-03735</t>
  </si>
  <si>
    <t xml:space="preserve">PAR-03736</t>
  </si>
  <si>
    <t xml:space="preserve">PAR-03737</t>
  </si>
  <si>
    <t xml:space="preserve">PAR-03738</t>
  </si>
  <si>
    <t xml:space="preserve">PAR-03739</t>
  </si>
  <si>
    <t xml:space="preserve">ОЭ, расходуемые ресурсы и иные целевые цены оплачиваются отдельно за каждую выбранную цель, и все проверки по каждой цели выполняются независимо</t>
  </si>
  <si>
    <t xml:space="preserve">PAR-03740</t>
  </si>
  <si>
    <t xml:space="preserve">PAR-03741</t>
  </si>
  <si>
    <t xml:space="preserve">PAR-03742</t>
  </si>
  <si>
    <t xml:space="preserve">PAR-03743</t>
  </si>
  <si>
    <t xml:space="preserve">PAR-03744</t>
  </si>
  <si>
    <t xml:space="preserve">PAR-03745</t>
  </si>
  <si>
    <t xml:space="preserve">600 ОЭ «Ментальной паутины» платятся один раз.</t>
  </si>
  <si>
    <t xml:space="preserve">PAR-03746</t>
  </si>
  <si>
    <t xml:space="preserve">PAR-03747</t>
  </si>
  <si>
    <t xml:space="preserve">первая попытка не тратит боевое действие; каждая следующая стоит 1 боевое действие.</t>
  </si>
  <si>
    <t xml:space="preserve">PAR-03748</t>
  </si>
  <si>
    <t xml:space="preserve">[Q-MON-019] 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t>
  </si>
  <si>
    <t xml:space="preserve">PAR-03749</t>
  </si>
  <si>
    <t xml:space="preserve">PAR-03750</t>
  </si>
  <si>
    <t xml:space="preserve">PAR-03751</t>
  </si>
  <si>
    <t xml:space="preserve">стоимость ОЭ конкретной способности оплачивается отдельно.</t>
  </si>
  <si>
    <t xml:space="preserve">PAR-03752</t>
  </si>
  <si>
    <t xml:space="preserve">PAR-03753</t>
  </si>
  <si>
    <t xml:space="preserve">PAR-03754</t>
  </si>
  <si>
    <t xml:space="preserve">PAR-03755</t>
  </si>
  <si>
    <t xml:space="preserve">PAR-03756</t>
  </si>
  <si>
    <t xml:space="preserve">PAR-03757</t>
  </si>
  <si>
    <t xml:space="preserve">PAR-03758</t>
  </si>
  <si>
    <t xml:space="preserve">[Q-MON-021] Уничтожение ассистентов бесплатно и может быть объявлено вне очереди, в том числе между объявлением чужого действия и его разрешением.</t>
  </si>
  <si>
    <t xml:space="preserve">PAR-03759</t>
  </si>
  <si>
    <t xml:space="preserve">PAR-03760</t>
  </si>
  <si>
    <t xml:space="preserve">PAR-03761</t>
  </si>
  <si>
    <t xml:space="preserve">PAR-03762</t>
  </si>
  <si>
    <t xml:space="preserve">если R20 &lt; L, животное бросается в бегство.</t>
  </si>
  <si>
    <t xml:space="preserve">PAR-03763</t>
  </si>
  <si>
    <t xml:space="preserve">[Q-MON-022] Дикое животное делает одну чистую проверку R20 сразу после успешного заражения.</t>
  </si>
  <si>
    <t xml:space="preserve">PAR-03764</t>
  </si>
  <si>
    <t xml:space="preserve">PAR-03765</t>
  </si>
  <si>
    <t xml:space="preserve">PAR-03766</t>
  </si>
  <si>
    <t xml:space="preserve">PAR-03767</t>
  </si>
  <si>
    <t xml:space="preserve">«Нэйт» полностью блокирует этот путь; цена действия требует решения Q-MON-019.</t>
  </si>
  <si>
    <t xml:space="preserve">PAR-03768</t>
  </si>
  <si>
    <t xml:space="preserve">PAR-03769</t>
  </si>
  <si>
    <t xml:space="preserve">PAR-03770</t>
  </si>
  <si>
    <t xml:space="preserve">PAR-03771</t>
  </si>
  <si>
    <t xml:space="preserve">PAR-03772</t>
  </si>
  <si>
    <t xml:space="preserve">PAR-03773</t>
  </si>
  <si>
    <t xml:space="preserve">PAR-03774</t>
  </si>
  <si>
    <t xml:space="preserve">При R20=1 ассистенты воспламеняют случайную часть тела и погибают; при 2 погибают/не погибают — см.</t>
  </si>
  <si>
    <t xml:space="preserve">PAR-03775</t>
  </si>
  <si>
    <t xml:space="preserve">При результате 1 ассистенты погибают и случайная часть тела загорается; если целью был сам Доктор, блокировка на 8−L часов применяется.</t>
  </si>
  <si>
    <t xml:space="preserve">PAR-03776</t>
  </si>
  <si>
    <t xml:space="preserve">при применении к себе Доктор теряет возможность проверок заражения на 8−L часов.</t>
  </si>
  <si>
    <t xml:space="preserve">PAR-03777</t>
  </si>
  <si>
    <t xml:space="preserve">PAR-03778</t>
  </si>
  <si>
    <t xml:space="preserve">при R20≥3 уничтожить ассистентов и восстановить R20×3 HP; при 12+ дополнительно вылечить инфекционные болезни; при 16+ — все травмы; при 20 — все косметические дефекты, снижающие C.</t>
  </si>
  <si>
    <t xml:space="preserve">PAR-03779</t>
  </si>
  <si>
    <t xml:space="preserve">PAR-03780</t>
  </si>
  <si>
    <t xml:space="preserve">PAR-03781</t>
  </si>
  <si>
    <t xml:space="preserve">PAR-03782</t>
  </si>
  <si>
    <t xml:space="preserve">PAR-03783</t>
  </si>
  <si>
    <t xml:space="preserve">PAR-03784</t>
  </si>
  <si>
    <t xml:space="preserve">PAR-03785</t>
  </si>
  <si>
    <t xml:space="preserve">PAR-03786</t>
  </si>
  <si>
    <t xml:space="preserve">PAR-03787</t>
  </si>
  <si>
    <t xml:space="preserve">при результате активации ≥4 гарантированно заразить R4 выбранных целей без встречных проверок; при результате активации 1 уничтожить всех ассистентов в Докторе и запретить проверки заражения на 5 часов; при 2–3 не активировать.</t>
  </si>
  <si>
    <t xml:space="preserve">PAR-03788</t>
  </si>
  <si>
    <t xml:space="preserve">PAR-03789</t>
  </si>
  <si>
    <t xml:space="preserve">PAR-03790</t>
  </si>
  <si>
    <t xml:space="preserve">PAR-03791</t>
  </si>
  <si>
    <t xml:space="preserve">Совпадает ли проверка активации с R4 количества целей, требует Q-MON-024.</t>
  </si>
  <si>
    <t xml:space="preserve">PAR-03792</t>
  </si>
  <si>
    <t xml:space="preserve">[Q-MON-024] Сначала выполняется отдельный чистый R20 активации: 1 даёт критическое последствие, 2–3 — провал, 4+ — успех.</t>
  </si>
  <si>
    <t xml:space="preserve">PAR-03793</t>
  </si>
  <si>
    <t xml:space="preserve">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</si>
  <si>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PAR-03794</t>
  </si>
  <si>
    <t xml:space="preserve">PAR-03795</t>
  </si>
  <si>
    <t xml:space="preserve">PAR-03796</t>
  </si>
  <si>
    <t xml:space="preserve">PAR-03797</t>
  </si>
  <si>
    <t xml:space="preserve">PAR-03798</t>
  </si>
  <si>
    <t xml:space="preserve">PAR-03799</t>
  </si>
  <si>
    <t xml:space="preserve">PAR-03800</t>
  </si>
  <si>
    <t xml:space="preserve">PAR-03801</t>
  </si>
  <si>
    <t xml:space="preserve">Проверять при первом входе и не чаще одного раза за каждый полный час непрерывного пребывания; в одном бою от того же очага повторной проверки нет.</t>
  </si>
  <si>
    <t xml:space="preserve">PAR-03802</t>
  </si>
  <si>
    <t xml:space="preserve">PAR-03803</t>
  </si>
  <si>
    <t xml:space="preserve">PAR-03804</t>
  </si>
  <si>
    <t xml:space="preserve">PAR-03805</t>
  </si>
  <si>
    <t xml:space="preserve">PAR-03806</t>
  </si>
  <si>
    <t xml:space="preserve">PAR-03807</t>
  </si>
  <si>
    <t xml:space="preserve">PAR-03808</t>
  </si>
  <si>
    <t xml:space="preserve">PAR-03809</t>
  </si>
  <si>
    <t xml:space="preserve">PAR-03810</t>
  </si>
  <si>
    <t xml:space="preserve">PAR-03811</t>
  </si>
  <si>
    <t xml:space="preserve">снять болезнь; вернуть утраченные от неё очки характеристик в течение суток.</t>
  </si>
  <si>
    <t xml:space="preserve">PAR-03812</t>
  </si>
  <si>
    <t xml:space="preserve">PAR-03813</t>
  </si>
  <si>
    <t xml:space="preserve">PAR-03814</t>
  </si>
  <si>
    <t xml:space="preserve">PAR-03815</t>
  </si>
  <si>
    <t xml:space="preserve">PAR-03816</t>
  </si>
  <si>
    <t xml:space="preserve">PAR-03817</t>
  </si>
  <si>
    <t xml:space="preserve">PAR-03818</t>
  </si>
  <si>
    <t xml:space="preserve">PAR-03819</t>
  </si>
  <si>
    <t xml:space="preserve">на ходах 1–6 увеличить S и D до 35; с 7-го вернуть обычные итоговые значения.</t>
  </si>
  <si>
    <t xml:space="preserve">PAR-03820</t>
  </si>
  <si>
    <t xml:space="preserve">PAR-03821</t>
  </si>
  <si>
    <t xml:space="preserve">PAR-03822</t>
  </si>
  <si>
    <t xml:space="preserve">при R20≥4 поднять все подходящие трупы на R20 часов; они выполняют ментальные команды с любого расстояния; затем окончательно умирают.</t>
  </si>
  <si>
    <t xml:space="preserve">PAR-03823</t>
  </si>
  <si>
    <t xml:space="preserve">PAR-03824</t>
  </si>
  <si>
    <t xml:space="preserve">PAR-03825</t>
  </si>
  <si>
    <t xml:space="preserve">PAR-03826</t>
  </si>
  <si>
    <t xml:space="preserve">PAR-03827</t>
  </si>
  <si>
    <t xml:space="preserve">При R20=1 все поднятые трупы атакуют Доктора.</t>
  </si>
  <si>
    <t xml:space="preserve">PAR-03828</t>
  </si>
  <si>
    <t xml:space="preserve">PAR-03829</t>
  </si>
  <si>
    <t xml:space="preserve">PAR-03830</t>
  </si>
  <si>
    <t xml:space="preserve">PAR-03831</t>
  </si>
  <si>
    <t xml:space="preserve">каждую характеристику и max HP разделить на 2 с округлением вверх, минимум 1; сохранить утраченные части тела и надетое снаряжение; запретить навыки, активные защиты и симбионтов; всем зомби одной активации назначить общую инициативу и 1 боевое действие каждому.</t>
  </si>
  <si>
    <t xml:space="preserve">PAR-03832</t>
  </si>
  <si>
    <t xml:space="preserve">PAR-03833</t>
  </si>
  <si>
    <t xml:space="preserve">PAR-03834</t>
  </si>
  <si>
    <t xml:space="preserve">PAR-03835</t>
  </si>
  <si>
    <t xml:space="preserve">при 0 HP зомби окончательно разрушается; тяжёлое ранение для него не применяется.</t>
  </si>
  <si>
    <t xml:space="preserve">PAR-03836</t>
  </si>
  <si>
    <t xml:space="preserve">PAR-03837</t>
  </si>
  <si>
    <t xml:space="preserve">PAR-03838</t>
  </si>
  <si>
    <t xml:space="preserve">PAR-03839</t>
  </si>
  <si>
    <t xml:space="preserve">способность не тратит действий; при успешном блоке атакующий загорается до нанесения удара, исходная атака не достигает Доктора.</t>
  </si>
  <si>
    <t xml:space="preserve">PAR-03840</t>
  </si>
  <si>
    <t xml:space="preserve">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</si>
  <si>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PAR-03841</t>
  </si>
  <si>
    <t xml:space="preserve">PAR-03842</t>
  </si>
  <si>
    <t xml:space="preserve">PAR-03843</t>
  </si>
  <si>
    <t xml:space="preserve">PAR-03844</t>
  </si>
  <si>
    <t xml:space="preserve">PAR-03845</t>
  </si>
  <si>
    <t xml:space="preserve">PAR-03846</t>
  </si>
  <si>
    <t xml:space="preserve">PAR-03847</t>
  </si>
  <si>
    <t xml:space="preserve">Увернуться от струи пламени нельзя, окно защитных действий у цели не открывается (точно так же работают поджигающие способности дракона)</t>
  </si>
  <si>
    <t xml:space="preserve">PAR-03848</t>
  </si>
  <si>
    <t xml:space="preserve">точная форма струи и активная цена действий требуют Q-MON-035 и Q-MON-036.</t>
  </si>
  <si>
    <t xml:space="preserve">PAR-03849</t>
  </si>
  <si>
    <t xml:space="preserve">PAR-03850</t>
  </si>
  <si>
    <t xml:space="preserve">PAR-03851</t>
  </si>
  <si>
    <t xml:space="preserve">PAR-03852</t>
  </si>
  <si>
    <t xml:space="preserve">PAR-03853</t>
  </si>
  <si>
    <t xml:space="preserve">на каждую попавшую под струю цель наложить горение на случайные R6 элементов экипировки; если R6=6, горят все элементы, включая рюкзак при наличии.</t>
  </si>
  <si>
    <t xml:space="preserve">PAR-03854</t>
  </si>
  <si>
    <t xml:space="preserve">PAR-03855</t>
  </si>
  <si>
    <t xml:space="preserve">PAR-03856</t>
  </si>
  <si>
    <t xml:space="preserve">PAR-03857</t>
  </si>
  <si>
    <t xml:space="preserve">специальная процедура конкретной болезни/источника имеет приоритет; одна непрерывная экспозиция — не более одной проверки в час.</t>
  </si>
  <si>
    <t xml:space="preserve">PAR-03858</t>
  </si>
  <si>
    <t xml:space="preserve">PAR-03859</t>
  </si>
  <si>
    <t xml:space="preserve">PAR-03860</t>
  </si>
  <si>
    <t xml:space="preserve">PAR-03861</t>
  </si>
  <si>
    <t xml:space="preserve">PAR-03862</t>
  </si>
  <si>
    <t xml:space="preserve">PAR-03863</t>
  </si>
  <si>
    <t xml:space="preserve">PAR-03864</t>
  </si>
  <si>
    <t xml:space="preserve">PAR-03865</t>
  </si>
  <si>
    <t xml:space="preserve">PAR-03866</t>
  </si>
  <si>
    <t xml:space="preserve">специальное правило болезни может задавать иной срок.</t>
  </si>
  <si>
    <t xml:space="preserve">PAR-03867</t>
  </si>
  <si>
    <t xml:space="preserve">PAR-03868</t>
  </si>
  <si>
    <t xml:space="preserve">PAR-03869</t>
  </si>
  <si>
    <t xml:space="preserve">PAR-03870</t>
  </si>
  <si>
    <t xml:space="preserve">PAR-03871</t>
  </si>
  <si>
    <t xml:space="preserve">если итог лечащего строго больше суммы 2R20 болезни, излечить; иначе сохранить болезнь; установить суточный cooldown попытки.</t>
  </si>
  <si>
    <t xml:space="preserve">PAR-03872</t>
  </si>
  <si>
    <t xml:space="preserve">PAR-03873</t>
  </si>
  <si>
    <t xml:space="preserve">PAR-03874</t>
  </si>
  <si>
    <t xml:space="preserve">PAR-03875</t>
  </si>
  <si>
    <t xml:space="preserve">PAR-03876</t>
  </si>
  <si>
    <t xml:space="preserve">[Q-MON-041] Выбранные значения характеристик фиксируются на весь срок существования конкретного экземпляра существа и сохраняются при его появлении в следующих сценах.</t>
  </si>
  <si>
    <t xml:space="preserve">PAR-03877</t>
  </si>
  <si>
    <t xml:space="preserve">PAR-03878</t>
  </si>
  <si>
    <t xml:space="preserve">PAR-03879</t>
  </si>
  <si>
    <t xml:space="preserve">PAR-03880</t>
  </si>
  <si>
    <t xml:space="preserve">Он атакует старейшего противника, которого может легально атаковать в текущем ходу; если такого нет, движется к старейшему воспринимаемому противнику.</t>
  </si>
  <si>
    <t xml:space="preserve">PAR-03881</t>
  </si>
  <si>
    <t xml:space="preserve">PAR-03882</t>
  </si>
  <si>
    <t xml:space="preserve">PAR-03883</t>
  </si>
  <si>
    <t xml:space="preserve">PAR-03884</t>
  </si>
  <si>
    <t xml:space="preserve">PAR-03885</t>
  </si>
  <si>
    <t xml:space="preserve">PAR-03886</t>
  </si>
  <si>
    <t xml:space="preserve">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</si>
  <si>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PAR-03887</t>
  </si>
  <si>
    <t xml:space="preserve">PAR-03888</t>
  </si>
  <si>
    <t xml:space="preserve">PAR-03889</t>
  </si>
  <si>
    <t xml:space="preserve">PAR-03890</t>
  </si>
  <si>
    <t xml:space="preserve">PAR-03891</t>
  </si>
  <si>
    <t xml:space="preserve">PAR-03892</t>
  </si>
  <si>
    <t xml:space="preserve">PAR-03893</t>
  </si>
  <si>
    <t xml:space="preserve">PAR-03894</t>
  </si>
  <si>
    <t xml:space="preserve">PAR-03895</t>
  </si>
  <si>
    <t xml:space="preserve">если проверка цели ниже встречного результата, нанести R12 урона от яда.</t>
  </si>
  <si>
    <t xml:space="preserve">PAR-03896</t>
  </si>
  <si>
    <t xml:space="preserve">PAR-03897</t>
  </si>
  <si>
    <t xml:space="preserve">PAR-03898</t>
  </si>
  <si>
    <t xml:space="preserve">PAR-03899</t>
  </si>
  <si>
    <t xml:space="preserve">В конце ходов Вивисектора и других участников дополнительной проверки нет.</t>
  </si>
  <si>
    <t xml:space="preserve">PAR-03900</t>
  </si>
  <si>
    <t xml:space="preserve">PAR-03901</t>
  </si>
  <si>
    <t xml:space="preserve">PAR-03902</t>
  </si>
  <si>
    <t xml:space="preserve">PAR-03903</t>
  </si>
  <si>
    <t xml:space="preserve">PAR-03904</t>
  </si>
  <si>
    <t xml:space="preserve">при контакте нанести R12+8 прямого урона от яда; после двух последовательных ходов вывести из строя один затронутый допустимый элемент до ремонта.</t>
  </si>
  <si>
    <t xml:space="preserve">PAR-03905</t>
  </si>
  <si>
    <t xml:space="preserve">PAR-03906</t>
  </si>
  <si>
    <t xml:space="preserve">PAR-03907</t>
  </si>
  <si>
    <t xml:space="preserve">PAR-03908</t>
  </si>
  <si>
    <t xml:space="preserve">PAR-03909</t>
  </si>
  <si>
    <t xml:space="preserve">[Q-MON-046] В конце каждого личного хода в слизи счётчик непрерывного пребывания увеличивается на 1.</t>
  </si>
  <si>
    <t xml:space="preserve">PAR-03910</t>
  </si>
  <si>
    <t xml:space="preserve">PAR-03911</t>
  </si>
  <si>
    <t xml:space="preserve">Дальние атаки не получают отдельного бонуса и проверяются против природной брони R12.</t>
  </si>
  <si>
    <t xml:space="preserve">PAR-03912</t>
  </si>
  <si>
    <t xml:space="preserve">природная броня R12 дана отдельно.</t>
  </si>
  <si>
    <t xml:space="preserve">PAR-03913</t>
  </si>
  <si>
    <t xml:space="preserve">PAR-03914</t>
  </si>
  <si>
    <t xml:space="preserve">PAR-03915</t>
  </si>
  <si>
    <t xml:space="preserve">PAR-03916</t>
  </si>
  <si>
    <t xml:space="preserve">PAR-03917</t>
  </si>
  <si>
    <t xml:space="preserve">запустить таймер R20 минут; успешная проверка против 25 заранее раскрывает подготовку; по таймеру привести подходящего крупного хищника.</t>
  </si>
  <si>
    <t xml:space="preserve">PAR-03918</t>
  </si>
  <si>
    <t xml:space="preserve">PAR-03919</t>
  </si>
  <si>
    <t xml:space="preserve">PAR-03920</t>
  </si>
  <si>
    <t xml:space="preserve">PAR-03921</t>
  </si>
  <si>
    <t xml:space="preserve">PAR-03922</t>
  </si>
  <si>
    <t xml:space="preserve">PAR-03923</t>
  </si>
  <si>
    <t xml:space="preserve">PAR-03924</t>
  </si>
  <si>
    <t xml:space="preserve">PAR-03925</t>
  </si>
  <si>
    <t xml:space="preserve">PAR-03926</t>
  </si>
  <si>
    <t xml:space="preserve">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</si>
  <si>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PAR-03927</t>
  </si>
  <si>
    <t xml:space="preserve">PAR-03928</t>
  </si>
  <si>
    <t xml:space="preserve">PAR-03929</t>
  </si>
  <si>
    <t xml:space="preserve">PAR-03930</t>
  </si>
  <si>
    <t xml:space="preserve">потратить все действия, но не менее 2; установить состояние «взрыв в начале следующего хода».</t>
  </si>
  <si>
    <t xml:space="preserve">PAR-03931</t>
  </si>
  <si>
    <t xml:space="preserve">при серии из 0–1 действия начать нельзя.</t>
  </si>
  <si>
    <t xml:space="preserve">PAR-03932</t>
  </si>
  <si>
    <t xml:space="preserve">PAR-03933</t>
  </si>
  <si>
    <t xml:space="preserve">PAR-03934</t>
  </si>
  <si>
    <t xml:space="preserve">PAR-03935</t>
  </si>
  <si>
    <t xml:space="preserve">PAR-03936</t>
  </si>
  <si>
    <t xml:space="preserve">PAR-03937</t>
  </si>
  <si>
    <t xml:space="preserve">PAR-03938</t>
  </si>
  <si>
    <t xml:space="preserve">PAR-03939</t>
  </si>
  <si>
    <t xml:space="preserve">PAR-03940</t>
  </si>
  <si>
    <t xml:space="preserve">PAR-03941</t>
  </si>
  <si>
    <t xml:space="preserve">нанести R20×2+40 урона каждой цели в 10 м; укрытие уменьшает урон вдвое; у каждой цели случайно поджечь один горючий элемент экипировки.</t>
  </si>
  <si>
    <t xml:space="preserve">PAR-03942</t>
  </si>
  <si>
    <t xml:space="preserve">Каждый персонаж в радиусе 10 метров получает полный исходный урон взрыва R20×2+40.</t>
  </si>
  <si>
    <t xml:space="preserve">PAR-03943</t>
  </si>
  <si>
    <t xml:space="preserve">Эта формулировка заменяет указание об укрытии в Q-MON-051.</t>
  </si>
  <si>
    <t xml:space="preserve">PAR-03944</t>
  </si>
  <si>
    <t xml:space="preserve">PAR-03945</t>
  </si>
  <si>
    <t xml:space="preserve">PAR-03946</t>
  </si>
  <si>
    <t xml:space="preserve">PAR-03947</t>
  </si>
  <si>
    <t xml:space="preserve">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t>
  </si>
  <si>
    <t xml:space="preserve">PAR-03948</t>
  </si>
  <si>
    <t xml:space="preserve">PAR-03949</t>
  </si>
  <si>
    <t xml:space="preserve">PAR-03950</t>
  </si>
  <si>
    <t xml:space="preserve">[Q-MON-052] Против первой атаки захватом цель выполняет встречную проверку R20+D без навыка уклонения; применяются только общие ситуационные модификаторы к Ловкости.</t>
  </si>
  <si>
    <t xml:space="preserve">PAR-03951</t>
  </si>
  <si>
    <t xml:space="preserve">Блок, парирование, броня и другие характеристики недоступны; захват успешен, если R20+D+5 Умоляющего строго выше результата цели.</t>
  </si>
  <si>
    <t xml:space="preserve">PAR-03952</t>
  </si>
  <si>
    <t xml:space="preserve">PAR-03953</t>
  </si>
  <si>
    <t xml:space="preserve">PAR-03954</t>
  </si>
  <si>
    <t xml:space="preserve">PAR-03955</t>
  </si>
  <si>
    <t xml:space="preserve">при результате цели ниже результата Умоляющего ближайшее действие цели тратится на движение к приманке; после очевидно опасного события повторить проверку.</t>
  </si>
  <si>
    <t xml:space="preserve">PAR-03956</t>
  </si>
  <si>
    <t xml:space="preserve">PAR-03957</t>
  </si>
  <si>
    <t xml:space="preserve">цель R20+I+Аналитическое мышление</t>
  </si>
  <si>
    <t xml:space="preserve">PAR-03958</t>
  </si>
  <si>
    <t xml:space="preserve">Умоляющий R20+C; опциональный бонус +10 за конкретный вопрос «утопающему».</t>
  </si>
  <si>
    <t xml:space="preserve">PAR-03959</t>
  </si>
  <si>
    <t xml:space="preserve">PAR-03960</t>
  </si>
  <si>
    <t xml:space="preserve">PAR-03961</t>
  </si>
  <si>
    <t xml:space="preserve">PAR-03962</t>
  </si>
  <si>
    <t xml:space="preserve">PAR-03963</t>
  </si>
  <si>
    <t xml:space="preserve">считать атаку попаданием в голову, но не применять постоянный бонус брони +5; оставить R12.</t>
  </si>
  <si>
    <t xml:space="preserve">PAR-03964</t>
  </si>
  <si>
    <t xml:space="preserve">PAR-03965</t>
  </si>
  <si>
    <t xml:space="preserve">[Q-MON-055] Пасть считается открытой с момента объявления Вольмером укуса до начала его следующего личного хода.</t>
  </si>
  <si>
    <t xml:space="preserve">PAR-03966</t>
  </si>
  <si>
    <t xml:space="preserve">PAR-03967</t>
  </si>
  <si>
    <t xml:space="preserve">PAR-03968</t>
  </si>
  <si>
    <t xml:space="preserve">Дерево R20+C; +10 цели на немедленной проверке от урона.</t>
  </si>
  <si>
    <t xml:space="preserve">PAR-03969</t>
  </si>
  <si>
    <t xml:space="preserve">PAR-03970</t>
  </si>
  <si>
    <t xml:space="preserve">PAR-03971</t>
  </si>
  <si>
    <t xml:space="preserve">при провале первичной проверки каждый ход двигать цель к дуплу; в конце каждого её хода повторять сопротивление; при уроне — дополнительная немедленная проверка +10; успех либо выход из 5 м снимает эффект; достигшая дупла цель захвачена, освобождение — встречная борьба против Дерева.</t>
  </si>
  <si>
    <t xml:space="preserve">PAR-03972</t>
  </si>
  <si>
    <t xml:space="preserve">за ход Дерево берёт под контроль не более одной новой цели.</t>
  </si>
  <si>
    <t xml:space="preserve">PAR-03973</t>
  </si>
  <si>
    <t xml:space="preserve">PAR-03974</t>
  </si>
  <si>
    <t xml:space="preserve">при провале увеличить счётчик; первый провал — −2 действия в следующей серии; второй последовательный провал — паралич на 5 ходов; успешная проверка сбрасывает счётчик.</t>
  </si>
  <si>
    <t xml:space="preserve">PAR-03975</t>
  </si>
  <si>
    <t xml:space="preserve">[Q-MON-057] Второй последовательный провал заменяет эффект первого: цель парализуется на 5 своих ходов, а ожидающая потеря двух действий отменяется.</t>
  </si>
  <si>
    <t xml:space="preserve">PAR-03976</t>
  </si>
  <si>
    <t xml:space="preserve">PAR-03977</t>
  </si>
  <si>
    <t xml:space="preserve">PAR-03978</t>
  </si>
  <si>
    <t xml:space="preserve">PAR-03979</t>
  </si>
  <si>
    <t xml:space="preserve">PAR-03980</t>
  </si>
  <si>
    <t xml:space="preserve">PAR-03981</t>
  </si>
  <si>
    <t xml:space="preserve">[Q-MON-058] 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t>
  </si>
  <si>
    <t xml:space="preserve">PAR-03982</t>
  </si>
  <si>
    <t xml:space="preserve">PAR-03983</t>
  </si>
  <si>
    <t xml:space="preserve">PAR-03984</t>
  </si>
  <si>
    <t xml:space="preserve">PAR-03985</t>
  </si>
  <si>
    <t xml:space="preserve">PAR-03986</t>
  </si>
  <si>
    <t xml:space="preserve">поддерживать процесс два полных хода; по завершении установить «в коконе, вне боя до освобождения союзниками».</t>
  </si>
  <si>
    <t xml:space="preserve">PAR-03987</t>
  </si>
  <si>
    <t xml:space="preserve">PAR-03988</t>
  </si>
  <si>
    <t xml:space="preserve">PAR-03989</t>
  </si>
  <si>
    <t xml:space="preserve">сократить дистанцию максимум на 12 м без дополнительного действия; при неудаче получить −4 к защите до начала следующего хода.</t>
  </si>
  <si>
    <t xml:space="preserve">PAR-03990</t>
  </si>
  <si>
    <t xml:space="preserve">[Q-MON-059] Прыжок до 12 метров в допустимую точку выполняется автоматически и без дополнительного действия.</t>
  </si>
  <si>
    <t xml:space="preserve">PAR-03991</t>
  </si>
  <si>
    <t xml:space="preserve">Для заявленной дистанции d&gt;12 м требуется чистый D20 не ниже d−12; максимальная дальность равна 32 метрам.</t>
  </si>
  <si>
    <t xml:space="preserve">PAR-03992</t>
  </si>
  <si>
    <t xml:space="preserve">формула успеха прыжка отсутствует.</t>
  </si>
  <si>
    <t xml:space="preserve">PAR-03993</t>
  </si>
  <si>
    <t xml:space="preserve">При провале позиция не меняется.</t>
  </si>
  <si>
    <t xml:space="preserve">PAR-03994</t>
  </si>
  <si>
    <t xml:space="preserve">Никакая промежуточная точка, направление или случайная дистанция не создаются.</t>
  </si>
  <si>
    <t xml:space="preserve">PAR-03995</t>
  </si>
  <si>
    <t xml:space="preserve">PAR-03996</t>
  </si>
  <si>
    <t xml:space="preserve">PAR-03997</t>
  </si>
  <si>
    <t xml:space="preserve">PAR-03998</t>
  </si>
  <si>
    <t xml:space="preserve">После прыжка способность недоступна в следующий личный ход и снова доступна через один ход, то есть допустимые последовательные ходы применения имеют номера 1, 3, 5 и так далее.</t>
  </si>
  <si>
    <t xml:space="preserve">PAR-03999</t>
  </si>
  <si>
    <t xml:space="preserve">При провале применяется штраф −4 к защите до начала следующего личного хода; точная точка недолёта вынесена в новый QA-вопрос.</t>
  </si>
  <si>
    <t xml:space="preserve">PAR-04000</t>
  </si>
  <si>
    <t xml:space="preserve">Попытка считается использованной: применяется −4 к защите до начала следующего личного хода, а способность недоступна в следующий личный ход и снова доступна через один ход.</t>
  </si>
  <si>
    <t xml:space="preserve">PAR-04001</t>
  </si>
  <si>
    <t xml:space="preserve">PAR-04002</t>
  </si>
  <si>
    <t xml:space="preserve">[Q-MON-060] 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t>
  </si>
  <si>
    <t xml:space="preserve">PAR-04003</t>
  </si>
  <si>
    <t xml:space="preserve">PAR-04004</t>
  </si>
  <si>
    <t xml:space="preserve">PAR-04005</t>
  </si>
  <si>
    <t xml:space="preserve">PAR-04006</t>
  </si>
  <si>
    <t xml:space="preserve">Если до конца боевого круга цель не сделала ни одной защитной проверки, эффект сбрасывается.</t>
  </si>
  <si>
    <t xml:space="preserve">PAR-04007</t>
  </si>
  <si>
    <t xml:space="preserve">PAR-04008</t>
  </si>
  <si>
    <t xml:space="preserve">PAR-04009</t>
  </si>
  <si>
    <t xml:space="preserve">PAR-04010</t>
  </si>
  <si>
    <t xml:space="preserve">PAR-04011</t>
  </si>
  <si>
    <t xml:space="preserve">при провале цели уменьшить число действий в следующем ходу на 2, минимум 0; возможен полный пропуск; установить запрет повторного воздействия на следующий ход.</t>
  </si>
  <si>
    <t xml:space="preserve">PAR-04012</t>
  </si>
  <si>
    <t xml:space="preserve">[Q-MON-061] «Сбивающий импульс» является активной способностью за 1 боевое действие.</t>
  </si>
  <si>
    <t xml:space="preserve">PAR-04013</t>
  </si>
  <si>
    <t xml:space="preserve">PAR-04014</t>
  </si>
  <si>
    <t xml:space="preserve">PAR-04015</t>
  </si>
  <si>
    <t xml:space="preserve">PAR-04016</t>
  </si>
  <si>
    <t xml:space="preserve">PAR-04017</t>
  </si>
  <si>
    <t xml:space="preserve">PAR-04018</t>
  </si>
  <si>
    <t xml:space="preserve">PAR-04019</t>
  </si>
  <si>
    <t xml:space="preserve">PAR-04020</t>
  </si>
  <si>
    <t xml:space="preserve">Если цель провалила сопротивление, Жаба не может выбрать её снова в свой следующий личный ход; через один промежуточный ход Жабы цель снова допустима.</t>
  </si>
  <si>
    <t xml:space="preserve">PAR-04021</t>
  </si>
  <si>
    <t xml:space="preserve">PAR-04022</t>
  </si>
  <si>
    <t xml:space="preserve">«не действует два хода подряд» требует Q-MON-061.</t>
  </si>
  <si>
    <t xml:space="preserve">PAR-04023</t>
  </si>
  <si>
    <t xml:space="preserve">PAR-04024</t>
  </si>
  <si>
    <t xml:space="preserve">Перемещение оплачивается по общим правилам, не накапливается между ходами и прерывается любым иным действием.</t>
  </si>
  <si>
    <t xml:space="preserve">PAR-04025</t>
  </si>
  <si>
    <t xml:space="preserve">PAR-04026</t>
  </si>
  <si>
    <t xml:space="preserve">добавить R6 к урону; если итог атаки &gt;30, сбить цель с ног; до следующего хода Кошки дать ей −3 к уклонению.</t>
  </si>
  <si>
    <t xml:space="preserve">PAR-04027</t>
  </si>
  <si>
    <t xml:space="preserve">PAR-04028</t>
  </si>
  <si>
    <t xml:space="preserve">PAR-04029</t>
  </si>
  <si>
    <t xml:space="preserve">[Q-MON-062] Для бонуса Кошка должна в том же личном ходу непосредственно перед атакой непрерывно пройти не менее 5 метров в направлении цели.</t>
  </si>
  <si>
    <t xml:space="preserve">PAR-04030</t>
  </si>
  <si>
    <t xml:space="preserve">PAR-04031</t>
  </si>
  <si>
    <t xml:space="preserve">PAR-04032</t>
  </si>
  <si>
    <t xml:space="preserve">Z 18–26; maxHP=155; броня=R6.</t>
  </si>
  <si>
    <t xml:space="preserve">PAR-04033</t>
  </si>
  <si>
    <t xml:space="preserve">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t>
  </si>
  <si>
    <t xml:space="preserve">PAR-04034</t>
  </si>
  <si>
    <t xml:space="preserve">PAR-04035</t>
  </si>
  <si>
    <t xml:space="preserve">PAR-04036</t>
  </si>
  <si>
    <t xml:space="preserve">пробитие R12</t>
  </si>
  <si>
    <t xml:space="preserve">PAR-04037</t>
  </si>
  <si>
    <t xml:space="preserve">R20+7 против статического Z цели; случайная конечность; отдельный R20 длительности.</t>
  </si>
  <si>
    <t xml:space="preserve">PAR-04038</t>
  </si>
  <si>
    <t xml:space="preserve">если R20+7 &gt; Z, случайная конечность немеет на R20/3 хода.</t>
  </si>
  <si>
    <t xml:space="preserve">PAR-04039</t>
  </si>
  <si>
    <t xml:space="preserve">PAR-04040</t>
  </si>
  <si>
    <t xml:space="preserve">формула точности не указана; наличие Тайпана у конкретной Фелиды не определено.</t>
  </si>
  <si>
    <t xml:space="preserve">PAR-04041</t>
  </si>
  <si>
    <t xml:space="preserve">PAR-04042</t>
  </si>
  <si>
    <t xml:space="preserve">PAR-04043</t>
  </si>
  <si>
    <t xml:space="preserve">[Q-MON-064] 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t>
  </si>
  <si>
    <t xml:space="preserve">PAR-04044</t>
  </si>
  <si>
    <t xml:space="preserve">PAR-04045</t>
  </si>
  <si>
    <t xml:space="preserve">PAR-04046</t>
  </si>
  <si>
    <t xml:space="preserve">PAR-04047</t>
  </si>
  <si>
    <t xml:space="preserve">PAR-04048</t>
  </si>
  <si>
    <t xml:space="preserve">PAR-04049</t>
  </si>
  <si>
    <t xml:space="preserve">[Q-MON-065] Способность доступна уже в первом личном ходу существа.</t>
  </si>
  <si>
    <t xml:space="preserve">PAR-04050</t>
  </si>
  <si>
    <t xml:space="preserve">После использования она недоступна в следующий его личный ход и снова доступна в последующий, то есть может применяться на ходах 1, 3, 5 и далее; круги других участников не учитываются.</t>
  </si>
  <si>
    <t xml:space="preserve">PAR-04051</t>
  </si>
  <si>
    <t xml:space="preserve">PAR-04052</t>
  </si>
  <si>
    <t xml:space="preserve">PAR-04053</t>
  </si>
  <si>
    <t xml:space="preserve">PAR-04054</t>
  </si>
  <si>
    <t xml:space="preserve">PAR-04055</t>
  </si>
  <si>
    <t xml:space="preserve">PAR-04056</t>
  </si>
  <si>
    <t xml:space="preserve">PAR-04057</t>
  </si>
  <si>
    <t xml:space="preserve">PAR-04058</t>
  </si>
  <si>
    <t xml:space="preserve">PAR-04059</t>
  </si>
  <si>
    <t xml:space="preserve">PAR-04060</t>
  </si>
  <si>
    <t xml:space="preserve">PAR-04061</t>
  </si>
  <si>
    <t xml:space="preserve">PAR-04062</t>
  </si>
  <si>
    <t xml:space="preserve">PAR-04063</t>
  </si>
  <si>
    <t xml:space="preserve">установить закрытое безопасное состояние на выбранный срок 2–4 суток, затем вернуть открытое состояние.</t>
  </si>
  <si>
    <t xml:space="preserve">PAR-04064</t>
  </si>
  <si>
    <t xml:space="preserve">способ выбора срока не задан.</t>
  </si>
  <si>
    <t xml:space="preserve">PAR-04065</t>
  </si>
  <si>
    <t xml:space="preserve">PAR-04066</t>
  </si>
  <si>
    <t xml:space="preserve">Если его позиция текущего круга ещё не наступила, он действует в этом круге; если позиция уже прошла, первый обычный ход будет в следующем круге.</t>
  </si>
  <si>
    <t xml:space="preserve">PAR-04067</t>
  </si>
  <si>
    <t xml:space="preserve">Участник никогда не получает два обычных хода в одном круге.</t>
  </si>
  <si>
    <t xml:space="preserve">PAR-04068</t>
  </si>
  <si>
    <t xml:space="preserve">Прямое специальное правило, например выход Хранителя только со следующего круга, имеет приоритет.</t>
  </si>
  <si>
    <t xml:space="preserve">PAR-04069</t>
  </si>
  <si>
    <t xml:space="preserve">PAR-04070</t>
  </si>
  <si>
    <t xml:space="preserve">PAR-04071</t>
  </si>
  <si>
    <t xml:space="preserve">PAR-04072</t>
  </si>
  <si>
    <t xml:space="preserve">PAR-04073</t>
  </si>
  <si>
    <t xml:space="preserve">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t>
  </si>
  <si>
    <t xml:space="preserve">PAR-04074</t>
  </si>
  <si>
    <t xml:space="preserve">Частное прямое исключение способности сильнее этой таблицы.</t>
  </si>
  <si>
    <t xml:space="preserve">PAR-04075</t>
  </si>
  <si>
    <t xml:space="preserve">PAR-04076</t>
  </si>
  <si>
    <t xml:space="preserve">Сначала физические состояния CORE-103 отсекают невозможные команды.</t>
  </si>
  <si>
    <t xml:space="preserve">PAR-04077</t>
  </si>
  <si>
    <t xml:space="preserve">PAR-04078</t>
  </si>
  <si>
    <t xml:space="preserve">PAR-04079</t>
  </si>
  <si>
    <t xml:space="preserve">PAR-04080</t>
  </si>
  <si>
    <t xml:space="preserve">PAR-04081</t>
  </si>
  <si>
    <t xml:space="preserve">PAR-04082</t>
  </si>
  <si>
    <t xml:space="preserve">Оба экземпляра сохраняют собственный срок и условия прекращения, но численно действует только наибольший по модулю применимый штраф к обнаружению после учёта крупного предмета и иных прямых условий.</t>
  </si>
  <si>
    <t xml:space="preserve">PAR-04083</t>
  </si>
  <si>
    <t xml:space="preserve">Когда сильнейший эффект прекращается, второй начинает действовать автоматически, если его срок и предусловия ещё сохранены.</t>
  </si>
  <si>
    <t xml:space="preserve">PAR-04084</t>
  </si>
  <si>
    <t xml:space="preserve">PAR-04085</t>
  </si>
  <si>
    <t xml:space="preserve">PAR-04086</t>
  </si>
  <si>
    <t xml:space="preserve">PAR-04087</t>
  </si>
  <si>
    <t xml:space="preserve">Изменение значения, срока, источника или ключа активного механического эффекта завершает старую версию и атомарно создаёт новую с текущего момента.</t>
  </si>
  <si>
    <t xml:space="preserve">PAR-04088</t>
  </si>
  <si>
    <t xml:space="preserve">Повторное включение создаёт новую версию и не восстанавливает истёкший срок.</t>
  </si>
  <si>
    <t xml:space="preserve">PAR-04089</t>
  </si>
  <si>
    <t xml:space="preserve">PAR-04090</t>
  </si>
  <si>
    <t xml:space="preserve">Выключение или удаление немедленно прекращает эффект и один раз пересчитывает производные значения; прошедшее время и уже разрешённые последствия не откатываются.</t>
  </si>
  <si>
    <t xml:space="preserve">PAR-04091</t>
  </si>
  <si>
    <t xml:space="preserve">PAR-04092</t>
  </si>
  <si>
    <t xml:space="preserve">PAR-04093</t>
  </si>
  <si>
    <t xml:space="preserve">PAR-04094</t>
  </si>
  <si>
    <t xml:space="preserve">При HP→0 сначала разрешается уже подготовленное активное «Дублирование органов» SYM-030; если оно применимо, только оно расходуется и HP становится 1.</t>
  </si>
  <si>
    <t xml:space="preserve">PAR-04095</t>
  </si>
  <si>
    <t xml:space="preserve">PAR-04096</t>
  </si>
  <si>
    <t xml:space="preserve">При переносе части количества q, где 1≤q≤остатка, ровно q единиц переходят игроку, а остаток остаётся в трупе; уже переданное не возвращается автоматически.</t>
  </si>
  <si>
    <t xml:space="preserve">PAR-04097</t>
  </si>
  <si>
    <t xml:space="preserve">PAR-04098</t>
  </si>
  <si>
    <t xml:space="preserve">PAR-04099</t>
  </si>
  <si>
    <t xml:space="preserve">PAR-04100</t>
  </si>
  <si>
    <t xml:space="preserve">Formula mode</t>
  </si>
  <si>
    <t xml:space="preserve">FORMULA_MODE=VALIDATION_ONLY; generationEnabled=false; точная совместная проверка — CORE-185; производственные дайсы не бросаются.</t>
  </si>
  <si>
    <t xml:space="preserve">PAR-04101</t>
  </si>
  <si>
    <t xml:space="preserve">PAR-04102</t>
  </si>
  <si>
    <t xml:space="preserve">PAR-04103</t>
  </si>
  <si>
    <t xml:space="preserve">PAR-04104</t>
  </si>
  <si>
    <t xml:space="preserve">PAR-04105</t>
  </si>
  <si>
    <t xml:space="preserve">PAR-04106</t>
  </si>
  <si>
    <t xml:space="preserve">PAR-04107</t>
  </si>
  <si>
    <t xml:space="preserve">PAR-04108</t>
  </si>
  <si>
    <t xml:space="preserve">PAR-04109</t>
  </si>
  <si>
    <t xml:space="preserve">PAR-04110</t>
  </si>
  <si>
    <t xml:space="preserve">PAR-04111</t>
  </si>
  <si>
    <t xml:space="preserve">PAR-04112</t>
  </si>
  <si>
    <t xml:space="preserve">PAR-04113</t>
  </si>
  <si>
    <t xml:space="preserve">PAR-04114</t>
  </si>
  <si>
    <t xml:space="preserve">PAR-04115</t>
  </si>
  <si>
    <t xml:space="preserve">PAR-04116</t>
  </si>
  <si>
    <t xml:space="preserve">PAR-04117</t>
  </si>
  <si>
    <t xml:space="preserve">PAR-04118</t>
  </si>
  <si>
    <t xml:space="preserve">PAR-04119</t>
  </si>
  <si>
    <t xml:space="preserve">PAR-04120</t>
  </si>
  <si>
    <t xml:space="preserve">PAR-04121</t>
  </si>
  <si>
    <t xml:space="preserve">Pure weapon policy</t>
  </si>
  <si>
    <t xml:space="preserve">PLAYER_REQUEST=TEMPLATE_FIXED; MASTER_OVERRIDE=ALLOWED для конкретного экземпляра; глобальный шаблон неизменен.</t>
  </si>
  <si>
    <t xml:space="preserve">PAR-04122</t>
  </si>
  <si>
    <t xml:space="preserve">PAR-04123</t>
  </si>
  <si>
    <t xml:space="preserve">PAR-04124</t>
  </si>
  <si>
    <t xml:space="preserve">PAR-04125</t>
  </si>
  <si>
    <t xml:space="preserve">PAR-04126</t>
  </si>
  <si>
    <t xml:space="preserve">PAR-04127</t>
  </si>
  <si>
    <t xml:space="preserve">Data contract</t>
  </si>
  <si>
    <t xml:space="preserve">effectiveWeaponProfile=templateProfile+instanceProfilePatch.</t>
  </si>
  <si>
    <t xml:space="preserve">PAR-04128</t>
  </si>
  <si>
    <t xml:space="preserve">Stat source</t>
  </si>
  <si>
    <t xml:space="preserve">TEMPLATE_FIXED | PLAYER_FORMULA_VALIDATED | MASTER_OVERRIDE.</t>
  </si>
  <si>
    <t xml:space="preserve">PAR-04129</t>
  </si>
  <si>
    <t xml:space="preserve">Generation</t>
  </si>
  <si>
    <t xml:space="preserve">generationEnabled=false; крафт, материалы, время и производственные броски не исполняются.</t>
  </si>
  <si>
    <t xml:space="preserve">PAR-04130</t>
  </si>
  <si>
    <t xml:space="preserve">Identity</t>
  </si>
  <si>
    <t xml:space="preserve">itemInstanceId, itemTypeId и attackVariantId для многовариантного оружия.</t>
  </si>
  <si>
    <t xml:space="preserve">PAR-04131</t>
  </si>
  <si>
    <t xml:space="preserve">Completeness</t>
  </si>
  <si>
    <t xml:space="preserve">После применения patch эффективный профиль готового экземпляра обязан быть полным.</t>
  </si>
  <si>
    <t xml:space="preserve">PAR-04132</t>
  </si>
  <si>
    <t xml:space="preserve">Template scope</t>
  </si>
  <si>
    <t xml:space="preserve">Patch относится к экземпляру; глобальный шаблон не изменяется.</t>
  </si>
  <si>
    <t xml:space="preserve">PAR-04133</t>
  </si>
  <si>
    <t xml:space="preserve">Actor</t>
  </si>
  <si>
    <t xml:space="preserve">PLAYER; только собственный персонаж.</t>
  </si>
  <si>
    <t xml:space="preserve">PAR-04134</t>
  </si>
  <si>
    <t xml:space="preserve">Context</t>
  </si>
  <si>
    <t xml:space="preserve">Только незавершённый процесс создания персонажа.</t>
  </si>
  <si>
    <t xml:space="preserve">PAR-04135</t>
  </si>
  <si>
    <t xml:space="preserve">Weapon scope</t>
  </si>
  <si>
    <t xml:space="preserve">Только не-Чистое оружие с нормативной формулой.</t>
  </si>
  <si>
    <t xml:space="preserve">PAR-04136</t>
  </si>
  <si>
    <t xml:space="preserve">Editable fields</t>
  </si>
  <si>
    <t xml:space="preserve">Только выходы формулы выбранного itemTypeId/attackVariantId.</t>
  </si>
  <si>
    <t xml:space="preserve">PAR-04137</t>
  </si>
  <si>
    <t xml:space="preserve">При успехе PLAYER_FORMULA_VALIDATED.</t>
  </si>
  <si>
    <t xml:space="preserve">PAR-04138</t>
  </si>
  <si>
    <t xml:space="preserve">Validation error</t>
  </si>
  <si>
    <t xml:space="preserve">PLAYER_WEAPON_EDIT_OUTSIDE_CREATION.</t>
  </si>
  <si>
    <t xml:space="preserve">PAR-04139</t>
  </si>
  <si>
    <t xml:space="preserve">PLAYER_FIELD_NOT_FORMULA_DERIVED.</t>
  </si>
  <si>
    <t xml:space="preserve">PAR-04140</t>
  </si>
  <si>
    <t xml:space="preserve">Validation mode</t>
  </si>
  <si>
    <t xml:space="preserve">EXISTS единого joint witness для всех заявленных полей одновременно.</t>
  </si>
  <si>
    <t xml:space="preserve">PAR-04141</t>
  </si>
  <si>
    <t xml:space="preserve">Witness variables</t>
  </si>
  <si>
    <t xml:space="preserve">formulaId/version, L/Lw/Ls и каждое независимое вхождение производственного дайса.</t>
  </si>
  <si>
    <t xml:space="preserve">PAR-04142</t>
  </si>
  <si>
    <t xml:space="preserve">Variable domain</t>
  </si>
  <si>
    <t xml:space="preserve">L, Lw, Ls — целые неотрицательные; Lw&gt;0, когда является делителем; отсутствующие верхние границы не выдумываются.</t>
  </si>
  <si>
    <t xml:space="preserve">PAR-04143</t>
  </si>
  <si>
    <t xml:space="preserve">Dice independence</t>
  </si>
  <si>
    <t xml:space="preserve">Каждое вхождение R4/R6/R12/R20 в формуле — отдельная witness-переменная.</t>
  </si>
  <si>
    <t xml:space="preserve">PAR-04144</t>
  </si>
  <si>
    <t xml:space="preserve">Evaluation order</t>
  </si>
  <si>
    <t xml:space="preserve">Соблюдаются порядок, округление, минимумы и переиспользование ранее вычисленных полей.</t>
  </si>
  <si>
    <t xml:space="preserve">PAR-04145</t>
  </si>
  <si>
    <t xml:space="preserve">Fast pre-check</t>
  </si>
  <si>
    <t xml:space="preserve">Min/max только отклоняет невозможное; PASS не заменяет точную проверку.</t>
  </si>
  <si>
    <t xml:space="preserve">PAR-04146</t>
  </si>
  <si>
    <t xml:space="preserve">Не бросать дайсы, не выбирать случайный witness, не создавать предмет.</t>
  </si>
  <si>
    <t xml:space="preserve">PAR-04147</t>
  </si>
  <si>
    <t xml:space="preserve">Audit</t>
  </si>
  <si>
    <t xml:space="preserve">Сохранить formulaId, версию и validationWitness.</t>
  </si>
  <si>
    <t xml:space="preserve">PAR-04148</t>
  </si>
  <si>
    <t xml:space="preserve">FORMULA_FIELDS_INCOMPLETE | FORMULA_WITNESS_NOT_FOUND.</t>
  </si>
  <si>
    <t xml:space="preserve">PAR-04149</t>
  </si>
  <si>
    <t xml:space="preserve">Pure weapon IDs</t>
  </si>
  <si>
    <t xml:space="preserve">CORE-023 | CORE-024 | CORE-025 | CORE-026 | CORE-047 | CORE-048</t>
  </si>
  <si>
    <t xml:space="preserve">PAR-04150</t>
  </si>
  <si>
    <t xml:space="preserve">Pure weapon names</t>
  </si>
  <si>
    <t xml:space="preserve">Кенси | Эривел | Эстрефорд | Айнцберн | Корнадора | Бларадэ.</t>
  </si>
  <si>
    <t xml:space="preserve">PAR-04151</t>
  </si>
  <si>
    <t xml:space="preserve">Player policy</t>
  </si>
  <si>
    <t xml:space="preserve">TEMPLATE_FIXED; характеристики только для чтения.</t>
  </si>
  <si>
    <t xml:space="preserve">PAR-04152</t>
  </si>
  <si>
    <t xml:space="preserve">TEMPLATE_FIXED.</t>
  </si>
  <si>
    <t xml:space="preserve">PAR-04153</t>
  </si>
  <si>
    <t xml:space="preserve">Master exception</t>
  </si>
  <si>
    <t xml:space="preserve">Конкретный экземпляр может быть изменён только CORE-187/CORE-188.</t>
  </si>
  <si>
    <t xml:space="preserve">PAR-04154</t>
  </si>
  <si>
    <t xml:space="preserve">PAR-04155</t>
  </si>
  <si>
    <t xml:space="preserve">MASTER; подтверждённая роль мастера.</t>
  </si>
  <si>
    <t xml:space="preserve">PAR-04156</t>
  </si>
  <si>
    <t xml:space="preserve">Owner scope</t>
  </si>
  <si>
    <t xml:space="preserve">Любой игрок/персонаж или НПС.</t>
  </si>
  <si>
    <t xml:space="preserve">PAR-04157</t>
  </si>
  <si>
    <t xml:space="preserve">Operation</t>
  </si>
  <si>
    <t xml:space="preserve">Создать готовый экземпляр известного типа либо patch существующего.</t>
  </si>
  <si>
    <t xml:space="preserve">PAR-04158</t>
  </si>
  <si>
    <t xml:space="preserve">Formula bounds</t>
  </si>
  <si>
    <t xml:space="preserve">Обходятся полностью; структурная валидация сохраняется.</t>
  </si>
  <si>
    <t xml:space="preserve">PAR-04159</t>
  </si>
  <si>
    <t xml:space="preserve">Patch scope</t>
  </si>
  <si>
    <t xml:space="preserve">Только конкретный itemInstanceId; шаблон и другие экземпляры не меняются.</t>
  </si>
  <si>
    <t xml:space="preserve">PAR-04160</t>
  </si>
  <si>
    <t xml:space="preserve">Patch semantics</t>
  </si>
  <si>
    <t xml:space="preserve">Частичный patch наследует неуказанные поля текущего эффективного профиля/шаблона.</t>
  </si>
  <si>
    <t xml:space="preserve">PAR-04161</t>
  </si>
  <si>
    <t xml:space="preserve">Новая версия/экземпляр после patch имеет полный эффективный профиль.</t>
  </si>
  <si>
    <t xml:space="preserve">PAR-04162</t>
  </si>
  <si>
    <t xml:space="preserve">actorId, role, timestamp, reason, before/after обязательны.</t>
  </si>
  <si>
    <t xml:space="preserve">PAR-04163</t>
  </si>
  <si>
    <t xml:space="preserve">Editable field</t>
  </si>
  <si>
    <t xml:space="preserve">damageDefinition: valueMode/expression/evaluationScope/rollGroupId.</t>
  </si>
  <si>
    <t xml:space="preserve">PAR-04164</t>
  </si>
  <si>
    <t xml:space="preserve">penetrationDefinition: valueMode/expression/evaluationScope/rollGroupId.</t>
  </si>
  <si>
    <t xml:space="preserve">PAR-04165</t>
  </si>
  <si>
    <t xml:space="preserve">Dice grammar</t>
  </si>
  <si>
    <t xml:space="preserve">R4 | R4+X | R6 | R6+X | R12 | R12+X | R20+X | R20*2+X.</t>
  </si>
  <si>
    <t xml:space="preserve">PAR-04166</t>
  </si>
  <si>
    <t xml:space="preserve">X domain</t>
  </si>
  <si>
    <t xml:space="preserve">X — произвольное конечное положительное число; X&gt;0; формульной верхней границы нет.</t>
  </si>
  <si>
    <t xml:space="preserve">PAR-04167</t>
  </si>
  <si>
    <t xml:space="preserve">statRequirements=MAP&lt;S|D|I|W|M|Z|C, positive finite number&gt;; пустая карта допустима; формульной верхней границы нет.</t>
  </si>
  <si>
    <t xml:space="preserve">PAR-04168</t>
  </si>
  <si>
    <t xml:space="preserve">rangeMeters&gt;0 только для дальнобойного attackVariantId.</t>
  </si>
  <si>
    <t xml:space="preserve">PAR-04169</t>
  </si>
  <si>
    <t xml:space="preserve">accuracyBonus отсутствует либо является конечным положительным числом без формульной верхней границы; прибавляется к точности.</t>
  </si>
  <si>
    <t xml:space="preserve">PAR-04170</t>
  </si>
  <si>
    <t xml:space="preserve">Patch fallback</t>
  </si>
  <si>
    <t xml:space="preserve">Неуказанные поля сохраняются.</t>
  </si>
  <si>
    <t xml:space="preserve">PAR-04171</t>
  </si>
  <si>
    <t xml:space="preserve">Instance value</t>
  </si>
  <si>
    <t xml:space="preserve">instanceDamage обязателен только при effective valueMode=INSTANCE_VALUE.</t>
  </si>
  <si>
    <t xml:space="preserve">PAR-04172</t>
  </si>
  <si>
    <t xml:space="preserve">Forbidden field</t>
  </si>
  <si>
    <t xml:space="preserve">instancePenetration не существует.</t>
  </si>
  <si>
    <t xml:space="preserve">PAR-04173</t>
  </si>
  <si>
    <t xml:space="preserve">Unaffected fields</t>
  </si>
  <si>
    <t xml:space="preserve">Ёмкость, перезарядка, HP щита, навыковые требования и специальные эффекты не меняются.</t>
  </si>
  <si>
    <t xml:space="preserve">PAR-04174</t>
  </si>
  <si>
    <t xml:space="preserve">Validation</t>
  </si>
  <si>
    <t xml:space="preserve">Структурные ошибки отклоняются, даже при MASTER_OVERRIDE.</t>
  </si>
  <si>
    <t xml:space="preserve">PAR-04175</t>
  </si>
  <si>
    <t xml:space="preserve">Value mode</t>
  </si>
  <si>
    <t xml:space="preserve">INSTANCE_VALUE | CONSTANT | PER_ATTACK_ROLL.</t>
  </si>
  <si>
    <t xml:space="preserve">PAR-04176</t>
  </si>
  <si>
    <t xml:space="preserve">Evaluation scope</t>
  </si>
  <si>
    <t xml:space="preserve">EACH_RESOLVED_ATTACK; каждый отдельно разрешаемый удар серии получает новые броски.</t>
  </si>
  <si>
    <t xml:space="preserve">PAR-04177</t>
  </si>
  <si>
    <t xml:space="preserve">Expression normalization</t>
  </si>
  <si>
    <t xml:space="preserve">R20*2+X нормализуется как 2*ROLL(R20)+X с одним исходным R20.</t>
  </si>
  <si>
    <t xml:space="preserve">PAR-04178</t>
  </si>
  <si>
    <t xml:space="preserve">Roll groups</t>
  </si>
  <si>
    <t xml:space="preserve">damageRollGroupId и penetrationRollGroupId различны; броски независимы.</t>
  </si>
  <si>
    <t xml:space="preserve">PAR-04179</t>
  </si>
  <si>
    <t xml:space="preserve">Runtime storage</t>
  </si>
  <si>
    <t xml:space="preserve">Сырые и вычисленные значения хранятся в AttackResolution и боевом журнале.</t>
  </si>
  <si>
    <t xml:space="preserve">PAR-04180</t>
  </si>
  <si>
    <t xml:space="preserve">No write-back</t>
  </si>
  <si>
    <t xml:space="preserve">itemInstanceWriteBack=NONE.</t>
  </si>
  <si>
    <t xml:space="preserve">PAR-04181</t>
  </si>
  <si>
    <t xml:space="preserve">instanceDamage semantics</t>
  </si>
  <si>
    <t xml:space="preserve">Только готовое Dm для INSTANCE_VALUE; не результат боевого броска.</t>
  </si>
  <si>
    <t xml:space="preserve">PAR-04182</t>
  </si>
  <si>
    <t xml:space="preserve">instancePenetration</t>
  </si>
  <si>
    <t xml:space="preserve">Поле отсутствует.</t>
  </si>
  <si>
    <t xml:space="preserve">PAR-04183</t>
  </si>
  <si>
    <t xml:space="preserve">Attacker modifiers</t>
  </si>
  <si>
    <t xml:space="preserve">Характеристики, навыки, штрафы и специальные эффекты применяются поверх базового выражения.</t>
  </si>
  <si>
    <t xml:space="preserve">PAR-04184</t>
  </si>
  <si>
    <t xml:space="preserve">Version identity</t>
  </si>
  <si>
    <t xml:space="preserve">weaponProfileVersionId, previousVersionId, itemInstanceId, attackVariantId.</t>
  </si>
  <si>
    <t xml:space="preserve">PAR-04185</t>
  </si>
  <si>
    <t xml:space="preserve">Audit identity</t>
  </si>
  <si>
    <t xml:space="preserve">ownerId/ownerType, actorId/role/time, statSource.</t>
  </si>
  <si>
    <t xml:space="preserve">PAR-04186</t>
  </si>
  <si>
    <t xml:space="preserve">Audit payload</t>
  </si>
  <si>
    <t xml:space="preserve">reason и неизменяемые before/after для MASTER_OVERRIDE.</t>
  </si>
  <si>
    <t xml:space="preserve">PAR-04187</t>
  </si>
  <si>
    <t xml:space="preserve">Player evidence</t>
  </si>
  <si>
    <t xml:space="preserve">formulaId/version и validationWitness для PLAYER_FORMULA_VALIDATED.</t>
  </si>
  <si>
    <t xml:space="preserve">PAR-04188</t>
  </si>
  <si>
    <t xml:space="preserve">Safe boundary</t>
  </si>
  <si>
    <t xml:space="preserve">Новая версия активируется атомарно на безопасной границе.</t>
  </si>
  <si>
    <t xml:space="preserve">PAR-04189</t>
  </si>
  <si>
    <t xml:space="preserve">Attack snapshot</t>
  </si>
  <si>
    <t xml:space="preserve">Начатая атака использует прежний снимок.</t>
  </si>
  <si>
    <t xml:space="preserve">PAR-04190</t>
  </si>
  <si>
    <t xml:space="preserve">Activation</t>
  </si>
  <si>
    <t xml:space="preserve">Новая версия применяется со следующей отдельно разрешаемой атаки.</t>
  </si>
  <si>
    <t xml:space="preserve">PAR-04191</t>
  </si>
  <si>
    <t xml:space="preserve">History</t>
  </si>
  <si>
    <t xml:space="preserve">Старые записи боя и предыдущая версия не переписываются.</t>
  </si>
  <si>
    <t xml:space="preserve">PAR-04192</t>
  </si>
  <si>
    <t xml:space="preserve">Weapon profile v1.2</t>
  </si>
  <si>
    <t xml:space="preserve">Мастер при согласовании может заменить готовый профиль по CORE-187/CORE-188.</t>
  </si>
  <si>
    <t xml:space="preserve">PAR-04193</t>
  </si>
  <si>
    <t xml:space="preserve">Игрок задаёт формульные выходы не-Чистого оружия; оружие Чистых остаётся TEMPLATE_FIXED.</t>
  </si>
  <si>
    <t xml:space="preserve">PAR-04194</t>
  </si>
  <si>
    <t xml:space="preserve">Операция оружия включает тип/вариант и готовый профиль.</t>
  </si>
  <si>
    <t xml:space="preserve">PAR-04195</t>
  </si>
  <si>
    <t xml:space="preserve">Итог мастера определяет эффективный профиль кампанийного экземпляра.</t>
  </si>
  <si>
    <t xml:space="preserve">PAR-04196</t>
  </si>
  <si>
    <t xml:space="preserve">D20 качества не изменяет механические поля профиля.</t>
  </si>
  <si>
    <t xml:space="preserve">PAR-04197</t>
  </si>
  <si>
    <t xml:space="preserve">Стартовая операция оружия хранит готовый профиль отдельно от качества.</t>
  </si>
  <si>
    <t xml:space="preserve">PAR-04198</t>
  </si>
  <si>
    <t xml:space="preserve">Мастерская правка профиля разрешена на безопасной границе.</t>
  </si>
  <si>
    <t xml:space="preserve">PAR-04199</t>
  </si>
  <si>
    <t xml:space="preserve">Мастер может изменить оружие любого игрока или НПС, включая оружие Чистых.</t>
  </si>
  <si>
    <t xml:space="preserve">PAR-04200</t>
  </si>
  <si>
    <t xml:space="preserve">Active profile input</t>
  </si>
  <si>
    <t xml:space="preserve">Использовать statRequirements активной версии профиля.</t>
  </si>
  <si>
    <t xml:space="preserve">PAR-04201</t>
  </si>
  <si>
    <t xml:space="preserve">accuracyBonus активного профиля прибавляется к обычной проверке меткости.</t>
  </si>
  <si>
    <t xml:space="preserve">PAR-04202</t>
  </si>
  <si>
    <t xml:space="preserve">Использовать rangeMeters снимка активной версии профиля.</t>
  </si>
  <si>
    <t xml:space="preserve">PAR-04203</t>
  </si>
  <si>
    <t xml:space="preserve">До бросков фиксируется полный снимок активной версии профиля оружия.</t>
  </si>
  <si>
    <t xml:space="preserve">PAR-04204</t>
  </si>
  <si>
    <t xml:space="preserve">Использовать accuracyBonus, damageDefinition и penetrationDefinition активного снимка.</t>
  </si>
  <si>
    <t xml:space="preserve">PAR-04205</t>
  </si>
  <si>
    <t xml:space="preserve">Метание использует базовые значения активного снимка плюс собственные модификаторы.</t>
  </si>
  <si>
    <t xml:space="preserve">PAR-04206</t>
  </si>
  <si>
    <t xml:space="preserve">Ближняя атака использует активный снимок профиля.</t>
  </si>
  <si>
    <t xml:space="preserve">PAR-04207</t>
  </si>
  <si>
    <t xml:space="preserve">Пробитие разрешается из penetrationDefinition активного снимка.</t>
  </si>
  <si>
    <t xml:space="preserve">PAR-04208</t>
  </si>
  <si>
    <t xml:space="preserve">Мастер может выдать или изменить оружие в инвентаре созданного НПС.</t>
  </si>
  <si>
    <t xml:space="preserve">PAR-04209</t>
  </si>
  <si>
    <t xml:space="preserve">Template kind</t>
  </si>
  <si>
    <t xml:space="preserve">SENTIENT_ENEMY | CUSTOM_MONSTER.</t>
  </si>
  <si>
    <t xml:space="preserve">PAR-04210</t>
  </si>
  <si>
    <t xml:space="preserve">Template origin</t>
  </si>
  <si>
    <t xml:space="preserve">CAMPAIGN_CUSTOM | CANONICAL_BESTIARY.</t>
  </si>
  <si>
    <t xml:space="preserve">PAR-04211</t>
  </si>
  <si>
    <t xml:space="preserve">Campaign tabs</t>
  </si>
  <si>
    <t xml:space="preserve">SENTIENT_ENEMIES | MONSTERS.</t>
  </si>
  <si>
    <t xml:space="preserve">PAR-04212</t>
  </si>
  <si>
    <t xml:space="preserve">Operations</t>
  </si>
  <si>
    <t xml:space="preserve">LIST_SENTIENT_ENEMY_TEMPLATES | LIST_MONSTER_TEMPLATES.</t>
  </si>
  <si>
    <t xml:space="preserve">PAR-04213</t>
  </si>
  <si>
    <t xml:space="preserve">Ownership</t>
  </si>
  <si>
    <t xml:space="preserve">Каждый пользовательский шаблон принадлежит ровно одной campaignId.</t>
  </si>
  <si>
    <t xml:space="preserve">PAR-04214</t>
  </si>
  <si>
    <t xml:space="preserve">Version visibility</t>
  </si>
  <si>
    <t xml:space="preserve">Каталог показывает currentVersionId; исторические версии read-only и не выбираются для нового экземпляра.</t>
  </si>
  <si>
    <t xml:space="preserve">PAR-04215</t>
  </si>
  <si>
    <t xml:space="preserve">Visibility</t>
  </si>
  <si>
    <t xml:space="preserve">Только текущий мастер видит вкладки шаблонов.</t>
  </si>
  <si>
    <t xml:space="preserve">PAR-04216</t>
  </si>
  <si>
    <t xml:space="preserve">Excluded records</t>
  </si>
  <si>
    <t xml:space="preserve">Постоянные НПС, резерв и экземпляры боя не являются строками каталога.</t>
  </si>
  <si>
    <t xml:space="preserve">PAR-04217</t>
  </si>
  <si>
    <t xml:space="preserve">CURRENT_MASTER текущей campaignId.</t>
  </si>
  <si>
    <t xml:space="preserve">PAR-04218</t>
  </si>
  <si>
    <t xml:space="preserve">Allowed phase</t>
  </si>
  <si>
    <t xml:space="preserve">PRE_START | ACTIVE_OUTSIDE_COMBAT.</t>
  </si>
  <si>
    <t xml:space="preserve">PAR-04219</t>
  </si>
  <si>
    <t xml:space="preserve">Blocked phase</t>
  </si>
  <si>
    <t xml:space="preserve">ACTIVE_COMBAT | PAUSED_COMBAT | COMPLETED_CAMPAIGN.</t>
  </si>
  <si>
    <t xml:space="preserve">PAR-04220</t>
  </si>
  <si>
    <t xml:space="preserve">Operation boundary</t>
  </si>
  <si>
    <t xml:space="preserve">Любая unfinished atomic operation блокирует mutation.</t>
  </si>
  <si>
    <t xml:space="preserve">PAR-04221</t>
  </si>
  <si>
    <t xml:space="preserve">Role transfer</t>
  </si>
  <si>
    <t xml:space="preserve">Права немедленно следуют текущей роли мастера.</t>
  </si>
  <si>
    <t xml:space="preserve">PAR-04222</t>
  </si>
  <si>
    <t xml:space="preserve">MASTER_ROLE_REQUIRED | CAMPAIGN_NOT_EDITABLE | ACTIVE_COMBAT_BLOCKS_TEMPLATE_MUTATION | UNFINISHED_OPERATION_BLOCKS_TEMPLATE_MUTATION.</t>
  </si>
  <si>
    <t xml:space="preserve">PAR-04223</t>
  </si>
  <si>
    <t xml:space="preserve">Name</t>
  </si>
  <si>
    <t xml:space="preserve">trimmed visible length 1..64; duplicates allowed.</t>
  </si>
  <si>
    <t xml:space="preserve">PAR-04224</t>
  </si>
  <si>
    <t xml:space="preserve">Description</t>
  </si>
  <si>
    <t xml:space="preserve">optional; length 0..2000.</t>
  </si>
  <si>
    <t xml:space="preserve">PAR-04225</t>
  </si>
  <si>
    <t xml:space="preserve">Art format</t>
  </si>
  <si>
    <t xml:space="preserve">optional PNG | JPEG.</t>
  </si>
  <si>
    <t xml:space="preserve">PAR-04226</t>
  </si>
  <si>
    <t xml:space="preserve">Art size</t>
  </si>
  <si>
    <t xml:space="preserve">artSizeBytes&lt;=12 MiB.</t>
  </si>
  <si>
    <t xml:space="preserve">PAR-04227</t>
  </si>
  <si>
    <t xml:space="preserve">Version scope</t>
  </si>
  <si>
    <t xml:space="preserve">Арт входит в EnemyTemplateVersion.</t>
  </si>
  <si>
    <t xml:space="preserve">PAR-04228</t>
  </si>
  <si>
    <t xml:space="preserve">ENEMY_NAME_REQUIRED | ENEMY_NAME_LENGTH_INVALID | ENEMY_DESCRIPTION_TOO_LONG | ART_FORMAT_UNSUPPORTED | ART_FILE_TOO_LARGE.</t>
  </si>
  <si>
    <t xml:space="preserve">PAR-04229</t>
  </si>
  <si>
    <t xml:space="preserve">Persistence</t>
  </si>
  <si>
    <t xml:space="preserve">До успешного commit шаблон и версия отсутствуют.</t>
  </si>
  <si>
    <t xml:space="preserve">PAR-04230</t>
  </si>
  <si>
    <t xml:space="preserve">CREATE_SENTIENT_ENEMY_TEMPLATE | CREATE_CUSTOM_MONSTER_TEMPLATE.</t>
  </si>
  <si>
    <t xml:space="preserve">PAR-04231</t>
  </si>
  <si>
    <t xml:space="preserve">Template identity</t>
  </si>
  <si>
    <t xml:space="preserve">templateId создаётся одновременно с versionId №1.</t>
  </si>
  <si>
    <t xml:space="preserve">PAR-04232</t>
  </si>
  <si>
    <t xml:space="preserve">Status field</t>
  </si>
  <si>
    <t xml:space="preserve">Поле status отсутствует; DRAFT и ARCHIVED недопустимы.</t>
  </si>
  <si>
    <t xml:space="preserve">PAR-04233</t>
  </si>
  <si>
    <t xml:space="preserve">Technical attempt</t>
  </si>
  <si>
    <t xml:space="preserve">creationAttemptId/operationId не являются шаблоном.</t>
  </si>
  <si>
    <t xml:space="preserve">PAR-04234</t>
  </si>
  <si>
    <t xml:space="preserve">Atomicity</t>
  </si>
  <si>
    <t xml:space="preserve">All validations pass → one commit; any error → no write.</t>
  </si>
  <si>
    <t xml:space="preserve">PAR-04235</t>
  </si>
  <si>
    <t xml:space="preserve">Idempotency</t>
  </si>
  <si>
    <t xml:space="preserve">Повтор operationId возвращает прежний результат.</t>
  </si>
  <si>
    <t xml:space="preserve">PAR-04236</t>
  </si>
  <si>
    <t xml:space="preserve">CREATE_ENEMY_TEMPLATE_VERSION.</t>
  </si>
  <si>
    <t xml:space="preserve">PAR-04237</t>
  </si>
  <si>
    <t xml:space="preserve">Concurrency</t>
  </si>
  <si>
    <t xml:space="preserve">baseVersionId обязана равняться currentVersionId.</t>
  </si>
  <si>
    <t xml:space="preserve">PAR-04238</t>
  </si>
  <si>
    <t xml:space="preserve">Immutable fields</t>
  </si>
  <si>
    <t xml:space="preserve">templateId, campaignId, kind.</t>
  </si>
  <si>
    <t xml:space="preserve">PAR-04239</t>
  </si>
  <si>
    <t xml:space="preserve">Version result</t>
  </si>
  <si>
    <t xml:space="preserve">versionNo=N+1; previousVersionId=old currentVersionId.</t>
  </si>
  <si>
    <t xml:space="preserve">PAR-04240</t>
  </si>
  <si>
    <t xml:space="preserve">Старые версии и entity snapshots неизменны.</t>
  </si>
  <si>
    <t xml:space="preserve">PAR-04241</t>
  </si>
  <si>
    <t xml:space="preserve">Unsupported operation</t>
  </si>
  <si>
    <t xml:space="preserve">PATCH_TEMPLATE_IN_PLACE | ARCHIVE | DELETE | SAVE_INSTANCE_AS_TEMPLATE.</t>
  </si>
  <si>
    <t xml:space="preserve">PAR-04242</t>
  </si>
  <si>
    <t xml:space="preserve">CREATE_SENTIENT_ENEMY_TEMPLATE.</t>
  </si>
  <si>
    <t xml:space="preserve">PAR-04243</t>
  </si>
  <si>
    <t xml:space="preserve">SENTIENT_ENEMY.</t>
  </si>
  <si>
    <t xml:space="preserve">PAR-04244</t>
  </si>
  <si>
    <t xml:space="preserve">Creator/approver</t>
  </si>
  <si>
    <t xml:space="preserve">Текущий мастер выполняет обе роли.</t>
  </si>
  <si>
    <t xml:space="preserve">PAR-04245</t>
  </si>
  <si>
    <t xml:space="preserve">Reused stages</t>
  </si>
  <si>
    <t xml:space="preserve">Раса, класс, навыки, симбионты, имущество, масса, анатомия.</t>
  </si>
  <si>
    <t xml:space="preserve">PAR-04246</t>
  </si>
  <si>
    <t xml:space="preserve">Replaced stage</t>
  </si>
  <si>
    <t xml:space="preserve">Только распределение характеристик заменено CORE-197.</t>
  </si>
  <si>
    <t xml:space="preserve">PAR-04247</t>
  </si>
  <si>
    <t xml:space="preserve">Approval state</t>
  </si>
  <si>
    <t xml:space="preserve">Отдельный pendingMasterApproval отсутствует.</t>
  </si>
  <si>
    <t xml:space="preserve">PAR-04248</t>
  </si>
  <si>
    <t xml:space="preserve">Player slot</t>
  </si>
  <si>
    <t xml:space="preserve">Шаблон и экземпляр не занимают место игрока.</t>
  </si>
  <si>
    <t xml:space="preserve">PAR-04249</t>
  </si>
  <si>
    <t xml:space="preserve">Stat keys</t>
  </si>
  <si>
    <t xml:space="preserve">S | D | M | Z | I | W | C; ровно семь.</t>
  </si>
  <si>
    <t xml:space="preserve">PAR-04250</t>
  </si>
  <si>
    <t xml:space="preserve">Base domain</t>
  </si>
  <si>
    <t xml:space="preserve">Integer 1..35 до всех постоянных модификаторов.</t>
  </si>
  <si>
    <t xml:space="preserve">PAR-04251</t>
  </si>
  <si>
    <t xml:space="preserve">Sum cap</t>
  </si>
  <si>
    <t xml:space="preserve">Отсутствует.</t>
  </si>
  <si>
    <t xml:space="preserve">PAR-04252</t>
  </si>
  <si>
    <t xml:space="preserve">Creation rolls</t>
  </si>
  <si>
    <t xml:space="preserve">Отсутствуют; creation crits не применяются.</t>
  </si>
  <si>
    <t xml:space="preserve">PAR-04253</t>
  </si>
  <si>
    <t xml:space="preserve">Final maximum</t>
  </si>
  <si>
    <t xml:space="preserve">Верхняя граница отсутствует.</t>
  </si>
  <si>
    <t xml:space="preserve">PAR-04254</t>
  </si>
  <si>
    <t xml:space="preserve">Final minimum</t>
  </si>
  <si>
    <t xml:space="preserve">CORE-164: итоговое постоянное значение не ниже 1.</t>
  </si>
  <si>
    <t xml:space="preserve">PAR-04255</t>
  </si>
  <si>
    <t xml:space="preserve">Clamp</t>
  </si>
  <si>
    <t xml:space="preserve">Автоматический clamp до 35 запрещён.</t>
  </si>
  <si>
    <t xml:space="preserve">PAR-04256</t>
  </si>
  <si>
    <t xml:space="preserve">HP</t>
  </si>
  <si>
    <t xml:space="preserve">baseMaxHP=100 плюс обычные постоянные модификаторы.</t>
  </si>
  <si>
    <t xml:space="preserve">PAR-04257</t>
  </si>
  <si>
    <t xml:space="preserve">Skills</t>
  </si>
  <si>
    <t xml:space="preserve">Обычный контейнер навыков персонажа.</t>
  </si>
  <si>
    <t xml:space="preserve">PAR-04258</t>
  </si>
  <si>
    <t xml:space="preserve">Inventory</t>
  </si>
  <si>
    <t xml:space="preserve">Обычный контейнер предметов персонажа.</t>
  </si>
  <si>
    <t xml:space="preserve">PAR-04259</t>
  </si>
  <si>
    <t xml:space="preserve">Anatomy</t>
  </si>
  <si>
    <t xml:space="preserve">Обычная анатомия персонажа.</t>
  </si>
  <si>
    <t xml:space="preserve">PAR-04260</t>
  </si>
  <si>
    <t xml:space="preserve">Не занимает.</t>
  </si>
  <si>
    <t xml:space="preserve">PAR-04261</t>
  </si>
  <si>
    <t xml:space="preserve">Controller</t>
  </si>
  <si>
    <t xml:space="preserve">CURRENT_MASTER; combat AI отсутствует.</t>
  </si>
  <si>
    <t xml:space="preserve">PAR-04262</t>
  </si>
  <si>
    <t xml:space="preserve">CREATE_CUSTOM_MONSTER_TEMPLATE | CREATE_ENEMY_TEMPLATE_VERSION.</t>
  </si>
  <si>
    <t xml:space="preserve">PAR-04263</t>
  </si>
  <si>
    <t xml:space="preserve">Required field</t>
  </si>
  <si>
    <t xml:space="preserve">identity.</t>
  </si>
  <si>
    <t xml:space="preserve">PAR-04264</t>
  </si>
  <si>
    <t xml:space="preserve">baseStats: exactly S,D,M,Z,I,W,C.</t>
  </si>
  <si>
    <t xml:space="preserve">PAR-04265</t>
  </si>
  <si>
    <t xml:space="preserve">massKg, ageYears, baseMaxHP.</t>
  </si>
  <si>
    <t xml:space="preserve">PAR-04266</t>
  </si>
  <si>
    <t xml:space="preserve">naturalArmorDefinition, exactly one baseAttack.</t>
  </si>
  <si>
    <t xml:space="preserve">PAR-04267</t>
  </si>
  <si>
    <t xml:space="preserve">Optional field</t>
  </si>
  <si>
    <t xml:space="preserve">symbiont: 0..1.</t>
  </si>
  <si>
    <t xml:space="preserve">PAR-04268</t>
  </si>
  <si>
    <t xml:space="preserve">race | class | skills | inventory | equipment | bodyZones.</t>
  </si>
  <si>
    <t xml:space="preserve">PAR-04269</t>
  </si>
  <si>
    <t xml:space="preserve">NONSTANDARD_TORSO_ONLY.</t>
  </si>
  <si>
    <t xml:space="preserve">PAR-04270</t>
  </si>
  <si>
    <t xml:space="preserve">PAR-04271</t>
  </si>
  <si>
    <t xml:space="preserve">Integer 1..35 до постоянных модификаторов.</t>
  </si>
  <si>
    <t xml:space="preserve">PAR-04272</t>
  </si>
  <si>
    <t xml:space="preserve">PAR-04273</t>
  </si>
  <si>
    <t xml:space="preserve">PAR-04274</t>
  </si>
  <si>
    <t xml:space="preserve">1.</t>
  </si>
  <si>
    <t xml:space="preserve">PAR-04275</t>
  </si>
  <si>
    <t xml:space="preserve">Canonical exception</t>
  </si>
  <si>
    <t xml:space="preserve">CANONICAL_BESTIARY не ограничивается 35.</t>
  </si>
  <si>
    <t xml:space="preserve">PAR-04276</t>
  </si>
  <si>
    <t xml:space="preserve">Не применяется.</t>
  </si>
  <si>
    <t xml:space="preserve">PAR-04277</t>
  </si>
  <si>
    <t xml:space="preserve">Roll count</t>
  </si>
  <si>
    <t xml:space="preserve">Ровно 7 независимых R20.</t>
  </si>
  <si>
    <t xml:space="preserve">PAR-04278</t>
  </si>
  <si>
    <t xml:space="preserve">RANDOMIZE_CUSTOM_MONSTER_STATS.</t>
  </si>
  <si>
    <t xml:space="preserve">PAR-04279</t>
  </si>
  <si>
    <t xml:space="preserve">Stat order</t>
  </si>
  <si>
    <t xml:space="preserve">S, D, M, Z, I, W, C.</t>
  </si>
  <si>
    <t xml:space="preserve">PAR-04280</t>
  </si>
  <si>
    <t xml:space="preserve">Dice mode</t>
  </si>
  <si>
    <t xml:space="preserve">HOST_GENERATED; diceInputMode не применяется.</t>
  </si>
  <si>
    <t xml:space="preserve">PAR-04281</t>
  </si>
  <si>
    <t xml:space="preserve">Criticality</t>
  </si>
  <si>
    <t xml:space="preserve">PAR-04282</t>
  </si>
  <si>
    <t xml:space="preserve">Attempt scope</t>
  </si>
  <si>
    <t xml:space="preserve">Не более одной генерации на creationAttemptId.</t>
  </si>
  <si>
    <t xml:space="preserve">PAR-04283</t>
  </si>
  <si>
    <t xml:space="preserve">Повтор operationId возвращает тот же набор.</t>
  </si>
  <si>
    <t xml:space="preserve">PAR-04284</t>
  </si>
  <si>
    <t xml:space="preserve">Edit after roll</t>
  </si>
  <si>
    <t xml:space="preserve">Каждое значение можно изменить вручную в 1..35.</t>
  </si>
  <si>
    <t xml:space="preserve">PAR-04285</t>
  </si>
  <si>
    <t xml:space="preserve">Mass</t>
  </si>
  <si>
    <t xml:space="preserve">massKg&gt;0; точность 0.1 kg.</t>
  </si>
  <si>
    <t xml:space="preserve">PAR-04286</t>
  </si>
  <si>
    <t xml:space="preserve">Age</t>
  </si>
  <si>
    <t xml:space="preserve">ageYears — positive integer.</t>
  </si>
  <si>
    <t xml:space="preserve">PAR-04287</t>
  </si>
  <si>
    <t xml:space="preserve">Base max HP</t>
  </si>
  <si>
    <t xml:space="preserve">positive integer; игрового upper limit нет.</t>
  </si>
  <si>
    <t xml:space="preserve">PAR-04288</t>
  </si>
  <si>
    <t xml:space="preserve">Effective max HP</t>
  </si>
  <si>
    <t xml:space="preserve">baseMaxHP плюс штатные симбиотические модификаторы.</t>
  </si>
  <si>
    <t xml:space="preserve">PAR-04289</t>
  </si>
  <si>
    <t xml:space="preserve">Initial HP</t>
  </si>
  <si>
    <t xml:space="preserve">currentHP=effectiveMaxHP.</t>
  </si>
  <si>
    <t xml:space="preserve">PAR-04290</t>
  </si>
  <si>
    <t xml:space="preserve">Initial OE</t>
  </si>
  <si>
    <t xml:space="preserve">currentOE=maxOE выбранного симбионта.</t>
  </si>
  <si>
    <t xml:space="preserve">PAR-04291</t>
  </si>
  <si>
    <t xml:space="preserve">Initial state</t>
  </si>
  <si>
    <t xml:space="preserve">Жив, в сознании, без ран/эффектов/кулдаунов/инициативы/сцены.</t>
  </si>
  <si>
    <t xml:space="preserve">PAR-04292</t>
  </si>
  <si>
    <t xml:space="preserve">Symbiont count</t>
  </si>
  <si>
    <t xml:space="preserve">0..1.</t>
  </si>
  <si>
    <t xml:space="preserve">PAR-04293</t>
  </si>
  <si>
    <t xml:space="preserve">Allowed kind</t>
  </si>
  <si>
    <t xml:space="preserve">Обычный симбионт.</t>
  </si>
  <si>
    <t xml:space="preserve">PAR-04294</t>
  </si>
  <si>
    <t xml:space="preserve">Forbidden species</t>
  </si>
  <si>
    <t xml:space="preserve">Химера | Кукловод | Чумной доктор.</t>
  </si>
  <si>
    <t xml:space="preserve">PAR-04295</t>
  </si>
  <si>
    <t xml:space="preserve">Target level</t>
  </si>
  <si>
    <t xml:space="preserve">Integer 1..species.maxL.</t>
  </si>
  <si>
    <t xml:space="preserve">PAR-04296</t>
  </si>
  <si>
    <t xml:space="preserve">Ability graph</t>
  </si>
  <si>
    <t xml:space="preserve">Mandatory L1 + valid prerequisites/OR/XOR/AND.</t>
  </si>
  <si>
    <t xml:space="preserve">PAR-04297</t>
  </si>
  <si>
    <t xml:space="preserve">Level consistency</t>
  </si>
  <si>
    <t xml:space="preserve">computedLevel=targetLevel.</t>
  </si>
  <si>
    <t xml:space="preserve">PAR-04298</t>
  </si>
  <si>
    <t xml:space="preserve">XP budget</t>
  </si>
  <si>
    <t xml:space="preserve">Не проверяется при создании шаблона.</t>
  </si>
  <si>
    <t xml:space="preserve">PAR-04299</t>
  </si>
  <si>
    <t xml:space="preserve">currentOE=maxOE targetLevel.</t>
  </si>
  <si>
    <t xml:space="preserve">PAR-04300</t>
  </si>
  <si>
    <t xml:space="preserve">Skills container</t>
  </si>
  <si>
    <t xml:space="preserve">PAR-04301</t>
  </si>
  <si>
    <t xml:space="preserve">Inventory container</t>
  </si>
  <si>
    <t xml:space="preserve">PAR-04302</t>
  </si>
  <si>
    <t xml:space="preserve">Required skill/item</t>
  </si>
  <si>
    <t xml:space="preserve">Команда недоступна.</t>
  </si>
  <si>
    <t xml:space="preserve">PAR-04303</t>
  </si>
  <si>
    <t xml:space="preserve">Grant/copy skill</t>
  </si>
  <si>
    <t xml:space="preserve">No-op без создания записи.</t>
  </si>
  <si>
    <t xml:space="preserve">PAR-04304</t>
  </si>
  <si>
    <t xml:space="preserve">Independent effect</t>
  </si>
  <si>
    <t xml:space="preserve">Сохраняется при выполненных предусловиях.</t>
  </si>
  <si>
    <t xml:space="preserve">PAR-04305</t>
  </si>
  <si>
    <t xml:space="preserve">Symbiotic organ</t>
  </si>
  <si>
    <t xml:space="preserve">Не является item/equipment.</t>
  </si>
  <si>
    <t xml:space="preserve">PAR-04306</t>
  </si>
  <si>
    <t xml:space="preserve">Runtime grammar</t>
  </si>
  <si>
    <t xml:space="preserve">0 | X | R4 | R4+X | R6 | R6+X | R12 | R12+X | R20 | R20+X | R20*2+X.</t>
  </si>
  <si>
    <t xml:space="preserve">PAR-04307</t>
  </si>
  <si>
    <t xml:space="preserve">Constant domain</t>
  </si>
  <si>
    <t xml:space="preserve">Positive finite number.</t>
  </si>
  <si>
    <t xml:space="preserve">PAR-04308</t>
  </si>
  <si>
    <t xml:space="preserve">Positive integer.</t>
  </si>
  <si>
    <t xml:space="preserve">PAR-04309</t>
  </si>
  <si>
    <t xml:space="preserve">R20 multiplier</t>
  </si>
  <si>
    <t xml:space="preserve">Один R20, затем ×2, затем +X.</t>
  </si>
  <si>
    <t xml:space="preserve">PAR-04310</t>
  </si>
  <si>
    <t xml:space="preserve">Forbidden syntax</t>
  </si>
  <si>
    <t xml:space="preserve">Отрицательная/бесконечная константа, дробный или нулевой X, другие дайсы, произвольные формулы.</t>
  </si>
  <si>
    <t xml:space="preserve">PAR-04311</t>
  </si>
  <si>
    <t xml:space="preserve">Weapon isolation</t>
  </si>
  <si>
    <t xml:space="preserve">CORE-188 allowlist не меняется.</t>
  </si>
  <si>
    <t xml:space="preserve">PAR-04312</t>
  </si>
  <si>
    <t xml:space="preserve">Storage</t>
  </si>
  <si>
    <t xml:space="preserve">Только normalized AST; resolved values не хранятся в template/version.</t>
  </si>
  <si>
    <t xml:space="preserve">PAR-04313</t>
  </si>
  <si>
    <t xml:space="preserve">Damage scope</t>
  </si>
  <si>
    <t xml:space="preserve">EACH_MONSTER_BASE_ATTACK.</t>
  </si>
  <si>
    <t xml:space="preserve">PAR-04314</t>
  </si>
  <si>
    <t xml:space="preserve">Penetration scope</t>
  </si>
  <si>
    <t xml:space="preserve">PAR-04315</t>
  </si>
  <si>
    <t xml:space="preserve">Natural armor scope</t>
  </si>
  <si>
    <t xml:space="preserve">EACH_INCOMING_ARMOR_RESOLUTION.</t>
  </si>
  <si>
    <t xml:space="preserve">PAR-04316</t>
  </si>
  <si>
    <t xml:space="preserve">Roll independence</t>
  </si>
  <si>
    <t xml:space="preserve">Damage, penetration, armor используют разные rollGroupId.</t>
  </si>
  <si>
    <t xml:space="preserve">PAR-04317</t>
  </si>
  <si>
    <t xml:space="preserve">Series</t>
  </si>
  <si>
    <t xml:space="preserve">Каждый отдельно разрешаемый удар получает новые вычисления.</t>
  </si>
  <si>
    <t xml:space="preserve">PAR-04318</t>
  </si>
  <si>
    <t xml:space="preserve">Только AttackResolution/combat log.</t>
  </si>
  <si>
    <t xml:space="preserve">PAR-04319</t>
  </si>
  <si>
    <t xml:space="preserve">Write-back</t>
  </si>
  <si>
    <t xml:space="preserve">NONE.</t>
  </si>
  <si>
    <t xml:space="preserve">PAR-04320</t>
  </si>
  <si>
    <t xml:space="preserve">Attack count</t>
  </si>
  <si>
    <t xml:space="preserve">Exactly 1 base attack.</t>
  </si>
  <si>
    <t xml:space="preserve">PAR-04321</t>
  </si>
  <si>
    <t xml:space="preserve">Category</t>
  </si>
  <si>
    <t xml:space="preserve">MONSTER_ATTACK.</t>
  </si>
  <si>
    <t xml:space="preserve">PAR-04322</t>
  </si>
  <si>
    <t xml:space="preserve">Distance</t>
  </si>
  <si>
    <t xml:space="preserve">MELEE.</t>
  </si>
  <si>
    <t xml:space="preserve">PAR-04323</t>
  </si>
  <si>
    <t xml:space="preserve">Action cost</t>
  </si>
  <si>
    <t xml:space="preserve">1 combat action.</t>
  </si>
  <si>
    <t xml:space="preserve">PAR-04324</t>
  </si>
  <si>
    <t xml:space="preserve">additionalDamageDefinition.</t>
  </si>
  <si>
    <t xml:space="preserve">PAR-04325</t>
  </si>
  <si>
    <t xml:space="preserve">penetrationDefinition.</t>
  </si>
  <si>
    <t xml:space="preserve">PAR-04326</t>
  </si>
  <si>
    <t xml:space="preserve">weapon, skill, range, magazine, accuracyBonus, second base attack.</t>
  </si>
  <si>
    <t xml:space="preserve">PAR-04327</t>
  </si>
  <si>
    <t xml:space="preserve">PAR-04328</t>
  </si>
  <si>
    <t xml:space="preserve">Accuracy</t>
  </si>
  <si>
    <t xml:space="preserve">R20 + effective D + situational modifiers.</t>
  </si>
  <si>
    <t xml:space="preserve">PAR-04329</t>
  </si>
  <si>
    <t xml:space="preserve">Penetration</t>
  </si>
  <si>
    <t xml:space="preserve">resolve(penetrationDefinition).</t>
  </si>
  <si>
    <t xml:space="preserve">PAR-04330</t>
  </si>
  <si>
    <t xml:space="preserve">Damage</t>
  </si>
  <si>
    <t xml:space="preserve">effective S + resolve(additionalDamageDefinition).</t>
  </si>
  <si>
    <t xml:space="preserve">PAR-04331</t>
  </si>
  <si>
    <t xml:space="preserve">Excluded modifiers</t>
  </si>
  <si>
    <t xml:space="preserve">Weapon skill, class bonus, weapon bonus, unarmed penalty.</t>
  </si>
  <si>
    <t xml:space="preserve">PAR-04332</t>
  </si>
  <si>
    <t xml:space="preserve">Attack tags</t>
  </si>
  <si>
    <t xml:space="preserve">MONSTER_ATTACK + MELEE; not WEAPON_ATTACK or UNARMED_ATTACK.</t>
  </si>
  <si>
    <t xml:space="preserve">PAR-04333</t>
  </si>
  <si>
    <t xml:space="preserve">Только accuracy R20.</t>
  </si>
  <si>
    <t xml:space="preserve">PAR-04334</t>
  </si>
  <si>
    <t xml:space="preserve">Base attack restriction</t>
  </si>
  <si>
    <t xml:space="preserve">Только MONSTER_ATTACK обязана быть MELEE.</t>
  </si>
  <si>
    <t xml:space="preserve">PAR-04335</t>
  </si>
  <si>
    <t xml:space="preserve">Ranged symbiont attack</t>
  </si>
  <si>
    <t xml:space="preserve">Разрешена по прямой карточке способности.</t>
  </si>
  <si>
    <t xml:space="preserve">PAR-04336</t>
  </si>
  <si>
    <t xml:space="preserve">Shooting bonus</t>
  </si>
  <si>
    <t xml:space="preserve">0.</t>
  </si>
  <si>
    <t xml:space="preserve">PAR-04337</t>
  </si>
  <si>
    <t xml:space="preserve">Profile isolation</t>
  </si>
  <si>
    <t xml:space="preserve">Поля базовой атаки не переносятся на способность.</t>
  </si>
  <si>
    <t xml:space="preserve">PAR-04338</t>
  </si>
  <si>
    <t xml:space="preserve">Extra melee attack</t>
  </si>
  <si>
    <t xml:space="preserve">Только при прямом правиле симбионта.</t>
  </si>
  <si>
    <t xml:space="preserve">PAR-04339</t>
  </si>
  <si>
    <t xml:space="preserve">Все выборы делает текущий мастер.</t>
  </si>
  <si>
    <t xml:space="preserve">PAR-04340</t>
  </si>
  <si>
    <t xml:space="preserve">Armor layer</t>
  </si>
  <si>
    <t xml:space="preserve">Отдельный uniform internal layer.</t>
  </si>
  <si>
    <t xml:space="preserve">PAR-04341</t>
  </si>
  <si>
    <t xml:space="preserve">Zero</t>
  </si>
  <si>
    <t xml:space="preserve">0 означает отсутствие природной брони.</t>
  </si>
  <si>
    <t xml:space="preserve">PAR-04342</t>
  </si>
  <si>
    <t xml:space="preserve">PAR-04343</t>
  </si>
  <si>
    <t xml:space="preserve">Stacking</t>
  </si>
  <si>
    <t xml:space="preserve">Суммируется с активными symbiont armor layers.</t>
  </si>
  <si>
    <t xml:space="preserve">PAR-04344</t>
  </si>
  <si>
    <t xml:space="preserve">Item armor</t>
  </si>
  <si>
    <t xml:space="preserve">Отсутствует у CustomMonster.</t>
  </si>
  <si>
    <t xml:space="preserve">PAR-04345</t>
  </si>
  <si>
    <t xml:space="preserve">Comparison</t>
  </si>
  <si>
    <t xml:space="preserve">Pr&gt;armor; equality stops.</t>
  </si>
  <si>
    <t xml:space="preserve">PAR-04346</t>
  </si>
  <si>
    <t xml:space="preserve">Source lifecycle</t>
  </si>
  <si>
    <t xml:space="preserve">Base natural layer независим; symbiont layer следует источнику.</t>
  </si>
  <si>
    <t xml:space="preserve">PAR-04347</t>
  </si>
  <si>
    <t xml:space="preserve">Anatomy mode</t>
  </si>
  <si>
    <t xml:space="preserve">PAR-04348</t>
  </si>
  <si>
    <t xml:space="preserve">Body zones</t>
  </si>
  <si>
    <t xml:space="preserve">Отсутствуют.</t>
  </si>
  <si>
    <t xml:space="preserve">PAR-04349</t>
  </si>
  <si>
    <t xml:space="preserve">Target normalization</t>
  </si>
  <si>
    <t xml:space="preserve">Любая zone → TORSO.</t>
  </si>
  <si>
    <t xml:space="preserve">PAR-04350</t>
  </si>
  <si>
    <t xml:space="preserve">Trauma routing</t>
  </si>
  <si>
    <t xml:space="preserve">Только корпус.</t>
  </si>
  <si>
    <t xml:space="preserve">PAR-04351</t>
  </si>
  <si>
    <t xml:space="preserve">Symbiont attachments</t>
  </si>
  <si>
    <t xml:space="preserve">Абстрактны и не создают hit zones.</t>
  </si>
  <si>
    <t xml:space="preserve">PAR-04352</t>
  </si>
  <si>
    <t xml:space="preserve">Sentient enemy</t>
  </si>
  <si>
    <t xml:space="preserve">Сохраняет обычную анатомию персонажа.</t>
  </si>
  <si>
    <t xml:space="preserve">PAR-04353</t>
  </si>
  <si>
    <t xml:space="preserve">Canonical bestiary</t>
  </si>
  <si>
    <t xml:space="preserve">Сохраняет собственную анатомию и зональные механики статблока.</t>
  </si>
  <si>
    <t xml:space="preserve">PAR-04354</t>
  </si>
  <si>
    <t xml:space="preserve">Origin</t>
  </si>
  <si>
    <t xml:space="preserve">CANONICAL_BESTIARY.</t>
  </si>
  <si>
    <t xml:space="preserve">PAR-04355</t>
  </si>
  <si>
    <t xml:space="preserve">Overlay count</t>
  </si>
  <si>
    <t xml:space="preserve">Exactly one MONSTER_ATTACK.</t>
  </si>
  <si>
    <t xml:space="preserve">PAR-04356</t>
  </si>
  <si>
    <t xml:space="preserve">Distance/cost</t>
  </si>
  <si>
    <t xml:space="preserve">MELEE; 1 combat action.</t>
  </si>
  <si>
    <t xml:space="preserve">PAR-04357</t>
  </si>
  <si>
    <t xml:space="preserve">Additional damage</t>
  </si>
  <si>
    <t xml:space="preserve">PAR-04358</t>
  </si>
  <si>
    <t xml:space="preserve">PAR-04359</t>
  </si>
  <si>
    <t xml:space="preserve">Canonical stats</t>
  </si>
  <si>
    <t xml:space="preserve">Не изменяются, включая &gt;35.</t>
  </si>
  <si>
    <t xml:space="preserve">PAR-04360</t>
  </si>
  <si>
    <t xml:space="preserve">Special attacks</t>
  </si>
  <si>
    <t xml:space="preserve">Не изменяются и сохраняются.</t>
  </si>
  <si>
    <t xml:space="preserve">PAR-04361</t>
  </si>
  <si>
    <t xml:space="preserve">Implementation</t>
  </si>
  <si>
    <t xml:space="preserve">Runtime overlay; canonical data write-back отсутствует.</t>
  </si>
  <si>
    <t xml:space="preserve">PAR-04362</t>
  </si>
  <si>
    <t xml:space="preserve">Instance identity</t>
  </si>
  <si>
    <t xml:space="preserve">Новый entityId для каждого добавления.</t>
  </si>
  <si>
    <t xml:space="preserve">PAR-04363</t>
  </si>
  <si>
    <t xml:space="preserve">PAR-04364</t>
  </si>
  <si>
    <t xml:space="preserve">Origin branches</t>
  </si>
  <si>
    <t xml:space="preserve">PAR-04365</t>
  </si>
  <si>
    <t xml:space="preserve">Provenance</t>
  </si>
  <si>
    <t xml:space="preserve">Custom: templateId+currentVersionId; canonical: canonicalTemplateId+rulesVersion.</t>
  </si>
  <si>
    <t xml:space="preserve">PAR-04366</t>
  </si>
  <si>
    <t xml:space="preserve">Version selection</t>
  </si>
  <si>
    <t xml:space="preserve">Для нового custom-экземпляра только currentVersionId; исторические версии не выбираются.</t>
  </si>
  <si>
    <t xml:space="preserve">PAR-04367</t>
  </si>
  <si>
    <t xml:space="preserve">Snapshot</t>
  </si>
  <si>
    <t xml:space="preserve">Полный неизменяемый снимок текущей custom-версии либо канонического statblock+overlay.</t>
  </si>
  <si>
    <t xml:space="preserve">PAR-04368</t>
  </si>
  <si>
    <t xml:space="preserve">Repeat</t>
  </si>
  <si>
    <t xml:space="preserve">Одна версия может породить несколько независимых экземпляров.</t>
  </si>
  <si>
    <t xml:space="preserve">PAR-04369</t>
  </si>
  <si>
    <t xml:space="preserve">Back propagation</t>
  </si>
  <si>
    <t xml:space="preserve">Из экземпляра в шаблон отсутствует.</t>
  </si>
  <si>
    <t xml:space="preserve">PAR-04370</t>
  </si>
  <si>
    <t xml:space="preserve">Save as NPC</t>
  </si>
  <si>
    <t xml:space="preserve">Сохраняет экземпляр, но не создаёт template.</t>
  </si>
  <si>
    <t xml:space="preserve">PAR-04371</t>
  </si>
  <si>
    <t xml:space="preserve">CURRENT_MASTER; AI отсутствует.</t>
  </si>
  <si>
    <t xml:space="preserve">PAR-04372</t>
  </si>
  <si>
    <t xml:space="preserve">Command identity</t>
  </si>
  <si>
    <t xml:space="preserve">operationId обязателен.</t>
  </si>
  <si>
    <t xml:space="preserve">PAR-04373</t>
  </si>
  <si>
    <t xml:space="preserve">Повтор возвращает прежний результат.</t>
  </si>
  <si>
    <t xml:space="preserve">PAR-04374</t>
  </si>
  <si>
    <t xml:space="preserve">Actor/context</t>
  </si>
  <si>
    <t xml:space="preserve">actorId, CURRENT_MASTER, campaignId, timestamp.</t>
  </si>
  <si>
    <t xml:space="preserve">PAR-04375</t>
  </si>
  <si>
    <t xml:space="preserve">Version payload</t>
  </si>
  <si>
    <t xml:space="preserve">templateId/versionId и immutable before/after.</t>
  </si>
  <si>
    <t xml:space="preserve">PAR-04376</t>
  </si>
  <si>
    <t xml:space="preserve">Canonical provenance</t>
  </si>
  <si>
    <t xml:space="preserve">canonicalTemplateId/rulesVersion для CANONICAL_BESTIARY.</t>
  </si>
  <si>
    <t xml:space="preserve">PAR-04377</t>
  </si>
  <si>
    <t xml:space="preserve">Random payload</t>
  </si>
  <si>
    <t xml:space="preserve">Сырые 7×R20 и creationAttemptId.</t>
  </si>
  <si>
    <t xml:space="preserve">PAR-04378</t>
  </si>
  <si>
    <t xml:space="preserve">Art payload</t>
  </si>
  <si>
    <t xml:space="preserve">hash/reference файла версии.</t>
  </si>
  <si>
    <t xml:space="preserve">PAR-04379</t>
  </si>
  <si>
    <t xml:space="preserve">State commit и audit commit — одна транзакция.</t>
  </si>
  <si>
    <t xml:space="preserve">PAR-04380</t>
  </si>
  <si>
    <t xml:space="preserve">Group generator — supported scope</t>
  </si>
  <si>
    <t xml:space="preserve">GENERATE_BALANCED_ENEMY_GROUP; 80..150% party total; target average 80; seven random integer stats per enemy, each ≤35.</t>
  </si>
  <si>
    <t xml:space="preserve">PAR-04381</t>
  </si>
  <si>
    <t xml:space="preserve">Excluded scope</t>
  </si>
  <si>
    <t xml:space="preserve">Combat AI и автоматический выбор целей.</t>
  </si>
  <si>
    <t xml:space="preserve">PAR-04382</t>
  </si>
  <si>
    <t xml:space="preserve">Cross-campaign custom template library.</t>
  </si>
  <si>
    <t xml:space="preserve">PAR-04383</t>
  </si>
  <si>
    <t xml:space="preserve">Excluded operation</t>
  </si>
  <si>
    <t xml:space="preserve">Archive | delete | in-place patch | save instance as template.</t>
  </si>
  <si>
    <t xml:space="preserve">PAR-04384</t>
  </si>
  <si>
    <t xml:space="preserve">CORE-188/189 не изменяются.</t>
  </si>
  <si>
    <t xml:space="preserve">PAR-04385</t>
  </si>
  <si>
    <t xml:space="preserve">External dependency</t>
  </si>
  <si>
    <t xml:space="preserve">Item Registry v1.2 → требуется синхронизация v1.3 для новой monster-domain ветви.</t>
  </si>
  <si>
    <t xml:space="preserve">PAR-04386</t>
  </si>
  <si>
    <t xml:space="preserve">Priority</t>
  </si>
  <si>
    <t xml:space="preserve">70; заменяет только пересекающиеся ветви ≤60.</t>
  </si>
  <si>
    <t xml:space="preserve">PAR-04387</t>
  </si>
  <si>
    <t xml:space="preserve">Enemy templates v1.3</t>
  </si>
  <si>
    <t xml:space="preserve">[v1.3] Имя, описание и арт применяются к EnemyTemplateVersion по CORE-193. Для шаблона врага templateId/versionId появляются только при успешной атомарной финализации; временный creationAttemptId не является UUID шаблона или записью каталога.</t>
  </si>
  <si>
    <t xml:space="preserve">PAR-04388</t>
  </si>
  <si>
    <t xml:space="preserve">[v1.3] Жизненный цикл сохранённого черновика не применяется к EnemyTemplate. До commit существует только transient creationAttemptId; квитанция единственной генерации монстра восстанавливается по operationId, но не отображается в каталоге.</t>
  </si>
  <si>
    <t xml:space="preserve">PAR-04389</t>
  </si>
  <si>
    <t xml:space="preserve">[v1.3] Системная генерация 7×R20 для пользовательского монстра выполняется хостом по CORE-201 и не наследует diceInputMode кампании или мастера создания персонажа.</t>
  </si>
  <si>
    <t xml:space="preserve">PAR-04390</t>
  </si>
  <si>
    <t xml:space="preserve">[v1.3] Способы распределения 90/85/«Всё или ничего» не применяются к создаваемым мастером врагам: мыслящий использует CORE-197, монстр — CORE-200/CORE-201.</t>
  </si>
  <si>
    <t xml:space="preserve">PAR-04391</t>
  </si>
  <si>
    <t xml:space="preserve">[v1.3] Для CustomMonster мастер задаёт заявленный уровень обычного симбионта и валидный набор узлов по CORE-203; стандартный старт L=1 не применяется.</t>
  </si>
  <si>
    <t xml:space="preserve">PAR-04392</t>
  </si>
  <si>
    <t xml:space="preserve">[v1.3] Для CustomMonster базовый максимум HP не равен 100: мастер задаёт положительное целое baseMaxHP без игрового верхнего лимита по CORE-202.</t>
  </si>
  <si>
    <t xml:space="preserve">PAR-04393</t>
  </si>
  <si>
    <t xml:space="preserve">[v1.3] У каждого созданного CustomMonster anatomyMode=NONSTANDARD_TORSO_ONLY: bodyZones отсутствуют, любой выбор/бросок зоны нормализуется в TORSO. Враг-мыслящий сохраняет обычную анатомию персонажа; анатомические механики канонического бестиария не меняются.</t>
  </si>
  <si>
    <t xml:space="preserve">PAR-04394</t>
  </si>
  <si>
    <t xml:space="preserve">[v1.3] Любое изменение EnemyTemplate выполняется только созданием полной новой EnemyTemplateVersion по CORE-195. Старые версии и экземпляры неизменны; арт входит в версию. In-place edit, archive и template draft отсутствуют.</t>
  </si>
  <si>
    <t xml:space="preserve">PAR-04395</t>
  </si>
  <si>
    <t xml:space="preserve">[v1.3] Шаблоны врагов и созданные из них экземпляры не занимают места игроков, не получают управляющее устройство и не изменяют лимит 1–5.</t>
  </si>
  <si>
    <t xml:space="preserve">PAR-04396</t>
  </si>
  <si>
    <t xml:space="preserve">[v1.3] CampaignEnemyTemplate не является локальным пользовательским листом. Одну закреплённую версию разрешено инстанцировать в одной кампании многократно; каждый раз создаётся новый entityId и независимый снимок.</t>
  </si>
  <si>
    <t xml:space="preserve">PAR-04397</t>
  </si>
  <si>
    <t xml:space="preserve">[v1.3] После передачи роли только новый текущий мастер вправе изменять каталоги врагов. Завершённая кампания неизменяема; пауза боя не разрешает изменение шаблонов.</t>
  </si>
  <si>
    <t xml:space="preserve">PAR-04398</t>
  </si>
  <si>
    <t xml:space="preserve">[v1.3] Структурированные изменения экземпляра никогда не записываются в EnemyTemplateVersion. Для CustomMonster допустимы текущие HP/ОЭ, состояния и модификаторы характеристик, но нельзя создать inventory, skills или bodyZones; предел 35 к последующим модификаторам не применяется.</t>
  </si>
  <si>
    <t xml:space="preserve">PAR-04399</t>
  </si>
  <si>
    <t xml:space="preserve">[v1.3] Для EntityKind=CUSTOM_MONSTER контейнер инвентаря отсутствует: выдача, подбор, экипировка, передача, изъятие и мародёрство отклоняются. Враг-мыслящий использует обычный инвентарь персонажа.</t>
  </si>
  <si>
    <t xml:space="preserve">PAR-04400</t>
  </si>
  <si>
    <t xml:space="preserve">[v1.3] Снимок врага закрепляет templateId+versionId. Повторное добавление одной версии разрешено и создаёт новый entityId; новая версия шаблона не затрагивает существующие экземпляры.</t>
  </si>
  <si>
    <t xml:space="preserve">PAR-04401</t>
  </si>
  <si>
    <t xml:space="preserve">[v1.3] «Добавить НПС», «Отпустить» и завершение сцены никогда не сохраняют экземпляр как многоразовый шаблон. Труп CustomMonster не содержит предметов.</t>
  </si>
  <si>
    <t xml:space="preserve">PAR-04402</t>
  </si>
  <si>
    <t xml:space="preserve">[v1.3] Перед входом врага валидируется снимок его типа: SentientEnemy проходит обычную character validation с прямыми базовыми характеристиками; CustomMonster обязан иметь поля CORE-199 и не проверяет имущество/навыки. Устройства и слоты игроков не требуются.</t>
  </si>
  <si>
    <t xml:space="preserve">PAR-04403</t>
  </si>
  <si>
    <t xml:space="preserve">[v1.3] Создание или новая версия шаблона врага запрещены при активном, поставленном на паузу или незавершённом бою и при любой незавершённой атомарной операции.</t>
  </si>
  <si>
    <t xml:space="preserve">PAR-04404</t>
  </si>
  <si>
    <t xml:space="preserve">[v1.3] SentientEnemy и CustomMonster всегда назначены текущему мастеру и не получают клиентское устройство или место игрока.</t>
  </si>
  <si>
    <t xml:space="preserve">PAR-04405</t>
  </si>
  <si>
    <t xml:space="preserve">[v1.3] Новые типы врагов не добавляют боевой ИИ: мастер явно выбирает каждую базовую, особую или симбиотическую атаку и все её цели.</t>
  </si>
  <si>
    <t xml:space="preserve">PAR-04406</t>
  </si>
  <si>
    <t xml:space="preserve">Отдельная команда GENERATE_BALANCED_ENEMY_GROUP доступна мастеру при настройке боя и не изменяет каталоги шаблонов. Снимок группы игроков фиксирует сумму семи текущих характеристик активных PLAYER_CHARACTER. По аудируемому seed равновероятно выбирается целый balancePercent 80..150; targetTotal=round(partyStatTotal×balancePercent/100). Число врагов выбирается с ориентиром среднего 80: enemyCount=max(1,round(targetTotal/80)). Состав случайно смешивает разрешённые шаблоны мыслящих и монстров; семь характеристик каждого экземпляра случайны, целые и не выше 35, а фактическая сумма группы обязана совпасть с targetTotal. Невалидная раскладка не clamp-ится и не фиксируется: используется новый seed. Предпросмотр показывает процент, target/factual total, среднее, состав, все характеристики, provenance и seed. Подтверждение атомарно создаёт независимые экземпляры и передаёт их в настройку боя; отмена не меняет состояние. Это не боевой ИИ и не автоматический выбор целей.</t>
  </si>
  <si>
    <t xml:space="preserve">PAR-04407</t>
  </si>
  <si>
    <t xml:space="preserve">[v1.3] Эта post-creation операция не расширяется на монстра или врага-НПС. Выбор симбионта в payload CustomMonster — часть новой версии шаблона по CORE-203, а не пересадка экземпляру.</t>
  </si>
  <si>
    <t xml:space="preserve">PAR-04408</t>
  </si>
  <si>
    <t xml:space="preserve">[v1.3] Химера, Кукловод и Чумной доктор также запрещены в поле symbiont пользовательского монстра.</t>
  </si>
  <si>
    <t xml:space="preserve">PAR-04409</t>
  </si>
  <si>
    <t xml:space="preserve">[v1.3] Для симбионта CustomMonster мастер сначала задаёт targetLevel, затем выбирает валидный граф узлов; вычисленный уровень обязан совпасть с targetLevel. XP-бюджет не проверяется, currentOE после создания экземпляра равен maxOE.</t>
  </si>
  <si>
    <t xml:space="preserve">PAR-04410</t>
  </si>
  <si>
    <t xml:space="preserve">[v1.3] В базовой MONSTER_ATTACK критичность 1/20 относится только к accuracy-R20. Runtime урона, пробития и природной брони критических подтверждений не запускает.</t>
  </si>
  <si>
    <t xml:space="preserve">PAR-04411</t>
  </si>
  <si>
    <t xml:space="preserve">[v1.3] Для EntityKind=CUSTOM_MONSTER targetZone всегда TORSO; травма маршрутизируется как травма корпуса без таблицы зон. Канонические зональные механики не меняются.</t>
  </si>
  <si>
    <t xml:space="preserve">PAR-04412</t>
  </si>
  <si>
    <t xml:space="preserve">[v1.3] Источник снимка выбирается по категории: WEAPON_ATTACK фиксирует WeaponProfileVersion; MONSTER_ATTACK — MonsterAttackProfileVersion; SYMBIONT_ATTACK — правило способности. Результаты Runtime хранятся только в AttackResolution и журнале.</t>
  </si>
  <si>
    <t xml:space="preserve">PAR-04413</t>
  </si>
  <si>
    <t xml:space="preserve">[v1.3] Если цель — CustomMonster, случайно определённая зона немедленно нормализуется в TORSO по CORE-211. Для канонического монстра действует его статблок.</t>
  </si>
  <si>
    <t xml:space="preserve">PAR-04414</t>
  </si>
  <si>
    <t xml:space="preserve">[v1.3] Для цели-CustomMonster любая заявленная зона атаки считается TORSO; отдельные конечности недоступны. Канонические уязвимые зоны сохраняются.</t>
  </si>
  <si>
    <t xml:space="preserve">PAR-04415</t>
  </si>
  <si>
    <t xml:space="preserve">[v1.3] Запрет дальности относится только к базовой MONSTER_ATTACK. Дальняя атака симбионта разрешается по её карточке; ShootingBonus CustomMonster равен 0.</t>
  </si>
  <si>
    <t xml:space="preserve">PAR-04416</t>
  </si>
  <si>
    <t xml:space="preserve">[v1.3] Если цель — CustomMonster, объявленная зона нормализуется в TORSO. Для канонического монстра действует собственная анатомия статблока. Эта оружейная формула не используется атакующим CustomMonster для MONSTER_ATTACK.</t>
  </si>
  <si>
    <t xml:space="preserve">PAR-04417</t>
  </si>
  <si>
    <t xml:space="preserve">[v1.3] Базовая MONSTER_ATTACK не является безоружным ударом или «Рукопашным боем»; навыковые бонусы и штраф −5 не применяются.</t>
  </si>
  <si>
    <t xml:space="preserve">PAR-04418</t>
  </si>
  <si>
    <t xml:space="preserve">[v1.3] Для MONSTER_ATTACK пробитие читается из MonsterAttackProfileVersion. naturalArmorDefinition цели образует отдельный равномерный внутренний слой и разрешается заново для каждой входящей проверки пробития; предметных слоёв у CustomMonster нет.</t>
  </si>
  <si>
    <t xml:space="preserve">PAR-04419</t>
  </si>
  <si>
    <t xml:space="preserve">[v1.3] База 100 не применяется к CustomMonster; его baseMaxHP задаёт мастер по CORE-202, а затем применяются симбиотические модификаторы.</t>
  </si>
  <si>
    <t xml:space="preserve">PAR-04420</t>
  </si>
  <si>
    <t xml:space="preserve">[v1.3] Ветвь SENTIENT_ENEMY повторяет процесс персонажа с заменой только этапа характеристик по CORE-197. Ветвь CUSTOM_MONSTER использует отдельный payload CORE-199 и пропускает навыки/имущество.</t>
  </si>
  <si>
    <t xml:space="preserve">PAR-04421</t>
  </si>
  <si>
    <t xml:space="preserve">[v1.3] Создание SentientEnemy не бросает характеристики, а системные R20 CustomMonster не считаются creation checks; критические последствия этой карточки не применяются.</t>
  </si>
  <si>
    <t xml:space="preserve">PAR-04422</t>
  </si>
  <si>
    <t xml:space="preserve">[v1.3] Для двух пользовательских типов лимит 1–35 проверяет только семь введённых базовых значений до постоянных модификаторов. Итог может превышать 35; действующий постоянный минимум 1 сохраняется.</t>
  </si>
  <si>
    <t xml:space="preserve">PAR-04423</t>
  </si>
  <si>
    <t xml:space="preserve">[v1.3] Карточка продолжает действовать только для канонических диапазонных статблоков. Предел 35 пользовательского конструктора к ним не применяется; их значения выше 35 сохраняются.</t>
  </si>
  <si>
    <t xml:space="preserve">PAR-04424</t>
  </si>
  <si>
    <t xml:space="preserve">[v1.3] Одна системная базовая MONSTER_ATTACK всегда стоит 1 боевое действие. Для CustomMonster дополнительные ближние атаки появляются только из прямого правила симбионта. Особые атаки канонического бестиария и их специальные цены сохраняются без изменений.</t>
  </si>
  <si>
    <t xml:space="preserve">PAR-04425</t>
  </si>
  <si>
    <t xml:space="preserve">[v1.3] Явные penetrationDefinition и naturalArmorDefinition пользовательского/эффективного профиля имеют приоритет; значение 0 означает отсутствие соответствующей величины.</t>
  </si>
  <si>
    <t xml:space="preserve">PAR-04426</t>
  </si>
  <si>
    <t xml:space="preserve">PAR-04427</t>
  </si>
  <si>
    <t xml:space="preserve">[v1.3] Для канонического существа действие «Ближний бой» вызывает системную MONSTER_ATTACK CORE-212/CORE-208, а не общую безоружную атаку. Числа статблока и все его особые атаки остаются неизменными.</t>
  </si>
  <si>
    <t xml:space="preserve">PAR-04428</t>
  </si>
  <si>
    <t xml:space="preserve">[v1.3] Когда каноническому существу запрещено оружие, оно использует системную MONSTER_ATTACK CORE-212, а не обычный безоружный удар. Особые атаки сохраняются.</t>
  </si>
  <si>
    <t xml:space="preserve">PAR-04429</t>
  </si>
  <si>
    <t xml:space="preserve">[v1.3] Симбионт экземпляра CustomMonster начинает с currentOE=maxOE для заявленного и проверенного уровня CORE-203.</t>
  </si>
  <si>
    <t xml:space="preserve">PAR-04430</t>
  </si>
  <si>
    <t xml:space="preserve">[v1.3] Для CustomMonster L=1 является только минимумом: мастер вправе заявить более высокий уровень и валидный набор узлов по CORE-203.</t>
  </si>
  <si>
    <t xml:space="preserve">PAR-04431</t>
  </si>
  <si>
    <t xml:space="preserve">[v1.3] При создании CustomMonster вычисленный по изученным узлам эффективный L обязан совпасть с targetLevel, указанным мастером; иначе шаблон не финализируется.</t>
  </si>
  <si>
    <t xml:space="preserve">PAR-04432</t>
  </si>
  <si>
    <t xml:space="preserve">[v1.3] Труп CustomMonster не имеет контейнера содержимого и недоступен для выбора в мародёрстве; труп SentientEnemy обрабатывается как труп персонажа.</t>
  </si>
  <si>
    <t xml:space="preserve">PAR-04433</t>
  </si>
  <si>
    <t xml:space="preserve">Configuration mode</t>
  </si>
  <si>
    <t xml:space="preserve">FOUR_DISTINCT_ORDINARY | ONE_SYMBIOTIC_MONSTER</t>
  </si>
  <si>
    <t xml:space="preserve">PAR-04434</t>
  </si>
  <si>
    <t xml:space="preserve">Ordinary fields</t>
  </si>
  <si>
    <t xml:space="preserve">speciesId,targetLevel,learnedAbilityIds,branchChoices</t>
  </si>
  <si>
    <t xml:space="preserve">PAR-04435</t>
  </si>
  <si>
    <t xml:space="preserve">Level invariant</t>
  </si>
  <si>
    <t xml:space="preserve">effectiveLevelAfterInteractions=targetLevel</t>
  </si>
  <si>
    <t xml:space="preserve">PAR-04436</t>
  </si>
  <si>
    <t xml:space="preserve">XP policy</t>
  </si>
  <si>
    <t xml:space="preserve">NO_XP_BUDGET</t>
  </si>
  <si>
    <t xml:space="preserve">PAR-04437</t>
  </si>
  <si>
    <t xml:space="preserve">currentOE=maxOE</t>
  </si>
  <si>
    <t xml:space="preserve">PAR-04438</t>
  </si>
  <si>
    <t xml:space="preserve">Initial history</t>
  </si>
  <si>
    <t xml:space="preserve">EMPTY_SPECIAL_HISTORY</t>
  </si>
  <si>
    <t xml:space="preserve">PAR-04439</t>
  </si>
  <si>
    <t xml:space="preserve">DefenseChoice</t>
  </si>
  <si>
    <t xml:space="preserve">NONE</t>
  </si>
  <si>
    <t xml:space="preserve">PAR-04440</t>
  </si>
  <si>
    <t xml:space="preserve">Defense total</t>
  </si>
  <si>
    <t xml:space="preserve">0</t>
  </si>
  <si>
    <t xml:space="preserve">PAR-04441</t>
  </si>
  <si>
    <t xml:space="preserve">Reaction</t>
  </si>
  <si>
    <t xml:space="preserve">NO_ROLL_NO_REACTION</t>
  </si>
  <si>
    <t xml:space="preserve">PAR-04442</t>
  </si>
  <si>
    <t xml:space="preserve">Hit gate</t>
  </si>
  <si>
    <t xml:space="preserve">accuracy&gt;0</t>
  </si>
  <si>
    <t xml:space="preserve">PAR-04443</t>
  </si>
  <si>
    <t xml:space="preserve">Choice owner</t>
  </si>
  <si>
    <t xml:space="preserve">target.effectiveController</t>
  </si>
  <si>
    <t xml:space="preserve">PAR-04444</t>
  </si>
  <si>
    <t xml:space="preserve">Entity shape</t>
  </si>
  <si>
    <t xml:space="preserve">SINGLE_BODY</t>
  </si>
  <si>
    <t xml:space="preserve">PAR-04445</t>
  </si>
  <si>
    <t xml:space="preserve">TORSO</t>
  </si>
  <si>
    <t xml:space="preserve">PAR-04446</t>
  </si>
  <si>
    <t xml:space="preserve">Armor</t>
  </si>
  <si>
    <t xml:space="preserve">NO_LAYERS</t>
  </si>
  <si>
    <t xml:space="preserve">PAR-04447</t>
  </si>
  <si>
    <t xml:space="preserve">ABSENT</t>
  </si>
  <si>
    <t xml:space="preserve">PAR-04448</t>
  </si>
  <si>
    <t xml:space="preserve">Defenses</t>
  </si>
  <si>
    <t xml:space="preserve">DODGE_IF_I_THRESHOLD | NONE</t>
  </si>
  <si>
    <t xml:space="preserve">PAR-04449</t>
  </si>
  <si>
    <t xml:space="preserve">Forbidden defenses</t>
  </si>
  <si>
    <t xml:space="preserve">BLOCK | PARRY | PREEMPT</t>
  </si>
  <si>
    <t xml:space="preserve">PAR-04450</t>
  </si>
  <si>
    <t xml:space="preserve">SWARM</t>
  </si>
  <si>
    <t xml:space="preserve">PAR-04451</t>
  </si>
  <si>
    <t xml:space="preserve">HP model</t>
  </si>
  <si>
    <t xml:space="preserve">HP=N</t>
  </si>
  <si>
    <t xml:space="preserve">PAR-04452</t>
  </si>
  <si>
    <t xml:space="preserve">Absent state</t>
  </si>
  <si>
    <t xml:space="preserve">zones,defense,injuries,severeWound,corpse</t>
  </si>
  <si>
    <t xml:space="preserve">PAR-04453</t>
  </si>
  <si>
    <t xml:space="preserve">Allowed damage</t>
  </si>
  <si>
    <t xml:space="preserve">ORDINARY | AREA</t>
  </si>
  <si>
    <t xml:space="preserve">PAR-04454</t>
  </si>
  <si>
    <t xml:space="preserve">Forbidden secondary effects</t>
  </si>
  <si>
    <t xml:space="preserve">GRAPPLE,SWALLOW,KNOCKDOWN,COCOON,LIMB_PARALYSIS,BODY_INJECTION</t>
  </si>
  <si>
    <t xml:space="preserve">PAR-04455</t>
  </si>
  <si>
    <t xml:space="preserve">Removal</t>
  </si>
  <si>
    <t xml:space="preserve">N=0 =&gt; REMOVE_NO_CORPSE</t>
  </si>
  <si>
    <t xml:space="preserve">PAR-04456</t>
  </si>
  <si>
    <t xml:space="preserve">Default ordinary</t>
  </si>
  <si>
    <t xml:space="preserve">CANONICAL_BODY</t>
  </si>
  <si>
    <t xml:space="preserve">PAR-04457</t>
  </si>
  <si>
    <t xml:space="preserve">Quagmire</t>
  </si>
  <si>
    <t xml:space="preserve">BODY default; PHOTOSENSITIVE_BACK explicit</t>
  </si>
  <si>
    <t xml:space="preserve">PAR-04458</t>
  </si>
  <si>
    <t xml:space="preserve">Volmer</t>
  </si>
  <si>
    <t xml:space="preserve">OTHER_BODY default; HEAD/OPEN_MOUTH explicit</t>
  </si>
  <si>
    <t xml:space="preserve">PAR-04459</t>
  </si>
  <si>
    <t xml:space="preserve">Unzoned attack</t>
  </si>
  <si>
    <t xml:space="preserve">DOES_NOT_REDUCE_VOLMER_HEAD_HP</t>
  </si>
  <si>
    <t xml:space="preserve">PAR-04460</t>
  </si>
  <si>
    <t xml:space="preserve">Functional capabilities</t>
  </si>
  <si>
    <t xml:space="preserve">SEPARATE_FROM_HP_ZONES</t>
  </si>
  <si>
    <t xml:space="preserve">PAR-04461</t>
  </si>
  <si>
    <t xml:space="preserve">owningController unchanged</t>
  </si>
  <si>
    <t xml:space="preserve">PAR-04462</t>
  </si>
  <si>
    <t xml:space="preserve">Runtime controller</t>
  </si>
  <si>
    <t xml:space="preserve">effectiveController from highest valid ControlLease</t>
  </si>
  <si>
    <t xml:space="preserve">PAR-04463</t>
  </si>
  <si>
    <t xml:space="preserve">Restore</t>
  </si>
  <si>
    <t xml:space="preserve">previousEffectiveController else owningController</t>
  </si>
  <si>
    <t xml:space="preserve">PAR-04464</t>
  </si>
  <si>
    <t xml:space="preserve">Puppeteer check</t>
  </si>
  <si>
    <t xml:space="preserve">R20+I_puppeteer &gt;= R20+I_target + 10</t>
  </si>
  <si>
    <t xml:space="preserve">PAR-04465</t>
  </si>
  <si>
    <t xml:space="preserve">Duration</t>
  </si>
  <si>
    <t xml:space="preserve">SEPARATE_ROLL</t>
  </si>
  <si>
    <t xml:space="preserve">PAR-04466</t>
  </si>
  <si>
    <t xml:space="preserve">Ordinary monster</t>
  </si>
  <si>
    <t xml:space="preserve">HP=0 =&gt; SEVERE_WOUND + ABSTRACT_VITAL_SYSTEM + DEATH_TIMER</t>
  </si>
  <si>
    <t xml:space="preserve">PAR-04467</t>
  </si>
  <si>
    <t xml:space="preserve">Volmer override</t>
  </si>
  <si>
    <t xml:space="preserve">IMMEDIATE_DEATH_ON_HEAD_ZERO</t>
  </si>
  <si>
    <t xml:space="preserve">PAR-04468</t>
  </si>
  <si>
    <t xml:space="preserve">Fire flea override</t>
  </si>
  <si>
    <t xml:space="preserve">ARMED_DETONATION_RESOLVES</t>
  </si>
  <si>
    <t xml:space="preserve">PAR-04469</t>
  </si>
  <si>
    <t xml:space="preserve">Swarm</t>
  </si>
  <si>
    <t xml:space="preserve">NO_SEVERE_WOUND</t>
  </si>
  <si>
    <t xml:space="preserve">PAR-04470</t>
  </si>
  <si>
    <t xml:space="preserve">Canonical monster</t>
  </si>
  <si>
    <t xml:space="preserve">PERSIST + NOT_LOOTABLE + NO_CONTAINER</t>
  </si>
  <si>
    <t xml:space="preserve">PAR-04471</t>
  </si>
  <si>
    <t xml:space="preserve">Custom monster</t>
  </si>
  <si>
    <t xml:space="preserve">PAR-04472</t>
  </si>
  <si>
    <t xml:space="preserve">CHARACTER_CORPSE_AND_INVENTORY</t>
  </si>
  <si>
    <t xml:space="preserve">PAR-04473</t>
  </si>
  <si>
    <t xml:space="preserve">Fire flea exploded</t>
  </si>
  <si>
    <t xml:space="preserve">NONE + NO_CORPSE</t>
  </si>
  <si>
    <t xml:space="preserve">PAR-04474</t>
  </si>
  <si>
    <t xml:space="preserve">Lookup order</t>
  </si>
  <si>
    <t xml:space="preserve">POLICY_BEFORE_CONTAINER_DEREFERENCE</t>
  </si>
  <si>
    <t xml:space="preserve">PAR-04475</t>
  </si>
  <si>
    <t xml:space="preserve">Interface type</t>
  </si>
  <si>
    <t xml:space="preserve">FUNCTIONAL_NON_TARGETABLE</t>
  </si>
  <si>
    <t xml:space="preserve">PAR-04476</t>
  </si>
  <si>
    <t xml:space="preserve">No creation</t>
  </si>
  <si>
    <t xml:space="preserve">NO_BODY_ZONE | NO_ITEM | NO_EQUIPMENT | NO_INVENTORY</t>
  </si>
  <si>
    <t xml:space="preserve">PAR-04477</t>
  </si>
  <si>
    <t xml:space="preserve">Spider restriction</t>
  </si>
  <si>
    <t xml:space="preserve">CUSTOM_MONSTER: SYM-117 UNAVAILABLE</t>
  </si>
  <si>
    <t xml:space="preserve">PAR-04478</t>
  </si>
  <si>
    <t xml:space="preserve">Forbidden outputs</t>
  </si>
  <si>
    <t xml:space="preserve">WEB_ITEM | MAP_OBJECT</t>
  </si>
  <si>
    <t xml:space="preserve">PAR-04479</t>
  </si>
  <si>
    <t xml:space="preserve">Independent combat effects</t>
  </si>
  <si>
    <t xml:space="preserve">SYM-120/121 may resolve without persistent loot</t>
  </si>
  <si>
    <t xml:space="preserve">PAR-04480</t>
  </si>
  <si>
    <t xml:space="preserve">New UUID</t>
  </si>
  <si>
    <t xml:space="preserve">entity,item,instanceProfile,symbiont,effect,cooldown,capture,spawnedComponent,mutableLink</t>
  </si>
  <si>
    <t xml:space="preserve">PAR-04481</t>
  </si>
  <si>
    <t xml:space="preserve">Shared reference</t>
  </si>
  <si>
    <t xml:space="preserve">immutable itemType,ability,template,version</t>
  </si>
  <si>
    <t xml:space="preserve">PAR-04482</t>
  </si>
  <si>
    <t xml:space="preserve">Rewire</t>
  </si>
  <si>
    <t xml:space="preserve">ALL_INTERNAL_MUTABLE_LINKS</t>
  </si>
  <si>
    <t xml:space="preserve">PAR-04483</t>
  </si>
  <si>
    <t xml:space="preserve">Isolation</t>
  </si>
  <si>
    <t xml:space="preserve">MutableUUIDSets(A) ∩ MutableUUIDSets(B)=∅</t>
  </si>
  <si>
    <t xml:space="preserve">PAR-04484</t>
  </si>
  <si>
    <t xml:space="preserve">Write back</t>
  </si>
  <si>
    <t xml:space="preserve">PAR-04485</t>
  </si>
  <si>
    <t xml:space="preserve">Armor layer state</t>
  </si>
  <si>
    <t xml:space="preserve">NO_LAYERS | PRESENT</t>
  </si>
  <si>
    <t xml:space="preserve">PAR-04486</t>
  </si>
  <si>
    <t xml:space="preserve">No layers</t>
  </si>
  <si>
    <t xml:space="preserve">penetration gate PASS including Pr=0</t>
  </si>
  <si>
    <t xml:space="preserve">PAR-04487</t>
  </si>
  <si>
    <t xml:space="preserve">Present</t>
  </si>
  <si>
    <t xml:space="preserve">PASS iff Pr&gt;sum(armor)</t>
  </si>
  <si>
    <t xml:space="preserve">PAR-04488</t>
  </si>
  <si>
    <t xml:space="preserve">Equality</t>
  </si>
  <si>
    <t xml:space="preserve">STOP</t>
  </si>
  <si>
    <t xml:space="preserve">PAR-04489</t>
  </si>
  <si>
    <t xml:space="preserve">SYSTEM_DEFAULT_SENTIENT</t>
  </si>
  <si>
    <t xml:space="preserve">PAR-04490</t>
  </si>
  <si>
    <t xml:space="preserve">Campaign pin</t>
  </si>
  <si>
    <t xml:space="preserve">campaign.defaultSentientCatalogVersion</t>
  </si>
  <si>
    <t xml:space="preserve">PAR-04491</t>
  </si>
  <si>
    <t xml:space="preserve">Availability</t>
  </si>
  <si>
    <t xml:space="preserve">ALWAYS_AVAILABLE</t>
  </si>
  <si>
    <t xml:space="preserve">PAR-04492</t>
  </si>
  <si>
    <t xml:space="preserve">Master permissions</t>
  </si>
  <si>
    <t xml:space="preserve">ADD_CUSTOM_ONLY; no edit/hide/archive/delete system entry</t>
  </si>
  <si>
    <t xml:space="preserve">PAR-04493</t>
  </si>
  <si>
    <t xml:space="preserve">systemTemplateId+catalogVersion</t>
  </si>
  <si>
    <t xml:space="preserve">PAR-04494</t>
  </si>
  <si>
    <t xml:space="preserve">Population</t>
  </si>
  <si>
    <t xml:space="preserve">DEFERRED_TO_FUTURE_REGISTRY</t>
  </si>
  <si>
    <t xml:space="preserve">PAR-04495</t>
  </si>
  <si>
    <t xml:space="preserve">Effect family</t>
  </si>
  <si>
    <t xml:space="preserve">POISON</t>
  </si>
  <si>
    <t xml:space="preserve">PAR-04496</t>
  </si>
  <si>
    <t xml:space="preserve">Source kind</t>
  </si>
  <si>
    <t xml:space="preserve">ORDINARY|NATURAL|ARTIFICIAL|SYMBIOTIC|CANONICAL</t>
  </si>
  <si>
    <t xml:space="preserve">PAR-04497</t>
  </si>
  <si>
    <t xml:space="preserve">Immune response</t>
  </si>
  <si>
    <t xml:space="preserve">IMMUNE_BEFORE_ROLL</t>
  </si>
  <si>
    <t xml:space="preserve">PAR-04498</t>
  </si>
  <si>
    <t xml:space="preserve">Source scope</t>
  </si>
  <si>
    <t xml:space="preserve">ANY</t>
  </si>
  <si>
    <t xml:space="preserve">PAR-04499</t>
  </si>
  <si>
    <t xml:space="preserve">Blocked payload</t>
  </si>
  <si>
    <t xml:space="preserve">damage,state,counter,secondary effects</t>
  </si>
  <si>
    <t xml:space="preserve">PAR-04500</t>
  </si>
  <si>
    <t xml:space="preserve">Combat critical scope</t>
  </si>
  <si>
    <t xml:space="preserve">combat.active=true; только ACTION|ATTACK|DEFENSE|RESISTANCE с allowCritical=true и значимой заранее объявленной проверкой.</t>
  </si>
  <si>
    <t xml:space="preserve">PAR-04501</t>
  </si>
  <si>
    <t xml:space="preserve">Combat critical trigger</t>
  </si>
  <si>
    <t xml:space="preserve">natural 20/1 запускает подтверждение до ordinary outcome; ordinaryTotal не входит в условие запуска.</t>
  </si>
  <si>
    <t xml:space="preserve">PAR-04502</t>
  </si>
  <si>
    <t xml:space="preserve">Unconfirmed fallback</t>
  </si>
  <si>
    <t xml:space="preserve">Неподтверждённая natural 20/1 получает grade=0 и разрешается обычной математикой.</t>
  </si>
  <si>
    <t xml:space="preserve">PAR-04503</t>
  </si>
  <si>
    <t xml:space="preserve">Positive critical auto-success</t>
  </si>
  <si>
    <t xml:space="preserve">Один подтверждённый SUCCESS автоматически успешно разрешает текущую проверку независимо от ordinaryTotal.</t>
  </si>
  <si>
    <t xml:space="preserve">PAR-04504</t>
  </si>
  <si>
    <t xml:space="preserve">Positive critical opposition</t>
  </si>
  <si>
    <t xml:space="preserve">Два SUCCESS: сравнивать только grades; больший grade выигрывает.</t>
  </si>
  <si>
    <t xml:space="preserve">PAR-04505</t>
  </si>
  <si>
    <t xml:space="preserve">Equal positive grade replay</t>
  </si>
  <si>
    <t xml:space="preserve">Равные positive grades: без нового броска rawFace обеих сторон=20, grade=0, исходные modifierSnapshots; затем строгое сравнение и defense/status quo при равенстве.</t>
  </si>
  <si>
    <t xml:space="preserve">PAR-04506</t>
  </si>
  <si>
    <t xml:space="preserve">Negative critical auto-failure</t>
  </si>
  <si>
    <t xml:space="preserve">Подтверждённый FAILURE автоматически проваливает соответствующую проверку независимо от ordinaryTotal.</t>
  </si>
  <si>
    <t xml:space="preserve">PAR-04507</t>
  </si>
  <si>
    <t xml:space="preserve">Double negative outcome</t>
  </si>
  <si>
    <t xml:space="preserve">Два подтверждённых FAILURE: обе проверки провалены; инициирующее изменение не происходит; оба события прогрессии сохраняются.</t>
  </si>
  <si>
    <t xml:space="preserve">PAR-04508</t>
  </si>
  <si>
    <t xml:space="preserve">DefenseChoice NONE critical override</t>
  </si>
  <si>
    <t xml:space="preserve">SUCCESS атакующего → hit даже при accuracy≤0; FAILURE → miss даже при accuracy&gt;0; grade0 → accuracy&gt;0.</t>
  </si>
  <si>
    <t xml:space="preserve">PAR-04509</t>
  </si>
  <si>
    <t xml:space="preserve">Stage boundary</t>
  </si>
  <si>
    <t xml:space="preserve">Автоматический исход решает только текущую проверку; не пропускает законность, дистанцию, расходы, пробитие, броню, урон и последствия.</t>
  </si>
  <si>
    <t xml:space="preserve">PAR-04510</t>
  </si>
  <si>
    <t xml:space="preserve">Excluded roll kinds</t>
  </si>
  <si>
    <t xml:space="preserve">DAMAGE|PENETRATION|ARMOR|HEALING|DURATION|QUANTITY|BODY_ZONE|INITIATIVE|RANDOM_TABLE не критичны без прямого исключения.</t>
  </si>
  <si>
    <t xml:space="preserve">PAR-04511</t>
  </si>
  <si>
    <t xml:space="preserve">Progression characteristic</t>
  </si>
  <si>
    <t xml:space="preserve">CORE-085: counter+=own grade до winner; действует для подтверждённого успеха и провала; equal replay не создаёт второе событие.</t>
  </si>
  <si>
    <t xml:space="preserve">PAR-04512</t>
  </si>
  <si>
    <t xml:space="preserve">Progression symbiont</t>
  </si>
  <si>
    <t xml:space="preserve">Natural 20 и natural 1; positive и negative critical grades дают XP/points по CORE-230; failure не исключается.</t>
  </si>
  <si>
    <t xml:space="preserve">PAR-04513</t>
  </si>
  <si>
    <t xml:space="preserve">Ability-assigned critical</t>
  </si>
  <si>
    <t xml:space="preserve">Ability-assigned critical grade не создаёт прогрессию; исходная natural 1/20 сохраняет базовое событие, assigned grade его не усиливает.</t>
  </si>
  <si>
    <t xml:space="preserve">PAR-04514</t>
  </si>
  <si>
    <t xml:space="preserve">Specific exception</t>
  </si>
  <si>
    <t xml:space="preserve">Локальное прямое исключение сильнее; SYM-066 отражает допустимую атаку независимо от её критичности.</t>
  </si>
  <si>
    <t xml:space="preserve">PAR-04515</t>
  </si>
  <si>
    <t xml:space="preserve">Combat critical audit</t>
  </si>
  <si>
    <t xml:space="preserve">Логировать rawFace, confirmation chain, polarity, grade, modifierSnapshot, ordinaryTotal, resolutionMode, winner и deduplicated progressionEvents.</t>
  </si>
  <si>
    <t xml:space="preserve">PAR-04516</t>
  </si>
  <si>
    <t xml:space="preserve">Combat critical fixed difficulty</t>
  </si>
  <si>
    <t xml:space="preserve">CORE-229 применяется до result≥difficulty.</t>
  </si>
  <si>
    <t xml:space="preserve">PAR-04517</t>
  </si>
  <si>
    <t xml:space="preserve">Combat critical opposed check</t>
  </si>
  <si>
    <t xml:space="preserve">CORE-229 применяется до initiatorTotal&gt;opponentTotal; равные positive grades используют face=20.</t>
  </si>
  <si>
    <t xml:space="preserve">PAR-04518</t>
  </si>
  <si>
    <t xml:space="preserve">Natural 20/1 подтверждается независимо от ordinary outcome.</t>
  </si>
  <si>
    <t xml:space="preserve">PAR-04519</t>
  </si>
  <si>
    <t xml:space="preserve">Подтверждённый positive grade автоматически разрешает текущую проверку по CORE-229.</t>
  </si>
  <si>
    <t xml:space="preserve">PAR-04520</t>
  </si>
  <si>
    <t xml:space="preserve">Подтверждённый negative grade автоматически проваливает текущую проверку по CORE-229.</t>
  </si>
  <si>
    <t xml:space="preserve">PAR-04521</t>
  </si>
  <si>
    <t xml:space="preserve">Собственная grade начисляется независимо от winner; equal replay не начисляется повторно.</t>
  </si>
  <si>
    <t xml:space="preserve">PAR-04522</t>
  </si>
  <si>
    <t xml:space="preserve">Natural 20 и natural 1; обе полярности критов используют шкалу eventPoints 1..5.</t>
  </si>
  <si>
    <t xml:space="preserve">PAR-04523</t>
  </si>
  <si>
    <t xml:space="preserve">SYM-082: без natural face → NEVER; с исходной natural 1 → eventPoints=1.</t>
  </si>
  <si>
    <t xml:space="preserve">PAR-04524</t>
  </si>
  <si>
    <t xml:space="preserve">Critical resolution вызывается отдельно на каждом eligible check stage и не пропускает последующие этапы.</t>
  </si>
  <si>
    <t xml:space="preserve">PAR-04525</t>
  </si>
  <si>
    <t xml:space="preserve">Defense critical routing</t>
  </si>
  <si>
    <t xml:space="preserve">Дальняя защита передаёт rawFace/grade и снимок модификаторов CORE-229.</t>
  </si>
  <si>
    <t xml:space="preserve">PAR-04526</t>
  </si>
  <si>
    <t xml:space="preserve">Ближняя защита передаёт rawFace/grade и снимок модификаторов CORE-229.</t>
  </si>
  <si>
    <t xml:space="preserve">PAR-04527</t>
  </si>
  <si>
    <t xml:space="preserve">Защита от метания передаёт rawFace/grade и снимок модификаторов CORE-229.</t>
  </si>
  <si>
    <t xml:space="preserve">PAR-04528</t>
  </si>
  <si>
    <t xml:space="preserve">Monster attack critical scope</t>
  </si>
  <si>
    <t xml:space="preserve">Только accuracy-R20 маршрутизируется CORE-229; damage/penetration/armor исключены.</t>
  </si>
  <si>
    <t xml:space="preserve">PAR-04529</t>
  </si>
  <si>
    <t xml:space="preserve">SUCCESS → hit; FAILURE → miss; grade0 → accuracy&gt;0.</t>
  </si>
  <si>
    <t xml:space="preserve">PAR-04530</t>
  </si>
  <si>
    <t xml:space="preserve">Armor policy</t>
  </si>
  <si>
    <t xml:space="preserve">armorPolicy=IGNORE_ARMOR_BY_MON-115; penetrationResolution=SKIP; armorResolution=SKIP; resolvedPenetration=null; resolvedArmorByDefinition={}; damageKind=DAMAGE.</t>
  </si>
  <si>
    <t xml:space="preserve">PAR-04531</t>
  </si>
  <si>
    <t xml:space="preserve">Free XP multiplier</t>
  </si>
  <si>
    <t xml:space="preserve">directXP и allocatedXP ×2 ровно один раз; counter points и conversion ×1.</t>
  </si>
  <si>
    <t xml:space="preserve">PAR-04532</t>
  </si>
  <si>
    <t xml:space="preserve">Natural face identity</t>
  </si>
  <si>
    <t xml:space="preserve">Прогрессия использует server-validated rawFace оригинального D20; formulaTotal 1/20 не считается natural.</t>
  </si>
  <si>
    <t xml:space="preserve">PAR-04533</t>
  </si>
  <si>
    <t xml:space="preserve">Opposed progression</t>
  </si>
  <si>
    <t xml:space="preserve">Собственное событие фиксируется до winner и не отменяется проигрышем.</t>
  </si>
  <si>
    <t xml:space="preserve">PAR-04534</t>
  </si>
  <si>
    <t xml:space="preserve">Critical progression entry</t>
  </si>
  <si>
    <t xml:space="preserve">natural 20 и natural 1 одинаково входят в CORE-230; confirmation rolls самостоятельного события не создают.</t>
  </si>
  <si>
    <t xml:space="preserve">PAR-04535</t>
  </si>
  <si>
    <t xml:space="preserve">Positive eventPoints</t>
  </si>
  <si>
    <t xml:space="preserve">Crit=1; Double=2; Triple=3; Ultra=4; Rampage=5; grade заменяет базовую единицу.</t>
  </si>
  <si>
    <t xml:space="preserve">PAR-04536</t>
  </si>
  <si>
    <t xml:space="preserve">Negative eventPoints</t>
  </si>
  <si>
    <t xml:space="preserve">PAR-04537</t>
  </si>
  <si>
    <t xml:space="preserve">Counter separation</t>
  </si>
  <si>
    <t xml:space="preserve">symbiontXpProgressPoints — отдельное состояние; не является общим счётчиком роста характеристик.</t>
  </si>
  <si>
    <t xml:space="preserve">PAR-04538</t>
  </si>
  <si>
    <t xml:space="preserve">Initiative progression</t>
  </si>
  <si>
    <t xml:space="preserve">rollKind=INITIATIVE; direct запрещён; rawFace 1/20 → counter +1.</t>
  </si>
  <si>
    <t xml:space="preserve">PAR-04539</t>
  </si>
  <si>
    <t xml:space="preserve">Pre-roll ownership</t>
  </si>
  <si>
    <t xml:space="preserve">Событие создаётся при однократном потреблении предброска как original D20, не при генерации/хранении.</t>
  </si>
  <si>
    <t xml:space="preserve">PAR-04540</t>
  </si>
  <si>
    <t xml:space="preserve">Eligibility</t>
  </si>
  <si>
    <t xml:space="preserve">Отключённый симбионт обычно не candidate; SYM-055 и Penguin/Trogr — локальные исключения.</t>
  </si>
  <si>
    <t xml:space="preserve">PAR-04541</t>
  </si>
  <si>
    <t xml:space="preserve">Attack progression owner</t>
  </si>
  <si>
    <t xml:space="preserve">Владелец события — player character, выполнивший original attack/check D20.</t>
  </si>
  <si>
    <t xml:space="preserve">PAR-04542</t>
  </si>
  <si>
    <t xml:space="preserve">Healing amount progression</t>
  </si>
  <si>
    <t xml:space="preserve">HEALING_AMOUNT → NO_DIRECT_BUT_POOL; medical check остаётся обычной значимой проверкой.</t>
  </si>
  <si>
    <t xml:space="preserve">PAR-04543</t>
  </si>
  <si>
    <t xml:space="preserve">Duration progression</t>
  </si>
  <si>
    <t xml:space="preserve">DURATION → NO_DIRECT_BUT_POOL; rawFace 1/20 → 1 point.</t>
  </si>
  <si>
    <t xml:space="preserve">PAR-04544</t>
  </si>
  <si>
    <t xml:space="preserve">Zone and quantity progression</t>
  </si>
  <si>
    <t xml:space="preserve">RADIUS|ZONE_SIZE|QUANTITY|TARGET_COUNT → NO_DIRECT_BUT_POOL.</t>
  </si>
  <si>
    <t xml:space="preserve">PAR-04545</t>
  </si>
  <si>
    <t xml:space="preserve">Armor and penetration progression</t>
  </si>
  <si>
    <t xml:space="preserve">PENETRATION|ARMOR → NO_DIRECT_BUT_POOL; owner is rolling player.</t>
  </si>
  <si>
    <t xml:space="preserve">PAR-04546</t>
  </si>
  <si>
    <t xml:space="preserve">Creation progression</t>
  </si>
  <si>
    <t xml:space="preserve">CHARACTER_CREATION → NEVER_PROGRESSION.</t>
  </si>
  <si>
    <t xml:space="preserve">PAR-04547</t>
  </si>
  <si>
    <t xml:space="preserve">Starting generation progression</t>
  </si>
  <si>
    <t xml:space="preserve">Стартовые предметы/свойства → NEVER_PROGRESSION.</t>
  </si>
  <si>
    <t xml:space="preserve">PAR-04548</t>
  </si>
  <si>
    <t xml:space="preserve">Actor progression policy</t>
  </si>
  <si>
    <t xml:space="preserve">actorType≠PLAYER_CHARACTER → NEVER_PROGRESSION; counters and symbiont XP absent.</t>
  </si>
  <si>
    <t xml:space="preserve">PAR-04549</t>
  </si>
  <si>
    <t xml:space="preserve">PAR-04550</t>
  </si>
  <si>
    <t xml:space="preserve">PAR-04551</t>
  </si>
  <si>
    <t xml:space="preserve">PAR-04552</t>
  </si>
  <si>
    <t xml:space="preserve">PAR-04553</t>
  </si>
  <si>
    <t xml:space="preserve">PAR-04554</t>
  </si>
  <si>
    <t xml:space="preserve">PAR-04555</t>
  </si>
  <si>
    <t xml:space="preserve">PAR-04556</t>
  </si>
  <si>
    <t xml:space="preserve">Progression routing v1.6</t>
  </si>
  <si>
    <t xml:space="preserve">Natural 20 и natural 1; positive и negative grades 1..5; direct/counter/never по CORE-230.</t>
  </si>
  <si>
    <t xml:space="preserve">PAR-04557</t>
  </si>
  <si>
    <t xml:space="preserve">Ability activation progression</t>
  </si>
  <si>
    <t xml:space="preserve">Активация способности не отдельное основание: используются modifierStatCodes и CORE-230.</t>
  </si>
  <si>
    <t xml:space="preserve">PAR-04558</t>
  </si>
  <si>
    <t xml:space="preserve">D20 multiplicity</t>
  </si>
  <si>
    <t xml:space="preserve">2R20 = два originRollId; R20×2 = один originRollId и rawFace до умножения.</t>
  </si>
  <si>
    <t xml:space="preserve">PAR-04559</t>
  </si>
  <si>
    <t xml:space="preserve">Direct XP</t>
  </si>
  <si>
    <t xml:space="preserve">Natural 20/1 и grades обеих полярностей; один уникальный active candidate выбирается равновероятно.</t>
  </si>
  <si>
    <t xml:space="preserve">PAR-04560</t>
  </si>
  <si>
    <t xml:space="preserve">XP provenance</t>
  </si>
  <si>
    <t xml:space="preserve">Порог уровня принимает DIRECT_SYMBIONT, ALLOCATED_UNASSIGNED и разрешённые PASSIVE_RULE awards.</t>
  </si>
  <si>
    <t xml:space="preserve">PAR-04561</t>
  </si>
  <si>
    <t xml:space="preserve">Suppressed Taipan</t>
  </si>
  <si>
    <t xml:space="preserve">Не candidate для direct/allocate; при отсутствии иных кандидатов route=counter.</t>
  </si>
  <si>
    <t xml:space="preserve">PAR-04562</t>
  </si>
  <si>
    <t xml:space="preserve">Passive XP preserved</t>
  </si>
  <si>
    <t xml:space="preserve">Отдельный пассивный источник; не D20 symbiontXpEvent и не counter.</t>
  </si>
  <si>
    <t xml:space="preserve">PAR-04563</t>
  </si>
  <si>
    <t xml:space="preserve">Trogr suppression</t>
  </si>
  <si>
    <t xml:space="preserve">Adviser progression disabled; Penguin progression enabled.</t>
  </si>
  <si>
    <t xml:space="preserve">PAR-04564</t>
  </si>
  <si>
    <t xml:space="preserve">Ability assigned critical</t>
  </si>
  <si>
    <t xml:space="preserve">Assigned grade без natural → never; original natural 1 → base eventPoints=1, grade не усиливает.</t>
  </si>
  <si>
    <t xml:space="preserve">PAR-04565</t>
  </si>
  <si>
    <t xml:space="preserve">Penguin progression exception</t>
  </si>
  <si>
    <t xml:space="preserve">Penguin остаётся candidate под Trogr.</t>
  </si>
  <si>
    <t xml:space="preserve">PAR-04566</t>
  </si>
  <si>
    <t xml:space="preserve">Peace scope</t>
  </si>
  <si>
    <t xml:space="preserve">CORE-230 применяется в PEACE и COMBAT.</t>
  </si>
  <si>
    <t xml:space="preserve">PAR-04567</t>
  </si>
  <si>
    <t xml:space="preserve">Roll source parity</t>
  </si>
  <si>
    <t xml:space="preserve">AUTO и MANUAL проходят одинаковую серверную валидацию и маршрутизацию.</t>
  </si>
  <si>
    <t xml:space="preserve">PAR-04568</t>
  </si>
  <si>
    <t xml:space="preserve">Symbiont XP event field</t>
  </si>
  <si>
    <t xml:space="preserve">originRollId — обязательное поле события; nullable только selectedSymbiontInstanceId вне DIRECT.</t>
  </si>
  <si>
    <t xml:space="preserve">PAR-04569</t>
  </si>
  <si>
    <t xml:space="preserve">actorCharacterId — обязательное поле события; nullable только selectedSymbiontInstanceId вне DIRECT.</t>
  </si>
  <si>
    <t xml:space="preserve">PAR-04570</t>
  </si>
  <si>
    <t xml:space="preserve">actorType — обязательное поле события; nullable только selectedSymbiontInstanceId вне DIRECT.</t>
  </si>
  <si>
    <t xml:space="preserve">PAR-04571</t>
  </si>
  <si>
    <t xml:space="preserve">rollSource — обязательное поле события; nullable только selectedSymbiontInstanceId вне DIRECT.</t>
  </si>
  <si>
    <t xml:space="preserve">PAR-04572</t>
  </si>
  <si>
    <t xml:space="preserve">dieType — обязательное поле события; nullable только selectedSymbiontInstanceId вне DIRECT.</t>
  </si>
  <si>
    <t xml:space="preserve">PAR-04573</t>
  </si>
  <si>
    <t xml:space="preserve">rawFace — обязательное поле события; nullable только selectedSymbiontInstanceId вне DIRECT.</t>
  </si>
  <si>
    <t xml:space="preserve">PAR-04574</t>
  </si>
  <si>
    <t xml:space="preserve">rollKind — обязательное поле события; nullable только selectedSymbiontInstanceId вне DIRECT.</t>
  </si>
  <si>
    <t xml:space="preserve">PAR-04575</t>
  </si>
  <si>
    <t xml:space="preserve">checkKind — обязательное поле события; nullable только selectedSymbiontInstanceId вне DIRECT.</t>
  </si>
  <si>
    <t xml:space="preserve">PAR-04576</t>
  </si>
  <si>
    <t xml:space="preserve">modifierStatCodes — обязательное поле события; nullable только selectedSymbiontInstanceId вне DIRECT.</t>
  </si>
  <si>
    <t xml:space="preserve">PAR-04577</t>
  </si>
  <si>
    <t xml:space="preserve">criticalSource — обязательное поле события; nullable только selectedSymbiontInstanceId вне DIRECT.</t>
  </si>
  <si>
    <t xml:space="preserve">PAR-04578</t>
  </si>
  <si>
    <t xml:space="preserve">criticalPolarity — обязательное поле события; nullable только selectedSymbiontInstanceId вне DIRECT.</t>
  </si>
  <si>
    <t xml:space="preserve">PAR-04579</t>
  </si>
  <si>
    <t xml:space="preserve">confirmedGrade — обязательное поле события; nullable только selectedSymbiontInstanceId вне DIRECT.</t>
  </si>
  <si>
    <t xml:space="preserve">PAR-04580</t>
  </si>
  <si>
    <t xml:space="preserve">isOriginalRoll — обязательное поле события; nullable только selectedSymbiontInstanceId вне DIRECT.</t>
  </si>
  <si>
    <t xml:space="preserve">PAR-04581</t>
  </si>
  <si>
    <t xml:space="preserve">isConfirmationRoll — обязательное поле события; nullable только selectedSymbiontInstanceId вне DIRECT.</t>
  </si>
  <si>
    <t xml:space="preserve">PAR-04582</t>
  </si>
  <si>
    <t xml:space="preserve">isEqualGradeSubstitution — обязательное поле события; nullable только selectedSymbiontInstanceId вне DIRECT.</t>
  </si>
  <si>
    <t xml:space="preserve">PAR-04583</t>
  </si>
  <si>
    <t xml:space="preserve">progressionRoute — обязательное поле события; nullable только selectedSymbiontInstanceId вне DIRECT.</t>
  </si>
  <si>
    <t xml:space="preserve">PAR-04584</t>
  </si>
  <si>
    <t xml:space="preserve">eventPoints — обязательное поле события; nullable только selectedSymbiontInstanceId вне DIRECT.</t>
  </si>
  <si>
    <t xml:space="preserve">PAR-04585</t>
  </si>
  <si>
    <t xml:space="preserve">selectedSymbiontInstanceId — обязательное поле события; nullable только selectedSymbiontInstanceId вне DIRECT.</t>
  </si>
  <si>
    <t xml:space="preserve">PAR-04586</t>
  </si>
  <si>
    <t xml:space="preserve">processingStatus — обязательное поле события; nullable только selectedSymbiontInstanceId вне DIRECT.</t>
  </si>
  <si>
    <t xml:space="preserve">PAR-04587</t>
  </si>
  <si>
    <t xml:space="preserve">Natural faces</t>
  </si>
  <si>
    <t xml:space="preserve">rawFace∈{1,20}; одинаковая семантика для success/failure.</t>
  </si>
  <si>
    <t xml:space="preserve">PAR-04588</t>
  </si>
  <si>
    <t xml:space="preserve">Event points</t>
  </si>
  <si>
    <t xml:space="preserve">Unconfirmed natural=1; confirmedGrade Crit/Double/Triple/Ultra/Rampage=1/2/3/4/5 вместо 1.</t>
  </si>
  <si>
    <t xml:space="preserve">PAR-04589</t>
  </si>
  <si>
    <t xml:space="preserve">Direct conditions</t>
  </si>
  <si>
    <t xml:space="preserve">isSignificant=true; modifierStatCodes nonempty; unique eligible active linked candidates nonempty; rollClass=DIRECT_ELIGIBLE.</t>
  </si>
  <si>
    <t xml:space="preserve">PAR-04590</t>
  </si>
  <si>
    <t xml:space="preserve">Candidate selection</t>
  </si>
  <si>
    <t xml:space="preserve">Уникальные symbiontInstanceId; равновероятно; без веса за число LinkedStatCode совпадений.</t>
  </si>
  <si>
    <t xml:space="preserve">PAR-04591</t>
  </si>
  <si>
    <t xml:space="preserve">NO_DIRECT_BUT_POOL</t>
  </si>
  <si>
    <t xml:space="preserve">DAMAGE|PENETRATION|ARMOR|INITIATIVE|HEALING_AMOUNT|DURATION|RADIUS|ZONE_SIZE|QUANTITY|TARGET_COUNT.</t>
  </si>
  <si>
    <t xml:space="preserve">PAR-04592</t>
  </si>
  <si>
    <t xml:space="preserve">NEVER_PROGRESSION</t>
  </si>
  <si>
    <t xml:space="preserve">RANDOM_TABLE|CRITICAL_CONFIRMATION|EQUAL_GRADE_SUBSTITUTION|CHARACTER_CREATION|duplicate|formula-only 1/20|non-player.</t>
  </si>
  <si>
    <t xml:space="preserve">PAR-04593</t>
  </si>
  <si>
    <t xml:space="preserve">Route exclusivity</t>
  </si>
  <si>
    <t xml:space="preserve">Ровно один из DIRECT_SYMBIONT|CHARACTER_PROGRESS_COUNTER|NEVER_PROGRESSION.</t>
  </si>
  <si>
    <t xml:space="preserve">PAR-04594</t>
  </si>
  <si>
    <t xml:space="preserve">Insignificant direct-eligible</t>
  </si>
  <si>
    <t xml:space="preserve">isSignificant=false → NEVER_PROGRESSION; NO_DIRECT_BUT_POOL rawFace 1/20 остаётся counter.</t>
  </si>
  <si>
    <t xml:space="preserve">PAR-04595</t>
  </si>
  <si>
    <t xml:space="preserve">Owner mapping</t>
  </si>
  <si>
    <t xml:space="preserve">Attack/check/defense/resistance/initiative/healing/damage/penetration/armor owner = player who rolled that original D20.</t>
  </si>
  <si>
    <t xml:space="preserve">PAR-04596</t>
  </si>
  <si>
    <t xml:space="preserve">State field</t>
  </si>
  <si>
    <t xml:space="preserve">symbiontXpProgressPoints integer 0..2.</t>
  </si>
  <si>
    <t xml:space="preserve">PAR-04597</t>
  </si>
  <si>
    <t xml:space="preserve">unallocatedSymbiontXp integer &gt;=0, no upper limit.</t>
  </si>
  <si>
    <t xml:space="preserve">PAR-04598</t>
  </si>
  <si>
    <t xml:space="preserve">Conversion</t>
  </si>
  <si>
    <t xml:space="preserve">total=old+eventPoints; unallocated+=floor(total/3); remainder=total mod 3.</t>
  </si>
  <si>
    <t xml:space="preserve">PAR-04599</t>
  </si>
  <si>
    <t xml:space="preserve">Counters persist with no symbionts and across combat/peace transitions.</t>
  </si>
  <si>
    <t xml:space="preserve">PAR-04600</t>
  </si>
  <si>
    <t xml:space="preserve">ALLOCATE_UNASSIGNED_SYMBIONT_XP(actorCharacterId,selectedSymbiontInstanceId,amount,commandId).</t>
  </si>
  <si>
    <t xml:space="preserve">PAR-04601</t>
  </si>
  <si>
    <t xml:space="preserve">Allocation amount</t>
  </si>
  <si>
    <t xml:space="preserve">1≤amount≤unallocatedSymbiontXp; player may bank without limit.</t>
  </si>
  <si>
    <t xml:space="preserve">PAR-04602</t>
  </si>
  <si>
    <t xml:space="preserve">Allocation multiplier</t>
  </si>
  <si>
    <t xml:space="preserve">Free: baseXP=amount, finalXP=amount×2 exactly once.</t>
  </si>
  <si>
    <t xml:space="preserve">PAR-04603</t>
  </si>
  <si>
    <t xml:space="preserve">Idempotency key</t>
  </si>
  <si>
    <t xml:space="preserve">(actorCharacterId,eventType=SYMBIONT_XP,originRollId).</t>
  </si>
  <si>
    <t xml:space="preserve">PAR-04604</t>
  </si>
  <si>
    <t xml:space="preserve">Processing statuses</t>
  </si>
  <si>
    <t xml:space="preserve">PENDING|APPLIED_DIRECT|APPLIED_COUNTER|IGNORED_NEVER|IGNORED_DUPLICATE|REJECTED_INVALID.</t>
  </si>
  <si>
    <t xml:space="preserve">PAR-04605</t>
  </si>
  <si>
    <t xml:space="preserve">Separate event types</t>
  </si>
  <si>
    <t xml:space="preserve">SYMBIONT_XP dedupe does not suppress CHARACTERISTIC_PROGRESS CORE-085.</t>
  </si>
  <si>
    <t xml:space="preserve">PAR-04606</t>
  </si>
  <si>
    <t xml:space="preserve">GM direct XP operation</t>
  </si>
  <si>
    <t xml:space="preserve">GM_GRANT_SYMBIONT_XP(awardId,masterUserId,actorCharacterId,symbiontInstanceId,baseXP,reason).</t>
  </si>
  <si>
    <t xml:space="preserve">PAR-04607</t>
  </si>
  <si>
    <t xml:space="preserve">GM direct target</t>
  </si>
  <si>
    <t xml:space="preserve">actorType=PLAYER_CHARACTER; target belongs to actor; xpEligible=true.</t>
  </si>
  <si>
    <t xml:space="preserve">PAR-04608</t>
  </si>
  <si>
    <t xml:space="preserve">GM direct amount</t>
  </si>
  <si>
    <t xml:space="preserve">baseXP is integer &gt;=1; zero, negative and fractional values are rejected.</t>
  </si>
  <si>
    <t xml:space="preserve">PAR-04609</t>
  </si>
  <si>
    <t xml:space="preserve">GM direct reason</t>
  </si>
  <si>
    <t xml:space="preserve">Trimmed non-empty reason is mandatory and stored verbatim in audit.</t>
  </si>
  <si>
    <t xml:space="preserve">PAR-04610</t>
  </si>
  <si>
    <t xml:space="preserve">GM direct multiplier</t>
  </si>
  <si>
    <t xml:space="preserve">FREE=2; PURE|UNITED=1; apply exactly once to baseXP.</t>
  </si>
  <si>
    <t xml:space="preserve">PAR-04611</t>
  </si>
  <si>
    <t xml:space="preserve">GM direct counter bypass</t>
  </si>
  <si>
    <t xml:space="preserve">Do not read/write symbiontXpProgressPoints or unallocatedSymbiontXp; conversion 3:1 is not called.</t>
  </si>
  <si>
    <t xml:space="preserve">PAR-04612</t>
  </si>
  <si>
    <t xml:space="preserve">GM direct immutability</t>
  </si>
  <si>
    <t xml:space="preserve">Committed award is always valid; no rollback, delete, negative or compensating command exists.</t>
  </si>
  <si>
    <t xml:space="preserve">PAR-04613</t>
  </si>
  <si>
    <t xml:space="preserve">GM direct idempotency</t>
  </si>
  <si>
    <t xml:space="preserve">awardId unique; exact repeat returns original receipt; changed repeat is rejected.</t>
  </si>
  <si>
    <t xml:space="preserve">PAR-04614</t>
  </si>
  <si>
    <t xml:space="preserve">GM direct audit</t>
  </si>
  <si>
    <t xml:space="preserve">Append-only master/time/reason/actor/symbiont/base/multiplier/final/before/after.</t>
  </si>
  <si>
    <t xml:space="preserve">PAR-04615</t>
  </si>
  <si>
    <t xml:space="preserve">Group generator operation</t>
  </si>
  <si>
    <t xml:space="preserve">GENERATE_BALANCED_ENEMY_GROUP(partyGroupSnapshot,allowedOrigins,seed,operationId).</t>
  </si>
  <si>
    <t xml:space="preserve">PAR-04616</t>
  </si>
  <si>
    <t xml:space="preserve">Group generator ratio</t>
  </si>
  <si>
    <t xml:space="preserve">balancePercent is an auditable uniformly selected integer in [80,150].</t>
  </si>
  <si>
    <t xml:space="preserve">PAR-04617</t>
  </si>
  <si>
    <t xml:space="preserve">Group generator target</t>
  </si>
  <si>
    <t xml:space="preserve">partyStatTotal=sum seven current stats of active PCs; targetTotal=round(partyStatTotal*balancePercent/100).</t>
  </si>
  <si>
    <t xml:space="preserve">PAR-04618</t>
  </si>
  <si>
    <t xml:space="preserve">Group generator count</t>
  </si>
  <si>
    <t xml:space="preserve">enemyCount=max(1,round(targetTotal/80)); 80 is an orientation, not a hard per-enemy total.</t>
  </si>
  <si>
    <t xml:space="preserve">PAR-04619</t>
  </si>
  <si>
    <t xml:space="preserve">Group generator stats</t>
  </si>
  <si>
    <t xml:space="preserve">Each enemy has seven randomized integer stats; every stat &lt;=35; actual group total must equal targetTotal.</t>
  </si>
  <si>
    <t xml:space="preserve">PAR-04620</t>
  </si>
  <si>
    <t xml:space="preserve">Group generator sources</t>
  </si>
  <si>
    <t xml:space="preserve">Randomized composition may use allowed sentient and monster sources; creates runtime snapshots, never template mutations.</t>
  </si>
  <si>
    <t xml:space="preserve">PAR-04621</t>
  </si>
  <si>
    <t xml:space="preserve">Group generator boundary</t>
  </si>
  <si>
    <t xml:space="preserve">Preview/regenerate/accept only; no combat AI, auto-targeting, cross-campaign library or hidden clamp.</t>
  </si>
  <si>
    <t xml:space="preserve">Source Rule ID</t>
  </si>
  <si>
    <t xml:space="preserve">Тип связи</t>
  </si>
  <si>
    <t xml:space="preserve">Target Rule ID</t>
  </si>
  <si>
    <t xml:space="preserve">Контекст источника</t>
  </si>
  <si>
    <t xml:space="preserve">Примечание</t>
  </si>
  <si>
    <t xml:space="preserve">Ссылается / зависит</t>
  </si>
  <si>
    <t xml:space="preserve">Уточняет / имеет приоритет</t>
  </si>
  <si>
    <t xml:space="preserve">Позднее согласованное правило заменяет пересекающуюся ветвь.</t>
  </si>
  <si>
    <t xml:space="preserve">Прямое уточнение пользователя 2026-07-28 имеет приоритет в пересекающейся ветви.</t>
  </si>
  <si>
    <t xml:space="preserve">CORE-191 — прямое уточнение v1.3 с приоритетом 70 в пересекающейся ветви.</t>
  </si>
  <si>
    <t xml:space="preserve">CORE-192 — прямое уточнение v1.3 с приоритетом 70 в пересекающейся ветви.</t>
  </si>
  <si>
    <t xml:space="preserve">CORE-193 — прямое уточнение v1.3 с приоритетом 70 в пересекающейся ветви.</t>
  </si>
  <si>
    <t xml:space="preserve">CORE-194 — прямое уточнение v1.3 с приоритетом 70 в пересекающейся ветви.</t>
  </si>
  <si>
    <t xml:space="preserve">CORE-195 — прямое уточнение v1.3 с приоритетом 70 в пересекающейся ветви.</t>
  </si>
  <si>
    <t xml:space="preserve">CORE-196 — прямое уточнение v1.3 с приоритетом 70 в пересекающейся ветви.</t>
  </si>
  <si>
    <t xml:space="preserve">CORE-197 — прямое уточнение v1.3 с приоритетом 70 в пересекающейся ветви.</t>
  </si>
  <si>
    <t xml:space="preserve">CORE-198 — прямое уточнение v1.3 с приоритетом 70 в пересекающейся ветви.</t>
  </si>
  <si>
    <t xml:space="preserve">CORE-199 — прямое уточнение v1.3 с приоритетом 70 в пересекающейся ветви.</t>
  </si>
  <si>
    <t xml:space="preserve">CORE-200 — прямое уточнение v1.3 с приоритетом 70 в пересекающейся ветви.</t>
  </si>
  <si>
    <t xml:space="preserve">CORE-201 — прямое уточнение v1.3 с приоритетом 70 в пересекающейся ветви.</t>
  </si>
  <si>
    <t xml:space="preserve">CORE-202 — прямое уточнение v1.3 с приоритетом 70 в пересекающейся ветви.</t>
  </si>
  <si>
    <t xml:space="preserve">CORE-203 — прямое уточнение v1.3 с приоритетом 70 в пересекающейся ветви.</t>
  </si>
  <si>
    <t xml:space="preserve">CORE-204 — прямое уточнение v1.3 с приоритетом 70 в пересекающейся ветви.</t>
  </si>
  <si>
    <t xml:space="preserve">CORE-205 — прямое уточнение v1.3 с приоритетом 70 в пересекающейся ветви.</t>
  </si>
  <si>
    <t xml:space="preserve">CORE-206 — прямое уточнение v1.3 с приоритетом 70 в пересекающейся ветви.</t>
  </si>
  <si>
    <t xml:space="preserve">CORE-207 — прямое уточнение v1.3 с приоритетом 70 в пересекающейся ветви.</t>
  </si>
  <si>
    <t xml:space="preserve">CORE-208 — прямое уточнение v1.3 с приоритетом 70 в пересекающейся ветви.</t>
  </si>
  <si>
    <t xml:space="preserve">CORE-209 — прямое уточнение v1.3 с приоритетом 70 в пересекающейся ветви.</t>
  </si>
  <si>
    <t xml:space="preserve">CORE-210 — прямое уточнение v1.3 с приоритетом 70 в пересекающейся ветви.</t>
  </si>
  <si>
    <t xml:space="preserve">CORE-211 — прямое уточнение v1.3 с приоритетом 70 в пересекающейся ветви.</t>
  </si>
  <si>
    <t xml:space="preserve">CORE-212 — прямое уточнение v1.3 с приоритетом 70 в пересекающейся ветви.</t>
  </si>
  <si>
    <t xml:space="preserve">CORE-213 — прямое уточнение v1.3 с приоритетом 70 в пересекающейся ветви.</t>
  </si>
  <si>
    <t xml:space="preserve">CORE-214 — прямое уточнение v1.3 с приоритетом 70 в пересекающейся ветви.</t>
  </si>
  <si>
    <t xml:space="preserve">CORE-215 — прямое уточнение v1.3 с приоритетом 70 в пересекающейся ветви.</t>
  </si>
  <si>
    <t xml:space="preserve">AQA-001 — materialized cross-link scoped-патча v1.3.</t>
  </si>
  <si>
    <t xml:space="preserve">AQA-002 — materialized cross-link scoped-патча v1.3.</t>
  </si>
  <si>
    <t xml:space="preserve">AQA-003 — materialized cross-link scoped-патча v1.3.</t>
  </si>
  <si>
    <t xml:space="preserve">AQA-005 — materialized cross-link scoped-патча v1.3.</t>
  </si>
  <si>
    <t xml:space="preserve">AQA-008 — materialized cross-link scoped-патча v1.3.</t>
  </si>
  <si>
    <t xml:space="preserve">AQA-009 — materialized cross-link scoped-патча v1.3.</t>
  </si>
  <si>
    <t xml:space="preserve">AQA-010 — materialized cross-link scoped-патча v1.3.</t>
  </si>
  <si>
    <t xml:space="preserve">AQA-015 — materialized cross-link scoped-патча v1.3.</t>
  </si>
  <si>
    <t xml:space="preserve">AQA-016 — materialized cross-link scoped-патча v1.3.</t>
  </si>
  <si>
    <t xml:space="preserve">AQA-018 — materialized cross-link scoped-патча v1.3.</t>
  </si>
  <si>
    <t xml:space="preserve">AQA-022 — materialized cross-link scoped-патча v1.3.</t>
  </si>
  <si>
    <t xml:space="preserve">AQA-028 — materialized cross-link scoped-патча v1.3.</t>
  </si>
  <si>
    <t xml:space="preserve">AQA-032 — materialized cross-link scoped-патча v1.3.</t>
  </si>
  <si>
    <t xml:space="preserve">AQA-033 — materialized cross-link scoped-патча v1.3.</t>
  </si>
  <si>
    <t xml:space="preserve">AQA-034 — materialized cross-link scoped-патча v1.3.</t>
  </si>
  <si>
    <t xml:space="preserve">AQA-035 — materialized cross-link scoped-патча v1.3.</t>
  </si>
  <si>
    <t xml:space="preserve">AQA-036 — materialized cross-link scoped-патча v1.3.</t>
  </si>
  <si>
    <t xml:space="preserve">AQA-040 — materialized cross-link scoped-патча v1.3.</t>
  </si>
  <si>
    <t xml:space="preserve">AQA-043 — materialized cross-link scoped-патча v1.3.</t>
  </si>
  <si>
    <t xml:space="preserve">AQA-044 — materialized cross-link scoped-патча v1.3.</t>
  </si>
  <si>
    <t xml:space="preserve">AQ2-014 — materialized cross-link scoped-патча v1.3.</t>
  </si>
  <si>
    <t xml:space="preserve">AQ2-016 — materialized cross-link scoped-патча v1.3.</t>
  </si>
  <si>
    <t xml:space="preserve">AQ2-018 — materialized cross-link scoped-патча v1.3.</t>
  </si>
  <si>
    <t xml:space="preserve">CORE-082 — materialized cross-link scoped-патча v1.3.</t>
  </si>
  <si>
    <t xml:space="preserve">CORE-117 — materialized cross-link scoped-патча v1.3.</t>
  </si>
  <si>
    <t xml:space="preserve">CORE-125 — materialized cross-link scoped-патча v1.3.</t>
  </si>
  <si>
    <t xml:space="preserve">CORE-126 — materialized cross-link scoped-патча v1.3.</t>
  </si>
  <si>
    <t xml:space="preserve">CORE-131 — materialized cross-link scoped-патча v1.3.</t>
  </si>
  <si>
    <t xml:space="preserve">CORE-134 — materialized cross-link scoped-патча v1.3.</t>
  </si>
  <si>
    <t xml:space="preserve">CORE-135 — materialized cross-link scoped-патча v1.3.</t>
  </si>
  <si>
    <t xml:space="preserve">CORE-136 — materialized cross-link scoped-патча v1.3.</t>
  </si>
  <si>
    <t xml:space="preserve">CORE-150 — materialized cross-link scoped-патча v1.3.</t>
  </si>
  <si>
    <t xml:space="preserve">CORE-152 — materialized cross-link scoped-патча v1.3.</t>
  </si>
  <si>
    <t xml:space="preserve">CORE-159 — materialized cross-link scoped-патча v1.3.</t>
  </si>
  <si>
    <t xml:space="preserve">CORE-163 — materialized cross-link scoped-патча v1.3.</t>
  </si>
  <si>
    <t xml:space="preserve">CORE-164 — materialized cross-link scoped-патча v1.3.</t>
  </si>
  <si>
    <t xml:space="preserve">MON-088 — materialized cross-link scoped-патча v1.3.</t>
  </si>
  <si>
    <t xml:space="preserve">MON-089 — materialized cross-link scoped-патча v1.3.</t>
  </si>
  <si>
    <t xml:space="preserve">MON-090 — materialized cross-link scoped-патча v1.3.</t>
  </si>
  <si>
    <t xml:space="preserve">MON-091 — materialized cross-link scoped-патча v1.3.</t>
  </si>
  <si>
    <t xml:space="preserve">MON-092 — materialized cross-link scoped-патча v1.3.</t>
  </si>
  <si>
    <t xml:space="preserve">MON-178 — materialized cross-link scoped-патча v1.3.</t>
  </si>
  <si>
    <t xml:space="preserve">SYM-009 — materialized cross-link scoped-патча v1.3.</t>
  </si>
  <si>
    <t xml:space="preserve">SYM-020 — materialized cross-link scoped-патча v1.3.</t>
  </si>
  <si>
    <t xml:space="preserve">SYM-024 — materialized cross-link scoped-патча v1.3.</t>
  </si>
  <si>
    <t xml:space="preserve">CQA-061 — materialized cross-link scoped-патча v1.3.</t>
  </si>
  <si>
    <t xml:space="preserve">Прямое решение v1.4 имеет приоритет 80 в пересекающейся ветви.</t>
  </si>
  <si>
    <t xml:space="preserve">Боевой порядок подтверждения и разрешения критов применяется до обычного математического сравнения.</t>
  </si>
  <si>
    <t xml:space="preserve">Использует область допустимых проверок, прогрессию или локальное исключение.</t>
  </si>
  <si>
    <t xml:space="preserve">Прямая способность отражает допустимую атаку независимо от её критичности.</t>
  </si>
  <si>
    <t xml:space="preserve">Маршрутизация боевой проверки в единый разрешатель критичности.</t>
  </si>
  <si>
    <t xml:space="preserve">Локальное исключение v1.5: предметная, природная и симбиотическая броня не разрешается.</t>
  </si>
  <si>
    <t xml:space="preserve">Локальное исключение v1.5: этап пробития пропускается; penetration не сравнивается с totalArmor.</t>
  </si>
  <si>
    <t xml:space="preserve">связан с</t>
  </si>
  <si>
    <t xml:space="preserve">Передаёт классификацию, владение событием или локальное исключение маршрутизатору.</t>
  </si>
  <si>
    <t xml:space="preserve">уточняет</t>
  </si>
  <si>
    <t xml:space="preserve">Применяет единый runtime-контракт original D20.</t>
  </si>
  <si>
    <t xml:space="preserve">зависит от</t>
  </si>
  <si>
    <t xml:space="preserve">Dedupe до применения.</t>
  </si>
  <si>
    <t xml:space="preserve">маршрутизирует в</t>
  </si>
  <si>
    <t xml:space="preserve">CHARACTER_PROGRESS_COUNTER.</t>
  </si>
  <si>
    <t xml:space="preserve">DIRECT_SYMBIONT.</t>
  </si>
  <si>
    <t xml:space="preserve">Получает eventPoints.</t>
  </si>
  <si>
    <t xml:space="preserve">Создаёт распределяемый XP.</t>
  </si>
  <si>
    <t xml:space="preserve">Множитель Вольного.</t>
  </si>
  <si>
    <t xml:space="preserve">Проверка активности экземпляра.</t>
  </si>
  <si>
    <t xml:space="preserve">Списание unallocated XP.</t>
  </si>
  <si>
    <t xml:space="preserve">не заменяет</t>
  </si>
  <si>
    <t xml:space="preserve">Отдельный тип события роста характеристики.</t>
  </si>
  <si>
    <t xml:space="preserve">Единственный расовый multiplier; FREE ×2.</t>
  </si>
  <si>
    <t xml:space="preserve">проверяет</t>
  </si>
  <si>
    <t xml:space="preserve">Владение и допустимость экземпляра.</t>
  </si>
  <si>
    <t xml:space="preserve">обходит</t>
  </si>
  <si>
    <t xml:space="preserve">Не использует общий счётчик и 3→1.</t>
  </si>
  <si>
    <t xml:space="preserve">Не списывает unallocated XP.</t>
  </si>
  <si>
    <t xml:space="preserve">не допускает</t>
  </si>
  <si>
    <t xml:space="preserve">Отдельный immutable awardId; rollback event отсутствует.</t>
  </si>
  <si>
    <t xml:space="preserve">уточняется</t>
  </si>
  <si>
    <t xml:space="preserve">Генератор группы v1.7</t>
  </si>
  <si>
    <t xml:space="preserve">80–150%, ориентир 80, cap35; без AI.</t>
  </si>
  <si>
    <t xml:space="preserve">использует</t>
  </si>
  <si>
    <t xml:space="preserve">operationId, seed, provenance и атомарный audit.</t>
  </si>
  <si>
    <t xml:space="preserve">Приоритет</t>
  </si>
  <si>
    <t xml:space="preserve">Вопрос-источник / назначение</t>
  </si>
  <si>
    <t xml:space="preserve">Композиция базы</t>
  </si>
  <si>
    <t xml:space="preserve">§3.3.6.2, стр. 55.
Прямое авторское решение Q-SYMBIONT-XP-001 — опыт симбионтов за natural 20/1, 2026-07-30</t>
  </si>
  <si>
    <t xml:space="preserve">Синхронизация маршрутизации и опыта симбионтов v1.6.</t>
  </si>
  <si>
    <t xml:space="preserve">Синхронизация профиля оружия v1.2.</t>
  </si>
  <si>
    <t xml:space="preserve">Синхронизация с CORE-229: автоматическое боевое разрешение подтверждённых критов, порядок противостояния и прогрессия.
Синхронизация маршрутизации и опыта симбионтов v1.6.</t>
  </si>
  <si>
    <t xml:space="preserve">Патч v1.4
Синхронизация с CORE-229: автоматическое боевое разрешение подтверждённых критов, порядок противостояния и прогрессия.
Синхронизация маршрутизации и опыта симбионтов v1.6.</t>
  </si>
  <si>
    <t xml:space="preserve">Синхронизация конструкторов и шаблонов врагов v1.3.
Синхронизация с CORE-229: автоматическое боевое разрешение подтверждённых критов, порядок противостояния и прогрессия.
Синхронизация маршрутизации и опыта симбионтов v1.6.</t>
  </si>
  <si>
    <t xml:space="preserve">Синхронизация конструкторов и шаблонов врагов v1.3.
Патч v1.4</t>
  </si>
  <si>
    <t xml:space="preserve">Синхронизация профиля оружия v1.2.
Синхронизация конструкторов и шаблонов врагов v1.3.
Патч v1.4
Синхронизация с CORE-229: автоматическое боевое разрешение подтверждённых критов, порядок противостояния и прогрессия.
Синхронизация маршрутизации и опыта симбионтов v1.6.</t>
  </si>
  <si>
    <t xml:space="preserve">Синхронизация профиля оружия v1.2.
Синхронизация конструкторов и шаблонов врагов v1.3.
Патч v1.4</t>
  </si>
  <si>
    <t xml:space="preserve">Синхронизация конструкторов и шаблонов врагов v1.3.</t>
  </si>
  <si>
    <t xml:space="preserve">Синхронизация профиля оружия v1.2.
Синхронизация конструкторов и шаблонов врагов v1.3.
Патч v1.4
Синхронизация маршрутизации и опыта симбионтов v1.6.</t>
  </si>
  <si>
    <t xml:space="preserve">Каков полный жизненный цикл персонажа после установки окончательной смерти: текущая команда, инициатива, труп, инвентарь, симбионты, таймеры и право управления?
Патч v1.4</t>
  </si>
  <si>
    <t xml:space="preserve">Когда прекращается «Марионетка» при смерти/недееспособности источника или цели и как приложение должно обрабатывать опасные для цели приказы?
Патч v1.4</t>
  </si>
  <si>
    <t xml:space="preserve">Какие поля идентичности обязательны, как проверяется имя и где запрещены совпадающие имена?
Синхронизация конструкторов и шаблонов врагов v1.3.</t>
  </si>
  <si>
    <t xml:space="preserve">Что именно сохраняется при закрытии, сбое или переходе назад и можно ли получить новый результат случайного броска, перезапустив этап?
Синхронизация конструкторов и шаблонов врагов v1.3.</t>
  </si>
  <si>
    <t xml:space="preserve">Кто выбирает физический или виртуальный ввод и как этот выбор применяется к дополнительным броскам создания?
Синхронизация конструкторов и шаблонов врагов v1.3.</t>
  </si>
  <si>
    <t xml:space="preserve">В каком точном порядке складываются расовые, классовые и симбиотические изменения, ограничения Трогра, Учителя и Дельфина и пол случайного отрицательного модификатора?
Синхронизация конструкторов и шаблонов врагов v1.3.</t>
  </si>
  <si>
    <t xml:space="preserve">В какой момент при создании устанавливаются уровень, максимум и текущие ОЭ, бесплатные способности L1 и результат поглощения Дельфина Трогром?
Синхронизация конструкторов и шаблонов врагов v1.3.
Патч v1.4</t>
  </si>
  <si>
    <t xml:space="preserve">Какие текущие HP, состояния, таймеры, положения встроенных органов/симбионтов и подготовленные объекты получает только что сохранённый персонаж?
Синхронизация конструкторов и шаблонов врагов v1.3.</t>
  </si>
  <si>
    <t xml:space="preserve">Где при создании задаются масса и анатомия, какие значения допустимы и как выбирается сторона для Совы и Угря?
Синхронизация конструкторов и шаблонов врагов v1.3.</t>
  </si>
  <si>
    <t xml:space="preserve">Как выполнить требование мастера объявить доступные предметы происхождения, если персонаж создаётся вне кампании или происхождение не является структурированным полем?
Синхронизация профиля оружия v1.2.</t>
  </si>
  <si>
    <t xml:space="preserve">Что именно хранит каждая из пяти заявок, можно ли заявлять боеприпасы/наборы/препараты/артефакты и является ли описательный предмет шестой механической заявкой?
Синхронизация профиля оружия v1.2.</t>
  </si>
  <si>
    <t xml:space="preserve">Можно ли после финального сохранения вернуться в мастер создания и поменять расу, класс, способ характеристик, начальные навыки, симбионтов или стартовые броски?
Синхронизация конструкторов и шаблонов врагов v1.3.</t>
  </si>
  <si>
    <t xml:space="preserve">Указанное при создании «количество игроков» является требуемым числом участников или только максимальной вместимостью? Можно ли создать кампанию без героев, запустить с незаполненными местами и кто обязан иметь статус «Готов»?
Синхронизация конструкторов и шаблонов врагов v1.3.</t>
  </si>
  <si>
    <t xml:space="preserve">Может ли один лист одновременно участвовать в двух активных кампаниях, быть дважды добавлен в одну кампанию или управляться двумя устройствами? Что означает «импортировать как копию»?
Синхронизация конструкторов и шаблонов врагов v1.3.</t>
  </si>
  <si>
    <t xml:space="preserve">Как приложение ставит кампанию на паузу или закрывает хост посреди сцены/операции, и как затем безопасно продолжает игру либо передаёт роль мастера?
Синхронизация конструкторов и шаблонов врагов v1.3.</t>
  </si>
  <si>
    <t xml:space="preserve">Должно ли приложение позволять мастеру запускать общую проверку вне боя, если сама мирная сцена не моделируется?
Синхронизация маршрутизации и опыта симбионтов v1.6.</t>
  </si>
  <si>
    <t xml:space="preserve">Какие параметры мастер вправе изменять напрямую и должны ли после этого срабатывать автоматические производные правила?
Синхронизация профиля оружия v1.2.
Синхронизация конструкторов и шаблонов врагов v1.3.</t>
  </si>
  <si>
    <t xml:space="preserve">Какие операции с инвентарём доступны игроку и мастеру вне боя и в бою?
Синхронизация профиля оружия v1.2.
Синхронизация конструкторов и шаблонов врагов v1.3.
Патч v1.4</t>
  </si>
  <si>
    <t xml:space="preserve">Создаёт ли добавление НПС/существа копию, влияют ли последующие правки шаблона на уже существующие экземпляры и можно ли одного НПС поместить в сцену дважды?
Синхронизация конструкторов и шаблонов врагов v1.3.
Патч v1.4</t>
  </si>
  <si>
    <t xml:space="preserve">Как должны работать «Отпустить», «Добавить НПС» и «Убить», и что сохраняется после сцены?
Синхронизация конструкторов и шаблонов врагов v1.3.
Патч v1.4</t>
  </si>
  <si>
    <t xml:space="preserve">Поддерживает ли бой более двух сторон и какие ошибки должны блокировать запуск?
Синхронизация конструкторов и шаблонов врагов v1.3.</t>
  </si>
  <si>
    <t xml:space="preserve">Может ли мастер менять участника/цель/ресурс посреди операции или откатывать уже показанный бросок?
Синхронизация конструкторов и шаблонов врагов v1.3.</t>
  </si>
  <si>
    <t xml:space="preserve">Может ли мастер изменить ручной/автоматический режим после того, как игрок уже увидел запрос проверки?
Синхронизация маршрутизации и опыта симбионтов v1.6.</t>
  </si>
  <si>
    <t xml:space="preserve">Кто выбирает действия и вводит броски для локальных героев мастера, постоянных НПС, противников и временно отключённого героя?
Синхронизация конструкторов и шаблонов врагов v1.3.
Патч v1.4</t>
  </si>
  <si>
    <t xml:space="preserve">Что именно приложение выбирает в режиме автоматического управления противником, если формализован только выбор цели, но не выбор действия, движения, способности и защитной реакции?
Синхронизация конструкторов и шаблонов врагов v1.3.
Патч v1.4</t>
  </si>
  <si>
    <t xml:space="preserve">Сколько именно выборов и бросков выполняется после разрешения брать любые предметы из базы, и является ли броня одним набором или несколькими независимыми заявками?
Синхронизация профиля оружия v1.2.</t>
  </si>
  <si>
    <t xml:space="preserve">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
Синхронизация профиля оружия v1.2.</t>
  </si>
  <si>
    <t xml:space="preserve">Над какими персонажами и в каких состояниях можно проводить мастерскую операцию с симбионтами?
Синхронизация конструкторов и шаблонов врагов v1.3.</t>
  </si>
  <si>
    <t xml:space="preserve">Запрещено только добавлять, удалять и заменять само симбиотическое чудовище или запрещены любые операции над носителем Химеры, Кукловода либо Чумного доктора?
Синхронизация конструкторов и шаблонов врагов v1.3.</t>
  </si>
  <si>
    <t xml:space="preserve">Какие параметры задаёт мастер уже прокаченному добавляемому симбионту и какие значения он получает по умолчанию?
Синхронизация конструкторов и шаблонов врагов v1.3.</t>
  </si>
  <si>
    <t xml:space="preserve">Синхронизация конструкторов и шаблонов врагов v1.3.
Синхронизация маршрутизации и опыта симбионтов v1.6.</t>
  </si>
  <si>
    <t xml:space="preserve">Синхронизация профиля оружия v1.2.
Синхронизация маршрутизации и опыта симбионтов v1.6.</t>
  </si>
  <si>
    <t xml:space="preserve">§9.6.3, печ. стр. 213.
Предразработочный QA и прямые ответы пользователя 2026-07-29
Прямое решение пользователя 2026-07-30 — взрыв Огненной блохи игнорирует броню.</t>
  </si>
  <si>
    <t xml:space="preserve">Патч v1.4
Локальный armor override MON-115 над CORE-150/CORE-226.</t>
  </si>
  <si>
    <t xml:space="preserve">Когда обычное подкрепление получает первый ход, если после броска инициативы его позиция в текущем круге ещё впереди или уже прошла?</t>
  </si>
  <si>
    <t xml:space="preserve">Доступны ли игроку общие команды «положить предмет на землю» и «поднять свободный предмет с земли» вне боя и в бою?</t>
  </si>
  <si>
    <t xml:space="preserve">Q-QA-006; финальный авторский ответ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</si>
  <si>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Q-QA-006
Q-ENEMY-B2
Q-ENEMY-B14
Q-ENEMY-P1
Q-ENEMY-P2
Q-ENEMY-P3
Q-ENEMY-P4
Q-PREDEV-012</t>
  </si>
  <si>
    <t xml:space="preserve">Каков поддерживаемый в первой версии путь ручного создания противника: только экземпляр выбранного шаблона или также новый лист с нуля; существует ли случайный генератор состава?
Синхронизация профиля оружия v1.2.
Синхронизация конструкторов и шаблонов врагов v1.3.
Патч v1.4</t>
  </si>
  <si>
    <t xml:space="preserve">Как разрешать одновременные Советника, «Марионетку», обязательную атаку от натуральной 1 Пингвина и состояния недееспособности, чтобы в каждый момент был ровно один законный источник команд?
Патч v1.4</t>
  </si>
  <si>
    <t xml:space="preserve">Что действует, если статическая и динамическая маскировки Хамелеона одновременно имеют неистёкший срок?</t>
  </si>
  <si>
    <t xml:space="preserve">Как объединять постоянный снимок удалённого Трогра с вкладом нового Трогра того же персонажа, чтобы удаление/повторное добавление не создавало бесконечное накопление характеристик и навыка?</t>
  </si>
  <si>
    <t xml:space="preserve">Как изменяются, выключаются и удаляются уже созданные мастером сюжетные пометки и структурированные механические эффекты?</t>
  </si>
  <si>
    <t xml:space="preserve">В каком порядке расходуются одновременно применимые защиты от входа в тяжёлое ранение, прежде всего SYM-030 Ткача и MON-008 Химеры?
Патч v1.4</t>
  </si>
  <si>
    <t xml:space="preserve">Как должна завершаться пользовательская операция мародерства, если игрок отменяет выбор трупа, переносит только часть количества предмета или труп воскрешают до окончания фазы?
Синхронизация конструкторов и шаблонов врагов v1.3.
Патч v1.4</t>
  </si>
  <si>
    <t xml:space="preserve">Разделение каталогов врагов кампании
Патч v1.4</t>
  </si>
  <si>
    <t xml:space="preserve">Изменение шаблона только новой версией
Патч v1.4</t>
  </si>
  <si>
    <t xml:space="preserve">Создание шаблона врага-мыслящего
Патч v1.4
Синхронизация маршрутизации и опыта симбионтов v1.6.</t>
  </si>
  <si>
    <t xml:space="preserve">Состояние и управление врагом-мыслящим
Патч v1.4
Синхронизация маршрутизации и опыта симбионтов v1.6.</t>
  </si>
  <si>
    <t xml:space="preserve">Обычный симбионт пользовательского монстра
Патч v1.4
Синхронизация маршрутизации и опыта симбионтов v1.6.</t>
  </si>
  <si>
    <t xml:space="preserve">Симбиотические эффекты без навыков и инвентаря
Патч v1.4</t>
  </si>
  <si>
    <t xml:space="preserve">Области вычисления Runtime монстра
Синхронизация маршрутизации и опыта симбионтов v1.6.</t>
  </si>
  <si>
    <t xml:space="preserve">Разрешение базовой атаки монстра
Патч v1.4
Синхронизация с CORE-229: автоматическое боевое разрешение подтверждённых критов, порядок противостояния и прогрессия.
Синхронизация маршрутизации и опыта симбионтов v1.6.</t>
  </si>
  <si>
    <t xml:space="preserve">Атакующие способности симбионта монстра
Патч v1.4</t>
  </si>
  <si>
    <t xml:space="preserve">Природная броня монстра
Патч v1.4
Синхронизация маршрутизации и опыта симбионтов v1.6.</t>
  </si>
  <si>
    <t xml:space="preserve">Нестандартная анатомия пользовательского монстра
Патч v1.4</t>
  </si>
  <si>
    <t xml:space="preserve">Базовая атака канонического бестиария
Синхронизация маршрутизации и опыта симбионтов v1.6.</t>
  </si>
  <si>
    <t xml:space="preserve">Создание экземпляра из версии шаблона
Патч v1.4</t>
  </si>
  <si>
    <t xml:space="preserve">Аудит и идемпотентность операций шаблона врага
Патч v1.4</t>
  </si>
  <si>
    <t xml:space="preserve">Q-ENEMY-B14
Q-ENEMY-P1
Q-ENEMY-P5
Q-ENEMY-P7
Q-ENEMY-P12
Q-PREDEV-012</t>
  </si>
  <si>
    <t xml:space="preserve">Границы доработки и приоритет v1.3
Патч v1.4</t>
  </si>
  <si>
    <t xml:space="preserve">Уровни и деревья симбионтов врага-мыслящего
Синхронизация маршрутизации и опыта симбионтов v1.6.</t>
  </si>
  <si>
    <t xml:space="preserve">Отсутствие активной защиты
Синхронизация с CORE-229: автоматическое боевое разрешение подтверждённых критов, порядок противостояния и прогрессия.</t>
  </si>
  <si>
    <t xml:space="preserve">Приоритет подтверждённых критов исключительно в боевой ситуации.
Синхронизация маршрутизации и опыта симбионтов v1.6.</t>
  </si>
  <si>
    <t xml:space="preserve">Исполняемая карточка нового правила опыта симбионтов v1.6.</t>
  </si>
  <si>
    <t xml:space="preserve">Неизменяемое прямое начисление XP мастером конкретному xpEligible симбионту.</t>
  </si>
  <si>
    <t xml:space="preserve">Пакет / раунд</t>
  </si>
  <si>
    <t xml:space="preserve">Код вопроса</t>
  </si>
  <si>
    <t xml:space="preserve">Текст вопроса</t>
  </si>
  <si>
    <t xml:space="preserve">Фактически применяемый ответ</t>
  </si>
  <si>
    <t xml:space="preserve">Поздние вопросы</t>
  </si>
  <si>
    <t xml:space="preserve">Связанные Rule ID</t>
  </si>
  <si>
    <t xml:space="preserve">Файл-источник</t>
  </si>
  <si>
    <t xml:space="preserve">Исходный реестр вопросов</t>
  </si>
  <si>
    <t xml:space="preserve">На кого распространяется усталость?</t>
  </si>
  <si>
    <t xml:space="preserve">Это ошибка в правилах. В приложении будет допущение: мы в принципе никак не учитываем усталость, игнорируем формулу.</t>
  </si>
  <si>
    <t xml:space="preserve">Закрыт</t>
  </si>
  <si>
    <t xml:space="preserve">CORE-002
CORE-003</t>
  </si>
  <si>
    <t xml:space="preserve">Symbiosis_V7_Open_Questions_Page_Paragraph_With_Answers_Completed(1).docx</t>
  </si>
  <si>
    <t xml:space="preserve">Когда выбирать класс Чистого и занимать обязательный слот?</t>
  </si>
  <si>
    <t xml:space="preserve">При создании персонажа после проброса очков характеристик (если выбрана раса Чистых). Когда переходим к выбору навыков классовый навык чистого уже должен быть изучен, занимать 1 слот навыков, а его модификаторы уже должны быть применены к характеристикам персонажа.</t>
  </si>
  <si>
    <t xml:space="preserve">CORE-008
CORE-159</t>
  </si>
  <si>
    <t xml:space="preserve">Каковы стоимость и срок действия активных оценок Сталкера?</t>
  </si>
  <si>
    <t xml:space="preserve">Игровая условность: не учитываем это правило при проектировании приложения.</t>
  </si>
  <si>
    <t xml:space="preserve">CORE-011
CORE-012</t>
  </si>
  <si>
    <t xml:space="preserve">Как складывать дефициты нескольких требований оружия?</t>
  </si>
  <si>
    <t xml:space="preserve">Суммировать (если например оружие требует 14 силы и 13 ловкости, а у персонажа 12 силы и 12 ловкости, дефицит = 3, штраф = 6)</t>
  </si>
  <si>
    <t xml:space="preserve">К каким броскам относится оружейный навык и штраф «к ролу»?</t>
  </si>
  <si>
    <t xml:space="preserve">Только к броскам на меткость</t>
  </si>
  <si>
    <t xml:space="preserve">Что именно заменяет «точное попадание» по R6&gt;2?</t>
  </si>
  <si>
    <t xml:space="preserve">Персонаж с абсолютным уровнем навыка «Стрельба» при использовании Айнцберна либо абсолютным уровнем навыка «Стрельба из лука» при использовании лёгкого, тяжёлого или длинного лука может заявить точное попадание.
До проверки меткости стрелок выбирает допустимую часть тела цели и выполняет отдельный чистый R6. При результате 3–6 обычный случайный бросок зоны попадания не выполняется: если атака попадёт, снаряд поражает выбранную часть тела. При результате 1–2 точное наведение не срабатывает, однако выстрел не считается промахом — зона определяется случайно по общим правилам для анатомии цели.
Этот R6 заменяет только случайное определение зоны попадания. Проверка меткости, активная защита цели, пробитие брони, спасбросок доспеха, урон, сопротивления и последствия попадания выполняются в обычном порядке. Результат специального R6 не модифицируется и не проверяется на критичность.</t>
  </si>
  <si>
    <t xml:space="preserve">CORE-026
CORE-027
CORE-028
CORE-029</t>
  </si>
  <si>
    <t xml:space="preserve">Что происходит при стрельбе дальше дальности оружия?</t>
  </si>
  <si>
    <t xml:space="preserve">Если цель находится дальше максимальной дальности стрельбы, сделать выстрел невозможно</t>
  </si>
  <si>
    <t xml:space="preserve">Как считать порог оглушения грубым оружием?</t>
  </si>
  <si>
    <t xml:space="preserve">Если урон, нанесенный цели, в 3 или более раза превышает показатель ее характеристики «Здоровье», цель бросает D20. При выпадении значения меньше 10, цель пропускает следующие 3 боевых круга</t>
  </si>
  <si>
    <t xml:space="preserve">Сколько стоит смена хвата полуторного меча?</t>
  </si>
  <si>
    <t xml:space="preserve">В приложении не нужно учитывать возможность смены хвата полуторного меча</t>
  </si>
  <si>
    <t xml:space="preserve">Какой «рол с учётом всех модификаторов» активирует порог оружия?</t>
  </si>
  <si>
    <t xml:space="preserve">Базовый ответ этого раунда (сохраняется только в непротиворечащей части):
порог сравнивается с итоговым результатом проверки точности. Учитываются Ловкость, профильный навык и все применимые бонусы и штрафы
Поздние ответы с приоритетом в пересекающейся части:
[Уточнения формализации — раунд 1 / Q-CORE-010]
Значение 20 заменяет только результат базового броска урона оружия. Новый дайс базового урона не бросается; после этого один раз добавляется обычный модификатор урона и все прямо применимые бонусы или штрафы. Оружейный навык к урону не добавляется. Поэтому до прочих эффектов итог равен 20+D для кинжала и мизерикордии и 20+S для топоров. Затем в обычном порядке применяются сопротивления и последствия полученного урона.</t>
  </si>
  <si>
    <t xml:space="preserve">Изменен последующим ответом и переформирован автоматически</t>
  </si>
  <si>
    <t xml:space="preserve">Уточнения формализации — раунд 1 / Q-CORE-010</t>
  </si>
  <si>
    <t xml:space="preserve">CORE-037
CORE-038
CORE-039
CORE-040
CORE-041
CORE-043
CORE-044
CORE-045
CORE-046
CORE-048</t>
  </si>
  <si>
    <t xml:space="preserve">Как разрешать ответный удар парирования, упреждения и Корнадоры?</t>
  </si>
  <si>
    <t xml:space="preserve">При успешном парировании исходная атака отменяется, после чего защищавшийся немедленно наносит ответный удар тем же клинковым оружием. При успешном упреждении исходная атака отменяется, после чего защищавшийся выполняет одну доступную физическую атаку либо применяет наносящую урон способность симбионта с базовой стоимостью не более одного боевого действия.
Отдельная проверка меткости ответной атаки не выполняется: успешная защитная проверка уже подтверждает попадание. Зона определяется по обычным правилам выбранной атаки, после чего выполняются предусмотренная проверка активации, пробитие брони, расчёт урона и последствия попадания. Цель не может применить активную защиту, но броня, сопротивления и другие пассивные эффекты действуют. Ответная атака не может вызвать новую реакцию.
Ответ не расходует боевое действие. ОЭ, боеприпасы, заряды и остальные ресурсы выбранной атаки списываются в полном объёме при её объявлении после успешной защиты и не возвращаются при провале активации, непробитии брони или отсутствии урона. Атаку, на которую не хватает ресурсов, выбрать нельзя.
Свойство Корнадоры срабатывает только после успешного блока атаки ближнего боя щитом Корнадоры, если итог проверки блока R20 + все модификаторы равен 40 или выше. Парирование, упреждение и уклонение свойство не активируют. Контратака выполняется мечом Корнадоры против исходного атакующего, если меч находится в руке, а противник остаётся на дистанции рукопашной атаки. Она разрешается по описанной выше процедуре.
Все немедленные дополнительные атаки от защитных действий имеют общий лимит: не более одной на персонажа за боевой круг. После исчерпания лимита последующие успешные защиты продолжают отменять или блокировать исходные атаки, но нового ответного удара не дают. Попытка парирования или упреждения при этом считается использованной.</t>
  </si>
  <si>
    <t xml:space="preserve">CORE-047
CORE-147
CORE-148</t>
  </si>
  <si>
    <t xml:space="preserve">Q-CORE-012</t>
  </si>
  <si>
    <t xml:space="preserve">Когда действует бонус комбо Бларадэ?</t>
  </si>
  <si>
    <t xml:space="preserve">После разрешения атаки щитом, независимо от попадания, следующая атака шпагой той же Бларадэ в этом же личном ходу получает +5 к меткости, пробитию и урону. После этой атаки бонус расходуется; в конце хода неиспользованный бонус сгорает.</t>
  </si>
  <si>
    <t xml:space="preserve">Как складываются побочные свойства нескольких элементов или слоёв брони?</t>
  </si>
  <si>
    <t xml:space="preserve">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</si>
  <si>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CORE-050
CORE-051
CORE-151</t>
  </si>
  <si>
    <t xml:space="preserve">Что означает сопротивление 20 Нэйта для разных воздействий?</t>
  </si>
  <si>
    <t xml:space="preserve">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t>
  </si>
  <si>
    <t xml:space="preserve">CORE-053
CORE-111</t>
  </si>
  <si>
    <t xml:space="preserve">Какие зоны закрывает каждый элемент и цельный костюм?</t>
  </si>
  <si>
    <t xml:space="preserve">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</si>
  <si>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CORE-057
CORE-151</t>
  </si>
  <si>
    <t xml:space="preserve">Совместимы ли K доз с правилом одного препарата за боевой ход?</t>
  </si>
  <si>
    <t xml:space="preserve">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</si>
  <si>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CORE-058
CORE-061
CORE-062</t>
  </si>
  <si>
    <t xml:space="preserve">Как долго и какой ценой действует антисептик?</t>
  </si>
  <si>
    <t xml:space="preserve">Одна обработка расходует одну дозу антисептика и применяется к одной выбранной ране. В бою обработка своей раны или раны соседней согласной цели требует одного боевого действия; принудительное применение разрешается по процедуре Q-CORE-060. Антисептик даёт −10 только к следующей попытке болезни проникнуть через эту рану и прекращает действовать сразу после этой попытки.</t>
  </si>
  <si>
    <t xml:space="preserve">Сколько кровотечений останавливает одна доза?</t>
  </si>
  <si>
    <t xml:space="preserve">Одна доза кровоостанавливающего отвара прекращает все имеющиеся у персонажа в данный момент кровотечения.</t>
  </si>
  <si>
    <t xml:space="preserve">Кому начислять 50 ОЭ при нескольких симбионтах?</t>
  </si>
  <si>
    <t xml:space="preserve">При применении одной дозы игрок выбирает одного симбионта носителя; только его текущий запас ОЭ увеличивается на 50, но не выше его максимума. Делить восстановление между симбионтами или применять его ко всем нельзя.</t>
  </si>
  <si>
    <t xml:space="preserve">Какие механические эффекты даёт полная безэмоциональность?</t>
  </si>
  <si>
    <t xml:space="preserve">Безэмоциональность является только нарративным состоянием и сама по себе не даёт иммунитетов, автоматических успехов или штрафов. Механический эффект таблетки ограничивается указанным бонусом +3 к меткости.</t>
  </si>
  <si>
    <t xml:space="preserve">Как расходуется «следующее действие» таблетки взрывной мощи?</t>
  </si>
  <si>
    <t xml:space="preserve">Бонус +6 применяется к первой следующей проверке, модификатором которой является S; действие без проверки S его не расходует. После одной такой проверки или при окончании боя неиспользованный бонус прекращается.</t>
  </si>
  <si>
    <t xml:space="preserve">Какие состояния являются эффектами контроля?</t>
  </si>
  <si>
    <t xml:space="preserve">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</si>
  <si>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CORE-072
MON-020</t>
  </si>
  <si>
    <t xml:space="preserve">Складываются ли одноимённые эффекты разных источников?</t>
  </si>
  <si>
    <t xml:space="preserve">Одноимённые эффекты не суммируются независимо от источника: действует наибольшее числовое значение, а сроки каждого источника отсчитываются отдельно. После окончания сильнейшего начинает действовать следующий ещё не истёкший эффект; специальное правило фармацевтики об обновлении срока имеет приоритет.</t>
  </si>
  <si>
    <t xml:space="preserve">Как пересчитывать учебные слоты после нескольких изменений W?</t>
  </si>
  <si>
    <t xml:space="preserve">После выбора стартовых навыков фиксируется максимальное постоянное W, достигнутое персонажем. Число когда-либо выданных учебных слотов равно максимуму прежнего значения и floor(W/2): снижение W ничего не отнимает, возврат к прежнему максимуму новых слотов не даёт, а превышение максимума добавляет только разницу.</t>
  </si>
  <si>
    <t xml:space="preserve">Q-CORE-025</t>
  </si>
  <si>
    <t xml:space="preserve">Куда записывать криты проверок без характеристического модификатора?</t>
  </si>
  <si>
    <t xml:space="preserve">Крит чистой проверки или иной проверки без характеристического модификатора не записывается ни в один счётчик развития. Отдельный общий счётчик для таких критов не создаётся.</t>
  </si>
  <si>
    <t xml:space="preserve">Какие защиты и реакции доступны в сцене нападения?</t>
  </si>
  <si>
    <t xml:space="preserve">В сцене нападения атакованная цель может применять обычные доступные активные защиты и пассивную броню, если конкретная атака не запрещает защиту. Собственное действие до нападающих получает только персонаж со специальной реакцией и итогом реакции 18+, а остальные действия и подготовка появятся лишь после обычного броска инициативы.</t>
  </si>
  <si>
    <t xml:space="preserve">CORE-088
CORE-090</t>
  </si>
  <si>
    <t xml:space="preserve">Какова дистанция рукопашной атаки и модель пространства?</t>
  </si>
  <si>
    <t xml:space="preserve">Базовый ответ этого раунда (сохраняется только в непротиворечащей части):
Дистанцией рукопашной атаки считается не более 2 метров по кратчайшему доступному пути между участниками; Все позиции и перемещения учитываются в метрах, а особая дальность конкретного оружия или способности имеет приоритет.
Поздние ответы с приоритетом в пересекающейся части:
[Уточнения формализации — раунд 1 / Q-CORE-027]
В бою приложение хранит двумерные координаты центра каждого участника (x, y) в метрах. Прямая дистанция, радиусы и попадание точки участника в линию или область рассчитываются автоматически по этим координатам. Рукопашное взаимодействие доступно при прямой дистанции не более 2 метров. Приложение не контролирует доступность пути, считаем все пути возможными. особая дальность оружия или способности имеет приоритет. Препятствия, укрытия, перепады высоты и поиск маршрута приложение автоматически не моделирует: мастер на них так же не влияет.</t>
  </si>
  <si>
    <t xml:space="preserve">Уточнения формализации — раунд 1 / Q-CORE-027</t>
  </si>
  <si>
    <t xml:space="preserve">Как преобразовать второй R20 шрама или ожога в локализацию и видимость?</t>
  </si>
  <si>
    <t xml:space="preserve">В windows приложении мы не учитываем шрамы, ожоги и их видимость</t>
  </si>
  <si>
    <t xml:space="preserve">CORE-106
CORE-111
CORE-115</t>
  </si>
  <si>
    <t xml:space="preserve">Когда внутри суток срабатывает пищевое отравление?</t>
  </si>
  <si>
    <t xml:space="preserve">В windows приложении мы не учитываем пищевое отравление</t>
  </si>
  <si>
    <t xml:space="preserve">Какова полная модель возгорания?</t>
  </si>
  <si>
    <t xml:space="preserve">Базовый ответ этого раунда (сохраняется только в непротиворечащей части):
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
Поздние ответы с приоритетом в пересекающейся части:
[Уточнения формализации — раунд 1 / Q-CORE-030]
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</si>
  <si>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Уточнения формализации — раунд 1 / Q-CORE-030</t>
  </si>
  <si>
    <t xml:space="preserve">CORE-112
CORE-113
CORE-114</t>
  </si>
  <si>
    <t xml:space="preserve">Q-CORE-031</t>
  </si>
  <si>
    <t xml:space="preserve">Когда повторять проверку самообладания при полном горении?</t>
  </si>
  <si>
    <t xml:space="preserve">Проверка M выполняется в начале каждого личного хода, пока персонаж горит. Провал действует только на этот ход и заставляет пропустить ход.</t>
  </si>
  <si>
    <t xml:space="preserve">Q-CORE-032</t>
  </si>
  <si>
    <t xml:space="preserve">Как выбирать D6 одну из нескольких горящих зон?</t>
  </si>
  <si>
    <t xml:space="preserve">В windows приложении мы используем упрощенную модель горения: предметы экипировки не выбираются. Учитываем только факт возгорания персонажа при применении способности, длительность горения и периодический урон.</t>
  </si>
  <si>
    <t xml:space="preserve">Складываются ли повторные травмы одной конечности?</t>
  </si>
  <si>
    <t xml:space="preserve">Значения повторных травм одной конечности складываются в её общий штраф. Если суммарная травма превышает 6, конечность становится недействующей; общий штраф −5 применяется один раз за каждую недействующую конечность.</t>
  </si>
  <si>
    <t xml:space="preserve">Что считается следующим действием после травмы головы?</t>
  </si>
  <si>
    <t xml:space="preserve">Штраф травмы головы применяется к первой следующей проверке, которую выполняет пострадавший, включая активную защиту, реакцию или действие собственного хода, и после неё расходуется. Действие без проверочного броска штраф не расходует.</t>
  </si>
  <si>
    <t xml:space="preserve">Как классифицировать конечности сложной анатомии?</t>
  </si>
  <si>
    <t xml:space="preserve">В windows приложении мы используем только классическую анатомию</t>
  </si>
  <si>
    <t xml:space="preserve">CORE-122
CORE-123
CORE-124</t>
  </si>
  <si>
    <t xml:space="preserve">Q-CORE-036</t>
  </si>
  <si>
    <t xml:space="preserve">Как применять Li/Ht при нескольких повреждённых перемещающих конечностях?</t>
  </si>
  <si>
    <t xml:space="preserve">Штраф к перемещению является одним динамическим значением Li/Ht и не суммируется отдельно за каждую травму. После изменения числа нетравмированных перемещающих конечностей Ht он пересчитывается; при Ht=0 такое перемещение невозможно.</t>
  </si>
  <si>
    <t xml:space="preserve">Как исполнять состояние «бросается в бегство»?</t>
  </si>
  <si>
    <t xml:space="preserve">Базовый ответ этого раунда (сохраняется только в непротиворечащей части):
Существо остаётся в бегстве, пока не покинет бой или не перестанет воспринимать угрозу. В свой ход оно тратит все возможные боевые действия на движение по кратчайшему безопасному пути от ближайшего видимого противника, не атакует и не приближается добровольно, но сохраняет доступные защитные действия.
Поздние ответы с приоритетом в пересекающейся части:
[Уточнения формализации — раунд 1 / Q-CORE-037]
Приложение хранит флаг «бегство», но не вычисляет безопасный маршрут и не определяет восприятие угрозы. Все пути к отступлению считаются возможными с учетом ограничений на перемещения вблизи противников. Бегство – это активное действие, которое можно выбрать в начале хода и существо израсходует все доступные боевые действия на движение в сторону противоположенную ближайшему противнику. Покинуть боевую ситуацию можно только через бегство. Убегающее существо не атакует; защитные действия сохраняются. Флаг автоматически снимается при исключении существа из боевой ситуации.
[Уточнения формализации — раунд 2 / Q-CORE-037]
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</si>
  <si>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Уточнения формализации — раунд 1 / Q-CORE-037
Уточнения формализации — раунд 2 / Q-CORE-037</t>
  </si>
  <si>
    <t xml:space="preserve">CORE-124
CORE-178</t>
  </si>
  <si>
    <t xml:space="preserve">Каковы HP и броня неживых объектов?</t>
  </si>
  <si>
    <t xml:space="preserve">В windows приложении мы не учитываем не живые объекты в боевых ситуациях</t>
  </si>
  <si>
    <t xml:space="preserve">Q-CORE-039</t>
  </si>
  <si>
    <t xml:space="preserve">Добавляется ли оружейный навык к урону при метании?</t>
  </si>
  <si>
    <t xml:space="preserve">При метании оружия к его урону добавляется только S, как прямо установлено разделом метания. Оружейный навык влияет только на меткость в соответствии с ответом Q-CORE-005; навыки «Метание» и обращения с оружием к урону не прибавляются.</t>
  </si>
  <si>
    <t xml:space="preserve">Получает ли урон объект, в который врезался брошенный персонаж?</t>
  </si>
  <si>
    <t xml:space="preserve">В windows приложении мы не реализуем механику бросания персонажей (кроме борцовских бросков)</t>
  </si>
  <si>
    <t xml:space="preserve">Специальные штрафы защит от борьбы заменяют обычные или складываются?</t>
  </si>
  <si>
    <t xml:space="preserve">При защите от борьбы специальные значения заменяют общий штраф вида защиты: уклонение получает итоговый штраф −15, упреждающий удар — −10. Иные независимые ситуационные модификаторы применяются дополнительно.</t>
  </si>
  <si>
    <t xml:space="preserve">Как работают перемещение и число одновременных захватов?</t>
  </si>
  <si>
    <t xml:space="preserve">Один захват занимает одну свободную хватательную конечность; добровольно отпустить цель можно бесплатно. Одновременно удерживать можно не больше целей, чем есть свободных хватательных конечностей, однако двигаться разрешено только с одной удерживаемой целью: перед перемещением остальные захваты нужно прекратить. Перемещение с одной целью стоит одно действие; согласная или беспомощная цель перемещается автоматически, сопротивляющаяся выполняет встречную проверку борьбы. При успехе оба перемещаются не более чем на половину обычной дистанции удерживающего, при провале позиции не меняются.</t>
  </si>
  <si>
    <t xml:space="preserve">Что происходит с захватом и позициями после борцовского броска?</t>
  </si>
  <si>
    <t xml:space="preserve">После успешного борцовского броска захват прекращается, цель оказывается лежащей в пределах дистанции рукопашной атаки от борца, а борец остаётся на месте. Чтобы встать, цели требуется обычное одно боевое действие.</t>
  </si>
  <si>
    <t xml:space="preserve">Каковы срок и условия «выгодной позиции»?</t>
  </si>
  <si>
    <t xml:space="preserve">Выгодную позицию можно занять только против уже захваченной цели; она сохраняется, пока этот захват не прекращён. +5 применяется и расходуется на следующей проверке борьбы против той же цели, а удушающий приём дополнительно требует действующего состояния выгодной позиции.</t>
  </si>
  <si>
    <t xml:space="preserve">Каковы предусловия и обратимость выдавливания глаз?</t>
  </si>
  <si>
    <t xml:space="preserve">В windows приложении мы не реализуем механику выдавливания глаз</t>
  </si>
  <si>
    <t xml:space="preserve">Требуется ли захват для удушения?</t>
  </si>
  <si>
    <t xml:space="preserve">Удушающий приём выполняется только по цепочке: действующий захват этой цели → успешное занятие выгодной позиции → отдельное действие удушения. Прекращение захвата на любом этапе отменяет выгодную позицию и удушение.</t>
  </si>
  <si>
    <t xml:space="preserve">Как определить повреждённый жизненно важный орган?</t>
  </si>
  <si>
    <t xml:space="preserve">В текущей V7 при входе в тяжёлое ранение хранится абстрактное состояние «повреждён жизненно важный орган» без случайного organId. Эффекты Ткача и Химеры дублируют все жизненно важные органы, поэтому любой действующий функциональный дубль считается соответствующим повреждённому органу. Если позднее появится способность, дублирующая только конкретный орган, её описание должно одновременно добавить явный organId и таблицу органов; до этого частичное дублирование не поддерживается.</t>
  </si>
  <si>
    <t xml:space="preserve">CORE-152
CORE-154</t>
  </si>
  <si>
    <t xml:space="preserve">Q-CORE-048</t>
  </si>
  <si>
    <t xml:space="preserve">Каков минимум при ручном распределении характеристик?</t>
  </si>
  <si>
    <t xml:space="preserve">При ручном распределении исходное значение характеристики не может быть меньше единицы, и не может быть отрицательным или превышать 20. Создание завершается только если после всех постоянных расовых, классовых и симбиотических поправок каждая характеристика равна не менее 1. При указании некорректного значения, оповещение для пользователя нужно выводить сразу.</t>
  </si>
  <si>
    <t xml:space="preserve">CORE-160
CORE-161</t>
  </si>
  <si>
    <t xml:space="preserve">Когда подтверждать криты отклоняемого набора?</t>
  </si>
  <si>
    <t xml:space="preserve">Все натуральные 1 и 20 текущего набора подтверждаются сразу, до решения оставить набор или перейти к следующей попытке. При отказе от набора все его значения и последствия критов полностью отбрасываются.</t>
  </si>
  <si>
    <t xml:space="preserve">CORE-160
CORE-161
CORE-162</t>
  </si>
  <si>
    <t xml:space="preserve">Q-CORE-050</t>
  </si>
  <si>
    <t xml:space="preserve">Записываются ли криты создания в обычный счётчик развития?</t>
  </si>
  <si>
    <t xml:space="preserve">Криты этапа создания применяют только специальные последствия §6.1 и не записываются в обычный счётчик развития характеристик. Счётчики развития начинают заполняться после завершения создания персонажа.</t>
  </si>
  <si>
    <t xml:space="preserve">Что происходит со слотами и восстановлением «забытого» навыка?</t>
  </si>
  <si>
    <t xml:space="preserve">Базовый ответ этого раунда (сохраняется только в непротиворечащей части):
При постоянном падении характеристики ниже требования навык удаляется, освобождает все занятые им слоты своего пула и после восстановления характеристики требует нового обучения; при временном падении он лишь отключается и продолжает занимать слоты. Снижение W само навыки не удаляет, а если выбор симбионта при создании нарушил требование навыка, этот навык необходимо заменить или убрать до завершения создания.
Поздние ответы с приоритетом в пересекающейся части:
[Уточнения формализации — раунд 1 / Q-CORE-051]
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</si>
  <si>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Уточнения формализации — раунд 1 / Q-CORE-051</t>
  </si>
  <si>
    <t xml:space="preserve">Q-CORE-052</t>
  </si>
  <si>
    <t xml:space="preserve">Как бросать и интерпретировать базовые одежду, оружие и деньги?</t>
  </si>
  <si>
    <t xml:space="preserve">Базовый ответ этого раунда (сохраняется только в непротиворечащей части):
Одежда, оружие и деньги определяются тремя независимыми D20. Для одежды и оружия используется общая шкала качества PDF. Для денег диапазоны означают: 1–4 — денег нет; 5–9 — малая сумма; 10–14 — обычная сумма; 15–18 — крупная сумма; 19 — исключительная сумма; 20 — редкое состояние. Кампания может сопоставить этим шести уровням точные числа; если таблица не задана, приложение хранит уровень, а мастер вводит конкретную сумму до завершения создания.
Поздние ответы с приоритетом в пересекающейся части:
[Уточнения формализации — раунд 1 / Q-CORE-052]
До бросков игрок выбирает по одному конкретному виду одежды и оружия из стартового списка (база стандартных предметов). Затем для каждой категории выполняется бросок отдельного D20. Результаты бросков и выбранные игроком предметы приходят на согласование мастеру перед началом кампании, к которой присоединился игрок с данным персонажем. Мастер может одобрить, отклонить или заменить предмет на любой другой из базы доступных предметов. Уровень качества является описательным тегом и сам по себе не изменяет характеристики предмета, пока кампания не задаст отдельную таблицу модификаторов. Для денег приложение хранит подтверждённый уровень. Как и прочие предметы, при создании персонажа игроком они оказываются у персонажа по умолчанию, не зависимо от результата проверки, но при подключении к кампании они придут на согласование мастеру. Мастер сможет одобрить или скорректировать стартовое значение денег у персонажа.</t>
  </si>
  <si>
    <t xml:space="preserve">Уточнения формализации — раунд 1 / Q-CORE-052</t>
  </si>
  <si>
    <t xml:space="preserve">Штраф окружения привязан к противнику или к текущему числу окружающих?</t>
  </si>
  <si>
    <t xml:space="preserve">Штраф окружения является текущим общим штрафом защищающегося и не закрепляется за конкретными противниками.
Для каждой цели отдельно учитывается число N разных противников, которые в текущем круге объявили хотя бы одну ближнюю атаку по этой цели и в данный момент остаются на дистанции ближнего боя. Новый противник включается в число N при объявлении своей первой атаки — до выполнения защитной проверки против этой атаки.
Перед каждой защитой штраф пересчитывается по формуле:
−4 × max(0, N − 1).
Полученный штраф применяется к защитной проверке против ближней атаки любого учитываемого противника. Поэтому:
против первого противника штраф равен 0;
первая атака второго противника защищается со штрафом −4;
первая атака третьего — со штрафом −8;
если после этого снова атакует первый противник, защита также получает текущий штраф −8, пока все трое остаются на дистанции ближнего боя.
Повторные атаки одного противника не увеличивают N. Если противник покидает дистанцию ближнего боя, он перестаёт учитываться и штраф немедленно пересчитывается. В начале нового круга список атаковавших очищается. Штраф не применяется к дальним атакам, метанию и воздействиям, не являющимся ближними атаками учитываемых противников.</t>
  </si>
  <si>
    <t xml:space="preserve">Нужно ли при ручном выборе заполнить все слоты и доступно ли чудовище?</t>
  </si>
  <si>
    <t xml:space="preserve">При ручном выборе Вольный обязан выбрать ровно одного обычного симбионта. Единый обязан либо выбрать четыре разных обычных симбионта, либо выбрать одно симбиотическое чудовище, которое занимает все четыре слота; пустые слоты при создании не допускаются. В случайном режиме чудовище по-прежнему получается только по подтверждённому криту первого результативного броска.</t>
  </si>
  <si>
    <t xml:space="preserve">Q-CORE-055</t>
  </si>
  <si>
    <t xml:space="preserve">Можно ли оплачивать действие ценой 2 очка частями?</t>
  </si>
  <si>
    <t xml:space="preserve">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t>
  </si>
  <si>
    <t xml:space="preserve">Q-CORE-056</t>
  </si>
  <si>
    <t xml:space="preserve">Что делать при невыполненном требовании к уровню навыка предмета?</t>
  </si>
  <si>
    <t xml:space="preserve">Требование к уровню навыка является жёстким условием использования: из Айнцберна нельзя стрелять без навыка «Стрельба» среднего уровня или выше. Штраф вместо невыполненного требования не применяется; особое точное попадание по-прежнему доступно только на абсолютном уровне.</t>
  </si>
  <si>
    <t xml:space="preserve">Q-CORE-057</t>
  </si>
  <si>
    <t xml:space="preserve">Заменяет ли общий штраф метания предметный штраф отсутствия владения?</t>
  </si>
  <si>
    <t xml:space="preserve">Специальное правило метания является явным исключением из Q-CORE-005. При отсутствии навыка обращения с метаемым оружием применяется один штраф −5 вместо предметного штрафа за отсутствие того же навыка; при отсутствии навыка «Метание» дополнительно применяется −3. Оба штрафа изменяют каждую прямо названную проверку в процедуре метания — дальность, меткость и пробитие, — но не бросок урона. Предметный штраф повторно не добавляется. При метании оружия оно покинет инвентарь, перестанет быть доступно и вернется в инвентарь только после окончания боевой ситуации в случае победы</t>
  </si>
  <si>
    <t xml:space="preserve">Сколько рук занимает каждый тип оружия и как учитывать дополнительные конечности?</t>
  </si>
  <si>
    <t xml:space="preserve">Одну руку занимают Кенси, грубое и всё названное одноручным оружие, кинжал, мизерикордия, шпага, клевец, кастет и обычный щит; две руки — остальные арбалеты (кроме Кенси), все луки, копьё и всё названное двуручным оружие. Для полуторного меча при экипировке выбирается фиксированный хват на одну или две руки без последующей смены в приложении; Корнадора и Бларадэ как полный комплект занимают две руки. В Windows-приложении мы не рассматриваем вариант возникновения дополнительной хватательной конечности и считаем его невозможным</t>
  </si>
  <si>
    <t xml:space="preserve">Может ли персонаж без «Крафта» изготавливать табличное оружие?</t>
  </si>
  <si>
    <t xml:space="preserve">В Windows-приложении мы не рассматриваем механику крафта, она не автоматизируется с помощью windows приложения</t>
  </si>
  <si>
    <t xml:space="preserve">CORE-014
CORE-015</t>
  </si>
  <si>
    <t xml:space="preserve">Q-CORE-060</t>
  </si>
  <si>
    <t xml:space="preserve">Как исполнять передачу и принудительное введение препарата?</t>
  </si>
  <si>
    <t xml:space="preserve">Базовый ответ этого раунда (сохраняется только в непротиворечащей части):
Передача соседней согласной цели за 1 боевое действие только перемещает препарат в её инвентарь и не активирует эффект; введение согласной или беспомощной соседней цели проходит автоматически. Для принудительного введения сопротивляющаяся цель должна быть захвачена, после чего тратятся действие и доза и выполняется встречная проверка борьбы; эффект применяется только при успехе, а потраченные ресурсы при провале не возвращаются.
Поздние ответы с приоритетом в пересекающейся части:
[Уточнения формализации — раунд 1 / Q-CORE-060]
Применение препарата к себе либо введение соседней согласной или беспомощной цели требует 1 боевого действия, автоматически успешно и расходует одну дозу при объявлении. Если цель – другой игрок, у него должно открыться диалоговое окно с опцией согласиться или отказаться. Передача препарата соседней согласной цели также требует 1 действия, но лишь переносит дозу в её инвентарь и не активирует эффект. Для принудительного введения сопротивляющаяся цель должна быть захвачена; затем тратятся 1 действие и одна доза и выполняется встречная проверка борьбы. При провале действие и доза не возвращаются.
[Уточнения формализации — раунд 2 / Q-CORE-060]
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</si>
  <si>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Уточнения формализации — раунд 1 / Q-CORE-060
Уточнения формализации — раунд 2 / Q-CORE-060</t>
  </si>
  <si>
    <t xml:space="preserve">Где оказываются снаряды и брошенные предметы после промаха или недолёта?</t>
  </si>
  <si>
    <t xml:space="preserve">Базовый ответ этого раунда (сохраняется только в непротиворечащей части):
Выстрел дальше Rn нельзя объявить по ответу Q-CORE-007; выпущенная в допустимой дальности стрела или болт расходуется и отдельно на карте не сохраняется. Брошенный предмет при недолёте падает на рассчитанной максимальной дальности по направлению к цели, при промахе отклоняется от цели на R6 метров в направлении D12 по циферблату с ограничением рассчитанной дальностью броска, остаётся объектом карты и может быть подобран. Брошенное оружие автоматически возвращается в инвентарь после завершения боя победой
Поздние ответы с приоритетом в пересекающейся части:
[Уточнения формализации — раунд 1 / Q-CORE-061]
Каждый брошенный предмет является уникальным экземпляром. При объявлении броска он удаляется из инвентаря владельца и после разрешения броска создаётся как объект карты в рассчитанной точке. Персонаж рядом с объектом может потратить 1 действие и подобрать его; тогда объект карты удаляется и этот же экземпляр переносится в инвентарь подобравшего. Автоматическое возвращение после победы является процедурой уборки поля, а не телепортацией: если сторона исходного владельца победила и оружие всё ещё лежит в доступной точке карты, оно возвращается владельцу. В процессе боя его так же можно подобрать, как другие брошенные предметы. Если оно не было поднято до окончания боя, оно не возвращается при поражении, ничьей или бегстве, а также если уже находится в чужом инвентаре. Стрелы и болты объектами карты не создаются и всегда считаются израсходованными.</t>
  </si>
  <si>
    <t xml:space="preserve">Уточнения формализации — раунд 1 / Q-CORE-061</t>
  </si>
  <si>
    <t xml:space="preserve">Q-CORE-062</t>
  </si>
  <si>
    <t xml:space="preserve">В каком порядке разрешать несколько эффектов в один момент?</t>
  </si>
  <si>
    <t xml:space="preserve">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Таймер или периодический эффект, созданный в текущем разрешении, в этот же момент не уменьшается и впервые срабатывает в следующий предусмотренный правилами момент. Порции урона остаются отдельными для сопротивлений и триггеров, но изменение HP применяется до единой проверки состояния.</t>
  </si>
  <si>
    <t xml:space="preserve">Q-CORE-063</t>
  </si>
  <si>
    <t xml:space="preserve">Как продолжать таймер при переходе между боем и мирной сценой?</t>
  </si>
  <si>
    <t xml:space="preserve">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t>
  </si>
  <si>
    <t xml:space="preserve">CORE-101
CORE-153</t>
  </si>
  <si>
    <t xml:space="preserve">Q-MON-002</t>
  </si>
  <si>
    <t xml:space="preserve">Какая характеристика усиливается при результате 20 «Взгляда мясника»?</t>
  </si>
  <si>
    <t xml:space="preserve">При результате 20 случайно выбирается одна из семи характеристик Химеры независимо от характеристик цели и повышается на 2 вместо обычного повышения на 1. Сначала текущее HP восстанавливается до максимума, существовавшего перед «Пожиранием», затем maxHP повышается на 10 вместо 5; само повышение maxHP текущее HP дополнительно не увеличивает.</t>
  </si>
  <si>
    <t xml:space="preserve">Q-MON-003</t>
  </si>
  <si>
    <t xml:space="preserve">Как выбирать навык при «Пожирании»?</t>
  </si>
  <si>
    <t xml:space="preserve">Случайный навык выбирается равновероятно из навыков цели, которые Химера вправе получить и которые изменят её лист: неизвестный допустимый навык либо градационный навык ниже абсолютного уровня. Расовые, классовые, симбиотические, взаимоисключающие и уже максимальные навыки в пул не входят; если пул пуст, награды навыком нет.</t>
  </si>
  <si>
    <t xml:space="preserve">Как работают три порога дополнительных слотов Химеры?</t>
  </si>
  <si>
    <t xml:space="preserve">Мастер в закрытую независимо определяет три значения от 10 до 22 и хранит их как последовательные интервалы. Пороги равны первому значению, сумме первых двух и сумме всех трёх; при пересечении каждого порога успешных пожираний Химера получает один слот, максимум три.</t>
  </si>
  <si>
    <t xml:space="preserve">Каков штраф «Взгляда мясника» при результате 1?</t>
  </si>
  <si>
    <t xml:space="preserve">Игровая условность – в приложении мы не автоматизируем механику штрафа от неудачного применения взгляда мясника. Если химера не сожрет отмеченную таким взглядом мясника цель за отведенной время, мастер сам, используя возможность редактировать характеристики персонажа, снизит их у носителя химеры.</t>
  </si>
  <si>
    <t xml:space="preserve">Используется один или два R12 у отбойников?</t>
  </si>
  <si>
    <t xml:space="preserve">Для каждой атаки отбойником выполняются два независимых R12: первый определяет бронепробитие, второй — бонус к урону.</t>
  </si>
  <si>
    <t xml:space="preserve">MON-014
MON-018</t>
  </si>
  <si>
    <t xml:space="preserve">Q-MON-007</t>
  </si>
  <si>
    <t xml:space="preserve">Как устанавливается зрительный контакт для «Последнего взгляда»?</t>
  </si>
  <si>
    <t xml:space="preserve">Базовый ответ этого раунда (сохраняется только в непротиворечащей части):
Игровая условность для реализации в приложении. При любом взаимодействии противника с носителем химеры до конца боевого круга (атака, защита, применение направленной способности и т. д.) в боевой ситуации зрительный контакт устанавливается с вероятностью 30%
Поздние ответы с приоритетом в пересекающейся части:
[Уточнения формализации — раунд 1 / Q-MON-007]
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</si>
  <si>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Уточнения формализации — раунд 1 / Q-MON-007</t>
  </si>
  <si>
    <t xml:space="preserve">Q-MON-008</t>
  </si>
  <si>
    <t xml:space="preserve">Как проходит внеочередная серия при результате 20 «Последнего взгляда»?</t>
  </si>
  <si>
    <t xml:space="preserve">Цель немедленно получает отдельный внеочередной ход, у носителя химеры появляется экран выбора персонажа, которого будет атаковать цель, и бросает обычную серию приёмов. Во время действия этой серии цель тратит свои боевые действия только на приближение к указанной Химерой цели и атаки ближнего боя по ней; обычный следующий ход цели сохраняется.</t>
  </si>
  <si>
    <t xml:space="preserve">Как складываются несколько пассивных «Последних взглядов» в «Ведомом голодом»?</t>
  </si>
  <si>
    <t xml:space="preserve">Один активационный R20 определяет длительность «Ведомого голодом» и его критическую 1; при результате 1 основной эффект не активируется, а Химера отключается до конца боя. При успешной активации каждое взаимодействие носителя химеры с любым персонажем противника с вероятностью 30% вызывает применение (проверку R20) последнего взгяда. За эти пассивные срабатывания не расходуются ни действия, ни дополнительные 200 ОЭ; одного персонажа проверяют не более одного раза за одну активацию.</t>
  </si>
  <si>
    <t xml:space="preserve">Q-MON-010</t>
  </si>
  <si>
    <t xml:space="preserve">Как накладываются последствия «Рассеянности»?</t>
  </si>
  <si>
    <t xml:space="preserve">Повторная потеря навыков не складывается, а обновляет срок до двух ходов. Одновременно может храниться только одно отложенное поведение на следующий ход: более новый приказ или случайная атака заменяет прежнее; потеря навыков с ним сосуществует. Результат 20 прекращает «Рассеянность» и все ещё не исполненные последствия этой способности.</t>
  </si>
  <si>
    <t xml:space="preserve">Q-MON-011</t>
  </si>
  <si>
    <t xml:space="preserve">Как выбирается случайная цель «Рассеянности» при 9–14?</t>
  </si>
  <si>
    <t xml:space="preserve">Цель не знает, что подверглась воздействию рассеянности и выбирает цель для следующего действия как обычно, но при попытке совершить это действие, выбирается другая случайная доступная цель (любой видимый участник боевой ситуации); сторона значения не имеет. Если ни одной такой цели, кроме изначально выбранной, нет, последствие пропадает.</t>
  </si>
  <si>
    <t xml:space="preserve">Что делать при нескольких одинаково лучших навыках?</t>
  </si>
  <si>
    <t xml:space="preserve">Если несколько допустимых навыков имеют одинаковый максимальный уровень, один из них выбирается случайно. «Ментальный ученик» изучает его либо повышает ровно на один уровень, не выше уровня цели и абсолютного уровня; «Превосходство» временно передаёт Кукловоду фактический уровень навыка цели целиком.</t>
  </si>
  <si>
    <t xml:space="preserve">MON-031
MON-032</t>
  </si>
  <si>
    <t xml:space="preserve">Каков тип урона «Псионического разложения»?</t>
  </si>
  <si>
    <t xml:space="preserve">«Псионическое разложение» наносит прямой псионический урон непосредственно по HP: броня, бронепробитие и зона тела не определяются. Этот урон не вызывает отдельную травму, но переход в тяжёлое ранение при исчерпании HP происходит по общим правилам.</t>
  </si>
  <si>
    <t xml:space="preserve">Q-MON-014</t>
  </si>
  <si>
    <t xml:space="preserve">Как определяется доступность цели во время «Чужих чувств»?</t>
  </si>
  <si>
    <t xml:space="preserve">При активации цель должна быть видима Кукловоду и находиться не дальше 50 метров. После успешной встречной проверки связь сохраняется 30 минут или 3 боевых хода независимо от дальнейшей дистанции и видимости и не требует повторной защиты; цель автоматически не узнаёт о подключении. Связь прекращается при уроне Кукловоду, истечении срока или добровольной отмене.</t>
  </si>
  <si>
    <t xml:space="preserve">Возвращаются ли ресурсы отменённого физического действия?</t>
  </si>
  <si>
    <t xml:space="preserve">Отменённое действие и использованное место в серии расходуются. Уже уплаченные при объявлении ОЭ и иные абстрактные цены не возвращаются, но боеприпас, метаемый предмет или расходник не тратится, если его физическое использование ещё не произошло.</t>
  </si>
  <si>
    <t xml:space="preserve">Как определяется несоответствие реальности в «Наваждении»?</t>
  </si>
  <si>
    <t xml:space="preserve">Игровая условность – в приложении наваждение не отыгрывается. Мастер отыгрывает наваждение устно с игроком, автоматизировать это не требуется.</t>
  </si>
  <si>
    <t xml:space="preserve">Q-MON-017</t>
  </si>
  <si>
    <t xml:space="preserve">Как осуществляется управление «Марионеткой»?</t>
  </si>
  <si>
    <t xml:space="preserve">Для активации цель должна быть видима Кукловоду и находиться не дальше 50 метров. После успеха цель действует в своей обычной инициативе и со своей обычной серией, но при ее ходе у носителя кукловода появляется такой экран, будто он играет за цель, после завершения хода играбельным персонажем снова становится кукловод.</t>
  </si>
  <si>
    <t xml:space="preserve">Какова цена действий многоцелевой способности после «Ментальной паутины»?</t>
  </si>
  <si>
    <t xml:space="preserve">Цена следующей способности в боевых действиях оплачивается один раз за всё многоцелевое применение. ОЭ, расходуемые ресурсы и иные целевые цены оплачиваются отдельно за каждую выбранную цель, и все проверки по каждой цели выполняются независимо; 600 ОЭ «Ментальной паутины» платятся один раз.</t>
  </si>
  <si>
    <t xml:space="preserve">Как считать бесплатные попытки заражения и кашель?</t>
  </si>
  <si>
    <t xml:space="preserve">Каждый Чумной доктор получает одну бесплатную попытку заражения на всю боевую ситуацию, каждая следующая попытка до конца этого боя стоит 1 боевое действие; кашель не имеет отдельной дополнительной цены. Игровая условность для реализации в приложении: попытки заражения становятся доступны в боевой ситуации только после изучения способности «Кхе-кхе… Простыл я что-то». До изучения этой способности проверки инициируются при успешных рукопашных атаках и проверках на борьбу.</t>
  </si>
  <si>
    <t xml:space="preserve">MON-043
MON-048</t>
  </si>
  <si>
    <t xml:space="preserve">Каковы условия заражения через переносчика?</t>
  </si>
  <si>
    <t xml:space="preserve">Для заражения через переносчика он должен провести успешную рукопашную атаку или проверку борьбы; переносчик не получает воздушно-капельный путь. В момент концентрации Чумной доктор должен находиться не дальше 50 метров от переносчика; видимость не требуется. Пока его ассистенты живы в переносчике, Доктор выполняет обычную проверку заражения, которая учитывается в общем боевом счётчике попыток.</t>
  </si>
  <si>
    <t xml:space="preserve">Какова цена добровольного уничтожения ассистентов?</t>
  </si>
  <si>
    <t xml:space="preserve">Уничтожение ассистентов бесплатно и может быть объявлено вне очереди, в том числе между объявлением чужого действия и его разрешением. Оно не может отменить уже полностью разрешённый эффект.</t>
  </si>
  <si>
    <t xml:space="preserve">Какова частота проверки бегства заражённого дикого животного?</t>
  </si>
  <si>
    <t xml:space="preserve">Дикое животное делает одну чистую проверку R20 сразу после успешного заражения. Для того же непрерывного заражения проверка не повторяется; новое заражение после уничтожения ассистентов создаёт новую проверку.</t>
  </si>
  <si>
    <t xml:space="preserve">Что происходит при неуспехе «Они вам помогут…» и применении к себе?</t>
  </si>
  <si>
    <t xml:space="preserve">При результате 2 способность не даёт эффекта: ассистенты остаются, а при применении к себе блокировка заражения не начинается. При результате 1 ассистенты погибают и случайная часть тела загорается; если целью был сам Доктор, блокировка на 8−L часов применяется. При результате 3+ блокировка при применении к себе также применяется.</t>
  </si>
  <si>
    <t xml:space="preserve">Каковы бросок активации и количество целей роя?</t>
  </si>
  <si>
    <t xml:space="preserve">Сначала выполняется отдельный чистый R20 активации: 1 даёт критическое последствие, 2–3 — провал, 4+ — успех. При успехе отдельный R4 определяет максимальное число целей; можно заразить до этого количества доступных целей в пределах дальности, даже если их меньше выпавшего числа.</t>
  </si>
  <si>
    <t xml:space="preserve">Каков срок действия «Вакцинации»?</t>
  </si>
  <si>
    <t xml:space="preserve">«Вакцинация» действует на персонажа постоянно и не зависит от дальнейшего наличия ассистентов вакцинировавшего Доктора, его симбионта, жизни или дистанции. Снять её может только эффект, прямо отменяющий вакцинацию или постоянные изменения персонажа.</t>
  </si>
  <si>
    <t xml:space="preserve">Как считать источники Поветрия?</t>
  </si>
  <si>
    <t xml:space="preserve">Приложение не автоматизирует механики поветрия. Игрок и мастер отыгрывают их устно</t>
  </si>
  <si>
    <t xml:space="preserve">Могут ли характеристики опуститься ниже 1 из-за Поветрия?</t>
  </si>
  <si>
    <t xml:space="preserve">Q-MON-028</t>
  </si>
  <si>
    <t xml:space="preserve">Как заражённые получают лечебный дым Поветрия?</t>
  </si>
  <si>
    <t xml:space="preserve">Q-MON-029</t>
  </si>
  <si>
    <t xml:space="preserve">Как возвращаются характеристики после Поветрия?</t>
  </si>
  <si>
    <t xml:space="preserve">Какова полная механика заражения Чумного пророка?</t>
  </si>
  <si>
    <t xml:space="preserve">Приложение не автоматизирует механики чумных пророков. Игрок и мастер отыгрывают их устно</t>
  </si>
  <si>
    <t xml:space="preserve">MON-064
MON-065</t>
  </si>
  <si>
    <t xml:space="preserve">Что означает «увеличиваются до 35» при исходных S или D выше 35?</t>
  </si>
  <si>
    <t xml:space="preserve">На первые шесть боевых ходов способность устанавливает для S и D нижнюю границу 35: значение ниже 35 становится равным 35, а более высокое не меняется. Иные временные бонусы и штрафы применяются к этому значению обычным образом.</t>
  </si>
  <si>
    <t xml:space="preserve">Как работает критическая 1 «Чумных зомби»?</t>
  </si>
  <si>
    <t xml:space="preserve">Приложение не автоматизирует механики чумных зомби. Игрок и мастер отыгрывают их устно</t>
  </si>
  <si>
    <t xml:space="preserve">MON-068
MON-070</t>
  </si>
  <si>
    <t xml:space="preserve">Какое оружие и снаряжение получают Чумные зомби?</t>
  </si>
  <si>
    <t xml:space="preserve">Как активно применяется «Выжгу до тла»?</t>
  </si>
  <si>
    <t xml:space="preserve">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t>
  </si>
  <si>
    <t xml:space="preserve">MON-071
MON-072</t>
  </si>
  <si>
    <t xml:space="preserve">Q-MON-036</t>
  </si>
  <si>
    <t xml:space="preserve">Каковы геометрия струи «Выжгу до тла» и выбор экипировки?</t>
  </si>
  <si>
    <t xml:space="preserve">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</si>
  <si>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Q-MON-037</t>
  </si>
  <si>
    <t xml:space="preserve">Какую болезнь назначает стандартная проверка заражения?</t>
  </si>
  <si>
    <t xml:space="preserve">Для реализации в приложения механика болезней упрощена: мастер просто в праве назначить выбранную болезнь выбранному персонажу или снять имеющуюся.</t>
  </si>
  <si>
    <t xml:space="preserve">Перечень §8.1 представляет болезни или симптомы?</t>
  </si>
  <si>
    <t xml:space="preserve">Каждая строка §8.1 является отдельной болезнью со своим эффектом. Повторное заражение той же строкой не складывается, а разные строки считаются разными болезнями и складываются.</t>
  </si>
  <si>
    <t xml:space="preserve">MON-074
MON-085</t>
  </si>
  <si>
    <t xml:space="preserve">Какова формула потери сознания от болезни?</t>
  </si>
  <si>
    <t xml:space="preserve">Для каждой характеристики X, которую снижает болезнь, отдельно проверяется условие «итоговое X + итоговое Z &lt; 1». Достаточно выполнения условия хотя бы для одной поражённой характеристики, чтобы персонаж потерял сознание до излечения.</t>
  </si>
  <si>
    <t xml:space="preserve">Какова область действия суточного ограничения лечения?</t>
  </si>
  <si>
    <t xml:space="preserve">Q-MON-041</t>
  </si>
  <si>
    <t xml:space="preserve">На какой срок фиксируются диапазонные характеристики существа?</t>
  </si>
  <si>
    <t xml:space="preserve">Выбранные значения характеристик фиксируются на весь срок существования конкретного экземпляра существа и сохраняются при его появлении в следующих сценах. Для нового экземпляра значения выбираются заново.</t>
  </si>
  <si>
    <t xml:space="preserve">Q-MON-042</t>
  </si>
  <si>
    <t xml:space="preserve">Как работает приоритет старейшей цели Бубуя?</t>
  </si>
  <si>
    <t xml:space="preserve">Бубуй автоматически знает относительный возраст всех воспринимаемых живых противников. Он атакует старейшего противника, которого может легально атаковать в текущем ходу; если такого нет, движется к старейшему воспринимаемому противнику. При равном возрасте цель выбирается случайно из одновосрастных. Возраст должен быть указан в карточке персонажа.</t>
  </si>
  <si>
    <t xml:space="preserve">Каков боевой статблок Совуля?</t>
  </si>
  <si>
    <t xml:space="preserve">Совуль отсутствует среди выбираемых для добавления в боевую ситуацию существ из бестиария. В приложении взаимодействие с совулем не автоматизируется, мастер отыгрывает все связанное с ним устно.</t>
  </si>
  <si>
    <t xml:space="preserve">Как моделируется состояние «внутри Вивисектора»?</t>
  </si>
  <si>
    <t xml:space="preserve">При попадании внутрь цель один раз получает R12+8 прямого урона от яда за контакт со слизью и считается захваченной и находящейся в слизи. Дальнейшее пребывание само по себе не повторяет этот урон, но ведёт счётчик коррозии экипировки. Освобождение цели или соседним союзником стоит 1 действие и проходит как обычная встречная проверка борьбы против R20+S Вивисектора; отдельного удушения и риска попадания внешних атак по цели нет.</t>
  </si>
  <si>
    <t xml:space="preserve">Когда срабатывают ядовитые пары Вивисектора?</t>
  </si>
  <si>
    <t xml:space="preserve">Каждая негерметично защищённая цель выполняет проверку ядовитых паров один раз в конце собственного хода, если в этот момент находится не дальше 6 метров от Вивисектора. В конце ходов Вивисектора и других участников дополнительной проверки нет.</t>
  </si>
  <si>
    <t xml:space="preserve">Как выбирать элемент, разъеденный слизью?</t>
  </si>
  <si>
    <t xml:space="preserve">В конце каждого личного хода в слизи счётчик непрерывного пребывания увеличивается на 1. Когда он впервые достигает 2, равновероятно выбирается один исправный затронутый негерметичный элемент одежды или лёгкой брони и выводится из строя (уничтожается и убирается из инвентаря); до выхода из слизи новых элементов это воздействие не ломает. Выход обнуляет счётчик и признак срабатывания.</t>
  </si>
  <si>
    <t xml:space="preserve">Каковы числовые устойчивости Вивисектора?</t>
  </si>
  <si>
    <t xml:space="preserve">Вивисектор полностью невосприимчив к собственной слизи и собственным парам. Против природных ядов он получает +10 к проверкам сопротивления, а обычный экологический жар и урон от огня уменьшаются вдвое после иных модификаторов; стандартное горение может быть наложено и действует с этим уменьшением. Искусственные и симбиотические яды действуют обычно. Дальние атаки не получают отдельного бонуса и проверяются против природной брони R12.</t>
  </si>
  <si>
    <t xml:space="preserve">Как работают приведённый Кенгами хищник и прикармливание?</t>
  </si>
  <si>
    <t xml:space="preserve">Все Кенги, созданные мастером как одна совместно действующая группа, считаются одной стаей. Механика прикармливания и привода хищников приложением не автоматизируются.</t>
  </si>
  <si>
    <t xml:space="preserve">Что считается обычным огнём при контакте с Огненной блохой?</t>
  </si>
  <si>
    <t xml:space="preserve">«Обычный огонь» — это стандартный эффект горения, костры, пожары и огненные атаки без прямого указания, что они обходят невосприимчивость; такой урон Блохе не наносится. Голый захват наносит атакующему 5 прямого урона при каждой попытке захвата и в начале каждого его хода, пока незащищённый захват сохраняется.</t>
  </si>
  <si>
    <t xml:space="preserve">Q-MON-050</t>
  </si>
  <si>
    <t xml:space="preserve">Как прерывается взрыв Огненной блохи?</t>
  </si>
  <si>
    <t xml:space="preserve">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t>
  </si>
  <si>
    <t xml:space="preserve">MON-114
MON-115</t>
  </si>
  <si>
    <t xml:space="preserve">Q-MON-051</t>
  </si>
  <si>
    <t xml:space="preserve">Как выбирается горючая экипировка при взрыве?</t>
  </si>
  <si>
    <t xml:space="preserve">Базовый ответ этого раунда (сохраняется только в непротиворечащей части):
Механика горения в приложении упрощена: загореться может любой персонаж, конкретные предметы экипировки не учитываются. Горение – это получаемый урон, длящийся определенное количество ходов. После взрыва блохи попавшие в радиус цели загораются гарантировано.
Поздние ответы с приоритетом в пересекающейся части:
[Уточнения формализации — раунд 1 / Q-MON-051]
После разрешения взрыва каждый неиммунный персонаж в радиусе 10 метров гарантированно получает один двоичный статус горения на 2 хода независимо от состава экипировки. Укрытие вдвое уменьшает только исходный урон взрыва и не отменяет возгорание. Иммунитет к обычному огню полностью предотвращает статус. Горение наносит 10 урона в конце каждого личного хода и обслуживается по Q-CORE-030. Повторное попадание не складывает статус и урон, а обновляет остаток до max(текущий остаток, 2).
[Уточнения формализации — раунд 2 /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</si>
  <si>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Уточнения формализации — раунд 1 / Q-MON-051
Уточнения формализации — раунд 2 / Q-MON-051</t>
  </si>
  <si>
    <t xml:space="preserve">Как защищаться от первого захвата Умоляющего?</t>
  </si>
  <si>
    <t xml:space="preserve">Против первой атаки захватом цель выполняет встречную проверку R20+D без навыка уклонения; применяются только общие ситуационные модификаторы к Ловкости. Блок, парирование, броня и другие характеристики недоступны; захват успешен, если R20+D+5 Умоляющего строго выше результата цели.</t>
  </si>
  <si>
    <t xml:space="preserve">Q-MON-053</t>
  </si>
  <si>
    <t xml:space="preserve">Что означает «почти полностью» герметичная защита от феромонов?</t>
  </si>
  <si>
    <t xml:space="preserve">Механика приманивания умоляющего не автоматизируется приложением и отыгрывается игроком и мастером устно</t>
  </si>
  <si>
    <t xml:space="preserve">Q-MON-054</t>
  </si>
  <si>
    <t xml:space="preserve">Как исполняется принудительное движение к приманке Умоляющего?</t>
  </si>
  <si>
    <t xml:space="preserve">Q-MON-055</t>
  </si>
  <si>
    <t xml:space="preserve">Когда пасть Вольмера считается открытой?</t>
  </si>
  <si>
    <t xml:space="preserve">Пасть считается открытой с момента объявления Вольмером укуса до начала его следующего личного хода. Все атаки, объявленные в это окно именно в пасть, считаются атаками по голове и игнорируют постоянный бонус черепа +5.</t>
  </si>
  <si>
    <t xml:space="preserve">Что происходит с целью, захваченной дуплом Дерева-кукловода?</t>
  </si>
  <si>
    <t xml:space="preserve">Взаимодействие с деревом-кукловодом не автоматизируется приложением, добавить дерево-кукловод в боевую ситуацию из бестиария нельзя. Взаимодействие с ним отыгрывается мастером и игроком устно.</t>
  </si>
  <si>
    <t xml:space="preserve">MON-143
MON-144
MON-145
MON-146</t>
  </si>
  <si>
    <t xml:space="preserve">Что происходит при втором провале против яда Пеленальщицы?</t>
  </si>
  <si>
    <t xml:space="preserve">Второй последовательный провал заменяет эффект первого: цель парализуется на 5 своих ходов, а ожидающая потеря двух действий отменяется. После окончания паралича дополнительный штраф к серии не применяется.</t>
  </si>
  <si>
    <t xml:space="preserve">Как поддерживается кокон Пеленальщицы и как из него освобождаться?</t>
  </si>
  <si>
    <t xml:space="preserve">Пеленальщица должна провести рядом с обездвиженной целью два последовательных полных личных хода, расходуя все действия; получение ею урона, потеря контакта или прекращение обездвиженности цели сбрасывает прогресс. После завершения цель не действует и не освобождается сама; соседний союзник освобождает её за 1 действие успешной проверкой R20+S или R20+D против 38.</t>
  </si>
  <si>
    <t xml:space="preserve">Q-MON-059</t>
  </si>
  <si>
    <t xml:space="preserve">Какова проверка прыжка Гигантской жабы?</t>
  </si>
  <si>
    <t xml:space="preserve">В обычных условиях прыжок до 12 метров в допустимую точку выполняется автоматически и без дополнительного действия. Если до цели больше 12 метров, каждый дополнительный метр жаба преодолевает за 1 очко, выброшенное на D20, таким образом появляется шанс на провал (после которого возникает штраф). Если на дайсе выпадет больше, чем требуется для достижения цели, считаем, что жаба достигла цели. Максимальная дальность прыжка гигантской жабы – 32 метра, чтобы прыгнуть на эту длину у жабы должно выпасть 20 на D20</t>
  </si>
  <si>
    <t xml:space="preserve">Как назначается защитный бонус Псионической жабы?</t>
  </si>
  <si>
    <t xml:space="preserve">До броска защитной проверки Жаба бесплатно выбирает одного видимого союзника в радиусе 15 метров и даёт ему +10 к результату следующего броска на любую защитную реакцию (блок, уклонение, парирование, упреждающий удар). Если до конца боевого круга цель не сделала ни одной защитной проверки, эффект сбрасывается.</t>
  </si>
  <si>
    <t xml:space="preserve">Что означает «не действует два хода подряд» у сбивающего импульса?</t>
  </si>
  <si>
    <t xml:space="preserve">«Сбивающий импульс» является активной способностью за 1 боевое действие. Если цель провалила сопротивление, Жаба не может выбрать её снова в свой следующий личный ход; через один промежуточный ход Жабы цель снова допустима. Провальная для Жабы попытка ограничение не запускает.</t>
  </si>
  <si>
    <t xml:space="preserve">Какова временная связь разбега Кошки с атакой?</t>
  </si>
  <si>
    <t xml:space="preserve">Для бонуса Кошка должна в том же личном ходу непосредственно перед атакой непрерывно пройти не менее 5 метров в направлении цели. Перемещение оплачивается по общим правилам, не накапливается между ходами и прерывается любым иным действием.</t>
  </si>
  <si>
    <t xml:space="preserve">Обязательно ли наличие Тайпана у Фелиды и как определяется точность плевка?</t>
  </si>
  <si>
    <t xml:space="preserve">У каждой фелиды обязательно есть тайпан. Носитель выполняет плевок как дальнюю атаку с точностью R20+D, дальностью 10 метров и обычными дальними защитами; после попадания отдельно бросается R12 пробития и при достижении кожи разрешается яд.</t>
  </si>
  <si>
    <t xml:space="preserve">MON-166
MON-169</t>
  </si>
  <si>
    <t xml:space="preserve">Q-MON-064</t>
  </si>
  <si>
    <t xml:space="preserve">Как работает онемевшая конечность Фелиды?</t>
  </si>
  <si>
    <t xml:space="preserve">Случайно выбирается одна действующая конечность цели; на указанный срок она считается полностью отключённой по общим правилам тяжёлой травмы конечности, но без урона и постоянной травмы. Для нестандартной анатомии отключаются только функции выбранной конечности; если допустимых конечностей нет, эффект отсутствует.</t>
  </si>
  <si>
    <t xml:space="preserve">Как считать ограничение «раз в два хода»?</t>
  </si>
  <si>
    <t xml:space="preserve">Способность доступна уже в первом личном ходу существа. После использования она недоступна в следующий его личный ход и снова доступна в последующий, то есть может применяться на ходах 1, 3, 5 и далее; круги других участников не учитываются.</t>
  </si>
  <si>
    <t xml:space="preserve">Каковы геометрия и безопасный край Тихой Поляны?</t>
  </si>
  <si>
    <t xml:space="preserve">Взаимодействие с тихой поляной не автоматизируется приложением и отыгрывается мастером и игроком устно</t>
  </si>
  <si>
    <t xml:space="preserve">MON-172
MON-173
MON-174
MON-176</t>
  </si>
  <si>
    <t xml:space="preserve">Как освобождаться из закрытой Тихой Поляны?</t>
  </si>
  <si>
    <t xml:space="preserve">Как определяется срок закрытия Тихой Поляны?</t>
  </si>
  <si>
    <t xml:space="preserve">Как определяются событие и таблица естественного заражения?</t>
  </si>
  <si>
    <t xml:space="preserve">Приложение не определяет заражение и защищённость среды автоматически. Мастер вручную запускает и останавливает таймер непрерывного незащищённого контакта. После каждого полного непрерывного часа приложение предлагает мастеру подтвердить заражение; при подтверждении мастер выбирает вид либо запускает равновероятный выбор среди доступных обыкновенных симбионтов, исключая занятые виды.</t>
  </si>
  <si>
    <t xml:space="preserve">SYM-004
SYM-005</t>
  </si>
  <si>
    <t xml:space="preserve">Как считать 24-часовое окно восстановления?</t>
  </si>
  <si>
    <t xml:space="preserve">Используется скользящий интервал: новое полное восстановление HP и ОЭ возможно не раньше чем через 24 игровых часа после завершения отдыха, который дал предыдущее полное восстановление. У мастера должна быть возможность проматывать игровое время (пропускать выбранное количество часов)</t>
  </si>
  <si>
    <t xml:space="preserve">Q-SYM-003</t>
  </si>
  <si>
    <t xml:space="preserve">Сколько текущих ОЭ получает новый симбионт?</t>
  </si>
  <si>
    <t xml:space="preserve">Новый симбионт, полученный при создании персонажа или естественном заражении, начинает с полным текущим запасом ОЭ по своему уровню. За исключением пересадки симбионта, у пересаженного симбионта ОЭ равны нулю</t>
  </si>
  <si>
    <t xml:space="preserve">Какова цена действия при подготовке или защитной способности?</t>
  </si>
  <si>
    <t xml:space="preserve">Явно указанная длительность подготовки, количество действий или применение как защитного действия заменяет стандартную цену в 1 боевое действие, а не добавляется к ней. Защитное действие не расходует боевые действия своего хода, если способность прямо не говорит обратное. Убирать действия в подготовку можно только в свой ход.</t>
  </si>
  <si>
    <t xml:space="preserve">Каково универсальное правило округления дробей?</t>
  </si>
  <si>
    <t xml:space="preserve">Все дробные результаты округляются до ближайшего целого по математическим правилам; значение ровно 0,5 округляется вверх. Для количества ходов, минут, целей и создаваемых объектов действует минимум 1, если формула дала положительное значение; нулевой или отрицательный срок не создаёт продолжающегося эффекта.</t>
  </si>
  <si>
    <t xml:space="preserve">SYM-018
SYM-028
SYM-030
SYM-032
SYM-034
SYM-039
SYM-042
SYM-045
SYM-071
SYM-075
SYM-132
SYM-134
SYM-135</t>
  </si>
  <si>
    <t xml:space="preserve">Как изменение L влияет на уже действующий эффект?</t>
  </si>
  <si>
    <t xml:space="preserve">Одноразовый уже вычисленный результат не пересчитывается. Для продолжающегося эффекта каждое применение его числовой величины использует текущий L; уже определённая броском длительность не перебрасывается. Пассивы, ауры и поддерживаемые режимы также пересчитываются сразу после изменения L.</t>
  </si>
  <si>
    <t xml:space="preserve">Q-SYM-007</t>
  </si>
  <si>
    <t xml:space="preserve">Как работает «Замена органа» при R≥15?</t>
  </si>
  <si>
    <t xml:space="preserve">Базовый ответ этого раунда (сохраняется только в непротиворечащей части):
При результате 15+ полностью восстанавливается уничтоженный орган, функционал которого временно заменял Ткач (персонажу не потребуется лечение тяжелого ранения). Сам Ткач остаётся в теле носителя и продолжает действовать обычно.
Поздние ответы с приоритетом в пересекающейся части:
[Уточнения формализации — раунд 1 / Q-SYM-007]
Автоматическое применение объявляется немедленно после входа носителя в тяжёлое ранение и потери сознания, если способность изучена и имеется 50 ОЭ; стоимость списывается, затем выполняется обычный чистый R20. При результате 1–2 функциональная замена не возникает; натуральная 1 также отключает Ткача на 4 хода. При результате 3–14 носитель остаётся с 0 HP и в тяжёлом ранении, но сохраняет дееспособность на срок R20/3 ходов, а исходный таймер смерти один раз умножается на 4 и далее не пересчитывается. После окончания временной замены дееспособность теряется, но таймер сохраняется. При результате 15+ до окончания того же срока действуют эти же временные правила, затем орган восстанавливается: тяжёлое ранение и таймер снимаются, HP устанавливаются равными 1.
[Уточнения формализации — раунд 2 / Q-SYM-007]
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</si>
  <si>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Уточнения формализации — раунд 1 / Q-SYM-007
Уточнения формализации — раунд 2 / Q-SYM-007</t>
  </si>
  <si>
    <t xml:space="preserve">Q-SYM-008</t>
  </si>
  <si>
    <t xml:space="preserve">Как исполняется автоматическая «Замена органа»?</t>
  </si>
  <si>
    <t xml:space="preserve">Способность немедленно и без расходования действий носителя объявляется при потере сознания от тяжёлого ранения; 50 ОЭ списываются и выполняется обычная проверка способности. Выбор органа – игровая условность, не отыгрываемая через приложение. Приложение учитывает только сам эффект: способность действовать в состоянии тяжелого ранения и при выпадении 15+ - отсутствие необходимости лечить его, чтобы не погибнуть.</t>
  </si>
  <si>
    <t xml:space="preserve">Что происходит при потере ОЭ сверх остатка?</t>
  </si>
  <si>
    <t xml:space="preserve">При обязательной потере ОЭ текущий запас уменьшается не ниже 0; энергетический долг не создаётся. Дополнительное отключение наступает только там, где оно прямо указано, в частности у Ткача при неудаче «Дублирования органов».</t>
  </si>
  <si>
    <t xml:space="preserve">SYM-030
SYM-087
SYM-089
SYM-094</t>
  </si>
  <si>
    <t xml:space="preserve">Какова дальность дальних способностей без указанного числа?</t>
  </si>
  <si>
    <t xml:space="preserve">Для дальней способности без указанной максимальной дальности используется стандартная дальность 50 метров. Требования поля зрения, точности, защиты и пробития сохраняются.</t>
  </si>
  <si>
    <t xml:space="preserve">SYM-031
SYM-033
SYM-041
SYM-043
SYM-044</t>
  </si>
  <si>
    <t xml:space="preserve">Q-SYM-011</t>
  </si>
  <si>
    <t xml:space="preserve">Как складываются повторные усиления без специального текста?</t>
  </si>
  <si>
    <t xml:space="preserve">Применяется общее правило Q-CORE-023: одноимённые эффекты не суммируются, каждый сохраняет собственный срок, а действует сильнейшее ещё не истёкшее значение. После его окончания начинает действовать следующее. Прямое указание способности «обновляет длительность» имеет приоритет: для такого эффекта старый пакет заменяется новым по специальному тексту.</t>
  </si>
  <si>
    <t xml:space="preserve">SYM-032
SYM-132</t>
  </si>
  <si>
    <t xml:space="preserve">Q-SYM-012</t>
  </si>
  <si>
    <t xml:space="preserve">Что означает «добивает цель» у Адреналиновой реанимации?</t>
  </si>
  <si>
    <t xml:space="preserve">Натуральная 1 заменяет реанимацию добиванием: цель в состоянии тяжёлого ранения немедленно умирает, только если шип успешно попал и достиг плоти после проверки брони. При промахе или непробитии добивание не происходит.</t>
  </si>
  <si>
    <t xml:space="preserve">Q-SYM-013</t>
  </si>
  <si>
    <t xml:space="preserve">Каково состояние персонажа после окончания Абсолютной регенерации?</t>
  </si>
  <si>
    <t xml:space="preserve">После окончания способности временное значение 1000 снимается, а текущие HP становятся равны min(текущие HP при эффекте, обычный максимум HP). Каждая полученная во время способности рана и травма исчезает через два хода после получения; незавершённые двухходовые таймеры продолжаются и после окончания способности.</t>
  </si>
  <si>
    <t xml:space="preserve">Q-SYM-014</t>
  </si>
  <si>
    <t xml:space="preserve">Как работает деградация Ткача до четвёртого уровня?</t>
  </si>
  <si>
    <t xml:space="preserve">Деградация постоянна. Ткач становится 4 уровня; изученные узлы 5–6 уровней помечаются утраченными и недоступны, ранее потраченный на них опыт не возвращается. Для восстановления развития эти узлы необходимо последовательно изучить и оплатить заново по обычным правилам дерева.</t>
  </si>
  <si>
    <t xml:space="preserve">Как Абсолютная реанимация обрабатывает тело, Ткача и последующее состояние?</t>
  </si>
  <si>
    <t xml:space="preserve">Сохранение мозга и части тела не проверяется – это игровая условность; цель воскресает с 1 HP вне тяжёлого ранения, Ткач сохраняется в носителе. При натуральной 1 I цели становится 1. T считается в ходах в бою и полных минутах вне боя по правилу перехода режимов Q-CORE-063.</t>
  </si>
  <si>
    <t xml:space="preserve">Q-SYM-016</t>
  </si>
  <si>
    <t xml:space="preserve">Тайпан и Жаба несовместимы либо могут подавленно сосуществовать?</t>
  </si>
  <si>
    <t xml:space="preserve">Тайпан и Жаба могут находиться в одном теле, но Жаба подавляет Тайпана: он не получает опыт, не вырабатывает яд и не применяет зависящие от яда способности. Уже наложенные на других персонажей эффекты яда продолжаются до окончания своего срока.</t>
  </si>
  <si>
    <t xml:space="preserve">Q-SYM-017</t>
  </si>
  <si>
    <t xml:space="preserve">Каковы доза, нанесение и периодика ядов Тайпана?</t>
  </si>
  <si>
    <t xml:space="preserve">Нанесение одной дозы яда на одно оружие или снаряд требует 1 боевого действия; доза сохраняется до первого успешного попадания, после чего расходуется. Первый периодический тик происходит в конце следующего хода отравленной цели; повтор того же яда не складывается, а заменяет силу и длительность новыми бросками и запускает срок заново.</t>
  </si>
  <si>
    <t xml:space="preserve">SYM-039
SYM-042
SYM-045</t>
  </si>
  <si>
    <t xml:space="preserve">Каков срок действия Проницаемой кожи?</t>
  </si>
  <si>
    <t xml:space="preserve">Базовый ответ этого раунда (сохраняется только в непротиворечащей части):
Выбор области – игровая условность, не отыгрываемая в приложении. Активация способности делает успешные рукопашные атаки и проверки борьбы способом отравления цели активным на текущий момент ядом.
Поздние ответы с приоритетом в пересекающейся части:
[Уточнения формализации — раунд 1 / Q-SYM-018]
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</si>
  <si>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Уточнения формализации — раунд 1 / Q-SYM-018</t>
  </si>
  <si>
    <t xml:space="preserve">Q-SYM-019</t>
  </si>
  <si>
    <t xml:space="preserve">Что делать с неположительной силой Ослабляющего яда?</t>
  </si>
  <si>
    <t xml:space="preserve">Сила снижения K рассчитывается как max(0, R20 + L − Z). При K=0 яд считается попавшим, но характеристики цели не изменяются.</t>
  </si>
  <si>
    <t xml:space="preserve">Q-SYM-020</t>
  </si>
  <si>
    <t xml:space="preserve">Как Парализующий яд действует на нестандартную анатомию?</t>
  </si>
  <si>
    <t xml:space="preserve">Нестандартная анатомия - игровая условность, мы не учитываем ее в приложении. При атаке не гуманоидного существа область тела просто не выбирается. Попадание в любую часть тела обсчитывается как попадание в корпус</t>
  </si>
  <si>
    <t xml:space="preserve">Что происходит с Двойным фокусом после удаления Совы?</t>
  </si>
  <si>
    <t xml:space="preserve">Пока Сова активна в теле, «Двойной фокус внимания» полностью подавлен. После удаления, гибели или отключения Совы изученная способность Хамелеона автоматически начинает давать бонус и необходимые физические изменения без повторного изучения; при возвращении активной Совы снова подавляется.</t>
  </si>
  <si>
    <t xml:space="preserve">SYM-047
SYM-126</t>
  </si>
  <si>
    <t xml:space="preserve">Какие именно значения характеристик раскрываются?</t>
  </si>
  <si>
    <t xml:space="preserve">Раскрываются текущие итоговые значения семи характеристик S, D, M, Z, I, W и C с учётом действующих модификаторов. Базовые значения, текущие и максимальные HP/ОЭ не раскрываются, если способность не называет их отдельно.</t>
  </si>
  <si>
    <t xml:space="preserve">SYM-051
SYM-104</t>
  </si>
  <si>
    <t xml:space="preserve">Q-SYM-023</t>
  </si>
  <si>
    <t xml:space="preserve">Каковы цена и отложенный триггер «Свети, ученик»?</t>
  </si>
  <si>
    <t xml:space="preserve">При наложении Учитель платит 40 ОЭ; маркер действует без срока до первого подходящего применения. При триггере заявленное целью действие расходуется, но ОЭ её отменённой способности не списываются. Копия выбирается только среди способностей, разницу до большей цены которых активный Учитель может доплатить. Если Учитель удалён или отключён либо допустимых копий нет, маркер снимается, а исходная способность цели разрешается обычно с её обычной оплатой.</t>
  </si>
  <si>
    <t xml:space="preserve">Q-SYM-024</t>
  </si>
  <si>
    <t xml:space="preserve">Как копировать способности с нечисловой или поддерживаемой ценой?</t>
  </si>
  <si>
    <t xml:space="preserve">Из копирования исключаются способности с ценой «вся энергия», HP, жертвой, поддержанием за интервал, многоэтапной оплатой или иной нефиксированной ценой. Копировать можно только способность с единой фиксированной ценой в ОЭ и разрешимым эффектом.</t>
  </si>
  <si>
    <t xml:space="preserve">SYM-057
SYM-059</t>
  </si>
  <si>
    <t xml:space="preserve">Q-SYM-025</t>
  </si>
  <si>
    <t xml:space="preserve">Что делает «Внимай, ученик» без допустимой последней способности?</t>
  </si>
  <si>
    <t xml:space="preserve">Если у цели нет последней использованной допустимой активной способности, «Внимай, ученик» объявить нельзя: ОЭ не расходуются и Учитель не отключается. Более ранние способности цели не просматриваются.</t>
  </si>
  <si>
    <t xml:space="preserve">Каковы область защиты и обработка единицы у «Поднять щиты»?</t>
  </si>
  <si>
    <t xml:space="preserve">Щит имеет радиус 3 метра. Он прикрывает носителя и другие союзные цели, чьи силуэты попадают в радиус действия способности (по ним нельзя заявлять атаки, пока щит действует). При натуральной 1 персонаж не может заявлять никаких действий кроме освобождения рук, которое потребует 1 боевое действие или 1 минуту на их освобождение.</t>
  </si>
  <si>
    <t xml:space="preserve">Передаётся ли горение оружием через броню?</t>
  </si>
  <si>
    <t xml:space="preserve">Для передачи горения достаточно успешного попадания с итогом точности 19+; наносить урон или пробивать броню не требуется.</t>
  </si>
  <si>
    <t xml:space="preserve">Как считать четырёхминутное окно Огнеупорной глотки?</t>
  </si>
  <si>
    <t xml:space="preserve">Четыре минуты/четыре боевых хода считаются отдельно для каждого непрерывного эпизода воздействия огня на рот и глотку. После прекращения воздействия счётчик сбрасывается; начиная с пятого интервала огонь действует по обычным правилам.</t>
  </si>
  <si>
    <t xml:space="preserve">Q-SYM-029</t>
  </si>
  <si>
    <t xml:space="preserve">Какова геометрия Нагнетателя давления?</t>
  </si>
  <si>
    <t xml:space="preserve">Базовый ответ этого раунда (сохраняется только в непротиворечащей части):
Струя представляет собой прямую линию шириной 1 метр от носителя до выпавшей дальности; все персонажи, чьи зоны пересекает линия, попадают под эффект. Увернуться нельзя; все неуклонившиеся противники загораются.
Поздние ответы с приоритетом в пересекающейся части:
[Уточнения формализации — раунд 1 / Q-SYM-029]
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</si>
  <si>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Уточнения формализации — раунд 1 / Q-SYM-029</t>
  </si>
  <si>
    <t xml:space="preserve">Что происходит с Огненным шаром при натуральной 1?</t>
  </si>
  <si>
    <t xml:space="preserve">При натуральной 1 центр взрыва находится в точке носителя, радиус автоматически равен 12 метрам, а чистый урон — 20+L. На всех попавших в радиус, включая носителя, накладывается обычное горение от Огненного шара.</t>
  </si>
  <si>
    <t xml:space="preserve">Q-SYM-031</t>
  </si>
  <si>
    <t xml:space="preserve">Когда Трогр поглощает симбионта и как охотится на Хранителя?</t>
  </si>
  <si>
    <t xml:space="preserve">При появлении Трогра в одном теле с Учителем или Дельфином он немедленно и без проверки поглощает их; симбионты, их опыт и способности утрачиваются и после удаления Трогра не восстанавливаются. С Хранителем проводится бой симбионтов по текущим ОЭ: имеющий строго больший текущий запас уничтожает другого и теряет количество ОЭ уничтоженного; при равенстве никто не погибает.</t>
  </si>
  <si>
    <t xml:space="preserve">Как взаимодействуют поглощённый Дельфин и пятый уровень Трогра?</t>
  </si>
  <si>
    <t xml:space="preserve">После поглощения Дельфина уровень Трогра становится не ниже 5, а все обязательные способности его линейной ветви уровней 2–5 считаются изученными бесплатно. Опыт за это не начисляется и компенсация уже развитому Трогру не выдаётся.</t>
  </si>
  <si>
    <t xml:space="preserve">Как «Трогр крушить» обрабатывает повторно потерянные HP?</t>
  </si>
  <si>
    <t xml:space="preserve">Считается суммарное количество фактически потерянных HP за текущую схватку, включая повторную потерю восстановленных HP. За каждые полные 10 накопленных потерь даётся +1 S; лечение бонус не уменьшает, а в конце схватки счётчик и бонус обнуляются.</t>
  </si>
  <si>
    <t xml:space="preserve">Каковы дальность и требования к слуху у WAAAGH?</t>
  </si>
  <si>
    <t xml:space="preserve">Базовый ответ этого раунда (сохраняется только в непротиворечащей части):
WAAAGH действует на одну выбранную цель в пределах 30 метров.
Поздние ответы с приоритетом в пересекающейся части:
[Уточнения формализации — раунд 1 / Q-SYM-034]
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</si>
  <si>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Уточнения формализации — раунд 1 / Q-SYM-034</t>
  </si>
  <si>
    <t xml:space="preserve">Каковы срок и механика боли способности «ЫЫЫ»?</t>
  </si>
  <si>
    <t xml:space="preserve">Эффект действует до конца текущей схватки. Его обязательное механическое последствие — немедленно обнулить и до конца эффекта запретить накопление бонуса «Трогр крушить!». Невосприимчивость к боли остаётся нарративной и отменяет иной механический эффект только тогда, когда описание этого эффекта прямо говорит, что он вызывается исключительно болью.</t>
  </si>
  <si>
    <t xml:space="preserve">Q-SYM-036</t>
  </si>
  <si>
    <t xml:space="preserve">Как Хранитель захватывает тело?</t>
  </si>
  <si>
    <t xml:space="preserve">Проникновение в добровольного, бессознательного или полностью обездвиженного Единого/Вольного занимает 1 действие. Тело без симбионтов непригодно; свободный слот заранее не нужен. После победы над выбранным симбионтом Хранитель занимает его слот, но до завершения первого полноценного четырёхчасового сна телом управляет прежняя личность. После сна начинается 24-часовая перезапись, на время которой тело недееспособно; затем управление получает личность исходного хозяина Хранителя.</t>
  </si>
  <si>
    <t xml:space="preserve">Q-SYM-037</t>
  </si>
  <si>
    <t xml:space="preserve">Когда активируются и срабатывают Крылья Хранителя?</t>
  </si>
  <si>
    <t xml:space="preserve">Взлёт и посадка требуют по 1 боевому действию. При взлёте сразу списываются 20 ОЭ, затем 20 ОЭ списываются в начале каждого следующего хода Хранителя; если полной суммы нет, полёт прекращается до действий и Хранитель приземляется, а при отсутствии безопасной точки падает.</t>
  </si>
  <si>
    <t xml:space="preserve">Как работают вход, выход и тело во Временном убежище?</t>
  </si>
  <si>
    <t xml:space="preserve">Игровая условность – в приложении не обрабатывается сценарий занятия хранителем тела животного.</t>
  </si>
  <si>
    <t xml:space="preserve">Как восстанавливается набор Попутчиков?</t>
  </si>
  <si>
    <t xml:space="preserve">Попутчики начинают восстанавливаться только после заселения в тело Единого и уничтожения в нём всех прежних симбионтов. После следующего полноценного отдыха выращиваются сохранённые виды с прежними изученными способностями и уровнями; Хранитель не дублируется, текущие ОЭ новых симбионтов равны 0 и тем же отдыхом не восстанавливаются. Соблюдаются уникальность видов и вместимость</t>
  </si>
  <si>
    <t xml:space="preserve">Какова стоимость «Личности» Советника?</t>
  </si>
  <si>
    <t xml:space="preserve">Строка «Стоимость: 30 ОЭ» считается опечаткой. «Личность» бесплатно и автоматически создаёт характеристики и навыки Советника при получении симбионта.</t>
  </si>
  <si>
    <t xml:space="preserve">Как запускается Управление Советника и что происходит при нехватке ОЭ?</t>
  </si>
  <si>
    <t xml:space="preserve">Добровольная передача в начале хода бесплатна по действиям, но немедленно требует 10 ОЭ; затем 10 ОЭ списываются в начале каждого следующего хода управления. При нехватке первой суммы передача невозможна, при нехватке последующей контроль возвращается носителю до действий. Добровольный возврат в начале хода бесплатен, принудительный занимает полный ход/5 минут. Автоматическое управление от «Системы устойчивости» ОЭ не расходует и прекращается при возвращении ясного сознания носителя.</t>
  </si>
  <si>
    <t xml:space="preserve">Что означает «передать интеллект» в Даре мудрости?</t>
  </si>
  <si>
    <t xml:space="preserve">Для одной объявленной проверки Интеллекта значение I носителя складывается с текущим значением I Советника. Навык и остальные модификаторы используются у носителя; после проверки Советник отключается на 12 часов.</t>
  </si>
  <si>
    <t xml:space="preserve">Как Кровопийца взаимодействует с оружием правой руки?</t>
  </si>
  <si>
    <t xml:space="preserve">Бонус +L к урону получает любая успешная рукопашная атака, в которой правая рука непосредственно наносит удар или удерживает оружие, включая двуручное. Бонус применяется после попадания и пробития; атаки без участия правой руки его не получают.</t>
  </si>
  <si>
    <t xml:space="preserve">Как вооружаются и втягиваются Когти Клеща?</t>
  </si>
  <si>
    <t xml:space="preserve">Выпускание когтей занимает одну полную минуту вне боя или весь боевой ход и стоит 30 ОЭ; дополнительное действие не добавляется. Когти остаются выпущенными до втягивания, которое бесплатно и возможно в любой момент; новое выпускание снова требует полной цены и времени.</t>
  </si>
  <si>
    <t xml:space="preserve">Каковы попадание и перемещение Гарпуна?</t>
  </si>
  <si>
    <t xml:space="preserve">После успешной активации Гарпун разрешается как стандартная дальняя атака с обычной проверкой точности. Прямого урона и отдельного пробития нет: при попадании он закрепляется на внешней поверхности цели или твёрдом объекте. За 1 действие можно втянуть пустой гарпун, подтянуть носителя к неподвижной опоре либо попытаться притянуть сопротивляющуюся цель встречной проверкой Силы. Объект тяжелее S×L кг переместить нельзя.</t>
  </si>
  <si>
    <t xml:space="preserve">Как работает бесплатное сокращение дистанции Сверчка?</t>
  </si>
  <si>
    <t xml:space="preserve">Один раз за боевую ситуацию носитель может применить «Заряженный прыжок» для сближения без расходования боевого действия, но платит 50 ОЭ и бросает обычные R20×2. Он выбирает любую фактическую дистанцию до выпавшего максимума, в том числе по вертикали.</t>
  </si>
  <si>
    <t xml:space="preserve">Каковы время и скорость полёта Сверчка?</t>
  </si>
  <si>
    <t xml:space="preserve">После прыжка более чем на 20 м персонаж отдельно оплачивает 60 ОЭ и выполняет проверку «Крыльев». При результате 10- увеличение прыжка разрешается в пределах текущего хода по тексту способности. При результате 11+ персонаж получает статус полёта и покидает тактическую сцену в конце текущего хода; скорость и время дальнего перелёта рулбук не задаёт, поэтому их вводит мастер. До посадки персонаж не совершает иных действий, кроме изменения направления. Приложение считает только дальность до места ведения боя.</t>
  </si>
  <si>
    <t xml:space="preserve">Q-SYM-048</t>
  </si>
  <si>
    <t xml:space="preserve">Как производится паутина в бою?</t>
  </si>
  <si>
    <t xml:space="preserve">Вне боя используется фактическая скорость 10×L см/с для каждой свободной ладони; за него каждая свободная ладонь производит L метров отдельной нити. Готовая паутина сохраняется как предмет. В бою эту способность заявить нельзя.</t>
  </si>
  <si>
    <t xml:space="preserve">Каковы округление и условия прерывания Точки крепления?</t>
  </si>
  <si>
    <t xml:space="preserve">В бою эту способность заявить нельзя. В небоевой ситуации приложение ее не обыгрывает.</t>
  </si>
  <si>
    <t xml:space="preserve">Каковы дальность паутинных атак и процедура освобождения?</t>
  </si>
  <si>
    <t xml:space="preserve">Базовый ответ этого раунда (сохраняется только в непротиворечащей части):
Дальность Выстрела паутиной и Ловчей сети равна L метров; обе являются дальними атаками. Освобождение от сети или обвившей цель паутины требует 1 действия и проверки R20+S против 15+L. Попавшая в существо нить в любом случае ограничивает его движение.
Поздние ответы с приоритетом в пересекающейся части:
[Уточнения формализации — раунд 1 / Q-SYM-050]
Попавший в существо Выстрел паутиной создаёт связь между целью и запястьем носителя. Пока связь активна, расстояние между ними не может превысить 10 метров: движение, которое вывело бы цель дальше, прекращается на границе, но двигаться ближе или вокруг носителя можно. Носитель может отсоединить нить от запястья за 1 действие, после чего ограничение расстояния снимается. Цель может освободиться за 1 действие и успешную проверку R20+S против 15+L; при успехе связь удаляется. Ловчая сеть связи с носителем не создаёт и даёт только штраф −5 до освобождения по той же проверке.</t>
  </si>
  <si>
    <t xml:space="preserve">Уточнения формализации — раунд 1 / Q-SYM-050</t>
  </si>
  <si>
    <t xml:space="preserve">SYM-120
SYM-121</t>
  </si>
  <si>
    <t xml:space="preserve">Что происходит с маскировкой Хамелеона после атаки?</t>
  </si>
  <si>
    <t xml:space="preserve">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</si>
  <si>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SYM-124
SYM-125</t>
  </si>
  <si>
    <t xml:space="preserve">Каков жизненный цикл области Внешней фотосети?</t>
  </si>
  <si>
    <t xml:space="preserve">«Внешняя фотосеть» создаёт движущуюся вместе с носителем ауру радиусом 4 метра, включает самого носителя и все живые объекты в радиусе. Она действует до конца боевой ситуации, добровольного прекращения или отключения Хамелеона; повторные фотосети не складываются, применяется больший L.</t>
  </si>
  <si>
    <t xml:space="preserve">Как переключаются феромоны Пингвина?</t>
  </si>
  <si>
    <t xml:space="preserve">Команду на смену типа можно задать в начале своего хода без отдельного действия; биологический переход длится 1 полный ход/1 минуту и не запрещает обычные действия, до завершения действует прежний набор. Полное отключение длится 2 хода/2 минуты, повторное включение выбранного типа — 1 ход/1 минуту. Новая команда или отключение Пингвина сбрасывает незавершённый переход.</t>
  </si>
  <si>
    <t xml:space="preserve">SYM-131
SYM-133</t>
  </si>
  <si>
    <t xml:space="preserve">Q-SYM-054</t>
  </si>
  <si>
    <t xml:space="preserve">Каковы допустимая цель и сопротивление Чёрно-белой ярости?</t>
  </si>
  <si>
    <t xml:space="preserve">Целью может быть любой персонаж, в радиусе L. Добровольная цель не сопротивляется. Недобровольная выполняет встречную проверку R20+I−L и иных модификаторов против R20+C носителя; числовая защита от феромонов прибавляется цели, а полный иммунитет герметичного Нэйта и аналогичной защиты делает цель недопустимой.</t>
  </si>
  <si>
    <t xml:space="preserve">Q-SYM-055</t>
  </si>
  <si>
    <t xml:space="preserve">Как обрабатывается потеря уровня Пингвина?</t>
  </si>
  <si>
    <t xml:space="preserve">При натуральной 1 Пингвин теряет один уровень, но не ниже 1. Узел самого высокого утраченного уровня помечается утраченным и становится недоступным; ранее потраченный на него опыт не возвращается. Для восстановления уровня узел нужно заново изучить и оплатить по обычным правилам дерева.</t>
  </si>
  <si>
    <t xml:space="preserve">Как Контактный шокер обрабатывает промах и пороговые состояния?</t>
  </si>
  <si>
    <t xml:space="preserve">При промахе носитель получает и отдельный обратный урон R20 и все. Специальное последствие натуральной 1 применяется дополнительно по своему тексту.</t>
  </si>
  <si>
    <t xml:space="preserve">Что происходит при нехватке ресурсов на периодику Электрической дуги?</t>
  </si>
  <si>
    <t xml:space="preserve">В начале хода атомарно проверяются 30 ОЭ и 10 HP. Если ОЭ меньше 30 или HP меньше 10, дуга прекращается до оплаты и ничего не списывается. Иначе обе части цены списываются одновременно; если после этого HP стали 0, носитель переходит в тяжёлое ранение по Q-CORE-062 и дуга прекращается вследствие недееспособности.</t>
  </si>
  <si>
    <t xml:space="preserve">Как выбираются цели и прерывается Цепная молния?</t>
  </si>
  <si>
    <t xml:space="preserve">Молния поражает первую случайную цель и затем R6 других уникальных живых целей, то есть всего до 1+R6 целей, выбранных среди всех сторон в исходном радиусе 3×L от носителя; сам носитель исключён. Попадание автоматическое и защитного действия нет; подготовка срывается при смерти, тяжёлом ранении, потере сознания, полном параличе или отключении Угря до начала следующего круга, затраченные ОЭ не возвращаются.</t>
  </si>
  <si>
    <t xml:space="preserve">Как работает Ядовитая пища Жабы?</t>
  </si>
  <si>
    <t xml:space="preserve">В Windows-приложении мы не обрабатываем этот эффект</t>
  </si>
  <si>
    <t xml:space="preserve">SYM-146
SYM-147</t>
  </si>
  <si>
    <t xml:space="preserve">Q-SYM-060</t>
  </si>
  <si>
    <t xml:space="preserve">Каковы возврат и истечение Автономности Крысы?</t>
  </si>
  <si>
    <t xml:space="preserve">Крыса возвращается через рот при физическом контакте, расходуя 1 своё боевое действие либо 1 действие добровольно помогающего носителя. По истечении L часов вне тела она погибает и далее восстанавливается по обычному правилу перерождения; пока Крыса снаружи, её телесные пассивные эффекты на носителе не работают, а способности доступны самой Крысе, если её характеристики позволяют.</t>
  </si>
  <si>
    <t xml:space="preserve">Какова дальность ментальной связи Крысы с носителем?</t>
  </si>
  <si>
    <t xml:space="preserve">Не ограничена</t>
  </si>
  <si>
    <t xml:space="preserve">Q-SYM-062</t>
  </si>
  <si>
    <t xml:space="preserve">Каковы округление и порог потерь Стаи?</t>
  </si>
  <si>
    <t xml:space="preserve">Базовый ответ этого раунда (сохраняется только в непротиворечащей части):
Исходную численность N0 при формировании стаи задаёт мастер, но в боевой единице учитывается не более 30 крыс; N/5 в уроне округляется математически. Стая отступает после потери ceil(0,30×N0) крыс механику битвы с вожаком в windows приложении мы не учитываем. Если в отряде есть носитель симбионта крысы с изученной способностью Первый среди равных, мастер при создании боевой ситуации указывает, участвует ли в битве стая крыс
Поздние ответы с приоритетом в пересекающейся части:
[Уточнения формализации — раунд 1 / Q-SYM-062]
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</si>
  <si>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Уточнения формализации — раунд 1 / Q-SYM-062</t>
  </si>
  <si>
    <t xml:space="preserve">SYM-157
SYM-159</t>
  </si>
  <si>
    <t xml:space="preserve">Какова область раскрытия Эхолокации Дельфина?</t>
  </si>
  <si>
    <t xml:space="preserve">В боевой ситуации после успешной активации игрок начинает видеть всех персонажей на поле боя, даже если ранее они были для него скрыты, носители хамелеона, не вышедшие из маскировки, снова станут невидимы в начале следующего хода</t>
  </si>
  <si>
    <t xml:space="preserve">Что означает «складывание» Клинков Богомола?</t>
  </si>
  <si>
    <t xml:space="preserve">Базовый ответ этого раунда (сохраняется только в непротиворечащей части):
Используются два состояния: убраны вдоль предплечий и сложены вперёд в боевое положение. Перевод в боевое положение и обратное складывание к предплечьям требуют по 2 боевых действия (исключая ситуацию первой атаки сложенными клинками, имеющей отдельный бонус, после чего клинки считаются разложенными); штраф защите цели и двойной удар «Инстинкта убийцы» доступны только в боевом положении.
Поздние ответы с приоритетом в пересекающейся части:
[Уточнения формализации — раунд 1 / Q-SYM-064]
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</si>
  <si>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Уточнения формализации — раунд 1 / Q-SYM-064</t>
  </si>
  <si>
    <t xml:space="preserve">SYM-168
SYM-172
SYM-173</t>
  </si>
  <si>
    <t xml:space="preserve">Какие защитные действия допустимы в Каменной статуе?</t>
  </si>
  <si>
    <t xml:space="preserve">В Каменной статуе запрещены перемещение, физические атаки, уклонение, блок, парирование и иные телесные реакции; пассивная броня продолжает работать. Чисто ментальные способности, не требующие движения, речи или изменения положения тела, допустимы. Выйти из состояния можно только в свой ход за 1 боевое действие.</t>
  </si>
  <si>
    <t xml:space="preserve">Каковы цель и случайные наборы Каннибализма?</t>
  </si>
  <si>
    <t xml:space="preserve">Успешное применение к ещё живой, но находяйся в состоянии тяжелого ранения цели (если цель в состоянии тяжелого ранения сохранила дееспособность, применение невозможно) Каннибализм немедленно убивает её. Цель применения навыка – прокачка персонажа. Навык равновероятно выбирается среди изученных целью: без свободного слота ветвь 11–17 не даёт навыка, повтор градационного навыка повышает его на 1 до абсолютного; характеристика равновероятно выбирается среди S, D, M, Z, I, W и C.</t>
  </si>
  <si>
    <t xml:space="preserve">Каковы минимумы и повторные диапазоны Анальной железы?</t>
  </si>
  <si>
    <t xml:space="preserve">Самоштраф натуральной 1 не снижает D, C или W ниже 1. Каждый компонент таблицы хранится отдельно: повтор уменьшения действий или пропуска хода не складывается, штраф R4 использует большее значение и обновляется до конца боя, а прямой урон диапазона 12–16 наносится при каждом попадании; более высокий диапазон добавляет только прямо перечисленные нижние компоненты.</t>
  </si>
  <si>
    <t xml:space="preserve">Каковы параметры применения Подладонных желёз?</t>
  </si>
  <si>
    <t xml:space="preserve">Подладонные железы дают альтернативную точку применения «Анальной железы»: используются её цена 20 ОЭ, 1 боевое действие, дальность L+3 и требование открытого запястья. Эффективный результат равен половине исходного R20 с математическим округлением и минимумом 1; специальное самопоражение срабатывает только при натуральной 1, а не при результате 1 после деления.</t>
  </si>
  <si>
    <t xml:space="preserve">Как закрепляется Вонючее облако и как работают обнаружение и тушение?</t>
  </si>
  <si>
    <t xml:space="preserve">Облако закрепляется в точке активации и не движется за носителем. Штраф −10 действует на проверку обнаружения, если наблюдатель, искомая цель или линия наблюдения находятся в облаке; все персонажи с эффектом горяния гаснут (перестают получать урон от огня) после двух непрерывных ходов внутри, а выход до второго тика сбрасывает счётчик. Применение способностей дракона внутри вонючего облака не поджигает цели.</t>
  </si>
  <si>
    <t xml:space="preserve">Как разрешать вложенный эффект Анальной железы?</t>
  </si>
  <si>
    <t xml:space="preserve">Для каждого адресата Навесного выстрела или Мины бросается отдельный R20 и применяется только таблица диапазонов «Анальной железы» со всеми прямо указанными вложенными нижними эффектами. Порог активации 4+, цена 20 ОЭ и самопоражение натуральной 1 не наследуются; результат 1 считается обычным диапазоном 1–5 для поражённой цели.</t>
  </si>
  <si>
    <t xml:space="preserve">SYM-178
SYM-179
SYM-180</t>
  </si>
  <si>
    <t xml:space="preserve">Q-SYM-071</t>
  </si>
  <si>
    <t xml:space="preserve">Каковы незаметность и правила размещения Миномёта?</t>
  </si>
  <si>
    <t xml:space="preserve">Базовый ответ этого раунда (сохраняется только в непротиворечащей части):
Игровая условность для реализации в приложении: применение миномета в боевой ситуации размещает мины в точке нахождения персонажа. Мины начинают действовать со следующего боевого круга после укоренения. Мины срабатывают, когда рядом с персонажем (в радиусе 2 метра) оказывается противник, мины срабатывают только на противников. Считаем мины невидимыми для противников в боевой ситуации.
Поздние ответы с приоритетом в пересекающейся части:
[Уточнения формализации — раунд 1 / Q-SYM-071]
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</si>
  <si>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Уточнения формализации — раунд 1 / Q-SYM-071</t>
  </si>
  <si>
    <t xml:space="preserve">SYM-179
SYM-180</t>
  </si>
  <si>
    <t xml:space="preserve">Q-SYM-072</t>
  </si>
  <si>
    <t xml:space="preserve">Как распределять снаряды Шквального огня?</t>
  </si>
  <si>
    <t xml:space="preserve">Базовый ответ этого раунда (сохраняется только в непротиворечащей части):
Игровая условность для реализации в приложении: если у персонажа, являющегося носителем скунса, есть 3 действия и 200 ОЭ скунса, он может в свой боевой ход выбрать эту способность для применения. При этом в качестве цели он может выбрать только конкретного врага. Все навесные выстрелы полетят именно в него и поразят все цели, попавшие в радиус действия (вокруг цели), включая союзные. Каждый Навесной выстрел отдельно определяет радиус и эффекты для всех попавших в него целей, поэтому перекрывающиеся взрывы могут поразить одну цель несколько раз; каждая мина укореняется в своей точке и разрешается как отдельная одноразовая мина. Если противник в следующий ход после укоренения мины окажется в радиусе 2-х метров от нее, она сработает.
Поздние ответы с приоритетом в пересекающейся части:
[Уточнения формализации — раунд 1 / Q-SYM-072]
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</si>
  <si>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Уточнения формализации — раунд 1 / Q-SYM-072</t>
  </si>
  <si>
    <t xml:space="preserve">Q-SYM-073</t>
  </si>
  <si>
    <t xml:space="preserve">Каков итоговый минимум I подавленного Советника?</t>
  </si>
  <si>
    <t xml:space="preserve">При начале подавления один раз определяется бонус B=R20/4 с общим математическим округлением. Итоговый минимум I равен 1+B, а если Трогр поглотил Учителя — 4+B; минимум W при поглощённом Учителе остаётся равен 4. Важно: эти бонусы просто позволяют носителю трогра по мере прокачки трогра сохранить больше интеллекта.</t>
  </si>
  <si>
    <t xml:space="preserve">Q-SYM-074</t>
  </si>
  <si>
    <t xml:space="preserve">Какой запас ОЭ сравнивать при атаке Хранителя на симбионта?</t>
  </si>
  <si>
    <t xml:space="preserve">Сравниваются текущие ОЭ обоих симбионтов непосредственно перед боем. Хранитель побеждает только при строго большем текущем запасе и после победы вычитает из своих текущих ОЭ текущие ОЭ поверженного; максимальные запасы в расчёте не участвуют.</t>
  </si>
  <si>
    <t xml:space="preserve">Q-SYM-075</t>
  </si>
  <si>
    <t xml:space="preserve">Как яд Тайпана разъедает одежду и лёгкую броню?</t>
  </si>
  <si>
    <t xml:space="preserve">При попадании Плевка ядом немедленно уничтожается внешний элемент обычной одежды или лёгкой брони со спасброском не выше R6. Уничтоженными могут быть только носимые элементы брони (подкожный панцирь симбионта, вшитая броня химеры и т. д. не могут быть уничтожены) Если после этого кожа открыта, яд достигает её тем же попаданием; более тяжёлая броня не разъедается, а уничтоженный элемент требует обычного ремонта или замены.</t>
  </si>
  <si>
    <t xml:space="preserve">Как происходит переход Тайпана между типами яда?</t>
  </si>
  <si>
    <t xml:space="preserve">Игрок опционально задаёт новый изученный вид яда в начале своего хода без отдельного действия (для этого у него отображается вариант действия «Сменить тип яда»). В течение следующего часа/6 полных ходов продолжает вырабатываться прежний яд, обычные действия носителя свободны. По окончании таймера активным становится новый вид. Отключение Тайпана или новая команда сбрасывает прогресс и оставляет прежний вид до завершения нового полного таймера.</t>
  </si>
  <si>
    <t xml:space="preserve">Когда и как часто списывать 30 ОЭ за Долгое горение?</t>
  </si>
  <si>
    <t xml:space="preserve">Строка «Стоимость: 30 ОЭ» считается опечаткой. После изучения «Долгое горение» действует постоянно и бесплатно: каждое новое возгорание от слюны Дракона получает стартовую длительность 6 ходов вместо 3.</t>
  </si>
  <si>
    <t xml:space="preserve">Уточнения формализации — раунд 1</t>
  </si>
  <si>
    <t xml:space="preserve">Что именно заменяет значение 20 в формулировке «урон считается равным 20 (модифицируется)» у кинжала, мизерикордии и топоров?</t>
  </si>
  <si>
    <t xml:space="preserve">Значение 20 заменяет только результат базового броска урона оружия. Новый дайс базового урона не бросается; после этого один раз добавляется обычный модификатор урона и все прямо применимые бонусы или штрафы. Оружейный навык к урону не добавляется. Поэтому до прочих эффектов итог равен 20+D для кинжала и мизерикордии и 20+S для топоров. Затем в обычном порядке применяются сопротивления и последствия полученного урона.</t>
  </si>
  <si>
    <t xml:space="preserve">Symbiosis_V7_Remaining_Questions_for_Formalization(1).docx</t>
  </si>
  <si>
    <t xml:space="preserve">Какую пространственную модель должно хранить приложение, чтобы однозначно рассчитывать дистанции, перемещение, линии и области действия?</t>
  </si>
  <si>
    <t xml:space="preserve">В бою приложение хранит двумерные координаты центра каждого участника (x, y) в метрах. Прямая дистанция, радиусы и попадание точки участника в линию или область рассчитываются автоматически по этим координатам. Рукопашное взаимодействие доступно при прямой дистанции не более 2 метров. Приложение не контролирует доступность пути, считаем все пути возможными. особая дальность оружия или способности имеет приоритет. Препятствия, укрытия, перепады высоты и поиск маршрута приложение автоматически не моделирует: мастер на них так же не влияет.</t>
  </si>
  <si>
    <t xml:space="preserve">Как полностью исполняется выбранная упрощённая модель горения: момент тиков, повторное возгорание, самообладание и досрочное тушение?</t>
  </si>
  <si>
    <t xml:space="preserve">Горение хранится как один двоичный статус персонажа без зон тела и предметов экипировки, с параметрами «оставшиеся ходы» и «урон за тик». Источник задаёт начальную длительность; если она не указана, применяется 2 хода. Стандартный урон равен 10 и игнорирует броню. Первое обслуживание статуса происходит в начале следующего личного хода цели: выполняется проверка самообладания по Q-CORE-031; в конце этого хода наносится один тик урона, после чего остаток уменьшается на 1. При нуле статус снимается. Повторное возгорание не создаёт второй статус и не наносит немедленный тик: остаток становится равным максимуму текущей и новой длительности. Досрочное тушение обычными действиями отдельно не рассчитывается: после его разрешения по сцене мастер снимает статус вручную. Прямо описанные эффекты тушения, включая Вонючее облако, изменяют статус автоматически. Горящий персонаж в начале каждого хода горения совершает проверку самообладания по описанным в рулбуке правилам. Если проверка провалена, персонаж бросает на серию действий и автоматически тратит эти действия на сокращение времени горения, игроку выводится баннер с пояснением происходящего, 1 потраченное действие = -1 ход горения, если оставшееся число ходов горения стало 0, а действия еще остались, персонаж может потратить их в стандартном режиме, эффект горения при этом снимается).</t>
  </si>
  <si>
    <t xml:space="preserve">Кто определяет безопасный путь бегства и точный момент, когда существо перестаёт воспринимать угрозу?</t>
  </si>
  <si>
    <t xml:space="preserve">Базовый ответ этого раунда (сохраняется только в непротиворечащей части):
Приложение хранит флаг «бегство», но не вычисляет безопасный маршрут и не определяет восприятие угрозы. Все пути к отступлению считаются возможными с учетом ограничений на перемещения вблизи противников. Бегство – это активное действие, которое можно выбрать в начале хода и существо израсходует все доступные боевые действия на движение в сторону противоположенную ближайшему противнику. Покинуть боевую ситуацию можно только через бегство. Убегающее существо не атакует; защитные действия сохраняются. Флаг автоматически снимается при исключении существа из боевой ситуации.
Поздние ответы с приоритетом в пересекающейся части:
[Уточнения формализации — раунд 2 / Q-CORE-037]
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</si>
  <si>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Уточнения формализации — раунд 2 / Q-CORE-037</t>
  </si>
  <si>
    <t xml:space="preserve">Что происходит, если уменьшение W снижает вместимость пула навыков ниже уже занятого значения, и как это соотносится с требованиями отдельных навыков?</t>
  </si>
  <si>
    <t xml:space="preserve">Само уменьшение вместимости пула из-за снижения W не удаляет и не отключает уже изученные навыки: пул может временно или постоянно оказаться переполненным. Пока занято больше доступного, нельзя изучать или повышать навыки, требующие новые слоты; освобождённые слоты сначала погашают переполнение. Восстановление W просто увеличивает вместимость обратно. Исключение действует, если W или другая снизившаяся характеристика прямо названа требованием конкретного навыка: временное нарушение требования отключает этот навык, а постоянное удаляет его по уже принятому правилу.</t>
  </si>
  <si>
    <t xml:space="preserve">Как по результатам стартовых бросков выбрать конкретные одежду и оружие, и даёт ли уровень их качества механический модификатор?</t>
  </si>
  <si>
    <t xml:space="preserve">До бросков игрок выбирает по одному конкретному виду одежды и оружия из стартового списка (база стандартных предметов). Затем для каждой категории выполняется бросок отдельного D20. Результаты бросков и выбранные игроком предметы приходят на согласование мастеру перед началом кампании, к которой присоединился игрок с данным персонажем. Мастер может одобрить, отклонить или заменить предмет на любой другой из базы доступных предметов. Уровень качества является описательным тегом и сам по себе не изменяет характеристики предмета, пока кампания не задаст отдельную таблицу модификаторов. Для денег приложение хранит подтверждённый уровень. Как и прочие предметы, при создании персонажа игроком они оказываются у персонажа по умолчанию, не зависимо от результата проверки, но при подключении к кампании они придут на согласование мастеру. Мастер сможет одобрить или скорректировать стартовое значение денег у персонажа.</t>
  </si>
  <si>
    <t xml:space="preserve">Сколько действий и ресурсов требует введение препарата себе, согласной или беспомощной цели?</t>
  </si>
  <si>
    <t xml:space="preserve">Базовый ответ этого раунда (сохраняется только в непротиворечащей части):
Применение препарата к себе либо введение соседней согласной или беспомощной цели требует 1 боевого действия, автоматически успешно и расходует одну дозу при объявлении. Если цель – другой игрок, у него должно открыться диалоговое окно с опцией согласиться или отказаться. Передача препарата соседней согласной цели также требует 1 действия, но лишь переносит дозу в её инвентарь и не активирует эффект. Для принудительного введения сопротивляющаяся цель должна быть захвачена; затем тратятся 1 действие и одна доза и выполняется встречная проверка борьбы. При провале действие и доза не возвращаются.
Поздние ответы с приоритетом в пересекающейся части:
[Уточнения формализации — раунд 2 / Q-CORE-060]
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</si>
  <si>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Уточнения формализации — раунд 2 / Q-CORE-060</t>
  </si>
  <si>
    <t xml:space="preserve">Как согласовать нахождение брошенного оружия объектом на карте с его автоматическим возвращением после победы?</t>
  </si>
  <si>
    <t xml:space="preserve">Каждый брошенный предмет является уникальным экземпляром. При объявлении броска он удаляется из инвентаря владельца и после разрешения броска создаётся как объект карты в рассчитанной точке. Персонаж рядом с объектом может потратить 1 действие и подобрать его; тогда объект карты удаляется и этот же экземпляр переносится в инвентарь подобравшего. Автоматическое возвращение после победы является процедурой уборки поля, а не телепортацией: если сторона исходного владельца победила и оружие всё ещё лежит в доступной точке карты, оно возвращается владельцу. В процессе боя его так же можно подобрать, как другие брошенные предметы. Если оно не было поднято до окончания боя, оно не возвращается при поражении, ничьей или бегстве, а также если уже находится в чужом инвентаре. Стрелы и болты объектами карты не создаются и всегда считаются израсходованными.</t>
  </si>
  <si>
    <t xml:space="preserve">Какие события дают 30%-ную проверку зрительного контакта и сколько таких проверок выполняется обычно и во время «Ведомого голодом»?</t>
  </si>
  <si>
    <t xml:space="preserve">Квалифицирующим взаимодействием считается каждое отдельное объявление прямой атаки, активной защиты или направленной активной способности, если Химера и противник непосредственно участвуют в нём; направление воздействия неважно. Атака и последующая активная защита являются двумя событиями. Пассивный или периодический эффект, ненаправленная область, перемещение и одно лишь соседство событиями не считаются. Видимость и открытые глаза не проверяются и не учитываются приложением. В обычном состоянии после каждого такого события выполняется отдельная проверка 30%; провал допускает новую попытку при следующем событии, а успех устанавливает контакт до конца круга. Обычный Последний взгляд после этого всё равно требует 1 действия и 200 ОЭ. Во время Ведомого голодом для каждого противника выполняется ровно одна проверка 30% — при его первом квалифицирующем взаимодействии за текущую активацию. При успехе немедленно и бесплатно выполняется один R20 Последнего взгляда; при провале повторных попыток по этой цели до конца активации нет.</t>
  </si>
  <si>
    <t xml:space="preserve">Каковы длительность и повторное наложение упрощённого горения после взрыва Огненной блохи?</t>
  </si>
  <si>
    <t xml:space="preserve">Базовый ответ этого раунда (сохраняется только в непротиворечащей части):
После разрешения взрыва каждый неиммунный персонаж в радиусе 10 метров гарантированно получает один двоичный статус горения на 2 хода независимо от состава экипировки. Укрытие вдвое уменьшает только исходный урон взрыва и не отменяет возгорание. Иммунитет к обычному огню полностью предотвращает статус. Горение наносит 10 урона в конце каждого личного хода и обслуживается по Q-CORE-030. Повторное попадание не складывает статус и урон, а обновляет остаток до max(текущий остаток, 2).
Поздние ответы с приоритетом в пересекающейся части:
[Уточнения формализации — раунд 2 /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</si>
  <si>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Уточнения формализации — раунд 2 / Q-MON-051</t>
  </si>
  <si>
    <t xml:space="preserve">Как «Замена органа» изменяет тяжёлое ранение, HP и таймер смерти при обычном и автоматическом применении, включая результат 15+?</t>
  </si>
  <si>
    <t xml:space="preserve">Базовый ответ этого раунда (сохраняется только в непротиворечащей части):
Автоматическое применение объявляется немедленно после входа носителя в тяжёлое ранение и потери сознания, если способность изучена и имеется 50 ОЭ; стоимость списывается, затем выполняется обычный чистый R20. При результате 1–2 функциональная замена не возникает; натуральная 1 также отключает Ткача на 4 хода. При результате 3–14 носитель остаётся с 0 HP и в тяжёлом ранении, но сохраняет дееспособность на срок R20/3 ходов, а исходный таймер смерти один раз умножается на 4 и далее не пересчитывается. После окончания временной замены дееспособность теряется, но таймер сохраняется. При результате 15+ до окончания того же срока действуют эти же временные правила, затем орган восстанавливается: тяжёлое ранение и таймер снимаются, HP устанавливаются равными 1.
Поздние ответы с приоритетом в пересекающейся части:
[Уточнения формализации — раунд 2 / Q-SYM-007]
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</si>
  <si>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Уточнения формализации — раунд 2 / Q-SYM-007</t>
  </si>
  <si>
    <t xml:space="preserve">Как долго действует Проницаемая кожа и какие контакты накладывают яд в упрощённой модели без выбора области тела?</t>
  </si>
  <si>
    <t xml:space="preserve">После успешной активации за 10 ОЭ Проницаемая кожа остаётся включённой без ограничения срока, пока носитель добровольно её не отключит, Тайпан не станет недееспособным или не будет удалён. Дополнительные контакты не требуют новой активации и не расходуют ОЭ. Один раз за каждую успешную безоружную атаку или успешную проверку борьбы цели накладывается яд, активный в крови носителя в момент контакта. Атаки оружием эффект не передают. После завершения перехода Тайпана к другому типу яда дальнейшие контакты используют новый яд.</t>
  </si>
  <si>
    <t xml:space="preserve">Кого именно поражает линия Нагнетателя давления с учётом отказа от зон экипировки и активной защиты?</t>
  </si>
  <si>
    <t xml:space="preserve">После успешной активации строится отрезок от позиции носителя длиной R20/4+L метров и шириной 1 метр. Все участники, кроме самого носителя, чьи точки позиции находятся не далее 0,5 метра от этого отрезка, поражаются независимо от стороны. Активная защита от струи не выполняется. Каждый поражённый получает один двоичный статус горения Дракона с начальной длительностью 3 хода либо 6 ходов при изученном Долгом горении; бросок R6 по экипировке не выполняется. Повторное возгорание разрешается по Q-CORE-030.</t>
  </si>
  <si>
    <t xml:space="preserve">Требуются ли слышимость и линия видимости для применения WAAAGH!!! на цель в пределах 30 метров?</t>
  </si>
  <si>
    <t xml:space="preserve">WAAAGH!!! выбирает одну цель на расстоянии не более 5 метров, приложение не высчитывает слышимость, способность применяется не зависимо от слышимости. Линия видимости не требуется. Доступна любая цель.</t>
  </si>
  <si>
    <t xml:space="preserve">Как именно попавшая в существо нить Выстрела паутиной ограничивает его движение и когда связь с носителем прекращается?</t>
  </si>
  <si>
    <t xml:space="preserve">Попавший в существо Выстрел паутиной создаёт связь между целью и запястьем носителя. Пока связь активна, расстояние между ними не может превысить 10 метров: движение, которое вывело бы цель дальше, прекращается на границе, но двигаться ближе или вокруг носителя можно. Носитель может отсоединить нить от запястья за 1 действие, после чего ограничение расстояния снимается. Цель может освободиться за 1 действие и успешную проверку R20+S против 15+L; при успехе связь удаляется. Ловчая сеть связи с носителем не создаёт и даёт только штраф −5 до освобождения по той же проверке.</t>
  </si>
  <si>
    <t xml:space="preserve">Как фиксируются исходная численность и порог отступления Стаи с учётом Крысиного короля и Ретранслятора?</t>
  </si>
  <si>
    <t xml:space="preserve">При создании боевой единицы мастер задаёт фактически участвующую исходную численность N0 от 1 до 30; размер всего сообщества вне боя на расчёты не влияет. Текущее N уменьшается с каждой потерянной единицей HP и используется для характеристик и урона; N/5 округляется по общему математическому правилу. Без Крысиного короля стая начинает бегство, когда суммарные потери достигают ceil(0,30×N0), с Крысиным королём — ceil(0,60×N0). Если действует Ретранслятор и стае отдан приказ продолжать бой, проверка порога не вызывает отступление: приказ действует независимо от потерь до его отмены или истечения срока контроля.</t>
  </si>
  <si>
    <t xml:space="preserve">Какие точные состояния имеют Клинки Богомола, что делают 2 действия складывания и когда расходуется бонус первой атаки?</t>
  </si>
  <si>
    <t xml:space="preserve">Для каждого клинка хранится состояние «обычный» или «взведённый (сложенный)». Два боевых действия, потраченные подряд одним носителем, переводят оба клинка в состояние «взведённый»; это состояние сохраняется между ходами до атаки или удаления Богомола. Обычным клинком можно атаковать без подготовки. Первая за боевую ситуацию атака взведённым клинком даёт цели штраф −L к защите, после разрешения атаки использованный клинок становится обычным независимо от попадания. Для двойного удара Инстинкта убийцы оба клинка должны быть взведены; каждый из двух ударов получает штраф −L к защите своей цели, после серии оба клинка становятся обычными. Отдельного действия на «раскладывание» после атаки нет.</t>
  </si>
  <si>
    <t xml:space="preserve">Как исполняются отдельные мины Миномёта: срок, точный триггер, выбор цели и одновременное срабатывание нескольких мин?</t>
  </si>
  <si>
    <t xml:space="preserve">При применении создаются R4 отдельных одноразовых мин в текущей точке носителя. Они активируются в начале следующего боевого круга и после этого существуют R20 полных кругов. В приложении мины невидимы противникам и не имеют процедуры обнаружения или обезвреживания. Активная мина срабатывает сразу, когда противник оказывается не далее 2 метров от её точки; при активации также немедленно проверяются уже находящиеся в радиусе противники. Если целей несколько, выбирается ближайшая, а равенство разрешается случайным образом. Все мины в одной точке срабатывают одновременно на выбранную цель; каждая отдельно применяет к ней полный эффект Анальной железы и затем удаляется. Союзники и сам носитель мины не активируют.</t>
  </si>
  <si>
    <t xml:space="preserve">Где именно размещаются все снаряды Шквального огня при выбранной модели с одной конкретной целью?</t>
  </si>
  <si>
    <t xml:space="preserve">Первым действием один раз списываются 200 ОЭ и определяется максимальная дальность. Вторым действием выбирается конкретный противник в пределах этой дальности и фиксируется его текущая точка как центр применения; бросок площади R20×10 в этой упрощённой модели не выполняется. Третьим действием выбирается один тип залпа. Все R20×2 Навесных выстрела независимо детонируют в зафиксированной точке: каждый отдельно бросает свой радиус и применяет эффект ко всем союзникам и противникам в нём, поэтому одна цель может быть поражена многократно. Все R20×6 мин размещаются отдельными объектами в той же зафиксированной точке и далее разрешаются по Q-SYM-071. Точка не следует за первоначально выбранным противником. Прерывание на любом этапе не возвращает уже списанные ОЭ.</t>
  </si>
  <si>
    <t xml:space="preserve">Уточнения формализации — раунд 2</t>
  </si>
  <si>
    <t xml:space="preserve">Как запускается и завершается бегство, если приложение не моделирует границу поля и не разрешает мастеру задавать путь?</t>
  </si>
  <si>
    <t xml:space="preserve">Флаг «бегство» может быть установлен добровольно в начале личного хода либо принудительно эффектом правила; при принудительном установлении отказаться нельзя. Пока флаг активен, в начале каждого личного хода все доступные боевые действия автоматически расходуются на обычные перемещения по прямой от ближайшего противника. Для каждого перемещения применяется стандартная формула max(0, R20 + D − En×10); режим «бежать несмотря ни на что» автоматически не включается. Ближайший противник определяется заново перед каждым перемещением; при равной дистанции один из ближайших выбирается случайно. Граница безопасного выхода: до ближайшего противника из боевой ситуации осталось более 150 метров.</t>
  </si>
  <si>
    <t xml:space="preserve">Symbiosis_V7_Remaining_Questions_for_Formalization_Round_2(1).docx</t>
  </si>
  <si>
    <t xml:space="preserve">Когда запрашивается согласие другого игрока и расходуются ли действие и доза препарата при отказе?</t>
  </si>
  <si>
    <t xml:space="preserve">Согласие определяется до объявления применения и списания ресурсов. Если цель — дееспособный персонаж другого игрока, сначала открывается окно согласия. При согласии применение объявляется, после чего расходуются 1 боевое действие и 1 доза, а эффект применяется автоматически. При отказе действие и доза не расходуются; далее препарат можно ввести только по процедуре принудительного введения после захвата. Согласие дееспособного НПС до списания ресурсов подтверждает мастер. Беспомощная цель окно согласия не получает: введение ей автоматически успешно и расходует действие и дозу при объявлении.</t>
  </si>
  <si>
    <t xml:space="preserve">Уменьшает ли укрытие урон взрыва Огненной блохи, если принятая пространственная модель приложения не учитывает укрытия?</t>
  </si>
  <si>
    <t xml:space="preserve">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t>
  </si>
  <si>
    <t xml:space="preserve">Что происходит при результате 15+, если таймер окончательной смерти обнуляется раньше, чем заканчивается срок «Замены органа»?</t>
  </si>
  <si>
    <t xml:space="preserve">Результат 15+ гарантирует восстановление органа, если до окончания эффекта персонаж не получил новый урон. После определения длительности «Замены органа» таймер смерти устанавливается равным max(исходный таймер×4, длительность эффекта в личных ходах) и не может обнулиться раньше окончания этого срока. Затем орган восстанавливается, тяжёлое ранение и таймер смерти снимаются, а HP устанавливаются равными 1. Любая новая потеря хотя бы 1 HP во время тяжёлого ранения по-прежнему вызывает окончательную смерть. При результате 3–14 минимальное выравнивание таймера не применяется: персонаж может умереть раньше окончания временной замены.</t>
  </si>
  <si>
    <t xml:space="preserve">Combat QA</t>
  </si>
  <si>
    <t xml:space="preserve">Q-CORE-064</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</si>
  <si>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t>
  </si>
  <si>
    <t xml:space="preserve">Symbiosis_V7_Combat_QA_Remaining_Questions.docx</t>
  </si>
  <si>
    <t xml:space="preserve">Как «Охотничий азарт» удваивает движение и что происходит, когда отмеченная цель перестаёт убегать, умирает или выходит из боя?</t>
  </si>
  <si>
    <t xml:space="preserve">Базовый ответ этого раунда (сохраняется только в непротиворечащей части):
Удваивать итоговую доступную дистанцию каждого действия перемещения, только если путь уменьшает прямую дистанцию до отмеченной цели, не зависимо от того, убегает она или нет. Бонус не применяется к движению в сторону или от цели. Метка и бонус снимаются, когда цель либо удалена с боевой карты; новая цель требует нового срабатывания способности.
Поздние ответы с приоритетом в пересекающейся части:
[Application QA — раунд 1 / Q-MON-070]
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</si>
  <si>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Application QA — раунд 1 / Q-MON-070</t>
  </si>
  <si>
    <t xml:space="preserve">CQA-048
MON-035</t>
  </si>
  <si>
    <t xml:space="preserve">Q-MON-077</t>
  </si>
  <si>
    <t xml:space="preserve">Эффект немедленно прекращается при смерти, тяжёлом ранении, бессознательности или отключении Кукловода, а также при смерти цели. Интерфейс запрещает прямой приказ атаковать себя или явно нанести себе урон. Другие ограничения не обрабатываются; марионетка не получает дополнительных действий и не игнорирует физические ограничения.</t>
  </si>
  <si>
    <t xml:space="preserve">CQA-050
MON-027</t>
  </si>
  <si>
    <t xml:space="preserve">Каких заражённых удалять, если лимит «Масштабной эпидемии» уменьшается ниже текущего числа после потери уровня, способности или активности Чумного доктора?</t>
  </si>
  <si>
    <t xml:space="preserve">Базовый ответ этого раунда (сохраняется только в непротиворечащей части):
Сразу после пересчёта выбрать самых первых заражённых сверх нового лимита и уничтожить в них ассистентов, пока число не станет допустимым. Каждый заражённый имеет одинаковый вес; источник не выбирает, кого сохранить. Уже запущенные независимые эффекты разрешаются по общему правилу их жизненного цикла.
Поздние ответы с приоритетом в пересекающейся части:
[Application QA — раунд 1 / Q-MON-082]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
[Application QA — раунд 2 / Q-MON-083]
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</si>
  <si>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Application QA — раунд 1 / Q-MON-082
Application QA — раунд 2 / Q-MON-083</t>
  </si>
  <si>
    <t xml:space="preserve">CQA-012
SYM-055</t>
  </si>
  <si>
    <t xml:space="preserve">Как именно приложение создаёт самостоятельного Хранителя в текущем бою при окончательной смерти носителя?</t>
  </si>
  <si>
    <t xml:space="preserve">Базовый ответ этого раунда (сохраняется только в непротиворечащей части):
Сразу после фиксации окончательной смерти носитель удаляется из активных участников, а у игрока, управлявшего носителем хранителя, появляется диалоговое окно, позволяющее в его координатах создать отдельного управляемого тем же игроком Хранителя. Если хранитель не был создан до окончания боя, при его завершении хранитель создается автоматически и присоединяется к группе как играбельный персонаж. Его currentHP=maxHP=5L, все семь характеристик равны 2L, текущие ОЭ, L, изученные способности и собственные таймеры отключения сохраняются; эффекты, травмы, горение и инвентарь тела не наследуются и остаются на трупе. Срабатывание происходит, пока Хранитель жив, даже если он временно отключён. При активации хранитель заходит в игру по правилам нового участника (отдельно пробрасывает инициативу и т. д.). Жизненный таймер L суток запускается немедленно.
Поздние ответы с приоритетом в пересекающейся части:
[Application QA — раунд 1 / Q-SYM-090]
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</si>
  <si>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Application QA — раунд 1 / Q-SYM-090</t>
  </si>
  <si>
    <t xml:space="preserve">Как Хранитель с «Попутчиками» уничтожает всех оставшихся симбионтов нового Единого перед восстановлением исходного набора?</t>
  </si>
  <si>
    <t xml:space="preserve">Базовый ответ этого раунда (сохраняется только в непротиворечащей части):
После занятия первого слота приложение открывает отдельную последовательность внутренних боёв. Игрок Хранителя выбирает порядок оставшихся симбионтов и перед каждым боем сравниваются их текущие ОЭ по Q-SYM-074. Игрок вправе выбрать не всех симбионтов цели за раз и продолжить после восстановления ОЭ хранителем. Победа уменьшает ОЭ Хранителя и безвозвратно удаляет жертву; поражение уничтожает Хранителя; равенство останавливает последовательность без потерь, оба симбионта остаются и попытку можно повторить после изменения ОЭ. Исходный набор начинает выращиваться по мере освобождения слотов симбионтов: каждый раз выбирается случайный симбионт из исходных и занимает освободившийся слот. Так же хранитель вправе не убивать симбионта цели и оставить его. От игрока потребуется явно подтвердить, что конфигурация симбионтов финальная. Дальнейшее восстановление выполняется по уже принятому Q-SYM-039.
Поздние ответы с приоритетом в пересекающейся части:
[Application QA — раунд 1 / Q-SYM-094]
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</si>
  <si>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Application QA — раунд 1 / Q-SYM-094</t>
  </si>
  <si>
    <t xml:space="preserve">Какое событие и сколько действий требуют «Вкус крови» Клеща, и как долго сохраняются раскрытые сведения?</t>
  </si>
  <si>
    <t xml:space="preserve">Базовый ответ этого раунда (сохраняется только в непротиворечащей части):
Способность бесплатно и автоматически срабатывает, когда безоружная рукопашная атака нанесла цели хотя бы 1 фактический HP урона. Так же носитель клеща может попробовать кровь согласной/беспомощной соседней цели; проверки и ОЭ не нужны. Для того, чтобы применить способность к несогласной цели или к противнику, потребуется успешная проверка борьбы. Обычная атака оружием сама по себе образец не даёт. Полученные сведения навсегда сохраняются в журнале знаний, но показанные числовые значения являются снимком на момент пробы и позднее автоматически не обновляются.
Поздние ответы с приоритетом в пересекающейся части:
[Application QA — раунд 1 / Q-SYM-095]
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</si>
  <si>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Application QA — раунд 1 / Q-SYM-095</t>
  </si>
  <si>
    <t xml:space="preserve">Каков полный жизненный цикл связи «Гарпуна»: число активных гарпунов, ограничение движения, конечная позиция подтягивания и потеря гарпуна?</t>
  </si>
  <si>
    <t xml:space="preserve">Базовый ответ этого раунда (сохраняется только в непротиворечащей части):
Одновременно может существовать один выпущенный гарпун. Гарпун можно выпустить только в персонажа-участника боевой ситуации. После попадания создаётся связь максимальной длины L метров; движение любой стороны, увеличивающее расстояние сверх L, останавливается на границе. За 1 действие носитель может: втянуть пустой гарпун и снять связь; подтянуться к цели до дистанции 2 метра; либо при массе цели не выше S×L кг выиграть встречную проверку S и переместить цель по прямой до дистанции 2 метра от себя. При провале цель и связь остаются на месте. Новый выстрел до втягивания невозможен. Приложение не моделирует разрубание цепи: мастер может вручную пометить гарпун потерянным, после чего связь снимается и способность блокируется на max(0, 8−L) суток.
Поздние ответы с приоритетом в пересекающейся части:
[Application QA — раунд 1 / Q-SYM-096]
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</si>
  <si>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Application QA — раунд 1 / Q-SYM-096</t>
  </si>
  <si>
    <t xml:space="preserve">Как приложение ведёт удалившегося с поля боя летящего Сверчка и возвращает его в текущую боевую ситуацию?</t>
  </si>
  <si>
    <t xml:space="preserve">Базовый ответ этого раунда (сохраняется только в непротиворечащей части):
При результате 11+ Сверчок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вручную вводит новую дистанцию с учётом выбранного игроком направления; автоматической скорости нет, но значение не может превысить max(0, M×L−C) километров. Пока дистанция больше нуля, персонаж не получает обычного хода и не может быть целью на карте. При достижении нуля мастер выбирает свободную точку возвращения, персонаж появляется в начале следующего круга и состояние полёта снимается. Если бой завершился раньше, он остаётся вне сцены и возвращается в небоевом режиме по решению мастера.
Поздние ответы с приоритетом в пересекающейся части:
[Application QA — раунд 1 / Q-SYM-098]
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</si>
  <si>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Application QA — раунд 1 / Q-SYM-098</t>
  </si>
  <si>
    <t xml:space="preserve">Как приложение должно исполнять критический исход «Чёрно-белой ярости» — «цель в течение 1 хода пытается убить носителя» — если цель не может атаковать его, носитель уже мёртв или вышел из боя?</t>
  </si>
  <si>
    <t xml:space="preserve">Базовый ответ этого раунда (сохраняется только в непротиворечащей части):
На один следующий личный ход цели её приоритетом становится доступная атака носителя Пингвина. Если атака невозможна, цель тратит доступное перемещение на сближение; остальные действия может использовать свободно. Если носитель мёртв, удалён с карты или недостижим в принципе, принуждение немедленно прекращается. Эффект не заставляет цель причинять вред себе или союзникам.
Поздние ответы с приоритетом в пересекающейся части:
[Application QA — раунд 1 / Q-SYM-102]
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</si>
  <si>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Application QA — раунд 1 / Q-SYM-102</t>
  </si>
  <si>
    <t xml:space="preserve">Что происходит с Крысой, находящейся вне тела, если её носитель умирает или покидает бой до возвращения симбионта?</t>
  </si>
  <si>
    <t xml:space="preserve">Базовый ответ этого раунда (сохраняется только в непротиворечащей части):
Со смертью носителя Крыса немедленно умирает
Поздние ответы с приоритетом в пересекающейся части:
[Application QA — раунд 1 / Q-SYM-107]
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</si>
  <si>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Application QA — раунд 1 / Q-SYM-107</t>
  </si>
  <si>
    <t xml:space="preserve">Как выбирается точка «Навесного выстрела»: нужна ли проверка меткости, учитываются ли препятствия и что означает дальность 5L/10L при движении?</t>
  </si>
  <si>
    <t xml:space="preserve">Базовый ответ этого раунда (сохраняется только в непротиворечащей части):
Игрок выбирает любую точку в прямой евклидовой дальности до результата чистого R20, но не дальше 5L м; если в этом же личном ходу до выстрела было потрачено хотя бы одно действие на перемещение, предел равен 10L м. Проверки меткости и защиты нет, препятствия/траектория в принятой 2D-модели не учитываются. Точка фиксируется при объявлении, после броска дальности её нельзя заменить.
Поздние ответы с приоритетом в пересекающейся части:
[Application QA — раунд 1 / Q-SYM-113]
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</si>
  <si>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Application QA — раунд 1 / Q-SYM-113</t>
  </si>
  <si>
    <t xml:space="preserve">Application QA — раунд 1</t>
  </si>
  <si>
    <t xml:space="preserve">Q-CAMP-001</t>
  </si>
  <si>
    <t xml:space="preserve">Значение от 1 до 5 задаёт максимальное число одновременно активных персонажей игроков, а не обязательный состав. Кампанию можно создать и готовить при нуле персонажей. Сессию можно запустить, когда в составе есть хотя бы один валидный активный персонаж и все уже включённые персонажи имеют подтверждённую готовность управляющих устройств; свободные места запуск не блокируют. НПС и мастер без собственного персонажа в лимит не входят. Персонаж с хотя бы одной незакрытой обязательной строкой стартового имущества не может подтвердить готовность.
Мастер может изменить вместимость только вне активной сцены и при отсутствии незавершённой операции. Новое значение остаётся в диапазоне 1–5 и не может быть меньше текущего числа активных персонажей. После запуска свободные места доступны для позднего подключения по Q-CAMP-005.</t>
  </si>
  <si>
    <t xml:space="preserve">Symbiosis_V7_Application_QA_Remaining_Questions(1).docx</t>
  </si>
  <si>
    <t xml:space="preserve">Q-CAMP-004</t>
  </si>
  <si>
    <t xml:space="preserve">Сохранённый вне кампании лист является исходным шаблоном с UUID. При первом добавлении в конкретную кампанию создаётся отдельный campaignCharacterId и снимок механического состояния. Один исходный лист может породить независимые экземпляры в разных кампаниях; их HP, ОЭ, предметы, развитие, симбионты и история никогда не синхронизируются автоматически. В одной кампании один исходный UUID можно импортировать только один раз, а один campaignCharacterId занимает одно место и одновременно имеет ровно одно управляющее устройство.
После завершения кампании пользователь может экспортировать её итоговый экземпляр как новую локальную версию или нового персонажа с новым UUID. Автоматического слияния с исходным листом нет. Импорт «как копию» всегда создаёт новый UUID и независимый журнал; совпадение отображаемого имени допустимо.</t>
  </si>
  <si>
    <t xml:space="preserve">Q-CAMP-009</t>
  </si>
  <si>
    <t xml:space="preserve">Пауза и закрытие хоста сначала атомарно сохраняют текущий транзакционный checkpoint, после чего замораживают виртуальное время, таймеры и новые команды. Кампанию можно закрыть посреди боя или многоэтапной операции. При следующем открытии восстанавливается точный подтверждённый этап: уже показанный бросок не повторяется, зарезервированный ресурс не списывается второй раз, а незаполненные поля остаются ожидающими.
Добровольная передача роли мастера разрешена только на безопасной границе после завершения либо штатной приостановки операции. Аварийный failover замораживает операцию и продолжает её на новом сервере из того же checkpoint. После успешной передачи прежний компьютер становится обычным игроком и сохраняет только назначенные ему персонажи. «Завершить кампанию» — отдельная операция вне незавершённых действий; она переводит кампанию в неизменяемый архив и освобождает активные привязки. Ставить кампанию на паузу и завершать ее может только мастер. Для завершения требуется ввод пароля мастера.</t>
  </si>
  <si>
    <t xml:space="preserve">Q-CHAR-001</t>
  </si>
  <si>
    <t xml:space="preserve">У каждого черновика с момента создания есть неизменяемый UUID; имя является отображаемым, а не идентифицирующим полем. Имя обязательно, после удаления пробелов по краям должно содержать 1–64 видимых символа. Одинаковые имена разрешены и в локальной библиотеке, и в одной кампании: во всех случаях при совпадении приложение дополнительно показывает владельца. Вне кампании сущность адресуется по UUID листа. После импорта все ссылки, цели и журнал кампании используют campaignCharacterId; UUID исходного листа хранится только как происхождение (provenance). Краткое описание необязательно, не более 2 000 символов. Арт необязателен; допустимы PNG/JPEG до 12 МБ, как указано на экране 05.</t>
  </si>
  <si>
    <t xml:space="preserve">Q-CHAR-002</t>
  </si>
  <si>
    <t xml:space="preserve">Базовый ответ этого раунда (сохраняется только в непротиворечащей части):
После каждого подтверждённого пользовательского действия приложение атомарно сохраняет версию черновика: выбранные режимы, счётчики попыток, все натуральные результаты и подтверждения критов, принятый набор, назначения значений характеристикам, случайные результаты симбионтов, Советника и имущества. Закрытие, потеря соединения, перезапуск или переход назад восстанавливают тот же результат и не возвращают попытку. Каждый запрос броска имеет уникальный operationId; повторная доставка запроса возвращает прежний результат. Новый бросок возможен только когда правило прямо оставляет следующую попытку. Полностью начать заново можно лишь явным действием «Удалить черновик и создать новый», создающим новый UUID и теряющим все результаты после отдельного подтверждения.
Важно: для создания персонажа сеть не обязательна. Игрок может создавать персонажей оффлайн и выбирать их при подключении к кампании. Но при подключении игрока к кампании мастеру приходит на согласование полная информация о персонаже и результатах бросков на предметы и деньги. Мастер вправе отказать в предметах или изменить получаемый игроком предмет, так же мастер вправе скорректировать характеристики и набор навыков персонажа. Если снижение характеристики сделает невозможным использование уже выбранного навыка персонажа, снизить значение характеристики нельзя, пока навык не будет убран или заменен на другой.
Поздние ответы с приоритетом в пересекающейся части:
[Application QA — раунд 2 / Q-CHAR-016]
Мастер меняет только кампанийный экземпляр; локальный исходный лист и натуральные броски остаются неизменными. Изменение характеристики создаётся как постоянная мастерская поправка к принятой базе, после чего заново применяются раса, класс, симбионты, пределы и производные значения. Итог каждой характеристики должен быть не меньше 1. Мастер может удалить, заменить или добавить стартовый навык, но бесплатные расовые и классовые навыки не редактирует; требования навыков и вместимость стартового пула обязательны. Все отличия сохраняются в аудите. Игрок видит итоговый лист и может отказаться от добавления персонажа, но отдельного согласия на каждую правку не требуется.</t>
  </si>
  <si>
    <t xml:space="preserve">Application QA — раунд 2 / Q-CHAR-016</t>
  </si>
  <si>
    <t xml:space="preserve">Q-CHAR-003</t>
  </si>
  <si>
    <t xml:space="preserve">В каждом черновике до первого случайного результата фиксируется diceInputMode = virtual| physical. В кампании режим наследуется от текущего режима бросков кампании; вне кампании его выбирает создатель. Он применяется ко всем броскам создания без исключений: наборам характеристик, подтверждениям 1/20, случайным симбионтам и подтверждениям их критов, характеристикам Советника, бонусу подавленного Советника и восьми броскам имущества. В режиме virtual значение генерирует сервер/хост/приложение и сразу журналирует. В режиме physical пользователь вводит целое значение в диапазоне соответствующего дайса; приложение не проверяет честность, но помечает источник как ручной. Один подтверждённый ввод нельзя исправить или повторить; ошибку исправить нельзя. Мастер может не участвовать в создании персонажа.</t>
  </si>
  <si>
    <t xml:space="preserve">Q-CHAR-005</t>
  </si>
  <si>
    <t xml:space="preserve">Итог никогда не изменяется накопительно; он каждый раз вычисляется из журнала источников. Сначала разрешается состав симбионтов и их взаимодействия: Учитель/Дельфин поглощаются Трогром, Трогр/Хранитель определяют выжившего, подавленные Советник/Пингвин остаются в составе, но их отключённые эффекты не применяются. Затем берётся принятая база с критическими поправками создания, прибавляются раса и класс, после чего одновременно суммируются все активные симбиотические дельты и получаются сырые итоговые значения.
Пределы применяются к итоговой характеристике после суммирования всех активных дельт: при активном Учителе W = min(Wraw, 20), при активном Дельфине I = min(Iraw, 30). Пределы и минимумы Трогра аналогично применяются к итоговым характеристикам: S/D/M/Z ограничиваются значением 25 у Единого или 35 у Вольного, а I/W/C — установленным Трогром минимумом. Если несколько активных явных пределов относятся к одному параметру, применяется наиболее строгий. При ручной попытке выбрать любую комбинацию симбионтов, обрабатываемую особым образом, перед игроком должно появляться диалоговое окно с описанием последствий и вариантами действий: подтвердить или изменить выбор. При случайном выборе симбионтов диалоговое окно не появляется.
Пол случайного заражения ограничивает суммарную потерю от отрицательных дельт любого симбионта, полученного случайной процедурой, включая Чумного доктора, выбранного после первого подтверждённого крита: такая потеря не может уменьшить значение после базы, расы, класса и положительных симбиотических дельт ниже 1. Пол не исправляет уже невалидное расовое/классовое значение. В ручном режиме общего пола нет. На финальном шаге все семь характеристик обязаны быть не меньше 1.</t>
  </si>
  <si>
    <t xml:space="preserve">Q-CHAR-008</t>
  </si>
  <si>
    <t xml:space="preserve">Каждый принятый кандидат сначала создаётся на L1, получает все способности L1 бесплатно, XP=0, maxOE по L1 и currentOE=maxOE. Затем немедленно разрешаются взаимодействия. Поглощение Дельфина поднимает Трогра минимум до L5 и бесплатно открывает обязательные узлы L2–L5, но не считается новым получением симбионта и не пополняет текущие ОЭ: Трогр, начинавший с 1 000/1 000 ОЭ, становится L5 с 1 000/5 000 ОЭ, за вычетом потерь от уже разрешённого боя с Хранителем. Поглощение Учителя меняет стоимость слотов и минимумы, но не ОЭ. У выживших симбионтов сохраняются уже списанные в ходе взаимодействия ОЭ. После завершения состава приложение ещё раз пересчитывает максимумы и только ограничивает currentOE сверху новым максимумом.</t>
  </si>
  <si>
    <t xml:space="preserve">Q-CHAR-009</t>
  </si>
  <si>
    <t xml:space="preserve">При финальном сохранении currentHP=maxHP, персонаж жив, в сознании, не оглушён, не связан, не горит, не отравлен, не болен, не имеет ран, травм, кровотечений, активных временных эффектов, кулдаунов, подготовок, инициативы или участия в боевой сцене; счётчики развития характеристик и боевые лимиты равны 0. Пассивы L1 всех активных симбионтов включаются сразу. Тайпан начинает с выбранным по умолчанию смертельным ядом; Пингвин — с активным «Ми-ми-ми», если не подавлен; Скунс даёт свой постоянный штраф C, пока реально не экипирован герметичный Нэйт. Крыса и Хранитель находятся внутри носителя; внешние сущности не создаются. Клинки Богомола находятся в обычном сложенном состоянии. Не создаются заранее паутина, слюна, мины, покрытия, накопленные заряды или иные объекты, если способность прямо не говорит, что они существуют постоянно. У любого персонажа максимальный запас HR по умолчанию составляет 100 единиц, если иное не прописано явно в отдельных правилах. Это значение может меняться под воздействием способностей симбионтов</t>
  </si>
  <si>
    <t xml:space="preserve">Q-CHAR-010</t>
  </si>
  <si>
    <t xml:space="preserve">До финальной проверки масса обязательна как положительное число килограммов с точностью 0,1. Приложение показывает справочные средние значения расы из рулбука, но не вводит выдуманных автоматических минимумов/максимумов; значение становится pendingMasterApproval. Персонажа с неподтверждённой массой можно отправить в запрос и добавить в лобби, но он не может стать активным, получить статус «Готов», войти в сцену или участвовать в запуске сессии до подтверждения массы мастером.
Игровые расы получают стандартную гуманоидную анатомию и зоны попадания из V7; произвольная анатомия доступна только отдельному редактору существа у мастера (для НПС так же доступна только гуманоидная анатомия). Произвольная анатомия задается чек-боксом, если он заполнен, атака в любую часть существа считается атакой по корпусу. Никаких других особенностей произвольной анатомии приложение не учитывает. При выборе Совы игрок выбирает правый или левый глаз, по умолчанию правый; при выборе Угря — правую или левую руку, по умолчанию правую. Клещ всегда привязан к правой руке, Паук — к обоим запястьям, Богомол — к обоим предплечьям. Эти привязки сохраняются в листе и используются при потере/отключении соответствующей части тела.</t>
  </si>
  <si>
    <t xml:space="preserve">Базовый ответ этого раунда (сохраняется только в непротиворечащей части):
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
Поздние ответы с приоритетом в пересекающейся части:
[Application QA — раунд 2 / Q-CHAR-018]
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</si>
  <si>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Application QA — раунд 2 / Q-CHAR-018</t>
  </si>
  <si>
    <t xml:space="preserve">Базовый ответ этого раунда (сохраняется только в непротиворечащей части):
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
Поздние ответы с приоритетом в пересекающейся части:
[Application QA — раунд 2 / Q-CHAR-017]
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
[Application QA — раунд 2 / Q-CHAR-019]
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</si>
  <si>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Application QA — раунд 2 / Q-CHAR-017
Application QA — раунд 2 / Q-CHAR-019</t>
  </si>
  <si>
    <t xml:space="preserve">Q-CHAR-015</t>
  </si>
  <si>
    <t xml:space="preserve">После финального сохранения механические поля создания неизменяемы: раса, класс, способ и результаты характеристик, критические последствия создания, стартовые навыки, исходный состав/результаты симбионтов и броски имущества. Игрок может менять только отображаемое имя, описание и арт. Новое имя повторно проходит синтаксическую проверку Q-CHAR-001; совпадение допустимо и отображается с владельцем, типом сущности и коротким идентификатором. Все последующие механические изменения выполняются механизмами развития, заражения/операций, инвентаря или отдельной журналируемой коррекцией мастера.
Действие «Создать вариант» копирует только имя/описание/арт в новый черновик с новым UUID, без кампании и без случайных результатов. Для НПС мастер может создать новую версию полного листа; старая версия остаётся в журнале, а уже активная боевая сцена продолжает использовать закреплённую версию до явной синхронизации между сценами.</t>
  </si>
  <si>
    <t xml:space="preserve">Базовый ответ этого раунда (сохраняется только в непротиворечащей части):
Кампания хранит монотонное виртуальное время, не связанное с системными часами. Начальную дату и время задаёт мастер. По умолчанию 10 реальных минут = 1 игровому часу. Мастер может атомарно продвинуть часы вперёд (указав время в часах, на которое часы сместятся вперед, все таймеры восстановления у игроков при этом сработают так, будто их персонажи пережили эти часы в обычном режиме, если в ходе промотки времени кто-то из персонажей умрет от периодического урона, болезни или по другим причинам, у мастера должно появиться диалоговое окно с подтверждением, если в ходе промотки возникли события, требующие реакции мастера или игрока, перемотка останавливается во временной точке, на которой возникло требующее реакции событие). Назад время не переводится.
Состояние освещения хранится отдельно как master-set lightState (например, день, ночь, сумерки, искусственный свет). После 21:00 по игровым часам начинается ночь, с 6:00 по игровым часам начинается день.
Поздние ответы с приоритетом в пересекающейся части:
[Application QA — раунд 2 / Q-GM-026]
Кампания хранит clockMode=paused|running; скорость running фиксирована: 10 реальных минут = 1 игровой час. Эта скорость заменяет прежнее значение SES-022. При создании кампании часы стоят, после начала сессии мастер явно запускает или приостанавливает их. Бой временно замораживает автоматическое продвижение и запоминает прежний режим; после боя часы продолжаются только если до боя были running. Закрытие хоста и пауза кампании всегда замораживают часы. Ручная промотка временно приостанавливает реальный таймер, обрабатывается транзакционно, затем восстанавливает прежний режим.
[Application QA — раунд 2 / Q-GM-027]
На метке смерти сначала исполняются урон, тяжёлое ранение и окончательная смерть по общим правилам, затем промотка останавливается. Диалог является подтверждением ознакомления, а не правом отменить смерть. Мастер может разрешить доступную реакцию или воскрешение, продолжить промотку либо закончить её на текущей временной метке. Уже прошедшее время и исполненные события не откатываются; закрытие окна оставляет промотку остановленной.
[Application QA — раунд 2 / Q-GM-028]
Хранятся два независимых поля. dayPhase вычисляется автоматически: день — [06:00, 21:00), ночь — [21:00, 06:00). localLighting задаётся мастером для локации или сцены: естественный свет, темнота, сумерки, искусственный свет и т. п. Пересечение 06:00 или 21:00 меняет только dayPhase и не стирает локальное освещение. Способности, прямо называющие день или ночь, используют dayPhase; видимость и наличие конкретного света используют localLighting либо masterPredicate.</t>
  </si>
  <si>
    <t xml:space="preserve">Application QA — раунд 2 / Q-GM-026
Application QA — раунд 2 / Q-GM-027
Application QA — раунд 2 / Q-GM-028</t>
  </si>
  <si>
    <t xml:space="preserve">Базовый ответ этого раунда (сохраняется только в непротиворечащей части):
Кнопка игрока создаёт запрос и указывает длительность отдыха, но не меняет HP, ОЭ или время. Мастер выбирает участников, момент начала и длительность, затем подтверждает единое продвижение мирового времени. Польза полного отдыха применяется только по завершении не менее четырёх непрерывных часов каждому подходящему участнику и только если его скользящий 24-часовой лимит допускает восстановление. Начало боя, полученный урон, применение боевой способности, принудительное перемещение либо явная команда мастера «прервать отдых» разрывают непрерывность; уже прошедшее мировое время не откатывается. Не участвующие персонажи продолжают получать свои обычные временные события.
Поздние ответы с приоритетом в пересекающейся части:
[Application QA — раунд 2 / Q-REST-005]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[Application QA — раунд 2 / Q-REST-006]
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
[Application QA — раунд 2 / Q-REST-007]
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</si>
  <si>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Application QA — раунд 2 / Q-REST-005
Application QA — раунд 2 / Q-REST-006
Application QA — раунд 2 / Q-REST-007</t>
  </si>
  <si>
    <t xml:space="preserve">Базовый ответ этого раунда (сохраняется только в непротиворечащей части):
Открытие боевой сцены останавливает ускоренное мировое время. Боевые круги сами по себе не прибавляют минуты или часы кампании. Все эффекты, участвующие в бою, конвертируют остаток по CORE-153; не участвующие сущности сохраняют свои абсолютные временные метки и не тикают, пока виртуальные часы стоят. Отдых участника боя прерывается в момент первого враждебного события. После завершения боя часы продолжают идти с временной точки, в которой был начат бой.
Поздние ответы с приоритетом в пересекающейся части:
[Application QA — раунд 2 / Q-REST-005]
Сон конкретного персонажа прерывают начало его дозора, выполненное им активное действие или проверка, добровольное или принудительное перемещение, полученный урон, вступление в бой и команда мастера. Пассивный тик или истечение эффекта сами по себе сон не прерывают, если не вызвали одно из этих событий. Подтверждение мастером запуска боя прерывает сон всех персонажей выбранной группы; все они могут действовать по обычным правилам независимо от дозора. Операция отдыха ставится на паузу. После боя мастер выбирает отмену либо продолжение оставшегося интервала; при продолжении непрерывный сон участников боя начинается заново. Другие группы просто не накапливают время, пока мировые часы заморожены боем.
[Application QA — раунд 2 / Q-REST-006]
Событие полноценного отдыха создаётся в первый момент четырёх часов непрерывного сна. После более приоритетных тиков, урона и проверки смерти приложение: 1) включает симбионтов, для которых частное правило разрешает возврат после полноценного отдыха; 2) если прошло не менее 24 часов после предыдущего восстановления, восстанавливает Z HP и заполняет ОЭ активных после шага 1 симбионтов; 3) исполняет остальные специальные триггеры сна и отдыха. Специальные последствия срабатывают даже когда восстановление HP/ОЭ ещё заблокировано 24-часовым лимитом. В одной групповой заявке персонаж получает восстановление не более одного раза; допустимое восстановление фиксирует новую точку 24 часов даже при максимальных HP/ОЭ. Частные исключения, включая ОЭ 0 у выращенных «Попутчиками», сильнее общего порядка.
[Application QA — раунд 2 / Q-REST-007]
На безопасной границе мастер может выбрать живого неархивного персонажа игрока или постоянного НПС и создать текущее событие «Полноценный отдых — решение мастера». Оно не проматывает время и отменяет только требование четырёх часов; остальные предусловия специальных правил сохраняются. Событие запускает тот же полный порядок последствий, что и естественный отдых. Ограничение восстановления HP/ОЭ раз в 24 часа не обходится. Если персонаж участвует в текущей заявке, результат фиксируется как окончательный для неё и повторное естественное событие отдыха в этой заявке не создаётся.</t>
  </si>
  <si>
    <t xml:space="preserve">Q-GM-005</t>
  </si>
  <si>
    <t xml:space="preserve">Да. Мастер может создать «мирную проверку»: выбрать действующего персонажа, характеристику, один или несколько навыков выбранного персонажа, являющихся модификаторами, фиксированную сложность и кратко записать объявленное последствие. Бросок выполняется в текущем ручном/автоматическом режиме, использует общую критическую цепочку и сохраняется в журнале. Приложение вычисляет только результат проверки и формализованные механические эффекты; оно не выбирает социальный исход, отношение НПС, сюжетную ветку или иное последствие раздела 5.3. Их мастер применяет отдельной командой или заметкой.</t>
  </si>
  <si>
    <t xml:space="preserve">Q-GM-006</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</si>
  <si>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</si>
  <si>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Базовый ответ этого раунда (сохраняется только в непротиворечащей части):
Свободный текст создаёт только сюжетную пометку и никогда не влияет на числа или доступность действий.
Поздние ответы с приоритетом в пересекающейся части:
[Application QA — раунд 2 / Q-GM-029]
Универсального редактора произвольной механики нет. Свободная запись всегда остаётся сюжетной. Мастер использует только структурированные операции Q-GM-006: HP, ОЭ, расходники, формализованное состояние и модификатор характеристики. Для модификатора обязательны цель, характеристика, целое значение, источник или причина, постоянство либо точный момент или условие окончания и ключ складывания. Остальные механические исключения требуют отдельного версионированного правила кампании.</t>
  </si>
  <si>
    <t xml:space="preserve">Application QA — раунд 2 / Q-GM-029</t>
  </si>
  <si>
    <t xml:space="preserve">Базовый ответ этого раунда (сохраняется только в непротиворечащей части):
Местоположение хранится у каждого постоянного персонажа и НПС. Сущности с одинаковой локацией и подлокацией автоматически образуют отображаемую подгруппу; мастер может перемещать выбранное подмножество, не двигая остальных. Карта показывает отдельный маркер каждой подгруппы, но не рассчитывает путь, скорость, препятствия или время дороги. Перемещение и продвижение времени — две независимые мастерские команды, которые при необходимости подтверждаются одной составной операцией. При создании боя мастер выбирает одну или несколько подгрупп; участники из других мест не добавляются автоматически. Игрок видит только ту группу, персонажей, к которой относится его персонаж и ее положение на карте. Мастер видит все группы, в которые собраны персонажи игроков, и их положение на карте. При наведении мышки на точку на карте, где отмечена группа, мастеру выводятся имена персонажей, относящихся к этой группе. Боевая ситуация происходит именно с выбранной группой. Группа из одного персонажа – возможна. Мастер администрирует (добавляет и убирает персонажей в/из каждой группы) вручную. По умолчанию (при создании кампании) группа одна и в нее входят все персонажи игроков. Мастер может отделить выбранного персонажа в отдельную группу. Максимальное число групп = числу игроков в компании.
Поздние ответы с приоритетом в пересекающейся части:
[Application QA — раунд 2 / Q-GM-030]
Группы образуют разбиение активных персонажей игроков: каждый персонаж состоит ровно в одной группе. Максимум непустых групп равен числу активных персонажей, а не устройств. При принятии нового героя мастер выбирает существующую группу или создаёт новую; без выбора герой попадает в стартовую группу. Устройство, управляющее несколькими героями, видит каждую их группу и всех разрешённых участников каждой такой группы. Мастер видит все группы. НПС не входят в это ограничение и хранят собственную локацию. Обычный запуск боя выбирает ровно одну группу игроков; другие группы автоматически не подключаются.</t>
  </si>
  <si>
    <t xml:space="preserve">Application QA — раунд 2 / Q-GM-030</t>
  </si>
  <si>
    <t xml:space="preserve">Q-GM-010</t>
  </si>
  <si>
    <t xml:space="preserve">Мастер может выдать, изъять, уничтожить или преобразовать в сюжетный предмет любой экземпляр с указанием причины; каждая операция сохраняет происхождение и владельца. Игрок вне боя может экипировать/снять предмет и передать его согласному персонажу в той же локации. Игрок в бою может экипировать/снять предмет, потратив на это 1 боевое действие. Передача атомарна: экземпляр не существует одновременно у двух владельцев. 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В бою универсальные передача, выбрасывание и изъятие недоступны, если конкретное формализованное действие или способность прямо их не разрешает.</t>
  </si>
  <si>
    <t xml:space="preserve">Q-GM-013</t>
  </si>
  <si>
    <t xml:space="preserve">НПС кампании — одна постоянная сущность с одним UUID; её HP, эффекты, предметы и расходники продолжаются между сценами, и она не может одновременно находиться в сцене дважды. Бестиарий хранит шаблоны. Каждое добавление шаблона создаёт новый независимый экземпляр с новым UUID и снимком текущей версии шаблона. Позднее изменение шаблона не меняет уже созданные экземпляры, а изменения экземпляра не меняют шаблон. Если мастер хочет сохранить экземпляр как постоянного НПС, приложение переносит его текущую запись без восстановления HP или расходников.</t>
  </si>
  <si>
    <t xml:space="preserve">Q-GM-014</t>
  </si>
  <si>
    <t xml:space="preserve">«Отпустить» выводит участника из боевой сцены, сохраняет итог в истории и не создаёт постоянного НПС, если он не был им ранее. «Добавить НПС» превращает текущий экземпляр в постоянного НПС с теми же UUID сущности, HP, ранениями, эффектами, предметами и расходниками; ничего не восстанавливается автоматически. «Убить» выполняет обычное событие смерти по Q-CORE-064: запускает триггеры смерти, снимает инициативу и оставляет в сцене труп с предметами и симбионтами. Удаление/архивирование сущности блокируется, пока она является участником сцены, целью незавершённого действия или источником активного эффекта.</t>
  </si>
  <si>
    <t xml:space="preserve">Q-GM-017</t>
  </si>
  <si>
    <t xml:space="preserve">Первая версия боя поддерживает ровно две враждебные активные стороны. Нейтральная сущность не входит в инициативу и не является боевой целью, пока мастер не назначит её одной из сторон; самостоятельная третья сторона не поддерживается. Во всём составе боя, включая резерв, приложение блокирует повтор одного campaignCharacterId/entityId, мёртвые или архивные сущности и невалидные листы. Незакрытая обязательная заявка имущества по Q-CHAR-013 или неподтверждённая масса по Q-CHAR-010 делают лист невалидным и блокируют запуск либо вход. Невыполненное требование предмета или отсутствие оружейного навыка по Q-CHAR-014 лист не инвалидируют и бой не блокируют. Отключённое управляющее устройство даёт предупреждение, но само по себе запуск не блокирует: мастер должен заранее выбрать ожидание либо временное управление по Q-CAMP-006.
Для активного участника дополнительно обязательны сторона A/B и стартовая позиция. Резерв не находится на карте, не входит в инициативу и не участвует в областях, целях или аурах до атомарного события входа; стартовая позиция и инициатива ему заранее не требуются. Для входа мастер задаёт сторону, момент, позицию, обнаруженность и инициативу; после повторной проверки валидности и подтверждения участник становится обычной сущностью боя.</t>
  </si>
  <si>
    <t xml:space="preserve">Q-GM-018</t>
  </si>
  <si>
    <t xml:space="preserve">На время операции блокируются задействованные актор, цель, выбранный предмет/способность и зарезервированные ресурсы. Сетевая ошибка возобновляет операцию с последнего checkpoint. После показа случайного результата или применения внешнего эффекта универсальный rewind запрещён. Если состояние стало несовместимым, оставшиеся этапы отменяются, но уже подтверждённые цены и последствия не возвращаются, если конкретное правило не говорит обратное. Полный атомарный rollback допустим только при программной ошибке до раскрытия любого случайного результата и до фиксации побочного эффекта. Более позднее исправление мастер делает компенсирующим аудированным событием.</t>
  </si>
  <si>
    <t xml:space="preserve">Q-GM-021</t>
  </si>
  <si>
    <t xml:space="preserve">Режим броска фиксируется в момент создания конкретного запроса проверки и отображается всем участникам этой операции. Изменение мастером действует только для запросов, созданных после атомарного подтверждения настройки; уже открытые, подготовленные и восстанавливаемые проверки сохраняют прежний режим. Изменение режима не создаёт бросок и не позволяет заменить уже введённое/сгенерированное значение.</t>
  </si>
  <si>
    <t xml:space="preserve">Q-GM-022</t>
  </si>
  <si>
    <t xml:space="preserve">Каждый персонаж игрока управляется назначенным устройством, включая локальные вкладки на компьютере мастера: мастер переключается в их вкладку и действует как игрок. Постоянными НПС, противниками и экземплярами бестиария по умолчанию управляет роль мастера через мастерский ход. Передача НПС обычному игроку не поддерживается. Временно отключённого героя мастер может принять только явной аудированной командой по Q-CAMP-006; это не меняет постоянное назначение устройства. Клиент не может отправить команду за сущность, которой он не управляет, даже если её вкладка или лист доступны для просмотра.</t>
  </si>
  <si>
    <t xml:space="preserve">Базовый ответ этого раунда (сохраняется только в непротиворечащей части):
Вне боя отдельный пул боевых действий и искусственный личный ход не создаются. Команда способности выполняется как одна атомарная мирная операция: приложение проверяет цель (доступны только персонажи-участники группы) и предусловия, резервирует и списывает ОЭ, расходники и прямо указанное время, выполняет броски и применяет результат. Пометка «1 боевое действие» ограничивает только использование в бою и вне боя не создаёт дополнительной минутной длительности или лимита применений.
Повторное применение вне боя разрешено, пока хватает ресурсов и не запрещают длительность, поддержание, восстановление или мастерский факт сцены. Виртуальное время меняется только на прямо указанную способностью длительность либо отдельной командой мастера.
Список способностей симбионтов, которые автоматизируются приложением и которые доступны в мирной ситуации, должен быть явно формализован. Предложи такой список в следующей итерации вопросов-ответов – я его провалидирую.
Поздние ответы с приоритетом в пересекающейся части:
[Application QA — раунд 2 / Q-APP-001]
Мирная операция может выбрать самого носителя, персонажа игрока, НПС, существо или труп в той же локации, а также предмет, точку или поверхность, если это допускает способность. Контакт, дистанцию и иные немоделируемые условия подтверждает мастер. Способность, требующая согласия или допускающая сопротивление, мирно разрешается только при согласии либо недееспособности цели. При враждебном действии против дееспособной несогласной цели ресурсы ещё не списываются: мастер либо запускает бой с этой заявкой как намерением, либо отклоняет операцию.
[Application QA — раунд 2 / Q-APP-002]
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048, 050, 051, 053, 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[Application QA — раунд 3 / Q-APP-003]
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[Application QA — раунд 3 / Q-APP-004]
Натуральная 1 анаболического форсажа вне боевой ситуации не исполняется.</t>
  </si>
  <si>
    <t xml:space="preserve">Application QA — раунд 2 / Q-APP-001
Application QA — раунд 2 / Q-APP-002
Application QA — раунд 3 / Q-APP-003
Application QA — раунд 3 / Q-APP-004</t>
  </si>
  <si>
    <t xml:space="preserve">Q-GM-025</t>
  </si>
  <si>
    <t xml:space="preserve">Что именно приложение выбирает в режиме автоматического управления противником, если формализован только выбор цели, но не выбор действия, движения, способности и защитной реакции?</t>
  </si>
  <si>
    <t xml:space="preserve">В первой версии режим является ассистированным, а не полным боевым ИИ. Приложение может выбрать или предложить цель по ENC-051 и автоматически вычислять доступность, формулы, броски и последствия, но мастер каждый раз выбирает действие/способность, маршрут и конечную точку движения, расход ограниченного ресурса и защитную реакцию. Без выбора мастера противник не совершает новую команду.
Интерфейс должен называть режим «ассистированное управление». Полного боевого ИИ не предполагается.</t>
  </si>
  <si>
    <t xml:space="preserve">Как «Охотничий азарт» удваивает движение и когда снимаются метка и бонус, если цель перестала убегать, умерла, покинула бой либо истёк срок «Гончей»?</t>
  </si>
  <si>
    <t xml:space="preserve">Удваивается итоговая доступная дистанция каждого действия перемещения Химеры только тогда, когда выбранный путь уменьшает прямую дистанцию до живой цели, отмеченной «Гончей»; движение в сторону или от неё бонуса не получает. После появления метки бонус не зависит от того, продолжает ли цель формально убегать. Метка и бонус немедленно снимаются при окончательной смерти цели, её удалении с боевой карты, завершении боя или истечении срока «Гончей». Тяжёлое ранение, бессознательность и прекращение бегства сами по себе метку не снимают. Возвращение удалённой цели не восстанавливает прежнюю метку; для неё требуется новое применение «Гончей».</t>
  </si>
  <si>
    <t xml:space="preserve">Каких заражённых удалять, если лимит «Масштабной эпидемии» уменьшился ниже текущего числа: самые ранние или самые поздние заражения, и как разрешается одновременное заражение?</t>
  </si>
  <si>
    <t xml:space="preserve">Базовый ответ этого раунда (сохраняется только в непротиворечащей части):
Для каждого заражения хранится неизменяемый порядковый номер infectionOrder, присвоенный при создании; для нескольких заражений одной командой номера назначаются в порядке сформированного приложением списка целей. После уменьшения лимита заражения сортируются по infectionOrder по возрастанию. Сохраняются первые Limit самых поздних заражений, а во всех более ранних заражениях сверх лимита ассистенты немедленно уничтожаются. При newLimit=0 уничтожаются все ассистенты этого Доктора. Источник не выбирает, кого сохранить. Уже запущенные независимые эффекты разрешаются по общему правилу жизненного цикла.
Поздние ответы с приоритетом в пересекающейся части:
[Application QA — раунд 2 / Q-MON-083]
Каждое заражение получает возрастающий infectionOrder. Если мастер или игрок выбирал цели последовательно, номера соответствуют порядку подтверждения целей. Для одной массовой операции без ручного порядка цели предварительно сортируются по UUID по возрастанию и получают номера в этом порядке. При уменьшении лимита сохраняются newLimit записей с наибольшим infectionOrder; во всех остальных заражениях ассистенты уничтожаются. При newLimit=0 уничтожаются все.</t>
  </si>
  <si>
    <t xml:space="preserve">Application QA — раунд 2 / Q-MON-083</t>
  </si>
  <si>
    <t xml:space="preserve">Как приложение создаёт самостоятельного Хранителя при окончательной смерти носителя, в том числе если носителя успели воскресить до фактического выхода Хранителя, и когда новый участник получает первый ход?</t>
  </si>
  <si>
    <t xml:space="preserve">В момент окончательной смерти приложение немедленно создаёт ожидающее событие выхода Хранителя и предлагает управлявшему носителем игроку подтвердить выход. Срок автономной жизни L суток начинается в момент смерти, как уже указано в ответе пользователя, даже если создание отдельной сущности отложено. Пока выход не подтверждён, Хранитель остаётся неактивным внутри трупа: у него нет позиции, инициативы и команд.
Если носителя воскресили до фактического выхода, ожидающее событие отменяется, Хранитель остаётся в восстановленном носителе, а автономный таймер удаляется и будет создан заново только при следующей окончательной смерти. Если носитель остаётся мёртвым до завершения боя, выход подтверждается автоматически.
При выходе в координате трупа создаётся отдельный персонаж под управлением того же игрока: currentHP=maxHP=5L, все семь характеристик равны 2L; сохраняются текущие ОЭ, L, изученные способности и собственные таймеры отключения. Эффекты, травмы, горение и инвентарь тела не наследуются. В продолжающемся бою Хранитель бросает чистую инициативу, вставляется в очередь и впервые действует только со следующего круга; бесплатного действия при появлении нет.</t>
  </si>
  <si>
    <t xml:space="preserve">Как Хранитель с «Попутчиками» уничтожает оставшихся симбионтов нового Единого, как разрешаются поражение и ничья, и в какой момент восстанавливается исходный набор?</t>
  </si>
  <si>
    <t xml:space="preserve">Этот ответ имеет приоритет над прежней оговоркой Q-SYM-039 о восстановлении только полного исходного набора и над запретом повторной попытки Q-SYM-088 именно для последовательности «Попутчиков». После победы за первый слот игрок Хранителя может по одному выбирать оставшихся симбионтов нового Единого. Перед каждым боем сравниваются текущие ОЭ по Q-SYM-074: при преимуществе Хранителя жертва уничтожается и её текущие ОЭ списываются у Хранителя; при меньшем значении Хранитель уничтожается; при равенстве никто не уничтожается. Игрок вправе остановиться, восстановить ОЭ и повторить нерешённый бой позднее, пока конфигурация не объявлена финальной.
После каждой победы освободившаяся вместимость резервируется под один случайно выбранный отсутствующий вид из сохранённого исходного набора, который помещается в доступные слоты и не дублирует уже живущий вид. Если ни один отсутствующий вид пока не помещается, слот остаётся свободным до следующего освобождения. Зарезервированный симбионт считается выращиваемым и не даёт эффектов до следующего полноценного отдыха; после него становится активным с сохранёнными L и изученными способностями, но с текущими ОЭ 0, которые тем же отдыхом не восстанавливаются. Для Трогра применяется его актуальная стоимость слотов после поглощённых Учителя/Дельфина.
Игрок может оставить часть симбионтов нового тела. Явное подтверждение финальной конфигурации безвозвратно удаляет невосстановленные шаблоны исходного набора и закрывает автоматическую последовательность боёв; новые попытки после этого не предлагаются. При заселении Вольного генетический материал «Попутчиков» теряется.</t>
  </si>
  <si>
    <t xml:space="preserve">Какое событие и сколько действий требуют разные способы получить кровь для «Вкуса крови», и как долго сохраняются раскрытые сведения?</t>
  </si>
  <si>
    <t xml:space="preserve">Если безоружная атака рукой с пастью Клеща нанесла цели хотя бы 1 фактический HP урона, «Вкус крови» срабатывает автоматически и не расходует дополнительного действия. Попробовать кровь согласной, бессознательной, полностью парализованной или иной беспомощной соседней цели можно отдельной командой за 1 боевое действие без проверки и ОЭ. Для дееспособной несогласной цели применяется отдельная опция борьбы «взять пробу крови» стоимостью 1 действие: выполняется обычная встречная проверка борьбы; при успехе проба получена без дополнительного урона и пробития, при провале эффекта нет. Обычная атака оружием и безоружная атака другой частью тела пробу не дают. Полученные сведения навсегда сохраняются в журнале знаний; числовые значения являются снимком на момент пробы и автоматически не обновляются.</t>
  </si>
  <si>
    <t xml:space="preserve">Как завершается связь «Гарпуна», если гарпун уже попал в цель: можно ли втянуть или отсоединить его отдельной командой и что происходит при смерти/удалении цели либо завершении боя?</t>
  </si>
  <si>
    <t xml:space="preserve">Одновременно существует не более одного выпущенного гарпуна. За 1 боевое действие носитель может втянуть гарпун и завершить связь в любом его состоянии: после промаха, после попадания без перемещения либо после образования натянутой связи. Цель не получает дополнительного урона, а гарпун снова считается готовым к выстрелу.
При окончательной смерти цели, удалении цели из текущей боевой ситуации или завершении боя связь автоматически снимается и гарпун втягивается без действия. При окончательной смерти либо удалении носителя связь также снимается; гарпун считается находящимся в его трупе/удалённой сущности и больше не ограничивает движение цели. Если мастер считает, что гарпун физически утрачен в сюжете, он до автоматического втягивания создаёт аудированную отметку «потерян»: связь всё равно снимается, но способность блокируется на max(0, 8−L) суток. Труп цели не сохраняет механическую связь и не ограничивает движение носителя.</t>
  </si>
  <si>
    <t xml:space="preserve">Как приложение ведёт удалившегося с поля боя летящего Сверчка, возвращает его и обрабатывает потерю дееспособности, отключение Сверчка или смерть во время полёта вне карты?</t>
  </si>
  <si>
    <t xml:space="preserve">При результате 11+ персонаж в конце текущего хода удаляется с тактической карты и получает состояния «в полёте» и числовую «дистанцию до боя». В начале каждого следующего круга мастер вводит новую дистанцию с учётом выбранного игроком направления; автоматической скорости нет, значение не может превышать max(0, M×L−C) километров. Пока дистанция больше нуля, персонаж не получает обычного хода и не может быть целью на карте, но его личные таймеры и периодические эффекты продолжаются.
При достижении нуля мастер выбирает свободную точку; персонаж появляется в начале следующего круга, после чего состояние полёта снимается. Если бой закончился раньше, персонаж остаётся вне сцены и возвращается в небоевом режиме по решению мастера.
Если до возвращения персонаж получил тяжёлое ранение, потерял сознание, окончательно умер либо Сверчок был отключён или удалён, полёт прекращается, но автоматического телепорта на карту нет. Приложение приостанавливает дальнейшее изменение дистанции и предлагает мастеру либо вернуть персонажа/его труп в выбранную свободную точку в начале следующего круга, либо оставить его вне текущей боевой ситуации. Выбор мастера фиксируется; восстановление дееспособности само по себе полёт не возобновляет. Падение, высота и дополнительный урон приложением не рассчитываются.</t>
  </si>
  <si>
    <t xml:space="preserve">Как приложение исполняет критический исход «Чёрно-белой ярости» «цель в течение 1 хода пытается убить носителя»: сколько действий обязательно тратится, что происходит при необходимости сближения и когда принуждение прекращается?</t>
  </si>
  <si>
    <t xml:space="preserve">В следующий личный ход цели носитель Пингвина является её обязательной целью до разрешения одной атаки. Если атака уже доступна, первое действие, которым можно атаковать, обязательно расходуется на одну атаку по носителю; вид атаки выбирает управляющий целью игрок. После её полного разрешения оставшиеся действия используются свободно.
Если атака пока недоступна, цель обязана расходовать доступные действия перемещения на кратчайшее допустимое сближение, пока атака не станет возможна либо дальнейшее сближение в этот ход невозможно. Как только атака становится доступна, первое подходящее оставшееся действие тратится на одну атаку, после чего принуждение заканчивается. Если носитель окончательно умер, удалён с карты или объективно недостижим, эффект немедленно прекращается. Эффект не заставляет цель атаковать себя, намеренно причинять себе урон или атаковать союзника вместо носителя.</t>
  </si>
  <si>
    <t xml:space="preserve">Что происходит с Крысой вне тела, если её носитель окончательно умирает либо живым покидает текущую боевую ситуацию до возвращения симбионта?</t>
  </si>
  <si>
    <t xml:space="preserve">При окончательной смерти носителя находящаяся вне тела Крыса немедленно умирает, удаляется из активной инициативы и оставляет отдельный труп; пока носитель мёртв, перерождение Крысы невозможно. Если носитель покинул бой живым, Крыса не умирает, не телепортируется к нему и остаётся самостоятельным участником под управлением того же игрока. Без физического контакта вернуть её в тело нельзя. Срок автономного существования L часов продолжает идти; при его истечении Крыса погибает по общему правилу. Если носитель снова появляется на карте и возникает физический контакт, Крыса может вернуться обычной командой. При завершении боя, пока они разделены, мастер отдельно указывает, покидает ли Крыса сцену вместе с группой либо остаётся вне неё.</t>
  </si>
  <si>
    <t xml:space="preserve">Как выбирается точка «Навесного выстрела», нужна ли проверка меткости, учитываются ли препятствия и как определяется дальность с места и на бегу?</t>
  </si>
  <si>
    <t xml:space="preserve">Эта формулировка заменяет прежний ответ с 5L/10L; нормативная формула рулбука — 2×R20 с места и R20 на бегу. При объявлении игрок выбирает режим «с места» или «на бегу»; режим «на бегу» обязателен, если до выстрела в текущем личном ходу уже было потрачено хотя бы одно действие на перемещение. Затем выполняется один чистый R20 дальности. Максимальная дальность центра взрыва равна 2×R20 метров с места и R20 метров на бегу. После получения результата игрок выбирает точку в пределах рассчитанной дальности; после подтверждения точку изменить нельзя.
Проверки меткости и любой активной защиты от выстрела и его области нет. Препятствия и траектория в принятой 2D-модели не учитываются. Затем отдельно бросается R12 радиуса, а для каждого персонажа в области отдельно применяется таблица «Анальной железы» по Q-SYM-070. Натуральная 1 броска дальности не является критическим провалом и лишь даёт дальность 2 метра с места либо 1 метр на бегу.</t>
  </si>
  <si>
    <t xml:space="preserve">Application QA — раунд 2</t>
  </si>
  <si>
    <t xml:space="preserve">Symbiosis_V7_Application_QA_Remaining_Questions_Round_2(1).docx</t>
  </si>
  <si>
    <t xml:space="preserve">Базовый ответ этого раунда (сохраняется только в непротиворечащей части):
В первой версии доступны следующие мирные команды.
Ткач: SYM-027, 028, 029, 032, 033, 035. Тайпан: смена типа яда SYM-181, Проницаемая кожа SYM-040 и нанесение активного яда на допустимый предмет или пищу по профильным правилам. Сова: Звуковая картина SYM-051. Учитель: SYM-056, 059. Дракон: подготовка и поджигание слюны SYM-068/070. Хранитель: SYM-085, 087, 089, 091. Советник: SYM-099, 101. Клещ: SYM-104, 106, включая обратное втягивание когтей. Паук: SYM-117. Пингвин: SYM-131, 133, 135. Крыса: выход из тела и возвращение по SYM-152. Богомол: складывание или раскладывание клинков SYM-168 и Каменная статуя SYM-169.
Химера: MON-004 и MON-010. Кукловод: MON-032 Чумной доктор: 048, 050, 051, 053, 055. У Броненосца, Угря и Скунса отдельных мирных команд нет. Пассивные и автоматические триггеры продолжают работать вне боя независимо от whitelist. Исключённые из автоматизации способности не появляются. Любая не включённая активная способность доступна только после открытия боевой ситуации.
Поздние ответы с приоритетом в пересекающейся части:
[Application QA — раунд 3 / Q-APP-003]
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
[Application QA — раунд 3 / Q-APP-004]
Натуральная 1 анаболического форсажа вне боевой ситуации не исполняется.</t>
  </si>
  <si>
    <t xml:space="preserve">Application QA — раунд 3 / Q-APP-003
Application QA — раунд 3 / Q-APP-004</t>
  </si>
  <si>
    <t xml:space="preserve">AQ2-012
SYM-183</t>
  </si>
  <si>
    <t xml:space="preserve">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</si>
  <si>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t>
  </si>
  <si>
    <t xml:space="preserve">Q-GM-SYM-002</t>
  </si>
  <si>
    <t xml:space="preserve">Цель — живой неархивный персонаж игрока расы Единый или Вольный. Операция недоступна Чистому, окончательно мёртвому персонажу, во время боя, незавершённого действия или другой операции. Активный отдых сначала явно прерывается. Сознание цели и отключение удаляемого симбионта операцию не блокируют. Регион, специалист, стоимость и длительность автоматически не проверяются; изменение применяется в текущий момент виртуального времени. Согласие игрока не является предусловием, но результат немедленно показывается ему.</t>
  </si>
  <si>
    <t xml:space="preserve">Q-GM-SYM-004</t>
  </si>
  <si>
    <t xml:space="preserve">Химера, Кукловод и Чумной доктор никогда не могут быть кандидатом добавления, удаления, замены или переноса. Их наличие не запрещает операции с обычными симбионтами, размещёнными в дополнительных допустимых слотах носителя, например в слотах Химеры от «Пожирания». Само чудовище продолжает занимать четыре базовых слота. Даже мастерская операция не может удалить чудовище ценой смерти носителя.</t>
  </si>
  <si>
    <t xml:space="preserve">Q-GM-SYM-006</t>
  </si>
  <si>
    <t xml:space="preserve">Создаётся новый экземпляр с новым UUID. Мастер выбирает валидный набор изученных способностей; обязательные узлы первого уровня добавляются автоматически, связи OR, XOR, AND и предпосылки проверяются, а L вычисляется из изученных узлов — напрямую задать противоречащий им уровень нельзя. Неизрасходованный XP по умолчанию равен 0, текущие ОЭ — 0, симбионт активен и не имеет кулдаунов, подготовленных действий или ранее созданных эффектов. Обычные пассивы включаются после фиксации. Специальная история пуста: Трогр ничего ранее не поглощал, Хранитель не имеет «Попутчиков», Крыса находится внутри тела и не имеет стаи. Штрафы ручного выбора при создании персонажа повторно не применяются.</t>
  </si>
  <si>
    <t xml:space="preserve">Базовый ответ этого раунда (сохраняется только в непротиворечащей части):
Для каждого персонажа ведётся отдельный непрерывный интервал сна. Начало его смены немедленно обнуляет незавершённый прогресс; интервалы до и после дозора складываются. После окончания смены новый интервал начинается с нуля. При завершении групповой операции незаконченный прогресс удаляется.
Поздние ответы с приоритетом в пересекающейся части:
[Application QA — раунд 3 / Q-REST-009]
В пределах одной подтверждённой заявки отдыха для каждого персонажа хранятся accumulatedRestMinutes и текущий непрерывный отрезок сна. Начало плановой смены дозора завершает текущий отрезок, но уже накопленные минуты не удаляет; во время смены новые минуты отдыха не начисляются. После смены новый отрезок начинается с нуля и прибавляется к тому же накопленному итогу. Полноценный отдых наступает при первом достижении 240 накопленных минут. Только плановый дозор является исключением из требования четырёх непрерывных часов; любое другое прерывание из Q-REST-005 обнуляет и текущий отрезок, и накопленный итог. Если 240-я минута завершается точно в момент начала смены, сначала полностью разрешается событие полноценного отдыха, затем персонаж переходит в дозор. Пауза приложения и остановка виртуального времени прогресс не обнуляют. При завершении групповой операции незавершённый накопленный прогресс удаляется.</t>
  </si>
  <si>
    <t xml:space="preserve">Application QA — раунд 3 / Q-REST-009</t>
  </si>
  <si>
    <t xml:space="preserve">Application QA — раунд 3</t>
  </si>
  <si>
    <t xml:space="preserve">Вне боя носитель может отдельной бесплатной командой без продвижения игрового времени перевести в обычное состояние один выбранный либо оба взведённых клинка. Команда только снимает подготовленный бонус. В бою отдельной команды добровольного раскладывания нет: использованный клинок становится обычным автоматически после разрешения атаки. Складывание по-прежнему затрагивает оба клинка и занимает 20 секунд вне боя либо два последовательных боевых действия в бою.</t>
  </si>
  <si>
    <t xml:space="preserve">Symbiosis_V7_Application_QA_Remaining_Questions_Round_3(1).docx</t>
  </si>
  <si>
    <t xml:space="preserve">Натуральная 1 анаболического форсажа вне боевой ситуации не исполняется.</t>
  </si>
  <si>
    <t xml:space="preserve">QA-аудит логики — ответы пользователя</t>
  </si>
  <si>
    <t xml:space="preserve">Q-QA-001</t>
  </si>
  <si>
    <t xml:space="preserve">Каков нормативный способ чтения 206 карточек appendix_decision: финальные ответы изменяют только пересекающиеся пункты базовой карточки или полностью заменяют все восемь полей «Черновик v0.1»?</t>
  </si>
  <si>
    <t xml:space="preserve">Поздние ответы являются delta-overrides. Поля «Категория», «Субъект», «Триггер», «Предусловия», «Входы», «Алгоритм», «Результат» и «Исключения» остаются нормативной базой во всей непротиворечащей части. Строка решения заменяет только прямо пересекающуюся ветвь. Приоритет: AQ3 &gt; AQ2 &gt; AQA/CQA &gt; базовая карточка; локальная строка «Исключения/приоритет» сильнее общего порядка. Полное исключение действует только при явном статусе tombstone/«не исполняется». Формулировку «восемь полей сохранены только как история» нужно удалить из исполняемых карточек.</t>
  </si>
  <si>
    <t xml:space="preserve">Symbiosis_V7_QA_Logic_Remaining_Questions_v1.0(1).docx</t>
  </si>
  <si>
    <t xml:space="preserve">Q-QA-002</t>
  </si>
  <si>
    <t xml:space="preserve">Где оказывается Гигантская жаба после провала прыжка MON-156 на заявленную дистанцию больше 12 метров и считается ли попытка использованной?</t>
  </si>
  <si>
    <t xml:space="preserve">При провале позиция не меняется. Попытка считается использованной: применяется −4 к защите до начала следующего личного хода, а способность недоступна в следующий личный ход и снова доступна через один ход. Никакая промежуточная точка, направление или случайная дистанция не создаются.</t>
  </si>
  <si>
    <t xml:space="preserve">Q-QA-003</t>
  </si>
  <si>
    <t xml:space="preserve">Как в 2D-модели завершается полёт Хранителя при нехватке ОЭ, недееспособности, смерти носителя, отключении или удалении Хранителя?</t>
  </si>
  <si>
    <t xml:space="preserve">При любой причине состояние полёта снимается немедленно до новых действий. Сущность либо её труп сохраняет текущую 2D-координату (x, y); высота, траектория, падение и дополнительный урон приложением не моделируются. Если точка занята после изменения состава сущностей, мастер до продолжения выбирает ближайшую свободную точку. Восстановление дееспособности само по себе полёт не возобновляет.</t>
  </si>
  <si>
    <t xml:space="preserve">Q-QA-006</t>
  </si>
  <si>
    <t xml:space="preserve">Каков поддерживаемый в первой версии путь ручного создания противника: только экземпляр выбранного шаблона или также новый лист с нуля; существует ли случайный генератор состава?</t>
  </si>
  <si>
    <t xml:space="preserve">Ручное создание из выбранного валидного шаблона сохраняется. Дополнительно при настройке боя мастер может вызвать GENERATE_BALANCED_ENEMY_GROUP: случайный процент 80–150% суммы характеристик группы игроков, ориентир среднего 80, семь случайных характеристик каждого врага не выше 35, мыслящие и монстры. Предпросмотр и seed аудируются; принятие атомарно создаёт runtime-экземпляры. Генератор не изменяет шаблоны и не является боевым ИИ.</t>
  </si>
  <si>
    <t xml:space="preserve">Q-ENEMY-B14; прямое подтверждение требования 2026-08-01</t>
  </si>
  <si>
    <t xml:space="preserve">AQA-044
CORE-214
CORE-215</t>
  </si>
  <si>
    <t xml:space="preserve">Исходный ответ сохранён в истории; приоритетная дельта — восстановленный групповой генератор.</t>
  </si>
  <si>
    <t xml:space="preserve">Q-QA-007</t>
  </si>
  <si>
    <t xml:space="preserve">Как разрешать одновременные Советника, «Марионетку», обязательную атаку от натуральной 1 Пингвина и состояния недееспособности, чтобы в каждый момент был ровно один законный источник команд?</t>
  </si>
  <si>
    <t xml:space="preserve">Сначала физические состояния CORE-103 отсекают невозможные команды. Затем действующая «Марионетка» определяет внешнего контроллера и имеет приоритет над добровольным или автоматическим управлением Советника. Натуральная 1 «Чёрно-белой ярости» не меняет контроллера: она накладывает на текущего законного контроллера обязанность потратить первое доступное действие на попытку убить носителя Пингвина. Советник получает управление только при отсутствии внешнего контроллера и физической дееспособности тела. Частное прямое исключение способности сильнее этой таблицы.</t>
  </si>
  <si>
    <t xml:space="preserve">Как объединять постоянный снимок удалённого Трогира с вкладом нового Трогира того же персонажа, чтобы удаление/повторное добавление не создавало бесконечное накопление характеристик и навыка?</t>
  </si>
  <si>
    <t xml:space="preserve">Во-первых, не Трогира, а Трогра. Используй только такой вариант склонения. Для персонажа хранится одно наследие Трогра, раздельно по каждому постоянному правилу. Новый Трогр не прибавляет свой вклад поверх наследия: действует более сильное достигнутое значение, а при дальнейшем развитии записывается только разница до нового максимума. При удалении наследие обновляется до фактически достигнутого значения, а не складывается новым слоем. Уже выданное постоянное повышение навыка SYM-079 повторно не выдаётся; подавление других симбионтов остаётся только активным эффектом текущего Трогра.</t>
  </si>
  <si>
    <t xml:space="preserve">Q-QA-011</t>
  </si>
  <si>
    <t xml:space="preserve">В каком порядке расходуются одновременно применимые защиты от входа в тяжёлое ранение, прежде всего SYM-030 Ткача и MON-008 Химеры?</t>
  </si>
  <si>
    <t xml:space="preserve">При HP→0 сначала разрешается уже подготовленное активное «Дублирование органов» SYM-030; если оно применимо, только оно расходуется и HP становится 1. Если оно отсутствует или неприменимо, разрешается одноразовая защита MON-008. Только если ни одна защита не предотвратила переход, устанавливается тяжёлое ранение и после этого может автоматически объявиться SYM-028. События окончательной смерти разрешаются лишь после исчерпания этой цепочки; невыбранный защитный эффект не расходуется.</t>
  </si>
  <si>
    <t xml:space="preserve">Q-QA-012</t>
  </si>
  <si>
    <t xml:space="preserve">Как должна завершаться пользовательская операция мародерства, если игрок отменяет выбор трупа, переносит только часть количества предмета или труп воскрешают до окончания фазы?</t>
  </si>
  <si>
    <t xml:space="preserve">Выбор трупа временно делает его недоступным другим игрокам до явной отмены, завершения переноса, окончания фазы мастером или воскрешения. Отмена ничего не перемещает и сразу освобождает труп. При переносе части количества q, где 1≤q≤остатка, ровно q единиц переходят игроку, а остаток остаётся в трупе; уже переданное не возвращается автоматически. Воскрешение немедленно завершает открытое мародерство этого трупа: воскресший получает только текущее оставшееся содержимое, а уже перемещённые предметы сохраняют новых владельцев. Низкоуровневая сериализация, блокировки хранения и аудит определяются позже.</t>
  </si>
  <si>
    <t xml:space="preserve">Enemy Templates v1.3</t>
  </si>
  <si>
    <t xml:space="preserve">Когда проверяется предел характеристик 35?</t>
  </si>
  <si>
    <t xml:space="preserve">До всех постоянных модификаторов должны быть заданы ровно семь целых базовых значений 1–35. После расовых, классовых и симбиотических модификаторов итог может превышать 35; автоматический clamp запрещён.</t>
  </si>
  <si>
    <t xml:space="preserve">AQA-005
AQA-028
CORE-164
CORE-197
CORE-200</t>
  </si>
  <si>
    <t xml:space="preserve">Прямые ответы пользователя 2026-07-28</t>
  </si>
  <si>
    <t xml:space="preserve">Q-ENEMY-B2</t>
  </si>
  <si>
    <t xml:space="preserve">Как случайно формировать характеристики монстра?</t>
  </si>
  <si>
    <t xml:space="preserve">По команде мастера хост один раз создаёт семь независимых R20 без критических последствий и независимо от режима ручных/автоматических проверок. Затем значения можно редактировать в диапазоне 1–35.</t>
  </si>
  <si>
    <t xml:space="preserve">AQA-003
AQA-005
AQA-044
CORE-163
CORE-200
CORE-201</t>
  </si>
  <si>
    <t xml:space="preserve">Q-ENEMY-B3</t>
  </si>
  <si>
    <t xml:space="preserve">Что означает единоразовая генерация?</t>
  </si>
  <si>
    <t xml:space="preserve">Один набор на creationAttemptId. Повтор того же operationId возвращает прежний набор; другая генерация в той же попытке отклоняется. Закрытие приложения не даёт переброса; новая попытка получает собственный один набор.</t>
  </si>
  <si>
    <t xml:space="preserve">AQA-002
AQA-003
CORE-194
CORE-201
CORE-214</t>
  </si>
  <si>
    <t xml:space="preserve">Сколько базовых атак имеет монстр?</t>
  </si>
  <si>
    <t xml:space="preserve">Ровно одна базовая MONSTER_ATTACK ценой одно боевое действие. Дополнительные ближние атаки появляются только по прямому правилу выбранного симбионта.</t>
  </si>
  <si>
    <t xml:space="preserve">CORE-207
CORE-209
MON-089
MON-091</t>
  </si>
  <si>
    <t xml:space="preserve">Q-ENEMY-B5</t>
  </si>
  <si>
    <t xml:space="preserve">Как задаются урон, пробитие и природная броня?</t>
  </si>
  <si>
    <t xml:space="preserve">Закрытая Runtime-грамматика: 0, положительная конечная константа, R4, R4+X, R6, R6+X, R12, R12+X, R20, R20+X, R20*2+X; X — положительное целое. Произвольные формулы запрещены, результаты бросков не записываются в шаблон.</t>
  </si>
  <si>
    <t xml:space="preserve">CORE-125
CORE-150
CORE-205
CORE-206
CORE-207
CORE-210
MON-090</t>
  </si>
  <si>
    <t xml:space="preserve">Как рассчитывается базовая атака монстра?</t>
  </si>
  <si>
    <t xml:space="preserve">Точность = R20 + итоговая D + ситуационные модификаторы; урон = итоговая S + дополнительный урон; пробитие = настроенное пробитие. Навыковые, классовые и оружейные бонусы, а также штраф за отсутствие «Рукопашного боя», не применяются.</t>
  </si>
  <si>
    <t xml:space="preserve">CORE-125
CORE-135
CORE-136
CORE-207
CORE-208
MON-091
MON-092</t>
  </si>
  <si>
    <t xml:space="preserve">Q-ENEMY-B7</t>
  </si>
  <si>
    <t xml:space="preserve">Какие защиты и криты действуют против базовой атаки?</t>
  </si>
  <si>
    <t xml:space="preserve">Категория MONSTER_ATTACK имеет тег ближней атаки, поэтому работают обычные допустимые защиты ближнего боя. Криты 1/20 относятся только к accuracy-R20; Runtime урона, пробития и брони критами не являются.</t>
  </si>
  <si>
    <t xml:space="preserve">CORE-082
CORE-206
CORE-208
CORE-210</t>
  </si>
  <si>
    <t xml:space="preserve">Может ли симбионт дать монстру дальнюю атаку?</t>
  </si>
  <si>
    <t xml:space="preserve">Да. Запрет дальности относится только к базовой MONSTER_ATTACK. Дальняя способность симбионта, например тайпана, используется по собственной карточке; ShootingBonus монстра равен 0.</t>
  </si>
  <si>
    <t xml:space="preserve">CORE-134
CORE-209</t>
  </si>
  <si>
    <t xml:space="preserve">Обязателен ли симбионт и какого он уровня?</t>
  </si>
  <si>
    <t xml:space="preserve">Допустимо от нуля до одного обычного симбионта. Химера, Кукловод, Чумной доктор и каталоговые симбиотические чудовища недоступны. Мастер указывает уровень и валидный набор изученных узлов.</t>
  </si>
  <si>
    <t xml:space="preserve">AQ2-014
AQ2-016
AQ2-018
AQA-008
CORE-203
SYM-009
SYM-020
SYM-024</t>
  </si>
  <si>
    <t xml:space="preserve">Q-ENEMY-B10</t>
  </si>
  <si>
    <t xml:space="preserve">Как работают способности, связанные с навыками?</t>
  </si>
  <si>
    <t xml:space="preserve">У монстра нет контейнера навыков. Требующая навык команда недоступна, а выдача или копирование навыка не создаёт результата; независимые части способности сохраняются.</t>
  </si>
  <si>
    <t xml:space="preserve">CORE-203
CORE-204
CORE-209</t>
  </si>
  <si>
    <t xml:space="preserve">Q-ENEMY-B11</t>
  </si>
  <si>
    <t xml:space="preserve">Как трактуется указанный maxHP монстра?</t>
  </si>
  <si>
    <t xml:space="preserve">Это положительное целое baseMaxHP без игрового верхнего лимита. После симбиотических модификаторов получается effectiveMaxHP; новый экземпляр начинает с currentHP=effectiveMaxHP.</t>
  </si>
  <si>
    <t xml:space="preserve">AQA-009
CORE-152
CORE-199
CORE-202</t>
  </si>
  <si>
    <t xml:space="preserve">Q-ENEMY-B12</t>
  </si>
  <si>
    <t xml:space="preserve">Нужны ли монстру масса, возраст и анатомия?</t>
  </si>
  <si>
    <t xml:space="preserve">Масса CustomMonster обязательна и положительна с точностью 0,1 кг; возраст — положительное целое. Каждый созданный CustomMonster имеет NONSTANDARD_TORSO_ONLY: зон тела нет, любое попадание считается попаданием в корпус. Канонические зональные механики не меняются.</t>
  </si>
  <si>
    <t xml:space="preserve">AQA-010
CORE-117
CORE-126
CORE-131
CORE-135
CORE-199
CORE-202
CORE-211</t>
  </si>
  <si>
    <t xml:space="preserve">Как новые правила затрагивают канонический бестиарий?</t>
  </si>
  <si>
    <t xml:space="preserve">Канонические статблоки, характеристики выше 35 и особые атаки не меняются. Каждому каноническому монстру overlay идемпотентно добавляет базовую MONSTER_ATTACK с дополнительным уроном R20 и пробитием R20.</t>
  </si>
  <si>
    <t xml:space="preserve">CORE-212
MON-088
MON-091
MON-092
MON-178</t>
  </si>
  <si>
    <t xml:space="preserve">Добавляется ли генератор сбалансированных групп?</t>
  </si>
  <si>
    <t xml:space="preserve">Да. При настройке боя мастер может сгенерировать смешанную группу мыслящих и монстров. balancePercent — случайное целое 80..150; targetTotal=round(сумма семи текущих характеристик активной группы игроков × percent/100); число врагов выбирается с ориентиром среднего 80; семь характеристик каждого врага случайны, целые и не выше 35; фактическая сумма обязана совпасть с targetTotal. Seed, provenance и preview аудируются. Подтверждение создаёт runtime-экземпляры атомарно; боевого ИИ и автоматического выбора целей нет.</t>
  </si>
  <si>
    <t xml:space="preserve">Прямое подтверждение сохранённого требования 2026-08-01</t>
  </si>
  <si>
    <t xml:space="preserve">Приоритетное проектное требование; прежний отрицательный ответ superseded.</t>
  </si>
  <si>
    <t xml:space="preserve">Q-ENEMY-P1</t>
  </si>
  <si>
    <t xml:space="preserve">Где хранятся пользовательские шаблоны?</t>
  </si>
  <si>
    <t xml:space="preserve">Внутри конкретной кампании; общей пользовательской библиотеки между кампаниями нет.</t>
  </si>
  <si>
    <t xml:space="preserve">AQA-018
AQA-044
CORE-191
CORE-215</t>
  </si>
  <si>
    <t xml:space="preserve">Q-ENEMY-P2</t>
  </si>
  <si>
    <t xml:space="preserve">Кто управляет каталогами?</t>
  </si>
  <si>
    <t xml:space="preserve">Только текущий мастер кампании. После передачи роли право немедленно переходит новому мастеру; игроки вкладки не видят.</t>
  </si>
  <si>
    <t xml:space="preserve">AQA-022
AQA-044
CORE-191
CORE-192</t>
  </si>
  <si>
    <t xml:space="preserve">Q-ENEMY-P3</t>
  </si>
  <si>
    <t xml:space="preserve">Когда доступен редактор шаблонов?</t>
  </si>
  <si>
    <t xml:space="preserve">До запуска кампании и во время активной кампании вне любого активного или поставленного на паузу боя и вне незавершённой атомарной операции. Завершённая кампания неизменяема.</t>
  </si>
  <si>
    <t xml:space="preserve">AQA-022
AQA-036
AQA-044
CORE-192</t>
  </si>
  <si>
    <t xml:space="preserve">Q-ENEMY-P4</t>
  </si>
  <si>
    <t xml:space="preserve">Что находится на двух вкладках?</t>
  </si>
  <si>
    <t xml:space="preserve">Только многоразовые шаблоны: SENTIENT_ENEMIES и MONSTERS. Постоянные НПС, резерв и экземпляры боя отображаются отдельно; тип шаблона после создания не меняется.</t>
  </si>
  <si>
    <t xml:space="preserve">AQA-044
CORE-191
CORE-195</t>
  </si>
  <si>
    <t xml:space="preserve">Q-ENEMY-P5</t>
  </si>
  <si>
    <t xml:space="preserve">Как редактируется сохранённый шаблон?</t>
  </si>
  <si>
    <t xml:space="preserve">Только созданием новой полной версии. Старые версии и экземпляры не меняются; исторические версии остаются для аудита и прежних снимков, но не выбираются для нового экземпляра. Архивирование, удаление, in-place edit и статус «Черновик» отсутствуют: шаблон либо валиден и создан, либо отсутствует.</t>
  </si>
  <si>
    <t xml:space="preserve">AQA-002
AQA-015
AQA-033
CORE-194
CORE-195
CORE-213
CORE-215</t>
  </si>
  <si>
    <t xml:space="preserve">Q-ENEMY-P6</t>
  </si>
  <si>
    <t xml:space="preserve">Как шаблон добавляется в бой?</t>
  </si>
  <si>
    <t xml:space="preserve">Каждое добавление пользовательского шаблона атомарно фиксирует его currentVersionId, создаёт новый entityId и неизменяемый снимок templateId+versionId. Канонический источник фиксирует canonicalTemplateId+rulesVersion. Источник можно добавлять многократно; изменения экземпляра не записываются в шаблон.</t>
  </si>
  <si>
    <t xml:space="preserve">AQA-018
AQA-033
CORE-213</t>
  </si>
  <si>
    <t xml:space="preserve">Q-ENEMY-P7</t>
  </si>
  <si>
    <t xml:space="preserve">Можно ли сохранить действующего НПС как шаблон?</t>
  </si>
  <si>
    <t xml:space="preserve">Нет. «Добавить НПС», «Отпустить» и завершение сцены не пополняют каталог; отдельной команды SAVE_INSTANCE_AS_TEMPLATE нет.</t>
  </si>
  <si>
    <t xml:space="preserve">AQA-034
CORE-213
CORE-215</t>
  </si>
  <si>
    <t xml:space="preserve">Q-ENEMY-P8</t>
  </si>
  <si>
    <t xml:space="preserve">Какие идентификационные поля используются?</t>
  </si>
  <si>
    <t xml:space="preserve">Имя после trim 1–64 символа; необязательное описание до 2000; необязательный арт PNG/JPEG до 12 МБ. Одинаковые имена разрешены и различаются UUID; арт входит в версию.</t>
  </si>
  <si>
    <t xml:space="preserve">AQA-001
CORE-193</t>
  </si>
  <si>
    <t xml:space="preserve">Q-ENEMY-P9</t>
  </si>
  <si>
    <t xml:space="preserve">Чем создание мыслящего отличается от создания персонажа?</t>
  </si>
  <si>
    <t xml:space="preserve">Повторно используется согласованный процесс персонажа, но мастер вводит семь базовых характеристик напрямую без способов 85/90, бросков и критических последствий создания.</t>
  </si>
  <si>
    <t xml:space="preserve">AQA-005
CORE-159
CORE-163
CORE-196
CORE-197</t>
  </si>
  <si>
    <t xml:space="preserve">Q-ENEMY-P10</t>
  </si>
  <si>
    <t xml:space="preserve">Что сохраняется у врага-мыслящего?</t>
  </si>
  <si>
    <t xml:space="preserve">Обычные раса, класс Чистого, навыки, симбионты, имущество, масса, анатомия и производные показатели. Мастер одновременно создатель и согласующий, поэтому pending approval отсутствует.</t>
  </si>
  <si>
    <t xml:space="preserve">AQA-035
CORE-159
CORE-196
CORE-198</t>
  </si>
  <si>
    <t xml:space="preserve">Q-ENEMY-P11</t>
  </si>
  <si>
    <t xml:space="preserve">Как рассчитывается HP врага-мыслящего?</t>
  </si>
  <si>
    <t xml:space="preserve">По обычным правилам персонажа: базовый максимум 100 и штатные постоянные модификаторы. Произвольный baseMaxHP доступен только CustomMonster.</t>
  </si>
  <si>
    <t xml:space="preserve">CORE-196
CORE-198</t>
  </si>
  <si>
    <t xml:space="preserve">Q-ENEMY-P12</t>
  </si>
  <si>
    <t xml:space="preserve">Занимают ли враги места игроков?</t>
  </si>
  <si>
    <t xml:space="preserve">Нет. Они не получают клиентское устройство и не входят в лимит игроков; ими вручную управляет текущий мастер, боевого ИИ нет.</t>
  </si>
  <si>
    <t xml:space="preserve">AQA-016
AQA-035
AQA-040
AQA-043
CORE-196
CORE-198
CORE-213
CORE-215</t>
  </si>
  <si>
    <t xml:space="preserve">Q-ENEMY-P13</t>
  </si>
  <si>
    <t xml:space="preserve">Что означает отсутствие инвентаря у монстра?</t>
  </si>
  <si>
    <t xml:space="preserve">Нет контейнера предметов, экипировки, оружия и предметной брони. Выдача, подбор, изъятие, передача, экипировка и мародёрство недоступны; симбиотические органы предметами не считаются.</t>
  </si>
  <si>
    <t xml:space="preserve">AQA-028
AQA-032
AQA-034
CORE-199
CORE-204
CQA-061</t>
  </si>
  <si>
    <t xml:space="preserve">Q-ENEMY-P14</t>
  </si>
  <si>
    <t xml:space="preserve">Как работает природная броня?</t>
  </si>
  <si>
    <t xml:space="preserve">Это отдельный равномерный внутренний слой; 0 означает отсутствие слоя. Он складывается с активными слоями симбионта по CORE-150 и заново разрешается для каждого входящего разрешения пробития.</t>
  </si>
  <si>
    <t xml:space="preserve">CORE-150
CORE-199
CORE-205
CORE-206
CORE-210</t>
  </si>
  <si>
    <t xml:space="preserve">Q-ENEMY-P15</t>
  </si>
  <si>
    <t xml:space="preserve">В каком состоянии создаётся экземпляр?</t>
  </si>
  <si>
    <t xml:space="preserve">Жив, в сознании, с полными effectiveMaxHP и ОЭ, без ран, эффектов, кулдаунов, инициативы и участия в сцене.</t>
  </si>
  <si>
    <t xml:space="preserve">AQA-009
AQA-035
CORE-202
CORE-213
SYM-009</t>
  </si>
  <si>
    <t xml:space="preserve">Q-ENEMY-P16</t>
  </si>
  <si>
    <t xml:space="preserve">Как обрабатываются ошибки в конструкторе?</t>
  </si>
  <si>
    <t xml:space="preserve">Любое невалидное значение блокирует атомарную финализацию и возвращает конкретный код. Округление, clamp до 35 и молчаливая замена запрещены.</t>
  </si>
  <si>
    <t xml:space="preserve">CORE-194
CORE-200
CORE-214</t>
  </si>
  <si>
    <t xml:space="preserve">Q-ENEMY-P17</t>
  </si>
  <si>
    <t xml:space="preserve">Что журналируется?</t>
  </si>
  <si>
    <t xml:space="preserve">Создание, новая версия, случайная генерация и инстанцирование: мастер, кампания, время, operationId, templateId/versionId, значения до/после, RNG и ссылка/hash арта.</t>
  </si>
  <si>
    <t xml:space="preserve">AQA-015
CORE-193
CORE-194
CORE-195
CORE-213
CORE-214</t>
  </si>
  <si>
    <t xml:space="preserve">Pre-development QA v1.4</t>
  </si>
  <si>
    <t xml:space="preserve">Q-PREDEV-001</t>
  </si>
  <si>
    <t xml:space="preserve">Как задаются симбионты SentientEnemy?</t>
  </si>
  <si>
    <t xml:space="preserve">Мастер задаёт уровни и валидные деревья без XP-бюджета. Единому доступны четыре разных обычных симбионта либо одно выбранное напрямую симбиотическое чудовище; итоговый уровень учитывает межсимбионтные модификаторы, ОЭ полны, накопленная история пуста.</t>
  </si>
  <si>
    <t xml:space="preserve">Прямые ответы пользователя 2026-07-29</t>
  </si>
  <si>
    <t xml:space="preserve">Q-PREDEV-002</t>
  </si>
  <si>
    <t xml:space="preserve">Что делать, если цель не может активно защищаться?</t>
  </si>
  <si>
    <t xml:space="preserve">DefenseChoice=NONE, defenseTotal=0; нет броска и реакции, попадание требует accuracy&gt;0.</t>
  </si>
  <si>
    <t xml:space="preserve">Как моделировать Крысу и крысиную стаю?</t>
  </si>
  <si>
    <t xml:space="preserve">Крыса — отдельная однозонная сущность; стая — SWARM с HP=N, без зон/защит/травм/трупа и с запретом несовместимых анатомических эффектов.</t>
  </si>
  <si>
    <t xml:space="preserve">CORE-218
CORE-219</t>
  </si>
  <si>
    <t xml:space="preserve">Как маршрутизировать зоны канонического монстра?</t>
  </si>
  <si>
    <t xml:space="preserve">Обычный default CANONICAL_BODY; Трясинник BODY/BACK explicit; Вольмер OTHER_BODY, HEAD/OPEN_MOUTH explicit. FunctionalCapabilities не являются HP-зонами.</t>
  </si>
  <si>
    <t xml:space="preserve">Как разрешать укус захваченной цели Умоляющего?</t>
  </si>
  <si>
    <t xml:space="preserve">accuracy=R20+D; Dodge запрещён; иные физически доступные защиты −5; затем обычная броня, Pr=R12 и урон R20+S.</t>
  </si>
  <si>
    <t xml:space="preserve">Как работает «Марионетка» и временное управление?</t>
  </si>
  <si>
    <t xml:space="preserve">Два независимых R20+I; успех при первом результате не ниже второго+10; длительность отдельно; owningController сохраняется, effectiveController временно меняется и восстанавливается.</t>
  </si>
  <si>
    <t xml:space="preserve">MON-038
CORE-221</t>
  </si>
  <si>
    <t xml:space="preserve">Q-PREDEV-007</t>
  </si>
  <si>
    <t xml:space="preserve">Как Бубуй выбирает старейшую цель при UNKNOWN?</t>
  </si>
  <si>
    <t xml:space="preserve">Известные возрасты приоритетнее UNKNOWN; если известны только UNKNOWN — случайный выбор между ними.</t>
  </si>
  <si>
    <t xml:space="preserve">Используют ли монстры тяжёлое ранение?</t>
  </si>
  <si>
    <t xml:space="preserve">Обычные канонические и пользовательские монстры используют тяжёлое ранение и таймер смерти; видовые исключения Вольмера и запущенного взрыва Блохи сильнее.</t>
  </si>
  <si>
    <t xml:space="preserve">Можно ли обыскивать труп канонического монстра?</t>
  </si>
  <si>
    <t xml:space="preserve">Нет: PERSIST + NOT_LOOTABLE, контейнера нет, возвращается CORPSE_NOT_LOOTABLE до dereference. Взорвавшаяся Блоха не оставляет труп.</t>
  </si>
  <si>
    <t xml:space="preserve">Как анатомические способности работают у CustomMonster?</t>
  </si>
  <si>
    <t xml:space="preserve">Создаются непоражаемые функциональные интерфейсы. Паутинные железы Паука для CustomMonster недоступны; паутина не создаётся как предмет или MapObject.</t>
  </si>
  <si>
    <t xml:space="preserve">Какие яды игнорируют Крысюк и Гигантская жаба?</t>
  </si>
  <si>
    <t xml:space="preserve">Все эффекты POISON независимо от источника, включая симбиотические; иммунитет применяется до бросков и блокирует весь ядовитый payload.</t>
  </si>
  <si>
    <t xml:space="preserve">CORE-228
MON-104
MON-155</t>
  </si>
  <si>
    <t xml:space="preserve">Как устроен будущий стандартный каталог SentientEnemy?</t>
  </si>
  <si>
    <t xml:space="preserve">SYSTEM_DEFAULT_SENTIENT доступен в каждой кампании, версия pin-ится при создании, записи нельзя изменить/скрыть/архивировать/удалить; мастер только добавляет custom. Наполнение поставляется позже.</t>
  </si>
  <si>
    <t xml:space="preserve">Q-PREDEV-013</t>
  </si>
  <si>
    <t xml:space="preserve">Как исправить ложные RuleID-связи?</t>
  </si>
  <si>
    <t xml:space="preserve">Удалить ровно 354 связи Q-X-NNN→X-NNN из карточек и графа, не затрагивая легитимные зависимости.</t>
  </si>
  <si>
    <t xml:space="preserve">META-001</t>
  </si>
  <si>
    <t xml:space="preserve">Как клонировать несколько экземпляров врага?</t>
  </si>
  <si>
    <t xml:space="preserve">Новые UUID для всего изменяемого вложенного графа; только неизменяемые ссылки могут разделяться.</t>
  </si>
  <si>
    <t xml:space="preserve">Q-PREDEV-015</t>
  </si>
  <si>
    <t xml:space="preserve">Как синхронизировать Item Registry с монстрами?</t>
  </si>
  <si>
    <t xml:space="preserve">Добавить generic attack source, MonsterAttackProfile/naturalArmor scopes, corpse guard и не превращать их в ItemType.</t>
  </si>
  <si>
    <t xml:space="preserve">CORE-208
CORE-210
CORE-223</t>
  </si>
  <si>
    <t xml:space="preserve">Q-PREDEV-016</t>
  </si>
  <si>
    <t xml:space="preserve">Как типизировать особые атаки и симбионтов?</t>
  </si>
  <si>
    <t xml:space="preserve">Добавить закрытые machine-readable контракты атак и allowlist 20 обычных симбионтов с profileRuleId/maxL.</t>
  </si>
  <si>
    <t xml:space="preserve">CORE-203
CORE-224
CORE-228</t>
  </si>
  <si>
    <t xml:space="preserve">Q-PREDEV-017</t>
  </si>
  <si>
    <t xml:space="preserve">Какие runtime-состояния должны быть полными?</t>
  </si>
  <si>
    <t xml:space="preserve">Явно хранить corpse/loot, ControlLease, spawned actors, cooldown/effect/capture identities и контроллеров.</t>
  </si>
  <si>
    <t xml:space="preserve">CORE-218
CORE-219
CORE-221
CORE-223
CORE-225</t>
  </si>
  <si>
    <t xml:space="preserve">Как Pr=0 действует по цели без брони?</t>
  </si>
  <si>
    <t xml:space="preserve">Отсутствие брони — NO_LAYERS и автоматически проходит этап пробития; числовое сравнение применяется только при PRESENT.</t>
  </si>
  <si>
    <t xml:space="preserve">Боевые криты v1.4</t>
  </si>
  <si>
    <t xml:space="preserve">Q-COMBAT-CRIT-001</t>
  </si>
  <si>
    <t xml:space="preserve">Как в боевой ситуации разрешать подтверждённый критический успех или провал, если обычная математика дала противоположный исход, и как сравнивать встречные положительные криты?</t>
  </si>
  <si>
    <t xml:space="preserve">В бою natural 20/1 запускает подтверждение до обычной математики. Подтверждённый успех автоматически успешно разрешает текущую проверку, подтверждённый провал автоматически её проваливает. Два положительных крита сравниваются только по градации; при равенстве без нового броска оба ordinaryTotal пересчитываются как при natural 20 без подтверждения, после чего действует обычное строгое сравнение и равенство остаётся за защитой/status quo. Два критических провала означают провал обеих проверок и отсутствие инициирующего изменения. Крит решает только текущий этап. Счётчики характеристики и положительный опыт симбионта начисляются по собственной подтверждённой градации независимо от победителя; провал XP симбионту не даёт.</t>
  </si>
  <si>
    <t xml:space="preserve">CORE-073
CORE-075
CORE-082
CORE-083
CORE-084
CORE-085
CORE-125
CORE-145
CORE-146
CORE-149
CORE-208
CORE-217
CORE-229
SYM-021
SYM-066
SYM-082</t>
  </si>
  <si>
    <t xml:space="preserve">Прямое уточнение пользователя 2026-07-29 — боевой приоритет критов</t>
  </si>
  <si>
    <t xml:space="preserve">Сквозная сверка реестров v1.5</t>
  </si>
  <si>
    <t xml:space="preserve">Q-CROSS-REG-001</t>
  </si>
  <si>
    <t xml:space="preserve">Как броня должна взаимодействовать со взрывом Огненной блохи?</t>
  </si>
  <si>
    <t xml:space="preserve">Взрыв Огненной блохи игнорирует все активные слои брони цели, включая предметную, природную и симбиотическую броню. Этап пробития не выполняется: penetration не разрешается и не сравнивается с totalArmor. Урон R20×2+40 остаётся обычным DAMAGE, а не direct/clean damage. Формула, радиус, горение и политика трупа не изменяются.</t>
  </si>
  <si>
    <t xml:space="preserve">MON-115
CORE-150
CORE-226</t>
  </si>
  <si>
    <t xml:space="preserve">Прямое решение пользователя 2026-07-30 — сквозная сверка четырёх реестров</t>
  </si>
  <si>
    <t xml:space="preserve">Опыт симбионтов v1.6</t>
  </si>
  <si>
    <t xml:space="preserve">Как natural 20/1 и их критические градации дают прямой XP симбионту или баллы общего счётчика?</t>
  </si>
  <si>
    <t xml:space="preserve">Оригинальный D20 персонажа игрока с rawFace 20 или 1 создаёт не более одного события. Связанная характеристика в значимой direct-eligible проверке даёт прямой XP одному равновероятно выбранному активному симбионту; несвязанный допустимый бросок и перечисленные количественные rollKind дают points в общий счётчик; 3 points превращаются в 1 накапливаемый unallocatedSymbiontXp. NEVER-источники исключены. Вольный удваивает только фактическое начисление симбионту.</t>
  </si>
  <si>
    <t xml:space="preserve">CORE-007
CORE-073
CORE-075
CORE-082
CORE-083
CORE-084
CORE-085
CORE-087
CORE-092
CORE-104
CORE-125
CORE-145
CORE-146
CORE-149
CORE-150
CORE-163
CORE-172
CORE-208
CORE-229
CORE-230
CORE-231
CORE-232
CORE-233
SYM-012
SYM-017
SYM-021
SYM-022
SYM-038
SYM-055
SYM-075
SYM-082
SYM-130
AQA-027
AQA-039</t>
  </si>
  <si>
    <t xml:space="preserve">Вставленный текст(1).txt</t>
  </si>
  <si>
    <t xml:space="preserve">Мастерское начисление XP v1.7</t>
  </si>
  <si>
    <t xml:space="preserve">Как мастер начисляет XP симбионту и можно ли откатить такое начисление?</t>
  </si>
  <si>
    <t xml:space="preserve">Мастер выбирает персонажа игрока и конкретный принадлежащий ему xpEligible симбионт, вводит положительное целое baseXP и обязательную причину. Вольный получает baseXP×2, остальные ×1; общий счётчик, unallocated XP и конвертация 3→1 не используются. awardId идемпотентен, аудит append-only. После commit начисление всегда валидно; откат, удаление, отрицательная и компенсирующая операция отсутствуют.</t>
  </si>
  <si>
    <t xml:space="preserve">CORE-007
CORE-234
SYM-021</t>
  </si>
  <si>
    <t xml:space="preserve">Прямое решение пользователя 2026-08-01.</t>
  </si>
  <si>
    <t xml:space="preserve">Музыкальная ночь v1.1</t>
  </si>
  <si>
    <t xml:space="preserve">Q-SOUND-NIGHT-001</t>
  </si>
  <si>
    <t xml:space="preserve">С какой границы музыкальное сопровождение переходит в ночной режим?</t>
  </si>
  <si>
    <t xml:space="preserve">Музыкальная ночь синхронизирована с игровой dayPhase: NIGHT=[21:00,06:00), DAY=[06:00,21:00). В 21:00 вне боя активируется ночной пул. localLighting мастера не меняет музыкальную фазу.</t>
  </si>
  <si>
    <t xml:space="preserve">AQA-023
AQ2-008
Soundtrack R-007</t>
  </si>
  <si>
    <t xml:space="preserve">Тип изменения</t>
  </si>
  <si>
    <t xml:space="preserve">Rule / Meta ID</t>
  </si>
  <si>
    <t xml:space="preserve">Действие</t>
  </si>
  <si>
    <t xml:space="preserve">Ответ / основание</t>
  </si>
  <si>
    <t xml:space="preserve">Итог интеграции</t>
  </si>
  <si>
    <t xml:space="preserve">Входит в 687 runtime-правил</t>
  </si>
  <si>
    <t xml:space="preserve">Метаправило сборки</t>
  </si>
  <si>
    <t xml:space="preserve">Композиция базовых полей и поздних решений</t>
  </si>
  <si>
    <t xml:space="preserve">Действует при сборке реестра</t>
  </si>
  <si>
    <t xml:space="preserve">Восемь базовых полей остаются нормативными в непротиворечащей части; поздний ответ заменяет только пересекающийся фрагмент. Явное исключение сохраняется как tombstone.
Поздние ответы являются delta-overrides. Поля «Категория», «Субъект», «Триггер», «Предусловия», «Входы», «Алгоритм», «Результат» и «Исключения» остаются нормативной базой во всей непротиворечащей части. Строка решения заменяет только прямо пересекающуюся ветвь. Приоритет: AQ3 &gt; AQ2 &gt; AQA/CQA &gt; базовая карточка; локальная строка «Исключения/приоритет» сильнее общего порядка. Полное исключение действует только при явном статусе tombstone/«не исполняется». Формулировку «восемь полей сохранены только как история» нужно удалить из исполняемых карточек.</t>
  </si>
  <si>
    <t xml:space="preserve">Недостающее runtime-правило</t>
  </si>
  <si>
    <t xml:space="preserve">Полная боевая ветвь натуральной 1</t>
  </si>
  <si>
    <t xml:space="preserve">Изменена существующая карточка</t>
  </si>
  <si>
    <t xml:space="preserve">Исправление ссылки</t>
  </si>
  <si>
    <t xml:space="preserve">CQA-003 заменён на CQA-007; мирная ветвь сохранена по AQ3-002.</t>
  </si>
  <si>
    <t xml:space="preserve">Неуспешный дальний прыжок Гигантской жабы</t>
  </si>
  <si>
    <t xml:space="preserve">Эта ветвь заменяет прежнюю неопределённость точки недолёта.</t>
  </si>
  <si>
    <t xml:space="preserve">Завершение полёта Хранителя в 2D</t>
  </si>
  <si>
    <t xml:space="preserve">Финальная 2D-семантика заменяет ветвь падения и поиска безопасной точки.</t>
  </si>
  <si>
    <t xml:space="preserve">Ручной выбор цели и команды противника</t>
  </si>
  <si>
    <t xml:space="preserve">Переписана существующая карточка</t>
  </si>
  <si>
    <t xml:space="preserve">Исправление границы ассистированного управления</t>
  </si>
  <si>
    <t xml:space="preserve">Удалены автоматический выбор/предложение цели и зависимость ENC-051.</t>
  </si>
  <si>
    <t xml:space="preserve">Добавлена новая карточка</t>
  </si>
  <si>
    <t xml:space="preserve">Создание противника в первой версии</t>
  </si>
  <si>
    <t xml:space="preserve">Создан независимый снимок выбранного шаблона.</t>
  </si>
  <si>
    <t xml:space="preserve">Множитель таймера тяжёлого ранения Химеры</t>
  </si>
  <si>
    <t xml:space="preserve">Синхронизирована существующая карточка</t>
  </si>
  <si>
    <t xml:space="preserve">Локальный приоритет CORE-154</t>
  </si>
  <si>
    <t xml:space="preserve">Во всех итоговых runtime-полях MON-009 применяется множитель ×4.</t>
  </si>
  <si>
    <t xml:space="preserve">Уже входило</t>
  </si>
  <si>
    <t xml:space="preserve">Группа</t>
  </si>
  <si>
    <t xml:space="preserve">Определение</t>
  </si>
  <si>
    <t xml:space="preserve">Поле реестра</t>
  </si>
  <si>
    <t xml:space="preserve">Стабильный уникальный идентификатор правила; использовать как ключ в коде и данных.</t>
  </si>
  <si>
    <t xml:space="preserve">Активно либо Не автоматизируется.</t>
  </si>
  <si>
    <t xml:space="preserve">Прямая инструкция, включать ли карточку в Windows-приложение.</t>
  </si>
  <si>
    <t xml:space="preserve">Игровой bounded context для маршрутизации логики.</t>
  </si>
  <si>
    <t xml:space="preserve">Предлагаемый модуль Windows-приложения.</t>
  </si>
  <si>
    <t xml:space="preserve">Событие, команда или переход, запускающий правило.</t>
  </si>
  <si>
    <t xml:space="preserve">Обязательные состояния до запуска.</t>
  </si>
  <si>
    <t xml:space="preserve">Состояния, выборы, ресурсы и числовые значения.</t>
  </si>
  <si>
    <t xml:space="preserve">Нормативная исполняемая логика после композиции всех ответов.</t>
  </si>
  <si>
    <t xml:space="preserve">Результат</t>
  </si>
  <si>
    <t xml:space="preserve">Набор наблюдаемых изменений игрового состояния.</t>
  </si>
  <si>
    <t xml:space="preserve">Локальные исключения сильнее общего порядка источников.</t>
  </si>
  <si>
    <t xml:space="preserve">Числовой порядок для сортировки и диагностики, не замена семантической композиции.</t>
  </si>
  <si>
    <t xml:space="preserve">Реализовать и учитывать при вычислении игрового состояния.</t>
  </si>
  <si>
    <t xml:space="preserve">Сохранить для трассировки, но не предоставлять команду и не исполнять автоматически.</t>
  </si>
  <si>
    <t xml:space="preserve">CORE / SYM / MON, включая композицию с поздними ответами.</t>
  </si>
  <si>
    <t xml:space="preserve">CQA / AQA / AQ2 / AQ3, нормализованное в конкретные runtime-поля.</t>
  </si>
  <si>
    <t xml:space="preserve">Новая карточка, добавленная по финальным пользовательским ответам.</t>
  </si>
  <si>
    <t xml:space="preserve">Q-QA</t>
  </si>
  <si>
    <t xml:space="preserve">60; самый поздний слой, материализованный в патчах и новых карточках v1.1.</t>
  </si>
  <si>
    <t xml:space="preserve">AQ3</t>
  </si>
  <si>
    <t xml:space="preserve">50</t>
  </si>
  <si>
    <t xml:space="preserve">AQ2</t>
  </si>
  <si>
    <t xml:space="preserve">40</t>
  </si>
  <si>
    <t xml:space="preserve">AQA / CQA</t>
  </si>
  <si>
    <t xml:space="preserve">30</t>
  </si>
  <si>
    <t xml:space="preserve">10</t>
  </si>
  <si>
    <t xml:space="preserve">Связь</t>
  </si>
  <si>
    <t xml:space="preserve">Источник заменяет пересекающуюся ветвь цели.</t>
  </si>
  <si>
    <t xml:space="preserve">Источник использует правило-цель без изменения его смысла.</t>
  </si>
  <si>
    <t xml:space="preserve">Контроль</t>
  </si>
  <si>
    <t xml:space="preserve">Во всех строках должен быть равен 1.</t>
  </si>
  <si>
    <t xml:space="preserve">Композиция</t>
  </si>
  <si>
    <t xml:space="preserve">База + поздние дельты = Да</t>
  </si>
  <si>
    <t xml:space="preserve">Карточка собрана из нормативной базы и последующих ответов; текст уже материализован.</t>
  </si>
  <si>
    <t xml:space="preserve">Мастерский тип дайса оружия</t>
  </si>
  <si>
    <t xml:space="preserve">R4</t>
  </si>
  <si>
    <t xml:space="preserve">ROLL(R4); один новый R4 на каждую отдельно разрешаемую атаку.</t>
  </si>
  <si>
    <t xml:space="preserve">R4+X</t>
  </si>
  <si>
    <t xml:space="preserve">ROLL(R4)+X; X — произвольное конечное положительное число без формульной верхней границы.</t>
  </si>
  <si>
    <t xml:space="preserve">R6</t>
  </si>
  <si>
    <t xml:space="preserve">ROLL(R6); один новый R6 на каждую отдельно разрешаемую атаку.</t>
  </si>
  <si>
    <t xml:space="preserve">R6+X</t>
  </si>
  <si>
    <t xml:space="preserve">ROLL(R6)+X; X — произвольное конечное положительное число без формульной верхней границы.</t>
  </si>
  <si>
    <t xml:space="preserve">R12</t>
  </si>
  <si>
    <t xml:space="preserve">ROLL(R12); один новый R12 на каждую отдельно разрешаемую атаку.</t>
  </si>
  <si>
    <t xml:space="preserve">R12+X</t>
  </si>
  <si>
    <t xml:space="preserve">ROLL(R12)+X; X — произвольное конечное положительное число без формульной верхней границы.</t>
  </si>
  <si>
    <t xml:space="preserve">R20+X</t>
  </si>
  <si>
    <t xml:space="preserve">ROLL(R20)+X; X — произвольное конечное положительное число без формульной верхней границы.</t>
  </si>
  <si>
    <t xml:space="preserve">R20*2+X</t>
  </si>
  <si>
    <t xml:space="preserve">2*ROLL(R20)+X; бросается один R20, затем удваивается; X — произвольное конечное положительное число без формульной верхней границы.</t>
  </si>
  <si>
    <t xml:space="preserve">Источник профиля оружия</t>
  </si>
  <si>
    <t xml:space="preserve">TEMPLATE_FIXED</t>
  </si>
  <si>
    <t xml:space="preserve">Полный канонический шаблон без instance-level числового patch.</t>
  </si>
  <si>
    <t xml:space="preserve">PLAYER_FORMULA_VALIDATED</t>
  </si>
  <si>
    <t xml:space="preserve">Готовый профиль игрока с exact joint formula witness.</t>
  </si>
  <si>
    <t xml:space="preserve">MASTER_OVERRIDE</t>
  </si>
  <si>
    <t xml:space="preserve">Мастерский instance-level patch с обязательным аудитом.</t>
  </si>
  <si>
    <t xml:space="preserve">valueMode оружия</t>
  </si>
  <si>
    <t xml:space="preserve">INSTANCE_VALUE</t>
  </si>
  <si>
    <t xml:space="preserve">Читать готовое instanceDamage; результат боевого броска сюда не записывается.</t>
  </si>
  <si>
    <t xml:space="preserve">CONSTANT</t>
  </si>
  <si>
    <t xml:space="preserve">Читать постоянное значение шаблона/активного профиля.</t>
  </si>
  <si>
    <t xml:space="preserve">PER_ATTACK_ROLL</t>
  </si>
  <si>
    <t xml:space="preserve">Выполнять новый бросок по expression на каждую отдельно разрешаемую атаку.</t>
  </si>
  <si>
    <t xml:space="preserve">evaluationScope оружия</t>
  </si>
  <si>
    <t xml:space="preserve">EACH_RESOLVED_ATTACK</t>
  </si>
  <si>
    <t xml:space="preserve">Новое вычисление для каждой отдельно разрешаемой атаки или удара серии.</t>
  </si>
  <si>
    <t xml:space="preserve">Ошибка профиля оружия</t>
  </si>
  <si>
    <t xml:space="preserve">PLAYER_WEAPON_EDIT_OUTSIDE_CREATION</t>
  </si>
  <si>
    <t xml:space="preserve">Игрок пытается изменить профиль после завершения создания персонажа.</t>
  </si>
  <si>
    <t xml:space="preserve">PURE_WEAPON_PROFILE_LOCKED</t>
  </si>
  <si>
    <t xml:space="preserve">Игрок изменил хотя бы одно поле оружия Чистых.</t>
  </si>
  <si>
    <t xml:space="preserve">FORMULA_PROFILE_REQUIRED</t>
  </si>
  <si>
    <t xml:space="preserve">Для выбранного типа/варианта игрока отсутствует нормативная формула.</t>
  </si>
  <si>
    <t xml:space="preserve">FORMULA_FIELDS_INCOMPLETE</t>
  </si>
  <si>
    <t xml:space="preserve">Не указаны все обязательные выходы формулы.</t>
  </si>
  <si>
    <t xml:space="preserve">FORMULA_WITNESS_NOT_FOUND</t>
  </si>
  <si>
    <t xml:space="preserve">Не существует единого witness, одновременно дающего заявленный профиль.</t>
  </si>
  <si>
    <t xml:space="preserve">PLAYER_FIELD_NOT_FORMULA_DERIVED</t>
  </si>
  <si>
    <t xml:space="preserve">Игрок изменяет поле, которое не является выходом формулы.</t>
  </si>
  <si>
    <t xml:space="preserve">MASTER_ROLE_REQUIRED</t>
  </si>
  <si>
    <t xml:space="preserve">Операцию мастерского patch выполняет не мастер.</t>
  </si>
  <si>
    <t xml:space="preserve">MASTER_REASON_REQUIRED</t>
  </si>
  <si>
    <t xml:space="preserve">Для MASTER_OVERRIDE не указана причина.</t>
  </si>
  <si>
    <t xml:space="preserve">INVALID_DICE_EXPRESSION</t>
  </si>
  <si>
    <t xml:space="preserve">Новое мастерское выражение отсутствует в закрытом списке.</t>
  </si>
  <si>
    <t xml:space="preserve">DICE_BONUS_NOT_POSITIVE</t>
  </si>
  <si>
    <t xml:space="preserve">X в выражении с +X не является конечным положительным числом.</t>
  </si>
  <si>
    <t xml:space="preserve">INVALID_STAT_REQUIREMENT</t>
  </si>
  <si>
    <t xml:space="preserve">Неизвестная характеристика, дубль или порог не является конечным положительным числом.</t>
  </si>
  <si>
    <t xml:space="preserve">RANGE_NOT_POSITIVE</t>
  </si>
  <si>
    <t xml:space="preserve">Дальность не является конечным положительным числом.</t>
  </si>
  <si>
    <t xml:space="preserve">RANGE_NOT_APPLICABLE</t>
  </si>
  <si>
    <t xml:space="preserve">Дальность задана для варианта, который не является дальнобойным.</t>
  </si>
  <si>
    <t xml:space="preserve">ACCURACY_BONUS_NOT_POSITIVE</t>
  </si>
  <si>
    <t xml:space="preserve">Указанный бонус точности не является конечным положительным числом.</t>
  </si>
  <si>
    <t xml:space="preserve">ATTACK_VARIANT_REQUIRED</t>
  </si>
  <si>
    <t xml:space="preserve">Для составного или многовариантного оружия не выбран attackVariantId.</t>
  </si>
  <si>
    <t xml:space="preserve">Прямые правила v1.3</t>
  </si>
  <si>
    <t xml:space="preserve">70; самый поздний слой CORE-191–CORE-215 и scoped-патчей v1.3, сильнее Q-QA=60 только в пересекающейся ветви.</t>
  </si>
  <si>
    <t xml:space="preserve">Тип шаблона врага</t>
  </si>
  <si>
    <t xml:space="preserve">SENTIENT_ENEMY</t>
  </si>
  <si>
    <t xml:space="preserve">Враг-мыслящий, созданный по процессу персонажа с прямыми базовыми характеристиками.</t>
  </si>
  <si>
    <t xml:space="preserve">CUSTOM_MONSTER</t>
  </si>
  <si>
    <t xml:space="preserve">Пользовательский монстр без навыков, инвентаря и зон тела.</t>
  </si>
  <si>
    <t xml:space="preserve">Происхождение шаблона врага</t>
  </si>
  <si>
    <t xml:space="preserve">CAMPAIGN_CUSTOM</t>
  </si>
  <si>
    <t xml:space="preserve">Пользовательский шаблон, принадлежащий одной кампании.</t>
  </si>
  <si>
    <t xml:space="preserve">CANONICAL_BESTIARY</t>
  </si>
  <si>
    <t xml:space="preserve">Read-only канонический шаблон бестиария с системным overlay атаки.</t>
  </si>
  <si>
    <t xml:space="preserve">Вкладка каталога врагов</t>
  </si>
  <si>
    <t xml:space="preserve">SENTIENT_ENEMIES</t>
  </si>
  <si>
    <t xml:space="preserve">Текущие версии пользовательских врагов-мыслящих кампании.</t>
  </si>
  <si>
    <t xml:space="preserve">MONSTERS</t>
  </si>
  <si>
    <t xml:space="preserve">Пользовательские монстры кампании и read-only канонический бестиарий.</t>
  </si>
  <si>
    <t xml:space="preserve">NONSTANDARD_TORSO_ONLY</t>
  </si>
  <si>
    <t xml:space="preserve">Только CustomMonster: зоны тела отсутствуют; все попадания и травмы нормализуются в TORSO. Канонический статблок не меняется.</t>
  </si>
  <si>
    <t xml:space="preserve">Категория атаки</t>
  </si>
  <si>
    <t xml:space="preserve">MONSTER_ATTACK</t>
  </si>
  <si>
    <t xml:space="preserve">Системная особая категория базовой атаки монстра; не оружие и не «Рукопашный бой».</t>
  </si>
  <si>
    <t xml:space="preserve">Дистанция атаки</t>
  </si>
  <si>
    <t xml:space="preserve">MELEE</t>
  </si>
  <si>
    <t xml:space="preserve">Ближняя атака; обязательное значение базовой MONSTER_ATTACK.</t>
  </si>
  <si>
    <t xml:space="preserve">RANGED</t>
  </si>
  <si>
    <t xml:space="preserve">Дальняя атака; для монстра возможна только по прямому правилу симбионта.</t>
  </si>
  <si>
    <t xml:space="preserve">Runtime valueMode монстра</t>
  </si>
  <si>
    <t xml:space="preserve">ZERO</t>
  </si>
  <si>
    <t xml:space="preserve">Нормализованное нулевое значение без броска.</t>
  </si>
  <si>
    <t xml:space="preserve">Конечное положительное постоянное числовое значение.</t>
  </si>
  <si>
    <t xml:space="preserve">PER_RESOLUTION_ROLL</t>
  </si>
  <si>
    <t xml:space="preserve">Новый бросок в пределах указанного evaluationScope.</t>
  </si>
  <si>
    <t xml:space="preserve">Runtime evaluationScope монстра</t>
  </si>
  <si>
    <t xml:space="preserve">EACH_MONSTER_BASE_ATTACK</t>
  </si>
  <si>
    <t xml:space="preserve">Независимое вычисление для каждого отдельно разрешаемого использования базовой атаки монстра.</t>
  </si>
  <si>
    <t xml:space="preserve">EACH_INCOMING_ARMOR_RESOLUTION</t>
  </si>
  <si>
    <t xml:space="preserve">Независимое вычисление природной брони для каждого входящего разрешения пробития.</t>
  </si>
  <si>
    <t xml:space="preserve">Runtime-выражение монстра</t>
  </si>
  <si>
    <t xml:space="preserve">ZERO; без броска.</t>
  </si>
  <si>
    <t xml:space="preserve">POSITIVE_CONSTANT</t>
  </si>
  <si>
    <t xml:space="preserve">CONSTANT; конечное положительное число без игрового верхнего лимита.</t>
  </si>
  <si>
    <t xml:space="preserve">ROLL(R4).</t>
  </si>
  <si>
    <t xml:space="preserve">ROLL(R4)+X; X — положительное целое.</t>
  </si>
  <si>
    <t xml:space="preserve">ROLL(R6).</t>
  </si>
  <si>
    <t xml:space="preserve">ROLL(R6)+X; X — положительное целое.</t>
  </si>
  <si>
    <t xml:space="preserve">ROLL(R12).</t>
  </si>
  <si>
    <t xml:space="preserve">ROLL(R12)+X; X — положительное целое.</t>
  </si>
  <si>
    <t xml:space="preserve">R20</t>
  </si>
  <si>
    <t xml:space="preserve">ROLL(R20).</t>
  </si>
  <si>
    <t xml:space="preserve">ROLL(R20)+X; X — положительное целое.</t>
  </si>
  <si>
    <t xml:space="preserve">2*ROLL(R20)+X: бросается один R20, затем результат удваивается и прибавляется положительный целый X.</t>
  </si>
  <si>
    <t xml:space="preserve">Операция каталога врагов</t>
  </si>
  <si>
    <t xml:space="preserve">LIST_SENTIENT_ENEMY_TEMPLATES</t>
  </si>
  <si>
    <t xml:space="preserve">Получить видимые текущему мастеру шаблоны вкладки SENTIENT_ENEMIES.</t>
  </si>
  <si>
    <t xml:space="preserve">LIST_MONSTER_TEMPLATES</t>
  </si>
  <si>
    <t xml:space="preserve">Получить пользовательские и канонические записи вкладки MONSTERS.</t>
  </si>
  <si>
    <t xml:space="preserve">CREATE_SENTIENT_ENEMY_TEMPLATE</t>
  </si>
  <si>
    <t xml:space="preserve">Атомарно создать валидный шаблон врага-мыслящего и версию №1.</t>
  </si>
  <si>
    <t xml:space="preserve">CREATE_CUSTOM_MONSTER_TEMPLATE</t>
  </si>
  <si>
    <t xml:space="preserve">Атомарно создать валидный шаблон пользовательского монстра и версию №1.</t>
  </si>
  <si>
    <t xml:space="preserve">RANDOMIZE_CUSTOM_MONSTER_STATS</t>
  </si>
  <si>
    <t xml:space="preserve">Единожды получить семь независимых R20 для creationAttemptId.</t>
  </si>
  <si>
    <t xml:space="preserve">CREATE_ENEMY_TEMPLATE_VERSION</t>
  </si>
  <si>
    <t xml:space="preserve">Создать полную новую версию существующего шаблона.</t>
  </si>
  <si>
    <t xml:space="preserve">INSTANTIATE_ENEMY_TEMPLATE</t>
  </si>
  <si>
    <t xml:space="preserve">Custom: снимок currentVersionId; canonical: снимок canonicalTemplateId+rulesVersion.</t>
  </si>
  <si>
    <t xml:space="preserve">Ошибка шаблона врага</t>
  </si>
  <si>
    <t xml:space="preserve">Операцию выполняет не текущий мастер кампании.</t>
  </si>
  <si>
    <t xml:space="preserve">ENEMY_TEMPLATE_TAB_FORBIDDEN</t>
  </si>
  <si>
    <t xml:space="preserve">Актору недоступна вкладка шаблонов врагов.</t>
  </si>
  <si>
    <t xml:space="preserve">CAMPAIGN_NOT_EDITABLE</t>
  </si>
  <si>
    <t xml:space="preserve">Состояние кампании не допускает изменение каталога.</t>
  </si>
  <si>
    <t xml:space="preserve">ACTIVE_COMBAT_BLOCKS_TEMPLATE_MUTATION</t>
  </si>
  <si>
    <t xml:space="preserve">Активный или поставленный на паузу бой блокирует mutation шаблона.</t>
  </si>
  <si>
    <t xml:space="preserve">UNFINISHED_OPERATION_BLOCKS_TEMPLATE_MUTATION</t>
  </si>
  <si>
    <t xml:space="preserve">Незавершённая атомарная операция блокирует mutation шаблона.</t>
  </si>
  <si>
    <t xml:space="preserve">TEMPLATE_CAMPAIGN_MISMATCH</t>
  </si>
  <si>
    <t xml:space="preserve">Шаблон не принадлежит указанной кампании.</t>
  </si>
  <si>
    <t xml:space="preserve">TEMPLATE_TYPE_IMMUTABLE</t>
  </si>
  <si>
    <t xml:space="preserve">Попытка изменить kind существующего шаблона.</t>
  </si>
  <si>
    <t xml:space="preserve">TEMPLATE_NOT_FOUND</t>
  </si>
  <si>
    <t xml:space="preserve">Указанный templateId не найден.</t>
  </si>
  <si>
    <t xml:space="preserve">TEMPLATE_VERSION_NOT_FOUND</t>
  </si>
  <si>
    <t xml:space="preserve">Указанный versionId не найден.</t>
  </si>
  <si>
    <t xml:space="preserve">TEMPLATE_VERSION_CONFLICT</t>
  </si>
  <si>
    <t xml:space="preserve">baseVersionId не совпадает с currentVersionId.</t>
  </si>
  <si>
    <t xml:space="preserve">IN_PLACE_TEMPLATE_UPDATE_FORBIDDEN</t>
  </si>
  <si>
    <t xml:space="preserve">Запрошено изменение сохранённой версии на месте.</t>
  </si>
  <si>
    <t xml:space="preserve">TEMPLATE_ARCHIVE_UNSUPPORTED</t>
  </si>
  <si>
    <t xml:space="preserve">Архивирование шаблонов не предусмотрено.</t>
  </si>
  <si>
    <t xml:space="preserve">TEMPLATE_DELETE_UNSUPPORTED</t>
  </si>
  <si>
    <t xml:space="preserve">Удаление сохранённых шаблонов не предусмотрено.</t>
  </si>
  <si>
    <t xml:space="preserve">SAVE_INSTANCE_AS_TEMPLATE_UNSUPPORTED</t>
  </si>
  <si>
    <t xml:space="preserve">Сохранение экземпляра/НПС как шаблона не поддерживается.</t>
  </si>
  <si>
    <t xml:space="preserve">ENEMY_NAME_REQUIRED</t>
  </si>
  <si>
    <t xml:space="preserve">После trim отсутствует имя шаблона.</t>
  </si>
  <si>
    <t xml:space="preserve">ENEMY_NAME_LENGTH_INVALID</t>
  </si>
  <si>
    <t xml:space="preserve">Имя не попадает в диапазон 1–64 символа.</t>
  </si>
  <si>
    <t xml:space="preserve">ENEMY_DESCRIPTION_TOO_LONG</t>
  </si>
  <si>
    <t xml:space="preserve">Описание превышает 2000 символов.</t>
  </si>
  <si>
    <t xml:space="preserve">ART_FORMAT_UNSUPPORTED</t>
  </si>
  <si>
    <t xml:space="preserve">Арт не является PNG или JPEG.</t>
  </si>
  <si>
    <t xml:space="preserve">ART_FILE_TOO_LARGE</t>
  </si>
  <si>
    <t xml:space="preserve">Размер арта превышает 12 МБ.</t>
  </si>
  <si>
    <t xml:space="preserve">BASE_STAT_SET_INCOMPLETE</t>
  </si>
  <si>
    <t xml:space="preserve">Не заданы ровно семь базовых характеристик S,D,M,Z,I,W,C.</t>
  </si>
  <si>
    <t xml:space="preserve">BASE_STAT_NOT_INTEGER</t>
  </si>
  <si>
    <t xml:space="preserve">Хотя бы одна базовая характеристика не является целым числом.</t>
  </si>
  <si>
    <t xml:space="preserve">BASE_STAT_OUT_OF_RANGE</t>
  </si>
  <si>
    <t xml:space="preserve">Хотя бы одна базовая характеристика вне диапазона 1–35.</t>
  </si>
  <si>
    <t xml:space="preserve">FINAL_STAT_BELOW_MINIMUM</t>
  </si>
  <si>
    <t xml:space="preserve">После постоянных модификаторов итоговая характеристика ниже 1.</t>
  </si>
  <si>
    <t xml:space="preserve">STAT_ALLOCATION_MODE_NOT_APPLICABLE</t>
  </si>
  <si>
    <t xml:space="preserve">Для врага выбран способ 85/90, броски или «Всё или ничего».</t>
  </si>
  <si>
    <t xml:space="preserve">MONSTER_STATS_ALREADY_RANDOMIZED</t>
  </si>
  <si>
    <t xml:space="preserve">В текущей попытке уже использована единственная генерация характеристик.</t>
  </si>
  <si>
    <t xml:space="preserve">MONSTER_RANDOMIZATION_NOT_APPLICABLE</t>
  </si>
  <si>
    <t xml:space="preserve">Случайная генерация запрошена не для CustomMonster.</t>
  </si>
  <si>
    <t xml:space="preserve">CREATION_ATTEMPT_NOT_FOUND</t>
  </si>
  <si>
    <t xml:space="preserve">creationAttemptId отсутствует или не принадлежит операции.</t>
  </si>
  <si>
    <t xml:space="preserve">MONSTER_BASE_MAX_HP_INVALID</t>
  </si>
  <si>
    <t xml:space="preserve">baseMaxHP монстра не является положительным целым.</t>
  </si>
  <si>
    <t xml:space="preserve">MONSTER_MASS_INVALID</t>
  </si>
  <si>
    <t xml:space="preserve">massKg не является положительным значением с точностью 0,1.</t>
  </si>
  <si>
    <t xml:space="preserve">MONSTER_AGE_INVALID</t>
  </si>
  <si>
    <t xml:space="preserve">ageYears не является положительным целым.</t>
  </si>
  <si>
    <t xml:space="preserve">MONSTER_UNSUPPORTED_FIELD</t>
  </si>
  <si>
    <t xml:space="preserve">Payload монстра содержит race/class/equipment или иное недопустимое поле.</t>
  </si>
  <si>
    <t xml:space="preserve">MONSTER_SKILLS_UNSUPPORTED</t>
  </si>
  <si>
    <t xml:space="preserve">Для монстра задан или создан контейнер навыков.</t>
  </si>
  <si>
    <t xml:space="preserve">MONSTER_INVENTORY_UNSUPPORTED</t>
  </si>
  <si>
    <t xml:space="preserve">Для монстра задан или использован контейнер предметов.</t>
  </si>
  <si>
    <t xml:space="preserve">MONSTER_BODY_ZONES_UNSUPPORTED</t>
  </si>
  <si>
    <t xml:space="preserve">Для монстра заданы поражаемые зоны тела.</t>
  </si>
  <si>
    <t xml:space="preserve">MONSTER_SYMBIONT_LIMIT_EXCEEDED</t>
  </si>
  <si>
    <t xml:space="preserve">Для монстра выбрано более одного симбионта.</t>
  </si>
  <si>
    <t xml:space="preserve">MONSTER_SYMBIONT_FORBIDDEN</t>
  </si>
  <si>
    <t xml:space="preserve">Выбран запрещённый симбионт или симбиотическое чудовище.</t>
  </si>
  <si>
    <t xml:space="preserve">MONSTER_SYMBIONT_LEVEL_OUT_OF_RANGE</t>
  </si>
  <si>
    <t xml:space="preserve">Уровень симбионта вне диапазона 1..species.maxL.</t>
  </si>
  <si>
    <t xml:space="preserve">MONSTER_SYMBIONT_ABILITY_SET_INVALID</t>
  </si>
  <si>
    <t xml:space="preserve">Изученные узлы не образуют валидное дерево указанного уровня.</t>
  </si>
  <si>
    <t xml:space="preserve">INVALID_MONSTER_RUNTIME_EXPRESSION</t>
  </si>
  <si>
    <t xml:space="preserve">Runtime-выражение отсутствует в закрытой грамматике монстра.</t>
  </si>
  <si>
    <t xml:space="preserve">RUNTIME_CONSTANT_NOT_POSITIVE</t>
  </si>
  <si>
    <t xml:space="preserve">Постоянное Runtime-значение не является конечным положительным числом.</t>
  </si>
  <si>
    <t xml:space="preserve">RUNTIME_BONUS_NOT_POSITIVE_INTEGER</t>
  </si>
  <si>
    <t xml:space="preserve">X в Runtime-выражении не является положительным целым.</t>
  </si>
  <si>
    <t xml:space="preserve">MONSTER_BASE_ATTACK_COUNT_INVALID</t>
  </si>
  <si>
    <t xml:space="preserve">У CustomMonster не ровно одна базовая MONSTER_ATTACK.</t>
  </si>
  <si>
    <t xml:space="preserve">MONSTER_BASE_ATTACK_NOT_MELEE</t>
  </si>
  <si>
    <t xml:space="preserve">Базовая MONSTER_ATTACK настроена не как MELEE.</t>
  </si>
  <si>
    <t xml:space="preserve">Запрещённый симбионт монстра</t>
  </si>
  <si>
    <t xml:space="preserve">CHIMERA</t>
  </si>
  <si>
    <t xml:space="preserve">Химера недоступна пользовательскому монстру.</t>
  </si>
  <si>
    <t xml:space="preserve">PUPPETEER</t>
  </si>
  <si>
    <t xml:space="preserve">Кукловод недоступен пользовательскому монстру.</t>
  </si>
  <si>
    <t xml:space="preserve">PLAGUE_DOCTOR</t>
  </si>
  <si>
    <t xml:space="preserve">Чумной доктор недоступен пользовательскому монстру.</t>
  </si>
  <si>
    <t xml:space="preserve">Базовая характеристика врага</t>
  </si>
  <si>
    <t xml:space="preserve">S</t>
  </si>
  <si>
    <t xml:space="preserve">Сила.</t>
  </si>
  <si>
    <t xml:space="preserve">D</t>
  </si>
  <si>
    <t xml:space="preserve">Ловкость.</t>
  </si>
  <si>
    <t xml:space="preserve">M</t>
  </si>
  <si>
    <t xml:space="preserve">Метаболизм.</t>
  </si>
  <si>
    <t xml:space="preserve">Z</t>
  </si>
  <si>
    <t xml:space="preserve">Знания.</t>
  </si>
  <si>
    <t xml:space="preserve">I</t>
  </si>
  <si>
    <t xml:space="preserve">Интеллект.</t>
  </si>
  <si>
    <t xml:space="preserve">W</t>
  </si>
  <si>
    <t xml:space="preserve">Воля.</t>
  </si>
  <si>
    <t xml:space="preserve">C</t>
  </si>
  <si>
    <t xml:space="preserve">Харизма.</t>
  </si>
  <si>
    <t xml:space="preserve">Политика жизненного цикла шаблона врага</t>
  </si>
  <si>
    <t xml:space="preserve">NO_PERSISTED_DRAFT</t>
  </si>
  <si>
    <t xml:space="preserve">До атомарной финализации сохранённого шаблона не существует.</t>
  </si>
  <si>
    <t xml:space="preserve">NEW_VERSION_ONLY</t>
  </si>
  <si>
    <t xml:space="preserve">Изменение выполняется только полной новой версией.</t>
  </si>
  <si>
    <t xml:space="preserve">NO_ARCHIVE</t>
  </si>
  <si>
    <t xml:space="preserve">Архивирование не поддерживается.</t>
  </si>
  <si>
    <t xml:space="preserve">NO_DELETE</t>
  </si>
  <si>
    <t xml:space="preserve">Удаление сохранённого шаблона не поддерживается.</t>
  </si>
  <si>
    <t xml:space="preserve">v1.4=80</t>
  </si>
  <si>
    <t xml:space="preserve">Предразработочный QA и прямые ответы пользователя 2026-07-29.</t>
  </si>
  <si>
    <t xml:space="preserve">Активная защита недоступна; defenseTotal=0, броска и реакции нет.</t>
  </si>
  <si>
    <t xml:space="preserve">EntityShape</t>
  </si>
  <si>
    <t xml:space="preserve">Одна поражаемая зона либо единый корпус.</t>
  </si>
  <si>
    <t xml:space="preserve">Стая без анатомических зон, защиты, травм и трупа.</t>
  </si>
  <si>
    <t xml:space="preserve">AnatomyMode</t>
  </si>
  <si>
    <t xml:space="preserve">Каноническая default-зона обычного статблока.</t>
  </si>
  <si>
    <t xml:space="preserve">CanonicalZone</t>
  </si>
  <si>
    <t xml:space="preserve">BODY</t>
  </si>
  <si>
    <t xml:space="preserve">Корпус Трясинника; default.</t>
  </si>
  <si>
    <t xml:space="preserve">PHOTOSENSITIVE_BACK</t>
  </si>
  <si>
    <t xml:space="preserve">Светочувствительная спина Трясинника; explicit.</t>
  </si>
  <si>
    <t xml:space="preserve">HEAD</t>
  </si>
  <si>
    <t xml:space="preserve">Голова Вольмера; explicit.</t>
  </si>
  <si>
    <t xml:space="preserve">OPEN_MOUTH</t>
  </si>
  <si>
    <t xml:space="preserve">Открытая пасть Вольмера; explicit при условии.</t>
  </si>
  <si>
    <t xml:space="preserve">OTHER_BODY</t>
  </si>
  <si>
    <t xml:space="preserve">Остальное тело Вольмера; default и без потери headHP.</t>
  </si>
  <si>
    <t xml:space="preserve">ArmorLayerState</t>
  </si>
  <si>
    <t xml:space="preserve">Числовое сравнение не выполняется; любой Pr проходит.</t>
  </si>
  <si>
    <t xml:space="preserve">PRESENT</t>
  </si>
  <si>
    <t xml:space="preserve">Урон проходит только при Pr&gt;totalArmor.</t>
  </si>
  <si>
    <t xml:space="preserve">CorpsePolicy</t>
  </si>
  <si>
    <t xml:space="preserve">PERSIST</t>
  </si>
  <si>
    <t xml:space="preserve">Труп остаётся в сцене.</t>
  </si>
  <si>
    <t xml:space="preserve">Труп не создаётся или уничтожен.</t>
  </si>
  <si>
    <t xml:space="preserve">LootPolicy</t>
  </si>
  <si>
    <t xml:space="preserve">LOOTABLE</t>
  </si>
  <si>
    <t xml:space="preserve">Обыск разрешён при существующем контейнере.</t>
  </si>
  <si>
    <t xml:space="preserve">NOT_LOOTABLE</t>
  </si>
  <si>
    <t xml:space="preserve">Обыск отклоняется до обращения к контейнеру.</t>
  </si>
  <si>
    <t xml:space="preserve">Ошибка обыска</t>
  </si>
  <si>
    <t xml:space="preserve">CORPSE_NOT_LOOTABLE</t>
  </si>
  <si>
    <t xml:space="preserve">Труп существует, но не поддерживает обыск.</t>
  </si>
  <si>
    <t xml:space="preserve">NO_CORPSE</t>
  </si>
  <si>
    <t xml:space="preserve">Труп отсутствует.</t>
  </si>
  <si>
    <t xml:space="preserve">TemplateOrigin</t>
  </si>
  <si>
    <t xml:space="preserve">Системный read-only шаблон врага-мыслящего; версия pin-ится кампанией.</t>
  </si>
  <si>
    <t xml:space="preserve">CatalogAvailability</t>
  </si>
  <si>
    <t xml:space="preserve">Запись системного каталога нельзя скрыть или удалить.</t>
  </si>
  <si>
    <t xml:space="preserve">EffectFamily</t>
  </si>
  <si>
    <t xml:space="preserve">Ядовитый payload независимо от источника.</t>
  </si>
  <si>
    <t xml:space="preserve">PoisonSourceKind</t>
  </si>
  <si>
    <t xml:space="preserve">ORDINARY</t>
  </si>
  <si>
    <t xml:space="preserve">Обычный яд.</t>
  </si>
  <si>
    <t xml:space="preserve">NATURAL</t>
  </si>
  <si>
    <t xml:space="preserve">Природный яд.</t>
  </si>
  <si>
    <t xml:space="preserve">ARTIFICIAL</t>
  </si>
  <si>
    <t xml:space="preserve">Искусственный яд.</t>
  </si>
  <si>
    <t xml:space="preserve">SYMBIOTIC</t>
  </si>
  <si>
    <t xml:space="preserve">Яд способности симбионта.</t>
  </si>
  <si>
    <t xml:space="preserve">CANONICAL</t>
  </si>
  <si>
    <t xml:space="preserve">Яд канонической атаки.</t>
  </si>
  <si>
    <t xml:space="preserve">EffectResponse</t>
  </si>
  <si>
    <t xml:space="preserve">Полностью отклонить эффект до любых бросков.</t>
  </si>
  <si>
    <t xml:space="preserve">FunctionalInterface</t>
  </si>
  <si>
    <t xml:space="preserve">NON_TARGETABLE</t>
  </si>
  <si>
    <t xml:space="preserve">Функциональная анатомическая возможность, не являющаяся HP-зоной.</t>
  </si>
  <si>
    <t xml:space="preserve">Ошибка шаблона</t>
  </si>
  <si>
    <t xml:space="preserve">SYSTEM_TEMPLATE_MUTATION_FORBIDDEN</t>
  </si>
  <si>
    <t xml:space="preserve">Системный шаблон нельзя изменить, скрыть, архивировать или удалить.</t>
  </si>
  <si>
    <t xml:space="preserve">Ошибка способности</t>
  </si>
  <si>
    <t xml:space="preserve">CUSTOM_MONSTER_WEB_PRODUCTION_FORBIDDEN</t>
  </si>
  <si>
    <t xml:space="preserve">CustomMonster не может выполнить SYM-117 или создать WEB_ITEM/MapObject.</t>
  </si>
  <si>
    <t xml:space="preserve">Обычный симбионт CustomMonster/SentientEnemy</t>
  </si>
  <si>
    <t xml:space="preserve">WEAVER</t>
  </si>
  <si>
    <t xml:space="preserve">Ткач; profileRuleId=SYM-026; maxL=6.</t>
  </si>
  <si>
    <t xml:space="preserve">TAIPAN</t>
  </si>
  <si>
    <t xml:space="preserve">Тайпан; profileRuleId=SYM-037; maxL=7.</t>
  </si>
  <si>
    <t xml:space="preserve">OWL</t>
  </si>
  <si>
    <t xml:space="preserve">Сова; profileRuleId=SYM-046; maxL=6.</t>
  </si>
  <si>
    <t xml:space="preserve">TEACHER</t>
  </si>
  <si>
    <t xml:space="preserve">Учитель; profileRuleId=SYM-053; maxL=6.</t>
  </si>
  <si>
    <t xml:space="preserve">ARMADILLO</t>
  </si>
  <si>
    <t xml:space="preserve">Броненосец; profileRuleId=SYM-060; maxL=6.</t>
  </si>
  <si>
    <t xml:space="preserve">DRAGON</t>
  </si>
  <si>
    <t xml:space="preserve">Дракон; profileRuleId=SYM-067; maxL=6.</t>
  </si>
  <si>
    <t xml:space="preserve">TROGR</t>
  </si>
  <si>
    <t xml:space="preserve">Трогр; profileRuleId=SYM-074; maxL=6.</t>
  </si>
  <si>
    <t xml:space="preserve">KEEPER</t>
  </si>
  <si>
    <t xml:space="preserve">Хранитель; profileRuleId=SYM-083; maxL=6.</t>
  </si>
  <si>
    <t xml:space="preserve">ADVISOR</t>
  </si>
  <si>
    <t xml:space="preserve">Советник; profileRuleId=SYM-095; maxL=6.</t>
  </si>
  <si>
    <t xml:space="preserve">TICK</t>
  </si>
  <si>
    <t xml:space="preserve">Клещ; profileRuleId=SYM-102; maxL=6.</t>
  </si>
  <si>
    <t xml:space="preserve">CRICKET</t>
  </si>
  <si>
    <t xml:space="preserve">Сверчок; profileRuleId=SYM-109; maxL=6.</t>
  </si>
  <si>
    <t xml:space="preserve">SPIDER</t>
  </si>
  <si>
    <t xml:space="preserve">Паук; profileRuleId=SYM-116; maxL=6.</t>
  </si>
  <si>
    <t xml:space="preserve">CHAMELEON</t>
  </si>
  <si>
    <t xml:space="preserve">Хамелеон; profileRuleId=SYM-123; maxL=6.</t>
  </si>
  <si>
    <t xml:space="preserve">PENGUIN</t>
  </si>
  <si>
    <t xml:space="preserve">Пингвин; profileRuleId=SYM-130; maxL=7.</t>
  </si>
  <si>
    <t xml:space="preserve">EEL</t>
  </si>
  <si>
    <t xml:space="preserve">Угорь; profileRuleId=SYM-136; maxL=6.</t>
  </si>
  <si>
    <t xml:space="preserve">TOAD</t>
  </si>
  <si>
    <t xml:space="preserve">Жаба; profileRuleId=SYM-143; maxL=7.</t>
  </si>
  <si>
    <t xml:space="preserve">RAT</t>
  </si>
  <si>
    <t xml:space="preserve">Крыса; profileRuleId=SYM-151; maxL=7.</t>
  </si>
  <si>
    <t xml:space="preserve">DOLPHIN</t>
  </si>
  <si>
    <t xml:space="preserve">Дельфин; profileRuleId=SYM-161; maxL=6.</t>
  </si>
  <si>
    <t xml:space="preserve">MANTIS</t>
  </si>
  <si>
    <t xml:space="preserve">Богомол; profileRuleId=SYM-167; maxL=6.</t>
  </si>
  <si>
    <t xml:space="preserve">SKUNK</t>
  </si>
  <si>
    <t xml:space="preserve">Скунс; profileRuleId=SYM-174; maxL=6.</t>
  </si>
  <si>
    <t xml:space="preserve">v1.5=90</t>
  </si>
  <si>
    <t xml:space="preserve">Прямые решения пользователя и синхронизированные патчи выпуска 2026-07-30.</t>
  </si>
  <si>
    <t xml:space="preserve">100</t>
  </si>
  <si>
    <t xml:space="preserve">Прямое авторское решение v1.6; выше v1.5=90.</t>
  </si>
  <si>
    <t xml:space="preserve">ProgressionRoute</t>
  </si>
  <si>
    <t xml:space="preserve">DIRECT_SYMBIONT</t>
  </si>
  <si>
    <t xml:space="preserve">Прямой XP ровно одному допустимому экземпляру симбионта.</t>
  </si>
  <si>
    <t xml:space="preserve">CHARACTER_PROGRESS_COUNTER</t>
  </si>
  <si>
    <t xml:space="preserve">eventPoints поступают в счётчик персонажа.</t>
  </si>
  <si>
    <t xml:space="preserve">Ни XP, ни баллы не создаются.</t>
  </si>
  <si>
    <t xml:space="preserve">ProgressionRollClass</t>
  </si>
  <si>
    <t xml:space="preserve">DIRECT_ELIGIBLE</t>
  </si>
  <si>
    <t xml:space="preserve">Значимая проверка может дать direct или counter по связанным характеристикам.</t>
  </si>
  <si>
    <t xml:space="preserve">Прямой XP запрещён; natural 1/20 даёт 1 point.</t>
  </si>
  <si>
    <t xml:space="preserve">Источник полностью исключён.</t>
  </si>
  <si>
    <t xml:space="preserve">RollSource</t>
  </si>
  <si>
    <t xml:space="preserve">AUTO</t>
  </si>
  <si>
    <t xml:space="preserve">D20 сгенерирован сервером.</t>
  </si>
  <si>
    <t xml:space="preserve">MANUAL</t>
  </si>
  <si>
    <t xml:space="preserve">rawFace введён пользователем и проверен сервером.</t>
  </si>
  <si>
    <t xml:space="preserve">CriticalSource</t>
  </si>
  <si>
    <t xml:space="preserve">NATURAL_FACE</t>
  </si>
  <si>
    <t xml:space="preserve">Критическая цепочка возникла из rawFace 20/1.</t>
  </si>
  <si>
    <t xml:space="preserve">ABILITY_ASSIGNED</t>
  </si>
  <si>
    <t xml:space="preserve">Градация назначена способностью и сама прогрессию не создаёт.</t>
  </si>
  <si>
    <t xml:space="preserve">Подтверждённой градации нет.</t>
  </si>
  <si>
    <t xml:space="preserve">CriticalPolarity</t>
  </si>
  <si>
    <t xml:space="preserve">SUCCESS</t>
  </si>
  <si>
    <t xml:space="preserve">Положительная критическая градация.</t>
  </si>
  <si>
    <t xml:space="preserve">FAILURE</t>
  </si>
  <si>
    <t xml:space="preserve">Отрицательная критическая градация.</t>
  </si>
  <si>
    <t xml:space="preserve">Нет подтверждённой градации.</t>
  </si>
  <si>
    <t xml:space="preserve">ProcessingStatus</t>
  </si>
  <si>
    <t xml:space="preserve">PENDING</t>
  </si>
  <si>
    <t xml:space="preserve">Событие принято, изменение состояния ещё не применено.</t>
  </si>
  <si>
    <t xml:space="preserve">APPLIED_DIRECT</t>
  </si>
  <si>
    <t xml:space="preserve">XP начислен выбранному симбионту.</t>
  </si>
  <si>
    <t xml:space="preserve">APPLIED_COUNTER</t>
  </si>
  <si>
    <t xml:space="preserve">eventPoints добавлены в счётчик и конвертированы.</t>
  </si>
  <si>
    <t xml:space="preserve">IGNORED_NEVER</t>
  </si>
  <si>
    <t xml:space="preserve">Источник классифицирован NEVER_PROGRESSION.</t>
  </si>
  <si>
    <t xml:space="preserve">IGNORED_DUPLICATE</t>
  </si>
  <si>
    <t xml:space="preserve">Idempotency key уже обработан.</t>
  </si>
  <si>
    <t xml:space="preserve">REJECTED_INVALID</t>
  </si>
  <si>
    <t xml:space="preserve">Событие не прошло серверную валидацию.</t>
  </si>
  <si>
    <t xml:space="preserve">ActorType</t>
  </si>
  <si>
    <t xml:space="preserve">PLAYER_CHARACTER</t>
  </si>
  <si>
    <t xml:space="preserve">Единственный тип актора, для которого включена новая прогрессия.</t>
  </si>
  <si>
    <t xml:space="preserve">NPC</t>
  </si>
  <si>
    <t xml:space="preserve">Не накапливает XP и счётчики симбионтов.</t>
  </si>
  <si>
    <t xml:space="preserve">Системный разумный противник без XP-прогрессии.</t>
  </si>
  <si>
    <t xml:space="preserve">CANONICAL_MONSTER</t>
  </si>
  <si>
    <t xml:space="preserve">Канонический монстр без XP-прогрессии.</t>
  </si>
  <si>
    <t xml:space="preserve">Произвольный монстр без XP-прогрессии.</t>
  </si>
  <si>
    <t xml:space="preserve">RollKind</t>
  </si>
  <si>
    <t xml:space="preserve">DAMAGE</t>
  </si>
  <si>
    <t xml:space="preserve">NO_DIRECT_BUT_POOL: natural 1/20 даёт 1 point общего счётчика.</t>
  </si>
  <si>
    <t xml:space="preserve">PENETRATION</t>
  </si>
  <si>
    <t xml:space="preserve">ARMOR</t>
  </si>
  <si>
    <t xml:space="preserve">INITIATIVE</t>
  </si>
  <si>
    <t xml:space="preserve">HEALING_AMOUNT</t>
  </si>
  <si>
    <t xml:space="preserve">DURATION</t>
  </si>
  <si>
    <t xml:space="preserve">RADIUS</t>
  </si>
  <si>
    <t xml:space="preserve">ZONE_SIZE</t>
  </si>
  <si>
    <t xml:space="preserve">QUANTITY</t>
  </si>
  <si>
    <t xml:space="preserve">TARGET_COUNT</t>
  </si>
  <si>
    <t xml:space="preserve">RANDOM_TABLE</t>
  </si>
  <si>
    <t xml:space="preserve">NEVER_PROGRESSION: XP/points не создаются.</t>
  </si>
  <si>
    <t xml:space="preserve">CRITICAL_CONFIRMATION</t>
  </si>
  <si>
    <t xml:space="preserve">EQUAL_GRADE_SUBSTITUTION</t>
  </si>
  <si>
    <t xml:space="preserve">CHARACTER_CREATION</t>
  </si>
  <si>
    <t xml:space="preserve">ACTION_CHECK</t>
  </si>
  <si>
    <t xml:space="preserve">DIRECT_ELIGIBLE при значимости; иначе NEVER_PROGRESSION.</t>
  </si>
  <si>
    <t xml:space="preserve">ATTACK</t>
  </si>
  <si>
    <t xml:space="preserve">DEFENSE</t>
  </si>
  <si>
    <t xml:space="preserve">RESISTANCE</t>
  </si>
  <si>
    <t xml:space="preserve">ABILITY_ACTIVATION</t>
  </si>
  <si>
    <t xml:space="preserve">HEALING_CHECK</t>
  </si>
  <si>
    <t xml:space="preserve">SymbiontXpEventPoints</t>
  </si>
  <si>
    <t xml:space="preserve">NATURAL_UNCONFIRMED=1</t>
  </si>
  <si>
    <t xml:space="preserve">Неподтверждённая natural 20 или natural 1.</t>
  </si>
  <si>
    <t xml:space="preserve">CRIT=1</t>
  </si>
  <si>
    <t xml:space="preserve">Подтверждённая grade 1.</t>
  </si>
  <si>
    <t xml:space="preserve">DOUBLE_CRIT=2</t>
  </si>
  <si>
    <t xml:space="preserve">Подтверждённая grade 2.</t>
  </si>
  <si>
    <t xml:space="preserve">TRIPLE_CRIT=3</t>
  </si>
  <si>
    <t xml:space="preserve">Подтверждённая grade 3.</t>
  </si>
  <si>
    <t xml:space="preserve">ULTRA_CRIT=4</t>
  </si>
  <si>
    <t xml:space="preserve">Подтверждённая grade 4.</t>
  </si>
  <si>
    <t xml:space="preserve">RAMPAGE=5</t>
  </si>
  <si>
    <t xml:space="preserve">Подтверждённая grade 5.</t>
  </si>
  <si>
    <t xml:space="preserve">Ожидается</t>
  </si>
  <si>
    <t xml:space="preserve">Фактически</t>
  </si>
  <si>
    <t xml:space="preserve">Runtime-правил</t>
  </si>
  <si>
    <t xml:space="preserve">Полнота</t>
  </si>
  <si>
    <t xml:space="preserve">Активных</t>
  </si>
  <si>
    <t xml:space="preserve">Статусы</t>
  </si>
  <si>
    <t xml:space="preserve">Tombstone</t>
  </si>
  <si>
    <t xml:space="preserve">Базовых карточек</t>
  </si>
  <si>
    <t xml:space="preserve">Состав</t>
  </si>
  <si>
    <t xml:space="preserve">QA-решений</t>
  </si>
  <si>
    <t xml:space="preserve">Новых карточек</t>
  </si>
  <si>
    <t xml:space="preserve">Финальные ответы</t>
  </si>
  <si>
    <t xml:space="preserve">Уникальных ID</t>
  </si>
  <si>
    <t xml:space="preserve">Ключи</t>
  </si>
  <si>
    <t xml:space="preserve">QA-полей нормализовано</t>
  </si>
  <si>
    <t xml:space="preserve">Developer-ready</t>
  </si>
  <si>
    <t xml:space="preserve">Прямых финальных патчей</t>
  </si>
  <si>
    <t xml:space="preserve">13 недостающих</t>
  </si>
  <si>
    <t xml:space="preserve">Интегрированных недостающих позиций</t>
  </si>
  <si>
    <t xml:space="preserve">Ответов пользователя</t>
  </si>
  <si>
    <t xml:space="preserve">Трассировка</t>
  </si>
  <si>
    <t xml:space="preserve">Полнота решений</t>
  </si>
  <si>
    <t xml:space="preserve">Изменённых позднее вопросов</t>
  </si>
  <si>
    <t xml:space="preserve">История</t>
  </si>
  <si>
    <t xml:space="preserve">Ссылок ENC-051</t>
  </si>
  <si>
    <t xml:space="preserve">Устаревшая зависимость</t>
  </si>
  <si>
    <t xml:space="preserve">Ссылок TC-*</t>
  </si>
  <si>
    <t xml:space="preserve">Устаревшие тестовые трассы</t>
  </si>
  <si>
    <t xml:space="preserve">Упоминаний «Трогир»</t>
  </si>
  <si>
    <t xml:space="preserve">Терминология</t>
  </si>
  <si>
    <t xml:space="preserve">Активных маркеров «Черновик v0.1»</t>
  </si>
  <si>
    <t xml:space="preserve">MON-009 с ×2</t>
  </si>
  <si>
    <t xml:space="preserve">Коллизия CORE-154</t>
  </si>
  <si>
    <t xml:space="preserve">Пустых обязательных полей</t>
  </si>
  <si>
    <t xml:space="preserve">Машинная проверка</t>
  </si>
  <si>
    <t xml:space="preserve">Новых карточек v1.2</t>
  </si>
  <si>
    <t xml:space="preserve">Последующее уточнение оружия</t>
  </si>
  <si>
    <t xml:space="preserve">Формульных оружий VALIDATION_ONLY</t>
  </si>
  <si>
    <t xml:space="preserve">Игрок / формульная область</t>
  </si>
  <si>
    <t xml:space="preserve">Оружий Чистых с master override</t>
  </si>
  <si>
    <t xml:space="preserve">Игрок locked / мастер allowed</t>
  </si>
  <si>
    <t xml:space="preserve">Разрешённых мастерских выражений</t>
  </si>
  <si>
    <t xml:space="preserve">Закрытая грамматика</t>
  </si>
  <si>
    <t xml:space="preserve">Кодов ошибок профиля оружия</t>
  </si>
  <si>
    <t xml:space="preserve">API / UI validation</t>
  </si>
  <si>
    <t xml:space="preserve">Новых источников v1.2</t>
  </si>
  <si>
    <t xml:space="preserve">Новых карточек v1.3</t>
  </si>
  <si>
    <t xml:space="preserve">Конструкторы и шаблоны врагов</t>
  </si>
  <si>
    <t xml:space="preserve">Новых источников v1.3</t>
  </si>
  <si>
    <t xml:space="preserve">Трассировка новых карточек</t>
  </si>
  <si>
    <t xml:space="preserve">Ответов Enemy Templates v1.3</t>
  </si>
  <si>
    <t xml:space="preserve">Закрытый пакет решений</t>
  </si>
  <si>
    <t xml:space="preserve">Типов шаблона врага</t>
  </si>
  <si>
    <t xml:space="preserve">API enum</t>
  </si>
  <si>
    <t xml:space="preserve">Вкладок каталога врагов</t>
  </si>
  <si>
    <t xml:space="preserve">Разделение интерфейса</t>
  </si>
  <si>
    <t xml:space="preserve">Runtime-выражений монстра</t>
  </si>
  <si>
    <t xml:space="preserve">Категорий MONSTER_ATTACK</t>
  </si>
  <si>
    <t xml:space="preserve">Боевой dispatch</t>
  </si>
  <si>
    <t xml:space="preserve">Кодов ошибок шаблона врага</t>
  </si>
  <si>
    <t xml:space="preserve">Запрещённых симбионтов монстра</t>
  </si>
  <si>
    <t xml:space="preserve">Химера / Кукловод / Чумной доктор</t>
  </si>
  <si>
    <t xml:space="preserve">Базовых характеристик врага</t>
  </si>
  <si>
    <t xml:space="preserve">S,D,M,Z,I,W,C</t>
  </si>
  <si>
    <t xml:space="preserve">Статусов DRAFT/ARCHIVED у шаблона</t>
  </si>
  <si>
    <t xml:space="preserve">Lifecycle без черновика и архива</t>
  </si>
  <si>
    <t xml:space="preserve">Активных карточек CORE-212</t>
  </si>
  <si>
    <t xml:space="preserve">Канонический overlay R20/R20</t>
  </si>
  <si>
    <t xml:space="preserve">Патчей существующих карточек v1.3</t>
  </si>
  <si>
    <t xml:space="preserve">Scoped-совместимость</t>
  </si>
  <si>
    <t xml:space="preserve">Записей приоритета v1.3=70</t>
  </si>
  <si>
    <t xml:space="preserve">Шкала композиции</t>
  </si>
  <si>
    <t xml:space="preserve">AQA-044: генератор 80–150% активен</t>
  </si>
  <si>
    <t xml:space="preserve">Исправление прежнего запрета</t>
  </si>
  <si>
    <t xml:space="preserve">CORE-215: генератор разрешён, AI запрещён</t>
  </si>
  <si>
    <t xml:space="preserve">Граница scope</t>
  </si>
  <si>
    <t xml:space="preserve">Q-ENEMY-B14 superseded</t>
  </si>
  <si>
    <t xml:space="preserve">История решения</t>
  </si>
  <si>
    <t xml:space="preserve">Параметров группового генератора</t>
  </si>
  <si>
    <t xml:space="preserve">Machine-readable contract</t>
  </si>
  <si>
    <t xml:space="preserve">Активный CORE-234</t>
  </si>
  <si>
    <t xml:space="preserve">GM direct XP</t>
  </si>
  <si>
    <t xml:space="preserve">Операция GM_GRANT_SYMBIONT_XP</t>
  </si>
  <si>
    <t xml:space="preserve">Typed command</t>
  </si>
  <si>
    <t xml:space="preserve">Политика необратимости GM XP</t>
  </si>
  <si>
    <t xml:space="preserve">No rollback/compensation</t>
  </si>
  <si>
    <t xml:space="preserve">Закрытый Q-GM-XP-001</t>
  </si>
  <si>
    <t xml:space="preserve">Текущее решение</t>
  </si>
  <si>
    <t xml:space="preserve">Закрытый Q-SOUND-NIGHT-001</t>
  </si>
  <si>
    <t xml:space="preserve">Ночь с 21:00</t>
  </si>
  <si>
    <t xml:space="preserve">Карточек приоритета v1.7=110</t>
  </si>
  <si>
    <t xml:space="preserve">AQA-044, CORE-215, CORE-234</t>
  </si>
  <si>
    <t xml:space="preserve">Уникальных Rule ID</t>
  </si>
  <si>
    <t xml:space="preserve">Не тавтология</t>
  </si>
  <si>
    <t xml:space="preserve">Системных origin SentientEnemy</t>
  </si>
  <si>
    <t xml:space="preserve">Будущий default pack</t>
  </si>
  <si>
    <t xml:space="preserve">Активных CORE-229</t>
  </si>
  <si>
    <t xml:space="preserve">Единый боевой разрешатель</t>
  </si>
  <si>
    <t xml:space="preserve">Боевых триггеров до математики</t>
  </si>
  <si>
    <t xml:space="preserve">Natural 20/1</t>
  </si>
  <si>
    <t xml:space="preserve">Автоуспехов положительного крита</t>
  </si>
  <si>
    <t xml:space="preserve">Независимо от ordinaryTotal</t>
  </si>
  <si>
    <t xml:space="preserve">Автопровалов отрицательного крита</t>
  </si>
  <si>
    <t xml:space="preserve">Fallback равных положительных grades</t>
  </si>
  <si>
    <t xml:space="preserve">Обе natural 20 без нового броска</t>
  </si>
  <si>
    <t xml:space="preserve">Исходов двух критических провалов</t>
  </si>
  <si>
    <t xml:space="preserve">Обе проверки провалены</t>
  </si>
  <si>
    <t xml:space="preserve">Границ текущего этапа</t>
  </si>
  <si>
    <t xml:space="preserve">Без авто-пробития/урона</t>
  </si>
  <si>
    <t xml:space="preserve">Событий прогрессии характеристики</t>
  </si>
  <si>
    <t xml:space="preserve">Независимо от winner</t>
  </si>
  <si>
    <t xml:space="preserve">Событий прогрессии симбионта</t>
  </si>
  <si>
    <t xml:space="preserve">Natural 20/1 и обе полярности критов; маршрутизация CORE-230.</t>
  </si>
  <si>
    <t xml:space="preserve">Боевых override DefenseChoice=NONE</t>
  </si>
  <si>
    <t xml:space="preserve">Crit раньше accuracy&gt;0</t>
  </si>
  <si>
    <t xml:space="preserve">Частных исключений SYM-066</t>
  </si>
  <si>
    <t xml:space="preserve">Локальное правило сильнее</t>
  </si>
  <si>
    <t xml:space="preserve">Политик брони MON-115</t>
  </si>
  <si>
    <t xml:space="preserve">IGNORE_ARMOR; penetration/armor stages skipped</t>
  </si>
  <si>
    <t xml:space="preserve">Закрытых решений Cross Registry v1.5</t>
  </si>
  <si>
    <t xml:space="preserve">XP-QA-01: Связанная характеристика + natural 20</t>
  </si>
  <si>
    <t xml:space="preserve">Исполняемый сценарий новой механики XP v1.6.</t>
  </si>
  <si>
    <t xml:space="preserve">XP-QA-02: Связанная характеристика + natural 1</t>
  </si>
  <si>
    <t xml:space="preserve">XP-QA-03: Triple Crit успеха</t>
  </si>
  <si>
    <t xml:space="preserve">XP-QA-04: Triple Crit провала</t>
  </si>
  <si>
    <t xml:space="preserve">XP-QA-05: Несколько кандидатов — один экземпляр</t>
  </si>
  <si>
    <t xml:space="preserve">XP-QA-06: Несвязанная характеристика + natural 20</t>
  </si>
  <si>
    <t xml:space="preserve">XP-QA-07: Несвязанная характеристика + Double Crit провала</t>
  </si>
  <si>
    <t xml:space="preserve">XP-QA-08: 2 балла + Rampage 5</t>
  </si>
  <si>
    <t xml:space="preserve">2|1</t>
  </si>
  <si>
    <t xml:space="preserve">XP-QA-09: DAMAGE natural 20 — только счетчик</t>
  </si>
  <si>
    <t xml:space="preserve">0|1</t>
  </si>
  <si>
    <t xml:space="preserve">XP-QA-10: INITIATIVE natural 1 — счетчик</t>
  </si>
  <si>
    <t xml:space="preserve">XP-QA-11: RANDOM_TABLE — ничего</t>
  </si>
  <si>
    <t xml:space="preserve">XP-QA-12: Ability-assigned critical без natural</t>
  </si>
  <si>
    <t xml:space="preserve">XP-QA-13: Подстановка 20 при равных градациях</t>
  </si>
  <si>
    <t xml:space="preserve">XP-QA-14: Бросок подтверждения — ничего</t>
  </si>
  <si>
    <t xml:space="preserve">XP-QA-15: MANUAL и AUTO эквивалентны</t>
  </si>
  <si>
    <t xml:space="preserve">SAME</t>
  </si>
  <si>
    <t xml:space="preserve">XP-QA-16: Проигрыш встречной проверки не отменяет событие</t>
  </si>
  <si>
    <t xml:space="preserve">XP-QA-17: Вольный: direct baseXP=1 → 2</t>
  </si>
  <si>
    <t xml:space="preserve">XP-QA-18: Вольный: 3 балла → 1 unallocated; распределение → 2</t>
  </si>
  <si>
    <t xml:space="preserve">1|2</t>
  </si>
  <si>
    <t xml:space="preserve">XP-QA-19: Нераспределенный XP сохраняется</t>
  </si>
  <si>
    <t xml:space="preserve">XP-QA-20: Без симбионта состояние хранится, распределение недоступно</t>
  </si>
  <si>
    <t xml:space="preserve">2|3|0</t>
  </si>
  <si>
    <t xml:space="preserve">XP-QA-21: R20×2: исходная грань, одно событие</t>
  </si>
  <si>
    <t xml:space="preserve">1|0</t>
  </si>
  <si>
    <t xml:space="preserve">XP-QA-22: Повтор originRollId не меняет состояние</t>
  </si>
  <si>
    <t xml:space="preserve">XP-QA-23: SentientEnemy и монстры не прогрессируют</t>
  </si>
  <si>
    <t xml:space="preserve">XP-QA-24: HEALING_AMOUNT — счетчик; HEALING_CHECK — обычный маршрут</t>
  </si>
  <si>
    <t xml:space="preserve">1|1</t>
  </si>
  <si>
    <t xml:space="preserve">v1.6: четыре новые runtime-карточки</t>
  </si>
  <si>
    <t xml:space="preserve">CORE-230..233.</t>
  </si>
  <si>
    <t xml:space="preserve">v1.6: приоритет 100 в справочнике</t>
  </si>
  <si>
    <t xml:space="preserve">Новая вершина приоритета.</t>
  </si>
  <si>
    <t xml:space="preserve">v1.6: три progression routes</t>
  </si>
  <si>
    <t xml:space="preserve">DIRECT/COUNTER/NEVER.</t>
  </si>
  <si>
    <t xml:space="preserve">v1.6: шесть processing statuses</t>
  </si>
  <si>
    <t xml:space="preserve">Терминальные и служебные статусы.</t>
  </si>
  <si>
    <t xml:space="preserve">v1.6: новое закрытое QA-решение</t>
  </si>
  <si>
    <t xml:space="preserve">Единственное авторское решение v1.6.</t>
  </si>
  <si>
    <t xml:space="preserve">v1.6: два superseded QA-решения</t>
  </si>
  <si>
    <t xml:space="preserve">Q-CORE-025 и Q-COMBAT-CRIT-001.</t>
  </si>
  <si>
    <t xml:space="preserve">v1.7: все 739 ID уникальны</t>
  </si>
  <si>
    <t xml:space="preserve">Уникальность после добавления CORE-234.</t>
  </si>
  <si>
    <t xml:space="preserve">v1.7: все контексты покрывают 739 карточек</t>
  </si>
  <si>
    <t xml:space="preserve">Формульное распределение контекстов v1.7.</t>
  </si>
  <si>
    <t xml:space="preserve">v1.6: SYM-021 допускает natural 1</t>
  </si>
  <si>
    <t xml:space="preserve">Устранено прежнее ограничение positive/natural 20.</t>
  </si>
  <si>
    <t xml:space="preserve">v1.6: CORE-231 содержит формулу 3→1</t>
  </si>
  <si>
    <t xml:space="preserve">Переполнение и остаток заданы машинно.</t>
  </si>
  <si>
    <t xml:space="preserve">Входит в 695 runtime-правил</t>
  </si>
  <si>
    <t xml:space="preserve">Новое runtime-правило</t>
  </si>
  <si>
    <t xml:space="preserve">Прямое уточнение 2026-07-28</t>
  </si>
  <si>
    <t xml:space="preserve">Крафт не восстановлен; готовый профиль отделён от генерации.</t>
  </si>
  <si>
    <t xml:space="preserve">Игрок вводит только формульные выходы при создании персонажа.</t>
  </si>
  <si>
    <t xml:space="preserve">Проверяется единый witness без бросков и генерации.</t>
  </si>
  <si>
    <t xml:space="preserve">Шесть шаблонов read-only для игрока.</t>
  </si>
  <si>
    <t xml:space="preserve">Мастер меняет конкретный экземпляр ПК/НПС, включая оружие Чистых.</t>
  </si>
  <si>
    <t xml:space="preserve">Разрешённые мастерские характеристики</t>
  </si>
  <si>
    <t xml:space="preserve">Зафиксированы закрытая грамматика дайсов, требования, дальность и точность.</t>
  </si>
  <si>
    <t xml:space="preserve">Разрешение пользовательских дайсов в бою</t>
  </si>
  <si>
    <t xml:space="preserve">Новый независимый бросок на каждую отдельно разрешаемую атаку.</t>
  </si>
  <si>
    <t xml:space="preserve">Согласованный аудит item registry + прямое уточнение</t>
  </si>
  <si>
    <t xml:space="preserve">Изменение действует со следующей атаки; старые снимки сохранены.</t>
  </si>
  <si>
    <t xml:space="preserve">Патч существующих карточек</t>
  </si>
  <si>
    <t xml:space="preserve">CORE-014/015</t>
  </si>
  <si>
    <t xml:space="preserve">Крафт и формулы</t>
  </si>
  <si>
    <t xml:space="preserve">Уточнены tombstone</t>
  </si>
  <si>
    <t xml:space="preserve">Формулы остаются только VALIDATION_ONLY.</t>
  </si>
  <si>
    <t xml:space="preserve">Уже входили</t>
  </si>
  <si>
    <t xml:space="preserve">21 formula weapon rules</t>
  </si>
  <si>
    <t xml:space="preserve">Формульное оружие</t>
  </si>
  <si>
    <t xml:space="preserve">Синхронизированы 21 карточка</t>
  </si>
  <si>
    <t xml:space="preserve">generationEnabled=false; боевые значения берутся из активного профиля.</t>
  </si>
  <si>
    <t xml:space="preserve">CORE-023–026; CORE-047–048</t>
  </si>
  <si>
    <t xml:space="preserve">Оружие Чистых</t>
  </si>
  <si>
    <t xml:space="preserve">Синхронизированы 6 карточек</t>
  </si>
  <si>
    <t xml:space="preserve">Игроку шаблон неизменен; мастерский override экземпляра разрешён.</t>
  </si>
  <si>
    <t xml:space="preserve">AQA-011/012; AQ2-003/004; CORE-172/173</t>
  </si>
  <si>
    <t xml:space="preserve">Стартовая заявка оружия</t>
  </si>
  <si>
    <t xml:space="preserve">Синхронизирован путь создания персонажа</t>
  </si>
  <si>
    <t xml:space="preserve">Тип/вариант и готовый профиль отделены от D20 качества.</t>
  </si>
  <si>
    <t xml:space="preserve">AQA-028/032</t>
  </si>
  <si>
    <t xml:space="preserve">Операции мастера</t>
  </si>
  <si>
    <t xml:space="preserve">Расширены мастерские операции</t>
  </si>
  <si>
    <t xml:space="preserve">Добавлен instance-level patch с причиной и аудитом.</t>
  </si>
  <si>
    <t xml:space="preserve">CORE-016/020/030/125/126/129/135/150; AQA-044</t>
  </si>
  <si>
    <t xml:space="preserve">Использование активного профиля</t>
  </si>
  <si>
    <t xml:space="preserve">Синхронизировано разрешение боя и оружие НПС</t>
  </si>
  <si>
    <t xml:space="preserve">Требования, дальность, точность, урон и пробитие читаются из снимка активной версии; оружие НПС поддерживает тот же master override.</t>
  </si>
  <si>
    <t xml:space="preserve">Синхронизация зависимости</t>
  </si>
  <si>
    <t xml:space="preserve">Item Registry v1.1</t>
  </si>
  <si>
    <t xml:space="preserve">Реестр предметов требует следующей версии</t>
  </si>
  <si>
    <t xml:space="preserve">Зафиксирован внешний долг синхронизации</t>
  </si>
  <si>
    <t xml:space="preserve">Новый мастерский контракт</t>
  </si>
  <si>
    <t xml:space="preserve">Старые флаги GM override и обязательность instanceDamage не являются нормативными против v1.2 Rules Registry.</t>
  </si>
  <si>
    <t xml:space="preserve">Входит в 720 runtime-правил</t>
  </si>
  <si>
    <t xml:space="preserve">Реализация ограничена подтверждённым объёмом без скрытого расширения.</t>
  </si>
  <si>
    <t xml:space="preserve">46 правил</t>
  </si>
  <si>
    <t xml:space="preserve">Синхронизация прежних ветвей</t>
  </si>
  <si>
    <t xml:space="preserve">Добавлены локальные дельты v1.3</t>
  </si>
  <si>
    <t xml:space="preserve">AQA-044 и MON-091 заменены в пересекающейся части; остальные карточки получили scoped-патчи без переписывания иных механик.</t>
  </si>
  <si>
    <t xml:space="preserve">Трассировка решений</t>
  </si>
  <si>
    <t xml:space="preserve">Q-ENEMY-B1…B14; P1…P17</t>
  </si>
  <si>
    <t xml:space="preserve">Пакет Enemy Templates v1.3</t>
  </si>
  <si>
    <t xml:space="preserve">Добавлена 31 закрытая QA-запись</t>
  </si>
  <si>
    <t xml:space="preserve">Все неупомянутые предполагаемые ответы подтверждены; перечисленные ответы применены как уточнения.</t>
  </si>
  <si>
    <t xml:space="preserve">Каждое решение связано с исполняемыми Rule ID.</t>
  </si>
  <si>
    <t xml:space="preserve">Контракты данных</t>
  </si>
  <si>
    <t xml:space="preserve">Enums / operations / errors</t>
  </si>
  <si>
    <t xml:space="preserve">Справочники API</t>
  </si>
  <si>
    <t xml:space="preserve">Добавлены закрытые значения</t>
  </si>
  <si>
    <t xml:space="preserve">Developer-ready нормализация</t>
  </si>
  <si>
    <t xml:space="preserve">Добавлено 91 значений: типы, вкладки, Runtime, операции, ошибки, симбионты и lifecycle-политики.</t>
  </si>
  <si>
    <t xml:space="preserve">Overlay базовой атаки</t>
  </si>
  <si>
    <t xml:space="preserve">Добавлена системная атака R20/R20</t>
  </si>
  <si>
    <t xml:space="preserve">Б13</t>
  </si>
  <si>
    <t xml:space="preserve">Статблоки, значения выше 35 и особые атаки не переписываются.</t>
  </si>
  <si>
    <t xml:space="preserve">Жизненный цикл</t>
  </si>
  <si>
    <t xml:space="preserve">CORE-194/195/213</t>
  </si>
  <si>
    <t xml:space="preserve">Версии без черновика и архива</t>
  </si>
  <si>
    <t xml:space="preserve">Закреплён атомарный lifecycle</t>
  </si>
  <si>
    <t xml:space="preserve">П5</t>
  </si>
  <si>
    <t xml:space="preserve">Шаблон либо валидно создан, либо отсутствует; изменение только новой версией, старые версии и экземпляры неизменны.</t>
  </si>
  <si>
    <t xml:space="preserve">Права и интерфейс</t>
  </si>
  <si>
    <t xml:space="preserve">CORE-191/192</t>
  </si>
  <si>
    <t xml:space="preserve">Две вкладки кампании</t>
  </si>
  <si>
    <t xml:space="preserve">Закреплены роли и временные границы</t>
  </si>
  <si>
    <t xml:space="preserve">П1–П4</t>
  </si>
  <si>
    <t xml:space="preserve">Только текущий мастер; до старта или вне боя; мыслящие и монстры разделены.</t>
  </si>
  <si>
    <t xml:space="preserve">Item Registry v1.2</t>
  </si>
  <si>
    <t xml:space="preserve">Требуется Item Registry v1.3</t>
  </si>
  <si>
    <t xml:space="preserve">Единое приложение и CORE-215</t>
  </si>
  <si>
    <t xml:space="preserve">Оружейная грамматика CORE-188/189 неизменна, но Item Registry должен отдельно принять MONSTER_ATTACK/MonsterAttackProfileVersion/naturalArmorDefinition, новые Runtime scopes и запрет item/loot-операций для CustomMonster.</t>
  </si>
  <si>
    <t xml:space="preserve">Интеграция приложения</t>
  </si>
  <si>
    <t xml:space="preserve">Новая категория MONSTER_ATTACK</t>
  </si>
  <si>
    <t xml:space="preserve">Расширен общий боевой dispatch</t>
  </si>
  <si>
    <t xml:space="preserve">CORE-125/150/208</t>
  </si>
  <si>
    <t xml:space="preserve">Приложение различает оружейную, симбиотическую и базовую атаку монстра, сохраняя общий журнал и конвейер защиты.</t>
  </si>
  <si>
    <t xml:space="preserve">Входит в 734 runtime-правила</t>
  </si>
  <si>
    <t xml:space="preserve">Уровни симбионтов SentientEnemy</t>
  </si>
  <si>
    <t xml:space="preserve">Добавлено</t>
  </si>
  <si>
    <t xml:space="preserve">Уровни/деревья без XP, четыре обычных либо одно чудовище.</t>
  </si>
  <si>
    <t xml:space="preserve">DefenseChoice=NONE</t>
  </si>
  <si>
    <t xml:space="preserve">Беззащитная цель разрешается без броска защиты.</t>
  </si>
  <si>
    <t xml:space="preserve">Новые карточки</t>
  </si>
  <si>
    <t xml:space="preserve">CORE-218/219</t>
  </si>
  <si>
    <t xml:space="preserve">Крыса и стая</t>
  </si>
  <si>
    <t xml:space="preserve">Однозонная Крыса и SWARM имеют полные контракты.</t>
  </si>
  <si>
    <t xml:space="preserve">Default/explicit зоны Трясинника и Вольмера.</t>
  </si>
  <si>
    <t xml:space="preserve">Патч</t>
  </si>
  <si>
    <t xml:space="preserve">Укус Умоляющего</t>
  </si>
  <si>
    <t xml:space="preserve">Исправлено</t>
  </si>
  <si>
    <t xml:space="preserve">Точность, защиты −5, броня и Pr=R12 определены.</t>
  </si>
  <si>
    <t xml:space="preserve">Уже входила</t>
  </si>
  <si>
    <t xml:space="preserve">Новая карточка и патч</t>
  </si>
  <si>
    <t xml:space="preserve">CORE-221; MON-038</t>
  </si>
  <si>
    <t xml:space="preserve">Марионетка</t>
  </si>
  <si>
    <t xml:space="preserve">Два независимых броска и временный ControlLease.</t>
  </si>
  <si>
    <t xml:space="preserve">CORE-221 — да</t>
  </si>
  <si>
    <t xml:space="preserve">Возраст цели Бубуя</t>
  </si>
  <si>
    <t xml:space="preserve">KNOWN приоритетнее UNKNOWN; only UNKNOWN — random.</t>
  </si>
  <si>
    <t xml:space="preserve">Обычный цикл плюс видовые исключения.</t>
  </si>
  <si>
    <t xml:space="preserve">Труп и обыск</t>
  </si>
  <si>
    <t xml:space="preserve">NOT_LOOTABLE без dereference отсутствующего контейнера.</t>
  </si>
  <si>
    <t xml:space="preserve">Функциональные интерфейсы</t>
  </si>
  <si>
    <t xml:space="preserve">SYM-117 запрещена CustomMonster; WEB_ITEM/MapObject не создаются.</t>
  </si>
  <si>
    <t xml:space="preserve">Deep clone</t>
  </si>
  <si>
    <t xml:space="preserve">Независимые UUID всего изменяемого графа.</t>
  </si>
  <si>
    <t xml:space="preserve">NO_LAYERS и Pr=0</t>
  </si>
  <si>
    <t xml:space="preserve">Без слоя сравнение не выполняется.</t>
  </si>
  <si>
    <t xml:space="preserve">Системные SentientEnemy</t>
  </si>
  <si>
    <t xml:space="preserve">Неудаляемый системный слой, pin версии кампанией.</t>
  </si>
  <si>
    <t xml:space="preserve">Яды и абсолютный иммунитет</t>
  </si>
  <si>
    <t xml:space="preserve">Крысюк/Жаба иммунны к любому POISON, включая симбиотический.</t>
  </si>
  <si>
    <t xml:space="preserve">Техническое исправление</t>
  </si>
  <si>
    <t xml:space="preserve">RuleRelations</t>
  </si>
  <si>
    <t xml:space="preserve">Ложные Q-связи</t>
  </si>
  <si>
    <t xml:space="preserve">Удалено 354</t>
  </si>
  <si>
    <t xml:space="preserve">Граф больше не трактует ID вопросов как Rule ID.</t>
  </si>
  <si>
    <t xml:space="preserve">Метаданные</t>
  </si>
  <si>
    <t xml:space="preserve">Справочники</t>
  </si>
  <si>
    <t xml:space="preserve">Symbiont allowlist</t>
  </si>
  <si>
    <t xml:space="preserve">20 обычных симбионтов</t>
  </si>
  <si>
    <t xml:space="preserve">profileRuleId и maxL доступны конструктору.</t>
  </si>
  <si>
    <t xml:space="preserve">Межреестровая синхронизация</t>
  </si>
  <si>
    <t xml:space="preserve">Bestiary / Item</t>
  </si>
  <si>
    <t xml:space="preserve">Контракты приложения</t>
  </si>
  <si>
    <t xml:space="preserve">Подготовлено</t>
  </si>
  <si>
    <t xml:space="preserve">Q-PREDEV-015/017</t>
  </si>
  <si>
    <t xml:space="preserve">Бестиарий v1.1 и предметы v1.3 используют Rules v1.4.</t>
  </si>
  <si>
    <t xml:space="preserve">Новая карточка и scoped-патчи</t>
  </si>
  <si>
    <t xml:space="preserve">CORE-229; CORE-073/075/082–085/125/145/146/149/208/217; SYM-021/082</t>
  </si>
  <si>
    <t xml:space="preserve">Добавлено и синхронизировано</t>
  </si>
  <si>
    <t xml:space="preserve">Подтверждение natural 20/1 выполняется до математики только в бою; SUCCESS/FAILURE автоматически разрешает текущую проверку; равные положительные grades сравниваются как две natural 20; прогрессия сохраняется по собственной градации.</t>
  </si>
  <si>
    <t xml:space="preserve">CORE-229 — да; остальные уже входили</t>
  </si>
  <si>
    <t xml:space="preserve">Взрыв Огненной блохи</t>
  </si>
  <si>
    <t xml:space="preserve">Дополнено</t>
  </si>
  <si>
    <t xml:space="preserve">IGNORE_ARMOR; penetration/armor stages skipped; обычный DAMAGE сохранён.</t>
  </si>
  <si>
    <t xml:space="preserve">Нормализация</t>
  </si>
  <si>
    <t xml:space="preserve">Машиночитаемая политика согласована с Bestiary 06A.</t>
  </si>
  <si>
    <t xml:space="preserve">Граф правил</t>
  </si>
  <si>
    <t xml:space="preserve">MON-115→CORE-150/226</t>
  </si>
  <si>
    <t xml:space="preserve">Локальный приоритет</t>
  </si>
  <si>
    <t xml:space="preserve">Общий порядок брони не применяется только к этому взрыву.</t>
  </si>
  <si>
    <t xml:space="preserve">QA-трассировка</t>
  </si>
  <si>
    <t xml:space="preserve">Авторское решение</t>
  </si>
  <si>
    <t xml:space="preserve">Закрыто</t>
  </si>
  <si>
    <t xml:space="preserve">Прямой ответ пользователя</t>
  </si>
  <si>
    <t xml:space="preserve">Один нормативный источник для Rules/Items/Bestiary.</t>
  </si>
  <si>
    <t xml:space="preserve">Baseline v1.0</t>
  </si>
  <si>
    <t xml:space="preserve">Совместимый комплект</t>
  </si>
  <si>
    <t xml:space="preserve">Обновлено</t>
  </si>
  <si>
    <t xml:space="preserve">Cross Registry Audit</t>
  </si>
  <si>
    <t xml:space="preserve">Rules v1.5 / Items v1.4 / Bestiary v1.2 / Sentient v1.1.</t>
  </si>
  <si>
    <t xml:space="preserve">IntegrityControls</t>
  </si>
  <si>
    <t xml:space="preserve">Новые проверки</t>
  </si>
  <si>
    <t xml:space="preserve">Автоматический контроль</t>
  </si>
  <si>
    <t xml:space="preserve">Armor policy и закрытое QA-решение проверяются формулами.</t>
  </si>
  <si>
    <t xml:space="preserve">Входит в 738 runtime-правила</t>
  </si>
  <si>
    <t xml:space="preserve">CORE-230..233</t>
  </si>
  <si>
    <t xml:space="preserve">Маршрутизация, конвертация, распределение, dedupe</t>
  </si>
  <si>
    <t xml:space="preserve">4 активных runtime-правила с приоритетом 100</t>
  </si>
  <si>
    <t xml:space="preserve">Нормативная замена</t>
  </si>
  <si>
    <t xml:space="preserve">Прямой XP</t>
  </si>
  <si>
    <t xml:space="preserve">Переписано</t>
  </si>
  <si>
    <t xml:space="preserve">Natural 20 и 1, обе полярности, один instance</t>
  </si>
  <si>
    <t xml:space="preserve">Синхронизация критов</t>
  </si>
  <si>
    <t xml:space="preserve">CORE-073/075/082/083/084/229</t>
  </si>
  <si>
    <t xml:space="preserve">Событие original D20</t>
  </si>
  <si>
    <t xml:space="preserve">eventPoints 1..5 и собственное событие до winner</t>
  </si>
  <si>
    <t xml:space="preserve">Отдельное состояние</t>
  </si>
  <si>
    <t xml:space="preserve">CORE-085/231</t>
  </si>
  <si>
    <t xml:space="preserve">Счётчик XP симбионтов</t>
  </si>
  <si>
    <t xml:space="preserve">Разделено</t>
  </si>
  <si>
    <t xml:space="preserve">Не смешивается с ростом характеристик</t>
  </si>
  <si>
    <t xml:space="preserve">Классификация бросков</t>
  </si>
  <si>
    <t xml:space="preserve">CORE-087/145/146/149/150</t>
  </si>
  <si>
    <t xml:space="preserve">Перечисленные rollKind дают 1 point без crit chain</t>
  </si>
  <si>
    <t xml:space="preserve">Идентичность броска</t>
  </si>
  <si>
    <t xml:space="preserve">CORE-092/SYM-017/AQA-039</t>
  </si>
  <si>
    <t xml:space="preserve">originRollId и Manual/Auto</t>
  </si>
  <si>
    <t xml:space="preserve">Уточнено</t>
  </si>
  <si>
    <t xml:space="preserve">R20×2=1 событие; 2R20=2; источники равны</t>
  </si>
  <si>
    <t xml:space="preserve">Граница акторов</t>
  </si>
  <si>
    <t xml:space="preserve">CORE-196/198/203/206/208/210/212/216</t>
  </si>
  <si>
    <t xml:space="preserve">Только player characters</t>
  </si>
  <si>
    <t xml:space="preserve">NPC/монстры/SentientEnemy имеют NEVER</t>
  </si>
  <si>
    <t xml:space="preserve">Локальные исключения</t>
  </si>
  <si>
    <t xml:space="preserve">CORE-104/SYM-038/055/075/082/130</t>
  </si>
  <si>
    <t xml:space="preserve">Eligibility и passive XP</t>
  </si>
  <si>
    <t xml:space="preserve">Синхронизировано</t>
  </si>
  <si>
    <t xml:space="preserve">Taipan/Adviser/Penguin, SYM-055 и assigned critical согласованы</t>
  </si>
  <si>
    <t xml:space="preserve">Q&amp;A</t>
  </si>
  <si>
    <t xml:space="preserve">Q-SYMBIONT-XP-001; Q-CORE-025; Q-COMBAT-CRIT-001</t>
  </si>
  <si>
    <t xml:space="preserve">Версионирование решений</t>
  </si>
  <si>
    <t xml:space="preserve">Добавлено/помечено</t>
  </si>
  <si>
    <t xml:space="preserve">442 решения; 2 старых superseded</t>
  </si>
  <si>
    <t xml:space="preserve">Машинные контракты</t>
  </si>
  <si>
    <t xml:space="preserve">PAR-04531+</t>
  </si>
  <si>
    <t xml:space="preserve">Параметры и словари</t>
  </si>
  <si>
    <t xml:space="preserve">Поля события, маршруты, статусы и owner policy</t>
  </si>
  <si>
    <t xml:space="preserve">QA</t>
  </si>
  <si>
    <t xml:space="preserve">XP-QA-01..24</t>
  </si>
  <si>
    <t xml:space="preserve">Обязательные сценарии</t>
  </si>
  <si>
    <t xml:space="preserve">24 формульных контроля и независимая JS-симуляция</t>
  </si>
  <si>
    <t xml:space="preserve">Сводка</t>
  </si>
  <si>
    <t xml:space="preserve">Summary/Control</t>
  </si>
  <si>
    <t xml:space="preserve">Формульные факты</t>
  </si>
  <si>
    <t xml:space="preserve">Пересчитано</t>
  </si>
  <si>
    <t xml:space="preserve">738/698/40; контексты суммируются до 738</t>
  </si>
  <si>
    <t xml:space="preserve">СИМБИОЗ V7 — изменения Executable Rules Registry v1.7</t>
  </si>
  <si>
    <t xml:space="preserve">Неизменяемое мастерское XP, восстановленный генератор групп и исправленный формульный release-gate.</t>
  </si>
  <si>
    <t xml:space="preserve">ID</t>
  </si>
  <si>
    <t xml:space="preserve">Область</t>
  </si>
  <si>
    <t xml:space="preserve">Было</t>
  </si>
  <si>
    <t xml:space="preserve">Стало</t>
  </si>
  <si>
    <t xml:space="preserve">Основание</t>
  </si>
  <si>
    <t xml:space="preserve">RULE-V17-001</t>
  </si>
  <si>
    <t xml:space="preserve">Операция отсутствовала</t>
  </si>
  <si>
    <t xml:space="preserve">Добавлен GM_GRANT_SYMBIONT_XP с положительным baseXP, причиной, target xpEligible и append-only audit</t>
  </si>
  <si>
    <t xml:space="preserve">PASS</t>
  </si>
  <si>
    <t xml:space="preserve">RULE-V17-002</t>
  </si>
  <si>
    <t xml:space="preserve">Необратимость</t>
  </si>
  <si>
    <t xml:space="preserve">Предлагалась компенсирующая операция</t>
  </si>
  <si>
    <t xml:space="preserve">После commit начисление всегда валидно; rollback/delete/negative/compensation отсутствуют</t>
  </si>
  <si>
    <t xml:space="preserve">Прямое решение 2026-08-01</t>
  </si>
  <si>
    <t xml:space="preserve">RULE-V17-003</t>
  </si>
  <si>
    <t xml:space="preserve">awardSource без GM</t>
  </si>
  <si>
    <t xml:space="preserve">Добавлен GM_DIRECT; FREE ×2 ровно один раз</t>
  </si>
  <si>
    <t xml:space="preserve">RULE-V17-004</t>
  </si>
  <si>
    <t xml:space="preserve">Генератор группы запрещён</t>
  </si>
  <si>
    <t xml:space="preserve">Восстановлен генератор 80–150%, ориентир 80, cap35, sentient+monster</t>
  </si>
  <si>
    <t xml:space="preserve">Сохранённое проектное требование</t>
  </si>
  <si>
    <t xml:space="preserve">RULE-V17-005</t>
  </si>
  <si>
    <t xml:space="preserve">80–150% входил в excluded scope</t>
  </si>
  <si>
    <t xml:space="preserve">Generator allowed; AI/auto-target/templates mutation остаются запрещены</t>
  </si>
  <si>
    <t xml:space="preserve">RULE-V17-006</t>
  </si>
  <si>
    <t xml:space="preserve">442 решения</t>
  </si>
  <si>
    <t xml:space="preserve">444 решения; добавлены GM XP и музыкальная ночь</t>
  </si>
  <si>
    <t xml:space="preserve">Ответы 2026-08-01</t>
  </si>
  <si>
    <t xml:space="preserve">RULE-V17-007</t>
  </si>
  <si>
    <t xml:space="preserve">Неверные B19/B20 и expected</t>
  </si>
  <si>
    <t xml:space="preserve">Дубликаты и открытые вопросы считают соответствующие поля</t>
  </si>
  <si>
    <t xml:space="preserve">Аудит формул</t>
  </si>
  <si>
    <t xml:space="preserve">RULE-V17-008</t>
  </si>
  <si>
    <t xml:space="preserve">Контроль 42–52</t>
  </si>
  <si>
    <t xml:space="preserve">Тавтологические проверки</t>
  </si>
  <si>
    <t xml:space="preserve">Заменены независимыми проверками GM XP, generator и уникальности</t>
  </si>
</sst>
</file>

<file path=xl/styles.xml><?xml version="1.0" encoding="utf-8"?>
<styleSheet xmlns="http://schemas.openxmlformats.org/spreadsheetml/2006/main">
  <numFmts count="11">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0"/>
  </numFmts>
  <fonts count="20">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8"/>
      <color rgb="FFFFFFFF"/>
      <name val="Aptos Display"/>
      <family val="0"/>
      <charset val="1"/>
    </font>
    <font>
      <i val="true"/>
      <sz val="10"/>
      <color rgb="FF5F6B7A"/>
      <name val="Aptos"/>
      <family val="0"/>
      <charset val="1"/>
    </font>
    <font>
      <b val="true"/>
      <sz val="9"/>
      <color rgb="FFFFFFFF"/>
      <name val="Aptos"/>
      <family val="0"/>
      <charset val="1"/>
    </font>
    <font>
      <b val="true"/>
      <sz val="11"/>
      <color rgb="FF203864"/>
      <name val="Aptos"/>
      <family val="0"/>
      <charset val="1"/>
    </font>
    <font>
      <sz val="10"/>
      <color rgb="FF1F2937"/>
      <name val="Aptos"/>
      <family val="0"/>
      <charset val="1"/>
    </font>
    <font>
      <b val="true"/>
      <sz val="12"/>
      <color rgb="FF203864"/>
      <name val="Aptos"/>
      <family val="0"/>
      <charset val="1"/>
    </font>
    <font>
      <sz val="8"/>
      <color rgb="FF1F2937"/>
      <name val="Aptos"/>
      <family val="0"/>
      <charset val="1"/>
    </font>
    <font>
      <b val="true"/>
      <sz val="9"/>
      <color rgb="FF203864"/>
      <name val="Aptos"/>
      <family val="0"/>
      <charset val="1"/>
    </font>
    <font>
      <sz val="9"/>
      <color rgb="FF1F2937"/>
      <name val="Aptos"/>
      <family val="0"/>
      <charset val="1"/>
    </font>
    <font>
      <b val="true"/>
      <sz val="11"/>
      <color rgb="FFFFFFFF"/>
      <name val="Calibri"/>
      <family val="0"/>
      <charset val="1"/>
    </font>
    <font>
      <b val="true"/>
      <sz val="16"/>
      <color rgb="FFFFFFFF"/>
      <name val="Arial"/>
      <family val="0"/>
      <charset val="1"/>
    </font>
    <font>
      <i val="true"/>
      <sz val="10"/>
      <color rgb="FF1E3A8A"/>
      <name val="Arial"/>
      <family val="0"/>
      <charset val="1"/>
    </font>
    <font>
      <b val="true"/>
      <sz val="10"/>
      <color rgb="FFFFFFFF"/>
      <name val="Arial"/>
      <family val="0"/>
      <charset val="1"/>
    </font>
    <font>
      <b val="true"/>
      <sz val="10"/>
      <color rgb="FF166534"/>
      <name val="Arial"/>
      <family val="0"/>
      <charset val="1"/>
    </font>
  </fonts>
  <fills count="12">
    <fill>
      <patternFill patternType="none"/>
    </fill>
    <fill>
      <patternFill patternType="gray125"/>
    </fill>
    <fill>
      <patternFill patternType="solid">
        <fgColor rgb="FF203864"/>
        <bgColor rgb="FF1E3A8A"/>
      </patternFill>
    </fill>
    <fill>
      <patternFill patternType="solid">
        <fgColor rgb="FFEEF4FB"/>
        <bgColor rgb="FFF2F2F2"/>
      </patternFill>
    </fill>
    <fill>
      <patternFill patternType="solid">
        <fgColor rgb="FF2F5597"/>
        <bgColor rgb="FF1F4E78"/>
      </patternFill>
    </fill>
    <fill>
      <patternFill patternType="solid">
        <fgColor rgb="FFD9EAF7"/>
        <bgColor rgb="FFDBEAFE"/>
      </patternFill>
    </fill>
    <fill>
      <patternFill patternType="solid">
        <fgColor rgb="FFFFFFFF"/>
        <bgColor rgb="FFEEF4FB"/>
      </patternFill>
    </fill>
    <fill>
      <patternFill patternType="solid">
        <fgColor rgb="FF1F4E78"/>
        <bgColor rgb="FF2F5597"/>
      </patternFill>
    </fill>
    <fill>
      <patternFill patternType="solid">
        <fgColor rgb="FF172554"/>
        <bgColor rgb="FF1F2937"/>
      </patternFill>
    </fill>
    <fill>
      <patternFill patternType="solid">
        <fgColor rgb="FFDBEAFE"/>
        <bgColor rgb="FFD9EAF7"/>
      </patternFill>
    </fill>
    <fill>
      <patternFill patternType="solid">
        <fgColor rgb="FF1D4ED8"/>
        <bgColor rgb="FF2F5597"/>
      </patternFill>
    </fill>
    <fill>
      <patternFill patternType="solid">
        <fgColor rgb="FFDCFCE7"/>
        <bgColor rgb="FFE2F0D9"/>
      </patternFill>
    </fill>
  </fills>
  <borders count="9">
    <border diagonalUp="false" diagonalDown="false">
      <left/>
      <right/>
      <top/>
      <bottom/>
      <diagonal/>
    </border>
    <border diagonalUp="false" diagonalDown="false">
      <left style="thin">
        <color rgb="FF203864"/>
      </left>
      <right/>
      <top style="thin">
        <color rgb="FF203864"/>
      </top>
      <bottom style="thin">
        <color rgb="FF203864"/>
      </bottom>
      <diagonal/>
    </border>
    <border diagonalUp="false" diagonalDown="false">
      <left/>
      <right/>
      <top style="thin">
        <color rgb="FF203864"/>
      </top>
      <bottom style="thin">
        <color rgb="FF203864"/>
      </bottom>
      <diagonal/>
    </border>
    <border diagonalUp="false" diagonalDown="false">
      <left/>
      <right style="thin">
        <color rgb="FF203864"/>
      </right>
      <top style="thin">
        <color rgb="FF203864"/>
      </top>
      <bottom style="thin">
        <color rgb="FF203864"/>
      </bottom>
      <diagonal/>
    </border>
    <border diagonalUp="false" diagonalDown="false">
      <left/>
      <right/>
      <top/>
      <bottom style="thin">
        <color rgb="FFD5DCE5"/>
      </bottom>
      <diagonal/>
    </border>
    <border diagonalUp="false" diagonalDown="false">
      <left/>
      <right/>
      <top style="thin">
        <color rgb="FFD5DCE5"/>
      </top>
      <bottom style="thin">
        <color rgb="FFD5DCE5"/>
      </bottom>
      <diagonal/>
    </border>
    <border diagonalUp="false" diagonalDown="false">
      <left style="thin">
        <color rgb="FF93C5FD"/>
      </left>
      <right style="thin">
        <color rgb="FF93C5FD"/>
      </right>
      <top style="thin">
        <color rgb="FF93C5FD"/>
      </top>
      <bottom style="thin">
        <color rgb="FF93C5FD"/>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86EFAC"/>
      </left>
      <right style="thin">
        <color rgb="FF86EFAC"/>
      </right>
      <top style="thin">
        <color rgb="FF86EFAC"/>
      </top>
      <bottom style="thin">
        <color rgb="FF86EFAC"/>
      </bottom>
      <diagonal/>
    </border>
  </borders>
  <cellStyleXfs count="3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34" applyFont="false" applyBorder="false" applyAlignment="true" applyProtection="false">
      <alignment horizontal="general" vertical="bottom" textRotation="0" wrapText="false" indent="0" shrinkToFit="false"/>
      <protection locked="true" hidden="false"/>
    </xf>
    <xf numFmtId="164" fontId="6" fillId="2" borderId="0" xfId="33" applyFont="true" applyBorder="true" applyAlignment="true" applyProtection="false">
      <alignment horizontal="left" vertical="center" textRotation="0" wrapText="false" indent="0" shrinkToFit="false"/>
      <protection locked="true" hidden="false"/>
    </xf>
    <xf numFmtId="164" fontId="7" fillId="3" borderId="0" xfId="33" applyFont="true" applyBorder="true" applyAlignment="true" applyProtection="false">
      <alignment horizontal="general" vertical="center" textRotation="0" wrapText="true" indent="0" shrinkToFit="false"/>
      <protection locked="true" hidden="false"/>
    </xf>
    <xf numFmtId="164" fontId="8" fillId="4" borderId="1" xfId="33" applyFont="true" applyBorder="true" applyAlignment="true" applyProtection="false">
      <alignment horizontal="center" vertical="center" textRotation="0" wrapText="true" indent="0" shrinkToFit="false"/>
      <protection locked="true" hidden="false"/>
    </xf>
    <xf numFmtId="164" fontId="8" fillId="4" borderId="2" xfId="33" applyFont="true" applyBorder="true" applyAlignment="true" applyProtection="false">
      <alignment horizontal="center" vertical="center" textRotation="0" wrapText="true" indent="0" shrinkToFit="false"/>
      <protection locked="true" hidden="false"/>
    </xf>
    <xf numFmtId="164" fontId="8" fillId="4" borderId="3" xfId="33" applyFont="true" applyBorder="true" applyAlignment="true" applyProtection="false">
      <alignment horizontal="center" vertical="center" textRotation="0" wrapText="true" indent="0" shrinkToFit="false"/>
      <protection locked="true" hidden="false"/>
    </xf>
    <xf numFmtId="164" fontId="9" fillId="5" borderId="0" xfId="33" applyFont="true" applyBorder="true" applyAlignment="true" applyProtection="false">
      <alignment horizontal="general" vertical="center" textRotation="0" wrapText="false" indent="0" shrinkToFit="false"/>
      <protection locked="true" hidden="false"/>
    </xf>
    <xf numFmtId="164" fontId="10" fillId="0" borderId="4" xfId="33" applyFont="true" applyBorder="true" applyAlignment="true" applyProtection="false">
      <alignment horizontal="general" vertical="top" textRotation="0" wrapText="true" indent="0" shrinkToFit="false"/>
      <protection locked="true" hidden="false"/>
    </xf>
    <xf numFmtId="174" fontId="11" fillId="0" borderId="4" xfId="33" applyFont="true" applyBorder="true" applyAlignment="true" applyProtection="false">
      <alignment horizontal="right" vertical="center" textRotation="0" wrapText="true" indent="0" shrinkToFit="false"/>
      <protection locked="true" hidden="false"/>
    </xf>
    <xf numFmtId="164" fontId="10" fillId="6" borderId="0" xfId="33" applyFont="true" applyBorder="true" applyAlignment="true" applyProtection="false">
      <alignment horizontal="general" vertical="center" textRotation="0" wrapText="true" indent="0" shrinkToFit="false"/>
      <protection locked="true" hidden="false"/>
    </xf>
    <xf numFmtId="164" fontId="10" fillId="0" borderId="5" xfId="33" applyFont="true" applyBorder="true" applyAlignment="true" applyProtection="false">
      <alignment horizontal="general" vertical="top" textRotation="0" wrapText="true" indent="0" shrinkToFit="false"/>
      <protection locked="true" hidden="false"/>
    </xf>
    <xf numFmtId="174" fontId="11" fillId="0" borderId="5" xfId="33" applyFont="true" applyBorder="true" applyAlignment="true" applyProtection="false">
      <alignment horizontal="right" vertical="center" textRotation="0" wrapText="true" indent="0" shrinkToFit="false"/>
      <protection locked="true" hidden="false"/>
    </xf>
    <xf numFmtId="164" fontId="9" fillId="5" borderId="0" xfId="33" applyFont="true" applyBorder="true" applyAlignment="true" applyProtection="false">
      <alignment horizontal="general" vertical="bottom" textRotation="0" wrapText="false" indent="0" shrinkToFit="false"/>
      <protection locked="true" hidden="false"/>
    </xf>
    <xf numFmtId="174" fontId="10" fillId="0" borderId="4" xfId="33" applyFont="true" applyBorder="true" applyAlignment="true" applyProtection="false">
      <alignment horizontal="right" vertical="top" textRotation="0" wrapText="true" indent="0" shrinkToFit="false"/>
      <protection locked="true" hidden="false"/>
    </xf>
    <xf numFmtId="174" fontId="10" fillId="0" borderId="5" xfId="33" applyFont="true" applyBorder="true" applyAlignment="true" applyProtection="false">
      <alignment horizontal="right" vertical="top" textRotation="0" wrapText="true" indent="0" shrinkToFit="false"/>
      <protection locked="true" hidden="false"/>
    </xf>
    <xf numFmtId="164" fontId="12" fillId="0" borderId="4" xfId="33" applyFont="true" applyBorder="true" applyAlignment="true" applyProtection="false">
      <alignment horizontal="center" vertical="center" textRotation="0" wrapText="true" indent="0" shrinkToFit="false"/>
      <protection locked="true" hidden="false"/>
    </xf>
    <xf numFmtId="164" fontId="13" fillId="0" borderId="4" xfId="33" applyFont="true" applyBorder="true" applyAlignment="true" applyProtection="false">
      <alignment horizontal="center" vertical="center" textRotation="0" wrapText="true" indent="0" shrinkToFit="false"/>
      <protection locked="true" hidden="false"/>
    </xf>
    <xf numFmtId="164" fontId="12" fillId="0" borderId="4" xfId="33" applyFont="true" applyBorder="true" applyAlignment="true" applyProtection="false">
      <alignment horizontal="general" vertical="center" textRotation="0" wrapText="true" indent="0" shrinkToFit="false"/>
      <protection locked="true" hidden="false"/>
    </xf>
    <xf numFmtId="164" fontId="12" fillId="0" borderId="4" xfId="33" applyFont="true" applyBorder="true" applyAlignment="true" applyProtection="false">
      <alignment horizontal="general" vertical="top" textRotation="0" wrapText="true" indent="0" shrinkToFit="false"/>
      <protection locked="true" hidden="false"/>
    </xf>
    <xf numFmtId="174" fontId="12" fillId="0" borderId="4" xfId="33" applyFont="true" applyBorder="true" applyAlignment="true" applyProtection="false">
      <alignment horizontal="general" vertical="top" textRotation="0" wrapText="true" indent="0" shrinkToFit="false"/>
      <protection locked="true" hidden="false"/>
    </xf>
    <xf numFmtId="164" fontId="12" fillId="0" borderId="5" xfId="33" applyFont="true" applyBorder="true" applyAlignment="true" applyProtection="false">
      <alignment horizontal="center" vertical="center" textRotation="0" wrapText="true" indent="0" shrinkToFit="false"/>
      <protection locked="true" hidden="false"/>
    </xf>
    <xf numFmtId="164" fontId="13" fillId="0" borderId="5" xfId="33" applyFont="true" applyBorder="true" applyAlignment="true" applyProtection="false">
      <alignment horizontal="center" vertical="center" textRotation="0" wrapText="true" indent="0" shrinkToFit="false"/>
      <protection locked="true" hidden="false"/>
    </xf>
    <xf numFmtId="164" fontId="12" fillId="0" borderId="5" xfId="33" applyFont="true" applyBorder="true" applyAlignment="true" applyProtection="false">
      <alignment horizontal="general" vertical="center" textRotation="0" wrapText="true" indent="0" shrinkToFit="false"/>
      <protection locked="true" hidden="false"/>
    </xf>
    <xf numFmtId="164" fontId="12" fillId="0" borderId="5" xfId="33" applyFont="true" applyBorder="true" applyAlignment="true" applyProtection="false">
      <alignment horizontal="general" vertical="top" textRotation="0" wrapText="true" indent="0" shrinkToFit="false"/>
      <protection locked="true" hidden="false"/>
    </xf>
    <xf numFmtId="174" fontId="12" fillId="0" borderId="5" xfId="33" applyFont="true" applyBorder="true" applyAlignment="true" applyProtection="false">
      <alignment horizontal="general" vertical="top" textRotation="0" wrapText="true" indent="0" shrinkToFit="false"/>
      <protection locked="true" hidden="false"/>
    </xf>
    <xf numFmtId="164" fontId="12" fillId="0" borderId="5" xfId="33" applyFont="true" applyBorder="true" applyAlignment="true" applyProtection="false">
      <alignment horizontal="center" vertical="top" textRotation="0" wrapText="true" indent="0" shrinkToFit="false"/>
      <protection locked="true" hidden="false"/>
    </xf>
    <xf numFmtId="164" fontId="13" fillId="0" borderId="5" xfId="33" applyFont="true" applyBorder="true" applyAlignment="true" applyProtection="false">
      <alignment horizontal="center" vertical="top" textRotation="0" wrapText="true" indent="0" shrinkToFit="false"/>
      <protection locked="true" hidden="false"/>
    </xf>
    <xf numFmtId="164" fontId="5" fillId="0" borderId="0" xfId="33" applyFont="true" applyBorder="true" applyAlignment="true" applyProtection="false">
      <alignment horizontal="general" vertical="top" textRotation="0" wrapText="true" indent="0" shrinkToFit="false"/>
      <protection locked="true" hidden="false"/>
    </xf>
    <xf numFmtId="164" fontId="4" fillId="0" borderId="0" xfId="34" applyFont="true" applyBorder="false" applyAlignment="true" applyProtection="false">
      <alignment horizontal="general" vertical="bottom" textRotation="0" wrapText="true" indent="0" shrinkToFit="false"/>
      <protection locked="true" hidden="false"/>
    </xf>
    <xf numFmtId="164" fontId="14" fillId="0" borderId="4" xfId="33" applyFont="true" applyBorder="true" applyAlignment="true" applyProtection="false">
      <alignment horizontal="general" vertical="center" textRotation="0" wrapText="true" indent="0" shrinkToFit="false"/>
      <protection locked="true" hidden="false"/>
    </xf>
    <xf numFmtId="164" fontId="14" fillId="0" borderId="4" xfId="33" applyFont="true" applyBorder="true" applyAlignment="true" applyProtection="false">
      <alignment horizontal="general" vertical="top" textRotation="0" wrapText="true" indent="0" shrinkToFit="false"/>
      <protection locked="true" hidden="false"/>
    </xf>
    <xf numFmtId="164" fontId="14" fillId="0" borderId="5" xfId="33" applyFont="true" applyBorder="true" applyAlignment="true" applyProtection="false">
      <alignment horizontal="general" vertical="center" textRotation="0" wrapText="true" indent="0" shrinkToFit="false"/>
      <protection locked="true" hidden="false"/>
    </xf>
    <xf numFmtId="164" fontId="14" fillId="0" borderId="5" xfId="33" applyFont="true" applyBorder="true" applyAlignment="true" applyProtection="false">
      <alignment horizontal="general" vertical="top" textRotation="0" wrapText="true" indent="0" shrinkToFit="false"/>
      <protection locked="true" hidden="false"/>
    </xf>
    <xf numFmtId="164" fontId="8" fillId="4" borderId="1" xfId="33" applyFont="true" applyBorder="true" applyAlignment="true" applyProtection="false">
      <alignment horizontal="center" vertical="top" textRotation="0" wrapText="true" indent="0" shrinkToFit="false"/>
      <protection locked="true" hidden="false"/>
    </xf>
    <xf numFmtId="164" fontId="8" fillId="4" borderId="2" xfId="33" applyFont="true" applyBorder="true" applyAlignment="true" applyProtection="false">
      <alignment horizontal="center" vertical="top" textRotation="0" wrapText="true" indent="0" shrinkToFit="false"/>
      <protection locked="true" hidden="false"/>
    </xf>
    <xf numFmtId="164" fontId="8" fillId="4" borderId="3" xfId="33" applyFont="true" applyBorder="true" applyAlignment="true" applyProtection="false">
      <alignment horizontal="center" vertical="top" textRotation="0" wrapText="true" indent="0" shrinkToFit="false"/>
      <protection locked="true" hidden="false"/>
    </xf>
    <xf numFmtId="174" fontId="10" fillId="0" borderId="4" xfId="33" applyFont="true" applyBorder="true" applyAlignment="true" applyProtection="false">
      <alignment horizontal="center" vertical="top" textRotation="0" wrapText="true" indent="0" shrinkToFit="false"/>
      <protection locked="true" hidden="false"/>
    </xf>
    <xf numFmtId="164" fontId="10" fillId="0" borderId="4" xfId="33" applyFont="true" applyBorder="true" applyAlignment="true" applyProtection="false">
      <alignment horizontal="center" vertical="top" textRotation="0" wrapText="true" indent="0" shrinkToFit="false"/>
      <protection locked="true" hidden="false"/>
    </xf>
    <xf numFmtId="174" fontId="10" fillId="0" borderId="5" xfId="33" applyFont="true" applyBorder="true" applyAlignment="true" applyProtection="false">
      <alignment horizontal="center" vertical="top" textRotation="0" wrapText="true" indent="0" shrinkToFit="false"/>
      <protection locked="true" hidden="false"/>
    </xf>
    <xf numFmtId="164" fontId="10" fillId="0" borderId="5" xfId="33" applyFont="true" applyBorder="true" applyAlignment="true" applyProtection="false">
      <alignment horizontal="center" vertical="top" textRotation="0" wrapText="true" indent="0" shrinkToFit="false"/>
      <protection locked="true" hidden="false"/>
    </xf>
    <xf numFmtId="164" fontId="5" fillId="0" borderId="0" xfId="33" applyFont="true" applyBorder="true" applyAlignment="true" applyProtection="false">
      <alignment horizontal="general" vertical="bottom" textRotation="0" wrapText="true" indent="0" shrinkToFit="false"/>
      <protection locked="true" hidden="false"/>
    </xf>
    <xf numFmtId="164" fontId="15" fillId="4" borderId="0" xfId="33" applyFont="true" applyBorder="true" applyAlignment="true" applyProtection="false">
      <alignment horizontal="center" vertical="center" textRotation="0" wrapText="true" indent="0" shrinkToFit="false"/>
      <protection locked="true" hidden="false"/>
    </xf>
    <xf numFmtId="164" fontId="5" fillId="0" borderId="0" xfId="33" applyFont="true" applyBorder="true" applyAlignment="true" applyProtection="false">
      <alignment horizontal="center" vertical="bottom" textRotation="0" wrapText="true" indent="0" shrinkToFit="false"/>
      <protection locked="true" hidden="false"/>
    </xf>
    <xf numFmtId="164" fontId="15" fillId="7" borderId="0" xfId="33" applyFont="true" applyBorder="true" applyAlignment="true" applyProtection="false">
      <alignment horizontal="center" vertical="center" textRotation="0" wrapText="true" indent="0" shrinkToFit="false"/>
      <protection locked="true" hidden="false"/>
    </xf>
    <xf numFmtId="164" fontId="16" fillId="8" borderId="0" xfId="34" applyFont="true" applyBorder="true" applyAlignment="true" applyProtection="false">
      <alignment horizontal="general" vertical="center" textRotation="0" wrapText="false" indent="0" shrinkToFit="false"/>
      <protection locked="true" hidden="false"/>
    </xf>
    <xf numFmtId="164" fontId="17" fillId="9" borderId="0" xfId="34" applyFont="true" applyBorder="true" applyAlignment="true" applyProtection="false">
      <alignment horizontal="general" vertical="bottom" textRotation="0" wrapText="true" indent="0" shrinkToFit="false"/>
      <protection locked="true" hidden="false"/>
    </xf>
    <xf numFmtId="164" fontId="18" fillId="10" borderId="6" xfId="34" applyFont="true" applyBorder="true" applyAlignment="true" applyProtection="false">
      <alignment horizontal="general" vertical="bottom" textRotation="0" wrapText="true" indent="0" shrinkToFit="false"/>
      <protection locked="true" hidden="false"/>
    </xf>
    <xf numFmtId="164" fontId="4" fillId="0" borderId="7" xfId="34" applyFont="true" applyBorder="true" applyAlignment="true" applyProtection="false">
      <alignment horizontal="general" vertical="top" textRotation="0" wrapText="true" indent="0" shrinkToFit="false"/>
      <protection locked="true" hidden="false"/>
    </xf>
    <xf numFmtId="164" fontId="19" fillId="11" borderId="8" xfId="34" applyFont="true" applyBorder="true" applyAlignment="true" applyProtection="false">
      <alignment horizontal="center" vertical="top" textRotation="0" wrapText="true" indent="0" shrinkToFit="false"/>
      <protection locked="true" hidden="false"/>
    </xf>
  </cellXfs>
  <cellStyles count="25">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2" xfId="22"/>
    <cellStyle name="Comma [0]" xfId="23"/>
    <cellStyle name="Comma [0] 2" xfId="24"/>
    <cellStyle name="Comma [0] 3" xfId="25"/>
    <cellStyle name="Currency" xfId="26"/>
    <cellStyle name="Currency 3" xfId="27"/>
    <cellStyle name="Currency 4" xfId="28"/>
    <cellStyle name="Currency [0]" xfId="29"/>
    <cellStyle name="Currency [0] 4" xfId="30"/>
    <cellStyle name="Currency [0] 5" xfId="31"/>
    <cellStyle name="Normal" xfId="32"/>
    <cellStyle name="Normal 1" xfId="33"/>
    <cellStyle name="Normal 5" xfId="34"/>
    <cellStyle name="Normal 6" xfId="35"/>
    <cellStyle name="Percent" xfId="36"/>
    <cellStyle name="Percent 6" xfId="37"/>
    <cellStyle name="Percent 7" xfId="38"/>
  </cellStyles>
  <dxfs count="58">
    <dxf>
      <fill>
        <patternFill patternType="solid">
          <fgColor rgb="FF2F5597"/>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203864"/>
          <bgColor rgb="FF000000"/>
        </patternFill>
      </fill>
    </dxf>
    <dxf>
      <fill>
        <patternFill patternType="solid">
          <fgColor rgb="FFE2F0D9"/>
          <bgColor rgb="FF000000"/>
        </patternFill>
      </fill>
    </dxf>
    <dxf>
      <fill>
        <patternFill patternType="solid">
          <fgColor rgb="FFF2F2F2"/>
          <bgColor rgb="FF000000"/>
        </patternFill>
      </fill>
    </dxf>
    <dxf>
      <fill>
        <patternFill patternType="solid">
          <fgColor rgb="FF375623"/>
          <bgColor rgb="FF000000"/>
        </patternFill>
      </fill>
    </dxf>
    <dxf>
      <fill>
        <patternFill patternType="solid">
          <fgColor rgb="FF666666"/>
          <bgColor rgb="FF000000"/>
        </patternFill>
      </fill>
    </dxf>
    <dxf>
      <fill>
        <patternFill patternType="solid">
          <fgColor rgb="FFFFF2CC"/>
          <bgColor rgb="FF000000"/>
        </patternFill>
      </fill>
    </dxf>
    <dxf>
      <fill>
        <patternFill patternType="solid">
          <fgColor rgb="FF7F6000"/>
          <bgColor rgb="FF000000"/>
        </patternFill>
      </fill>
    </dxf>
    <dxf>
      <font>
        <b val="1"/>
        <color rgb="FF375623"/>
      </font>
      <fill>
        <patternFill>
          <bgColor rgb="FFE2F0D9"/>
        </patternFill>
      </fill>
    </dxf>
    <dxf>
      <font>
        <b val="1"/>
        <color rgb="FF666666"/>
      </font>
      <fill>
        <patternFill>
          <bgColor rgb="FFF2F2F2"/>
        </patternFill>
      </fill>
    </dxf>
    <dxf>
      <font>
        <b val="1"/>
        <color rgb="FF7F6000"/>
      </font>
      <fill>
        <patternFill>
          <bgColor rgb="FFFFF2CC"/>
        </patternFill>
      </fill>
    </dxf>
    <dxf>
      <font>
        <b val="1"/>
        <color rgb="FF9C0006"/>
      </font>
      <fill>
        <patternFill>
          <bgColor rgb="FFFCE4D6"/>
        </patternFill>
      </fill>
    </dxf>
    <dxf>
      <font>
        <color rgb="FF375623"/>
      </font>
      <fill>
        <patternFill>
          <bgColor rgb="FFE2F0D9"/>
        </patternFill>
      </fill>
    </dxf>
    <dxf>
      <font>
        <color rgb="FF375623"/>
      </font>
      <fill>
        <patternFill>
          <bgColor rgb="FFE2F0D9"/>
        </patternFill>
      </fill>
    </dxf>
    <dxf>
      <font>
        <b val="1"/>
        <color rgb="FFC00000"/>
      </font>
      <fill>
        <patternFill>
          <bgColor rgb="FFFCE4D6"/>
        </patternFill>
      </fill>
    </dxf>
    <dxf>
      <font>
        <color rgb="FF375623"/>
      </font>
      <fill>
        <patternFill>
          <bgColor rgb="FFE2F0D9"/>
        </patternFill>
      </fill>
    </dxf>
    <dxf>
      <font>
        <color rgb="FF375623"/>
      </font>
      <fill>
        <patternFill>
          <bgColor rgb="FFE2F0D9"/>
        </patternFill>
      </fill>
    </dxf>
    <dxf>
      <font>
        <b val="1"/>
        <color rgb="FFC00000"/>
      </font>
      <fill>
        <patternFill>
          <bgColor rgb="FFFCE4D6"/>
        </patternFill>
      </fill>
    </dxf>
    <dxf>
      <font>
        <color rgb="FF375623"/>
      </font>
      <fill>
        <patternFill>
          <bgColor rgb="FFE2F0D9"/>
        </patternFill>
      </fill>
    </dxf>
    <dxf>
      <font>
        <color rgb="FF375623"/>
      </font>
      <fill>
        <patternFill>
          <bgColor rgb="FFE2F0D9"/>
        </patternFill>
      </fill>
    </dxf>
    <dxf>
      <font>
        <b val="1"/>
        <color rgb="FFC00000"/>
      </font>
      <fill>
        <patternFill>
          <bgColor rgb="FFFCE4D6"/>
        </patternFill>
      </fill>
    </dxf>
    <dxf>
      <font>
        <b val="1"/>
        <color rgb="FF375623"/>
      </font>
      <fill>
        <patternFill>
          <bgColor rgb="FFE2F0D9"/>
        </patternFill>
      </fill>
    </dxf>
    <dxf>
      <font>
        <b val="1"/>
        <color rgb="FF666666"/>
      </font>
      <fill>
        <patternFill>
          <bgColor rgb="FFF2F2F2"/>
        </patternFill>
      </fill>
    </dxf>
    <dxf>
      <font>
        <b val="1"/>
        <color rgb="FF375623"/>
      </font>
      <fill>
        <patternFill>
          <bgColor rgb="FFE2F0D9"/>
        </patternFill>
      </fill>
    </dxf>
    <dxf>
      <font>
        <b val="1"/>
        <color rgb="FF666666"/>
      </font>
      <fill>
        <patternFill>
          <bgColor rgb="FFF2F2F2"/>
        </patternFill>
      </fill>
    </dxf>
    <dxf>
      <font>
        <b val="1"/>
        <color rgb="FF7F6000"/>
      </font>
      <fill>
        <patternFill>
          <bgColor rgb="FFFFF2CC"/>
        </patternFill>
      </fill>
    </dxf>
    <dxf>
      <font>
        <b val="1"/>
        <color rgb="FF7F6000"/>
      </font>
      <fill>
        <patternFill>
          <bgColor rgb="FFFFF2CC"/>
        </patternFill>
      </fill>
    </dxf>
    <dxf>
      <font>
        <b val="1"/>
        <color rgb="FF375623"/>
      </font>
      <fill>
        <patternFill>
          <bgColor rgb="FFE2F0D9"/>
        </patternFill>
      </fill>
    </dxf>
    <dxf>
      <font>
        <b val="1"/>
        <color rgb="FF666666"/>
      </font>
      <fill>
        <patternFill>
          <bgColor rgb="FFF2F2F2"/>
        </patternFill>
      </fill>
    </dxf>
    <dxf>
      <font>
        <b val="1"/>
        <color rgb="FF375623"/>
      </font>
      <fill>
        <patternFill>
          <bgColor rgb="FFE2F0D9"/>
        </patternFill>
      </fill>
    </dxf>
    <dxf>
      <font>
        <b val="1"/>
        <color rgb="FF666666"/>
      </font>
      <fill>
        <patternFill>
          <bgColor rgb="FFF2F2F2"/>
        </patternFill>
      </fill>
    </dxf>
    <dxf>
      <font>
        <b val="1"/>
        <color rgb="FF375623"/>
      </font>
      <fill>
        <patternFill>
          <bgColor rgb="FFE2F0D9"/>
        </patternFill>
      </fill>
    </dxf>
    <dxf>
      <font>
        <b val="1"/>
        <color rgb="FF7F6000"/>
      </font>
      <fill>
        <patternFill>
          <bgColor rgb="FFFFF2CC"/>
        </patternFill>
      </fill>
    </dxf>
    <dxf>
      <font>
        <color rgb="FF375623"/>
      </font>
      <fill>
        <patternFill>
          <bgColor rgb="FFE2F0D9"/>
        </patternFill>
      </fill>
    </dxf>
    <dxf>
      <fill>
        <patternFill patternType="solid">
          <fgColor rgb="FFEEF4FB"/>
          <bgColor rgb="FF000000"/>
        </patternFill>
      </fill>
    </dxf>
    <dxf>
      <font>
        <b val="1"/>
        <color rgb="FF375623"/>
      </font>
      <fill>
        <patternFill>
          <bgColor rgb="FFE2F0D9"/>
        </patternFill>
      </fill>
    </dxf>
    <dxf>
      <font>
        <b val="1"/>
        <color rgb="FF203864"/>
      </font>
      <fill>
        <patternFill>
          <bgColor rgb="FFEEF4FB"/>
        </patternFill>
      </fill>
    </dxf>
    <dxf>
      <font>
        <b val="1"/>
        <color rgb="FF375623"/>
      </font>
      <fill>
        <patternFill>
          <bgColor rgb="FFE2F0D9"/>
        </patternFill>
      </fill>
    </dxf>
    <dxf>
      <font>
        <b val="1"/>
        <color rgb="FF9C0006"/>
      </font>
      <fill>
        <patternFill>
          <bgColor rgb="FFFCE4D6"/>
        </patternFill>
      </fill>
    </dxf>
    <dxf>
      <font>
        <color rgb="FF375623"/>
      </font>
      <fill>
        <patternFill>
          <bgColor rgb="FFE2F0D9"/>
        </patternFill>
      </fill>
    </dxf>
    <dxf>
      <font>
        <b val="1"/>
        <color rgb="FFC00000"/>
      </font>
      <fill>
        <patternFill>
          <bgColor rgb="FFFCE4D6"/>
        </patternFill>
      </fill>
    </dxf>
    <dxf>
      <font>
        <color rgb="FF375623"/>
      </font>
      <fill>
        <patternFill>
          <bgColor rgb="FFE2F0D9"/>
        </patternFill>
      </fill>
    </dxf>
    <dxf>
      <font>
        <b val="1"/>
        <color rgb="FFC00000"/>
      </font>
      <fill>
        <patternFill>
          <bgColor rgb="FFFCE4D6"/>
        </patternFill>
      </fill>
    </dxf>
    <dxf>
      <font>
        <color rgb="FF375623"/>
      </font>
      <fill>
        <patternFill>
          <bgColor rgb="FFE2F0D9"/>
        </patternFill>
      </fill>
    </dxf>
    <dxf>
      <font>
        <b val="1"/>
        <color rgb="FFC00000"/>
      </font>
      <fill>
        <patternFill>
          <bgColor rgb="FFFCE4D6"/>
        </patternFill>
      </fill>
    </dxf>
    <dxf>
      <font>
        <color rgb="FF375623"/>
      </font>
      <fill>
        <patternFill>
          <bgColor rgb="FFE2F0D9"/>
        </patternFill>
      </fill>
    </dxf>
    <dxf>
      <font>
        <b val="1"/>
        <color rgb="FFC00000"/>
      </font>
      <fill>
        <patternFill>
          <bgColor rgb="FFFCE4D6"/>
        </patternFill>
      </fill>
    </dxf>
    <dxf>
      <fill>
        <patternFill patternType="solid">
          <fgColor rgb="FF1F4E78"/>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51" type="wholeTable"/>
      <tableStyleElement dxfId="52" type="firstColumnStripe"/>
      <tableStyleElement dxfId="53" type="firstRowStripe"/>
      <tableStyleElement dxfId="54" type="lastColumn"/>
      <tableStyleElement dxfId="55" type="firstColumn"/>
      <tableStyleElement dxfId="56" type="headerRow"/>
      <tableStyleElement dxfId="57" type="totalRow"/>
    </tableStyle>
  </tableStyles>
  <colors>
    <indexedColors>
      <rgbColor rgb="FF000000"/>
      <rgbColor rgb="FFFFFFFF"/>
      <rgbColor rgb="FFC00000"/>
      <rgbColor rgb="FF00FF00"/>
      <rgbColor rgb="FF0000FF"/>
      <rgbColor rgb="FFFFFF00"/>
      <rgbColor rgb="FFFF00FF"/>
      <rgbColor rgb="FF00FFFF"/>
      <rgbColor rgb="FF9C0006"/>
      <rgbColor rgb="FF166534"/>
      <rgbColor rgb="FF000080"/>
      <rgbColor rgb="FF7F6000"/>
      <rgbColor rgb="FF800080"/>
      <rgbColor rgb="FF156082"/>
      <rgbColor rgb="FFD5DCE5"/>
      <rgbColor rgb="FF666666"/>
      <rgbColor rgb="FF9999FF"/>
      <rgbColor rgb="FF993366"/>
      <rgbColor rgb="FFFFF2CC"/>
      <rgbColor rgb="FFDCFCE7"/>
      <rgbColor rgb="FF660066"/>
      <rgbColor rgb="FFFF8080"/>
      <rgbColor rgb="FF1D4ED8"/>
      <rgbColor rgb="FFCBD5E1"/>
      <rgbColor rgb="FF000080"/>
      <rgbColor rgb="FFFF00FF"/>
      <rgbColor rgb="FFFFFF00"/>
      <rgbColor rgb="FF00FFFF"/>
      <rgbColor rgb="FF800080"/>
      <rgbColor rgb="FF800000"/>
      <rgbColor rgb="FF1F4E78"/>
      <rgbColor rgb="FF0000FF"/>
      <rgbColor rgb="FF00CCFF"/>
      <rgbColor rgb="FFD9EAF7"/>
      <rgbColor rgb="FFE2F0D9"/>
      <rgbColor rgb="FFF2F2F2"/>
      <rgbColor rgb="FF93C5FD"/>
      <rgbColor rgb="FFEEF4FB"/>
      <rgbColor rgb="FFDBEAFE"/>
      <rgbColor rgb="FFFCE4D6"/>
      <rgbColor rgb="FF2F5597"/>
      <rgbColor rgb="FF46B1E1"/>
      <rgbColor rgb="FF86EFAC"/>
      <rgbColor rgb="FFFFCC00"/>
      <rgbColor rgb="FFFF9900"/>
      <rgbColor rgb="FFFF6600"/>
      <rgbColor rgb="FF5F6B7A"/>
      <rgbColor rgb="FF969696"/>
      <rgbColor rgb="FF172554"/>
      <rgbColor rgb="FF339966"/>
      <rgbColor rgb="FF203864"/>
      <rgbColor rgb="FF375623"/>
      <rgbColor rgb="FF993300"/>
      <rgbColor rgb="FF993366"/>
      <rgbColor rgb="FF1E3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AcceptedQADecisionsTable" displayName="AcceptedQADecisionsTable" ref="A1:I443" headerRowCount="1" totalsRowCount="0" totalsRowShown="0">
  <autoFilter ref="A1:I443"/>
  <tableColumns count="9">
    <tableColumn id="1" name="№"/>
    <tableColumn id="2" name="Пакет / раунд"/>
    <tableColumn id="3" name="Код вопроса"/>
    <tableColumn id="4" name="Текст вопроса"/>
    <tableColumn id="5" name="Фактически применяемый ответ"/>
    <tableColumn id="6" name="Статус"/>
    <tableColumn id="7" name="Поздние вопросы"/>
    <tableColumn id="8" name="Связанные Rule ID"/>
    <tableColumn id="9" name="Файл-источник"/>
  </tableColumns>
  <tableStyleInfo name="TableStyleMedium2" showFirstColumn="0" showLastColumn="0" showRowStripes="1" showColumnStripes="0"/>
</table>
</file>

<file path=xl/tables/table2.xml><?xml version="1.0" encoding="utf-8"?>
<table xmlns="http://schemas.openxmlformats.org/spreadsheetml/2006/main" id="2" name="ExecutableRulesTable" displayName="ExecutableRulesTable" ref="A1:AI739" headerRowCount="1" totalsRowCount="0" totalsRowShown="0">
  <autoFilter ref="A1:AI739"/>
  <tableColumns count="35">
    <tableColumn id="1" name="№"/>
    <tableColumn id="2" name="Rule ID"/>
    <tableColumn id="3" name="Статус"/>
    <tableColumn id="4" name="Режим реализации"/>
    <tableColumn id="5" name="Тип правила"/>
    <tableColumn id="6" name="Функциональный контекст"/>
    <tableColumn id="7" name="Компонент приложения"/>
    <tableColumn id="8" name="Нормативный раздел"/>
    <tableColumn id="9" name="Подраздел"/>
    <tableColumn id="10" name="Название"/>
    <tableColumn id="11" name="Категория"/>
    <tableColumn id="12" name="Логический актор"/>
    <tableColumn id="13" name="Субъект"/>
    <tableColumn id="14" name="Объект / цель"/>
    <tableColumn id="15" name="Runtime-триггер"/>
    <tableColumn id="16" name="Предусловия"/>
    <tableColumn id="17" name="Входы / параметры"/>
    <tableColumn id="18" name="Итоговый алгоритм"/>
    <tableColumn id="19" name="Изменения состояния / результат"/>
    <tableColumn id="20" name="Исключения / приоритет"/>
    <tableColumn id="21" name="Стоимость действия / времени"/>
    <tableColumn id="22" name="Стоимость ресурсов"/>
    <tableColumn id="23" name="Броски / формулы"/>
    <tableColumn id="24" name="Недопустимый исход"/>
    <tableColumn id="25" name="Длительность / кулдаун"/>
    <tableColumn id="26" name="Ручной выбор мастера"/>
    <tableColumn id="27" name="Атомарность / аудит"/>
    <tableColumn id="28" name="Приоритет источника"/>
    <tableColumn id="29" name="Источник карточки"/>
    <tableColumn id="30" name="ID вопросов"/>
    <tableColumn id="31" name="Связанные правила"/>
    <tableColumn id="32" name="База + поздние дельты"/>
    <tableColumn id="33" name="QA-поля нормализованы"/>
    <tableColumn id="34" name="Финальная правка"/>
    <tableColumn id="35" name="Контроль уникальности ID"/>
  </tableColumns>
  <tableStyleInfo name="TableStyleMedium2" showFirstColumn="0" showLastColumn="0" showRowStripes="1" showColumnStripes="0"/>
</table>
</file>

<file path=xl/tables/table3.xml><?xml version="1.0" encoding="utf-8"?>
<table xmlns="http://schemas.openxmlformats.org/spreadsheetml/2006/main" id="3" name="IntegrityControlsTable" displayName="IntegrityControlsTable" ref="A1:E100" headerRowCount="1" totalsRowCount="0" totalsRowShown="0">
  <autoFilter ref="A1:E100"/>
  <tableColumns count="5">
    <tableColumn id="1" name="Проверка"/>
    <tableColumn id="2" name="Ожидается"/>
    <tableColumn id="3" name="Фактически"/>
    <tableColumn id="4" name="Результат"/>
    <tableColumn id="5" name="Назначение"/>
  </tableColumns>
  <tableStyleInfo name="TableStyleMedium2" showFirstColumn="0" showLastColumn="0" showRowStripes="1" showColumnStripes="0"/>
</table>
</file>

<file path=xl/tables/table4.xml><?xml version="1.0" encoding="utf-8"?>
<table xmlns="http://schemas.openxmlformats.org/spreadsheetml/2006/main" id="4" name="RegistryDictionaryTable" displayName="RegistryDictionaryTable" ref="A1:C251" headerRowCount="1" totalsRowCount="0" totalsRowShown="0">
  <autoFilter ref="A1:C251"/>
  <tableColumns count="3">
    <tableColumn id="1" name="Группа"/>
    <tableColumn id="2" name="Значение"/>
    <tableColumn id="3" name="Определение"/>
  </tableColumns>
  <tableStyleInfo name="TableStyleMedium2" showFirstColumn="0" showLastColumn="0" showRowStripes="1" showColumnStripes="0"/>
</table>
</file>

<file path=xl/tables/table5.xml><?xml version="1.0" encoding="utf-8"?>
<table xmlns="http://schemas.openxmlformats.org/spreadsheetml/2006/main" id="5" name="RuleParametersTable" displayName="RuleParametersTable" ref="A1:H4606" headerRowCount="1" totalsRowCount="0" totalsRowShown="0">
  <autoFilter ref="A1:H4606"/>
  <tableColumns count="8">
    <tableColumn id="1" name="Parameter ID"/>
    <tableColumn id="2" name="Rule ID"/>
    <tableColumn id="3" name="Компонент приложения"/>
    <tableColumn id="4" name="Контекст"/>
    <tableColumn id="5" name="Группа параметра"/>
    <tableColumn id="6" name="Нормативное значение / условие"/>
    <tableColumn id="7" name="Статус правила"/>
    <tableColumn id="8" name="Приоритет источника"/>
  </tableColumns>
  <tableStyleInfo name="TableStyleMedium2" showFirstColumn="0" showLastColumn="0" showRowStripes="1" showColumnStripes="0"/>
</table>
</file>

<file path=xl/tables/table6.xml><?xml version="1.0" encoding="utf-8"?>
<table xmlns="http://schemas.openxmlformats.org/spreadsheetml/2006/main" id="6" name="RuleRelationsTable" displayName="RuleRelationsTable" ref="A1:E870" headerRowCount="1" totalsRowCount="0" totalsRowShown="0">
  <tableColumns count="5">
    <tableColumn id="1" name="Source Rule ID"/>
    <tableColumn id="2" name="Тип связи"/>
    <tableColumn id="3" name="Target Rule ID"/>
    <tableColumn id="4" name="Контекст источника"/>
    <tableColumn id="5" name="Примечание"/>
  </tableColumns>
  <tableStyleInfo name="TableStyleMedium2" showFirstColumn="0" showLastColumn="0" showRowStripes="1" showColumnStripes="0"/>
</table>
</file>

<file path=xl/tables/table7.xml><?xml version="1.0" encoding="utf-8"?>
<table xmlns="http://schemas.openxmlformats.org/spreadsheetml/2006/main" id="7" name="RuleSourcesTable" displayName="RuleSourcesTable" ref="A1:I739" headerRowCount="1" totalsRowCount="0" totalsRowShown="0">
  <autoFilter ref="A1:I739"/>
  <tableColumns count="9">
    <tableColumn id="1" name="Rule ID"/>
    <tableColumn id="2" name="Тип правила"/>
    <tableColumn id="3" name="Статус"/>
    <tableColumn id="4" name="Приоритет"/>
    <tableColumn id="5" name="Источник карточки"/>
    <tableColumn id="6" name="ID вопросов"/>
    <tableColumn id="7" name="Вопрос-источник / назначение"/>
    <tableColumn id="8" name="Композиция базы"/>
    <tableColumn id="9" name="Финальная правка"/>
  </tableColumns>
  <tableStyleInfo name="TableStyleMedium2" showFirstColumn="0" showLastColumn="0" showRowStripes="1" showColumnStripes="0"/>
</table>
</file>

<file path=xl/tables/table8.xml><?xml version="1.0" encoding="utf-8"?>
<table xmlns="http://schemas.openxmlformats.org/spreadsheetml/2006/main" id="8" name="V11ChangesTable" displayName="V11ChangesTable" ref="A1:H16" headerRowCount="1" totalsRowCount="0" totalsRowShown="0">
  <autoFilter ref="A1:H16"/>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687 runtime-правил"/>
  </tableColumns>
  <tableStyleInfo name="TableStyleMedium2" showFirstColumn="0" showLastColumn="0" showRowStripes="1" showColumnStripes="0"/>
</table>
</file>

<file path=xl/tables/table9.xml><?xml version="1.0" encoding="utf-8"?>
<table xmlns="http://schemas.openxmlformats.org/spreadsheetml/2006/main" id="9" name="V12ChangesTable" displayName="V12ChangesTable" ref="A1:H16" headerRowCount="1" totalsRowCount="0" totalsRowShown="0">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695 runtime-правил"/>
  </tableColumns>
  <tableStyleInfo name="TableStyleMedium2" showFirstColumn="0" showLastColumn="0" showRowStripes="1" showColumnStripes="0"/>
</table>
</file>

<file path=xl/tables/table10.xml><?xml version="1.0" encoding="utf-8"?>
<table xmlns="http://schemas.openxmlformats.org/spreadsheetml/2006/main" id="10" name="V13ChangesTable" displayName="V13ChangesTable" ref="A1:H34" headerRowCount="1" totalsRowCount="0" totalsRowShown="0">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720 runtime-правил"/>
  </tableColumns>
  <tableStyleInfo name="TableStyleMedium2" showFirstColumn="0" showLastColumn="0" showRowStripes="1" showColumnStripes="0"/>
</table>
</file>

<file path=xl/tables/table11.xml><?xml version="1.0" encoding="utf-8"?>
<table xmlns="http://schemas.openxmlformats.org/spreadsheetml/2006/main" id="11" name="V14ChangesTable" displayName="V14ChangesTable" ref="A1:H19" headerRowCount="1" totalsRowCount="0" totalsRowShown="0">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734 runtime-правила"/>
  </tableColumns>
  <tableStyleInfo name="TableStyleMedium2" showFirstColumn="0" showLastColumn="0" showRowStripes="1" showColumnStripes="0"/>
</table>
</file>

<file path=xl/tables/table12.xml><?xml version="1.0" encoding="utf-8"?>
<table xmlns="http://schemas.openxmlformats.org/spreadsheetml/2006/main" id="12" name="V15ChangesTable" displayName="V15ChangesTable" ref="A1:H7" headerRowCount="1" totalsRowCount="0" totalsRowShown="0">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734 runtime-правила"/>
  </tableColumns>
  <tableStyleInfo name="TableStyleMedium2" showFirstColumn="0" showLastColumn="0" showRowStripes="1" showColumnStripes="0"/>
</table>
</file>

<file path=xl/tables/table13.xml><?xml version="1.0" encoding="utf-8"?>
<table xmlns="http://schemas.openxmlformats.org/spreadsheetml/2006/main" id="13" name="V16ChangesTable" displayName="V16ChangesTable" ref="A1:H13" headerRowCount="1" totalsRowCount="0" totalsRowShown="0">
  <tableColumns count="8">
    <tableColumn id="1" name="№"/>
    <tableColumn id="2" name="Тип изменения"/>
    <tableColumn id="3" name="Rule / Meta ID"/>
    <tableColumn id="4" name="Название"/>
    <tableColumn id="5" name="Действие"/>
    <tableColumn id="6" name="Ответ / основание"/>
    <tableColumn id="7" name="Итог интеграции"/>
    <tableColumn id="8" name="Входит в 738 runtime-правила"/>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8.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10.xml"/>
</Relationships>
</file>

<file path=xl/worksheets/_rels/sheet12.xml.rels><?xml version="1.0" encoding="UTF-8"?>
<Relationships xmlns="http://schemas.openxmlformats.org/package/2006/relationships"><Relationship Id="rId1" Type="http://schemas.openxmlformats.org/officeDocument/2006/relationships/table" Target="../tables/table11.xml"/>
</Relationships>
</file>

<file path=xl/worksheets/_rels/sheet13.xml.rels><?xml version="1.0" encoding="UTF-8"?>
<Relationships xmlns="http://schemas.openxmlformats.org/package/2006/relationships"><Relationship Id="rId1" Type="http://schemas.openxmlformats.org/officeDocument/2006/relationships/table" Target="../tables/table12.xml"/>
</Relationships>
</file>

<file path=xl/worksheets/_rels/sheet14.xml.rels><?xml version="1.0" encoding="UTF-8"?>
<Relationships xmlns="http://schemas.openxmlformats.org/package/2006/relationships"><Relationship Id="rId1"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9"/>
    <col collapsed="false" customWidth="true" hidden="false" outlineLevel="0" max="2" min="2" style="1" width="14"/>
    <col collapsed="false" customWidth="true" hidden="false" outlineLevel="0" max="3" min="3" style="1" width="52"/>
    <col collapsed="false" customWidth="true" hidden="false" outlineLevel="0" max="4" min="4" style="1" width="3"/>
    <col collapsed="false" customWidth="true" hidden="false" outlineLevel="0" max="9" min="5" style="1" width="27"/>
  </cols>
  <sheetData>
    <row r="1" customFormat="false" ht="32" hidden="false" customHeight="true" outlineLevel="0" collapsed="false">
      <c r="A1" s="2" t="s">
        <v>0</v>
      </c>
      <c r="B1" s="2"/>
      <c r="C1" s="2"/>
      <c r="D1" s="2"/>
      <c r="E1" s="2"/>
      <c r="F1" s="2"/>
      <c r="G1" s="2"/>
      <c r="H1" s="2"/>
      <c r="I1" s="2"/>
    </row>
    <row r="2" customFormat="false" ht="54" hidden="false" customHeight="true" outlineLevel="0" collapsed="false">
      <c r="A2" s="3" t="s">
        <v>1</v>
      </c>
      <c r="B2" s="3"/>
      <c r="C2" s="3"/>
      <c r="D2" s="3"/>
      <c r="E2" s="3"/>
      <c r="F2" s="3"/>
      <c r="G2" s="3"/>
      <c r="H2" s="3"/>
      <c r="I2" s="3"/>
    </row>
    <row r="4" customFormat="false" ht="36" hidden="false" customHeight="true" outlineLevel="0" collapsed="false">
      <c r="A4" s="4" t="s">
        <v>2</v>
      </c>
      <c r="B4" s="5" t="s">
        <v>3</v>
      </c>
      <c r="C4" s="6" t="s">
        <v>4</v>
      </c>
      <c r="E4" s="7" t="s">
        <v>5</v>
      </c>
      <c r="F4" s="7"/>
      <c r="G4" s="7"/>
      <c r="H4" s="7"/>
      <c r="I4" s="7"/>
    </row>
    <row r="5" customFormat="false" ht="42" hidden="false" customHeight="true" outlineLevel="0" collapsed="false">
      <c r="A5" s="8" t="s">
        <v>6</v>
      </c>
      <c r="B5" s="9" t="n">
        <v>739</v>
      </c>
      <c r="C5" s="8" t="s">
        <v>7</v>
      </c>
      <c r="E5" s="10" t="s">
        <v>8</v>
      </c>
      <c r="F5" s="10"/>
      <c r="G5" s="10"/>
      <c r="H5" s="10"/>
      <c r="I5" s="10"/>
    </row>
    <row r="6" customFormat="false" ht="42" hidden="false" customHeight="true" outlineLevel="0" collapsed="false">
      <c r="A6" s="11" t="s">
        <v>9</v>
      </c>
      <c r="B6" s="12" t="n">
        <v>699</v>
      </c>
      <c r="C6" s="11" t="s">
        <v>10</v>
      </c>
      <c r="E6" s="10" t="s">
        <v>11</v>
      </c>
      <c r="F6" s="10"/>
      <c r="G6" s="10"/>
      <c r="H6" s="10"/>
      <c r="I6" s="10"/>
    </row>
    <row r="7" customFormat="false" ht="42" hidden="false" customHeight="true" outlineLevel="0" collapsed="false">
      <c r="A7" s="11" t="s">
        <v>12</v>
      </c>
      <c r="B7" s="12" t="n">
        <v>40</v>
      </c>
      <c r="C7" s="11" t="s">
        <v>13</v>
      </c>
      <c r="E7" s="10" t="s">
        <v>14</v>
      </c>
      <c r="F7" s="10"/>
      <c r="G7" s="10"/>
      <c r="H7" s="10"/>
      <c r="I7" s="10"/>
    </row>
    <row r="8" customFormat="false" ht="42" hidden="false" customHeight="true" outlineLevel="0" collapsed="false">
      <c r="A8" s="11" t="s">
        <v>15</v>
      </c>
      <c r="B8" s="12" t="n">
        <v>539</v>
      </c>
      <c r="C8" s="11" t="s">
        <v>16</v>
      </c>
      <c r="E8" s="10" t="s">
        <v>17</v>
      </c>
      <c r="F8" s="10"/>
      <c r="G8" s="10"/>
      <c r="H8" s="10"/>
      <c r="I8" s="10"/>
    </row>
    <row r="9" customFormat="false" ht="42" hidden="false" customHeight="true" outlineLevel="0" collapsed="false">
      <c r="A9" s="11" t="s">
        <v>18</v>
      </c>
      <c r="B9" s="12" t="n">
        <v>139</v>
      </c>
      <c r="C9" s="11" t="s">
        <v>19</v>
      </c>
      <c r="E9" s="10" t="s">
        <v>20</v>
      </c>
      <c r="F9" s="10"/>
      <c r="G9" s="10"/>
      <c r="H9" s="10"/>
      <c r="I9" s="10"/>
    </row>
    <row r="10" customFormat="false" ht="42" hidden="false" customHeight="true" outlineLevel="0" collapsed="false">
      <c r="A10" s="11" t="s">
        <v>21</v>
      </c>
      <c r="B10" s="12" t="n">
        <v>61</v>
      </c>
      <c r="C10" s="11" t="s">
        <v>22</v>
      </c>
      <c r="E10" s="10" t="s">
        <v>23</v>
      </c>
      <c r="F10" s="10"/>
      <c r="G10" s="10"/>
      <c r="H10" s="10"/>
      <c r="I10" s="10"/>
    </row>
    <row r="11" customFormat="false" ht="17.9" hidden="false" customHeight="false" outlineLevel="0" collapsed="false">
      <c r="A11" s="11" t="s">
        <v>24</v>
      </c>
      <c r="B11" s="12" t="n">
        <v>18</v>
      </c>
      <c r="C11" s="11" t="s">
        <v>25</v>
      </c>
    </row>
    <row r="12" customFormat="false" ht="17.9" hidden="false" customHeight="false" outlineLevel="0" collapsed="false">
      <c r="A12" s="11" t="s">
        <v>26</v>
      </c>
      <c r="B12" s="12" t="n">
        <v>139</v>
      </c>
      <c r="C12" s="11" t="s">
        <v>27</v>
      </c>
      <c r="E12" s="13" t="s">
        <v>28</v>
      </c>
      <c r="F12" s="13"/>
      <c r="G12" s="13"/>
      <c r="H12" s="13"/>
      <c r="I12" s="13"/>
    </row>
    <row r="13" customFormat="false" ht="40" hidden="false" customHeight="true" outlineLevel="0" collapsed="false">
      <c r="A13" s="11" t="s">
        <v>29</v>
      </c>
      <c r="B13" s="12" t="n">
        <v>444</v>
      </c>
      <c r="C13" s="11" t="s">
        <v>30</v>
      </c>
      <c r="E13" s="10" t="s">
        <v>31</v>
      </c>
      <c r="F13" s="10"/>
      <c r="G13" s="10"/>
      <c r="H13" s="10"/>
      <c r="I13" s="10"/>
    </row>
    <row r="14" customFormat="false" ht="40" hidden="false" customHeight="true" outlineLevel="0" collapsed="false">
      <c r="A14" s="11" t="s">
        <v>32</v>
      </c>
      <c r="B14" s="12" t="n">
        <v>0</v>
      </c>
      <c r="C14" s="11" t="s">
        <v>33</v>
      </c>
      <c r="E14" s="10" t="s">
        <v>34</v>
      </c>
      <c r="F14" s="10"/>
      <c r="G14" s="10"/>
      <c r="H14" s="10"/>
      <c r="I14" s="10"/>
    </row>
    <row r="15" customFormat="false" ht="40" hidden="false" customHeight="true" outlineLevel="0" collapsed="false">
      <c r="A15" s="4" t="s">
        <v>35</v>
      </c>
      <c r="B15" s="5" t="s">
        <v>36</v>
      </c>
      <c r="C15" s="6" t="s">
        <v>37</v>
      </c>
      <c r="E15" s="10" t="s">
        <v>38</v>
      </c>
      <c r="F15" s="10"/>
      <c r="G15" s="10"/>
      <c r="H15" s="10"/>
      <c r="I15" s="10"/>
    </row>
    <row r="16" customFormat="false" ht="40" hidden="false" customHeight="true" outlineLevel="0" collapsed="false">
      <c r="A16" s="8" t="s">
        <v>39</v>
      </c>
      <c r="B16" s="14" t="n">
        <f aca="false">COUNTA('Реестр правил'!B2:B740)</f>
        <v>739</v>
      </c>
      <c r="C16" s="14" t="n">
        <v>739</v>
      </c>
      <c r="E16" s="10" t="s">
        <v>40</v>
      </c>
      <c r="F16" s="10"/>
      <c r="G16" s="10"/>
      <c r="H16" s="10"/>
      <c r="I16" s="10"/>
    </row>
    <row r="17" customFormat="false" ht="40" hidden="false" customHeight="true" outlineLevel="0" collapsed="false">
      <c r="A17" s="11" t="s">
        <v>41</v>
      </c>
      <c r="B17" s="15" t="n">
        <f aca="false">COUNTIF('Реестр правил'!C2:C740,"Активно")</f>
        <v>699</v>
      </c>
      <c r="C17" s="15" t="n">
        <v>699</v>
      </c>
      <c r="E17" s="10" t="s">
        <v>42</v>
      </c>
      <c r="F17" s="10"/>
      <c r="G17" s="10"/>
      <c r="H17" s="10"/>
      <c r="I17" s="10"/>
    </row>
    <row r="18" customFormat="false" ht="40" hidden="false" customHeight="true" outlineLevel="0" collapsed="false">
      <c r="A18" s="11" t="s">
        <v>43</v>
      </c>
      <c r="B18" s="15" t="n">
        <f aca="false">COUNTIF('Реестр правил'!C2:C740,"Не автоматизируется")</f>
        <v>40</v>
      </c>
      <c r="C18" s="15" t="n">
        <v>40</v>
      </c>
      <c r="E18" s="10" t="s">
        <v>44</v>
      </c>
      <c r="F18" s="10"/>
      <c r="G18" s="10"/>
      <c r="H18" s="10"/>
      <c r="I18" s="10"/>
    </row>
    <row r="19" customFormat="false" ht="15" hidden="false" customHeight="false" outlineLevel="0" collapsed="false">
      <c r="A19" s="11" t="s">
        <v>45</v>
      </c>
      <c r="B19" s="15" t="n">
        <f aca="false">COUNTIF('Реестр правил'!AI2:AI740,"&gt;1")</f>
        <v>0</v>
      </c>
      <c r="C19" s="15" t="n">
        <v>0</v>
      </c>
    </row>
    <row r="20" customFormat="false" ht="15" hidden="false" customHeight="false" outlineLevel="0" collapsed="false">
      <c r="A20" s="11" t="s">
        <v>46</v>
      </c>
      <c r="B20" s="15" t="n">
        <f aca="false">COUNTIF('Решения QA'!F2:F445,"Открыт")</f>
        <v>0</v>
      </c>
      <c r="C20" s="15" t="n">
        <v>0</v>
      </c>
    </row>
    <row r="22" customFormat="false" ht="15" hidden="false" customHeight="false" outlineLevel="0" collapsed="false">
      <c r="A22" s="13" t="s">
        <v>47</v>
      </c>
      <c r="B22" s="13"/>
      <c r="C22" s="13"/>
      <c r="D22" s="13"/>
      <c r="E22" s="13"/>
      <c r="F22" s="13"/>
      <c r="G22" s="13"/>
      <c r="H22" s="13"/>
      <c r="I22" s="13"/>
    </row>
    <row r="23" customFormat="false" ht="36" hidden="false" customHeight="true" outlineLevel="0" collapsed="false">
      <c r="A23" s="4" t="s">
        <v>48</v>
      </c>
      <c r="B23" s="6" t="s">
        <v>49</v>
      </c>
    </row>
    <row r="24" customFormat="false" ht="15" hidden="false" customHeight="false" outlineLevel="0" collapsed="false">
      <c r="A24" s="8" t="s">
        <v>50</v>
      </c>
      <c r="B24" s="14" t="n">
        <f aca="false">COUNTIF('Реестр правил'!$F$2:$F$740,A24)</f>
        <v>264</v>
      </c>
    </row>
    <row r="25" customFormat="false" ht="15" hidden="false" customHeight="false" outlineLevel="0" collapsed="false">
      <c r="A25" s="11" t="s">
        <v>51</v>
      </c>
      <c r="B25" s="15" t="n">
        <f aca="false">COUNTIF('Реестр правил'!$F$2:$F$740,A25)</f>
        <v>33</v>
      </c>
    </row>
    <row r="26" customFormat="false" ht="15" hidden="false" customHeight="false" outlineLevel="0" collapsed="false">
      <c r="A26" s="11" t="s">
        <v>52</v>
      </c>
      <c r="B26" s="15" t="n">
        <f aca="false">COUNTIF('Реестр правил'!$F$2:$F$740,A26)</f>
        <v>4</v>
      </c>
    </row>
    <row r="27" customFormat="false" ht="15" hidden="false" customHeight="false" outlineLevel="0" collapsed="false">
      <c r="A27" s="11" t="s">
        <v>53</v>
      </c>
      <c r="B27" s="15" t="n">
        <f aca="false">COUNTIF('Реестр правил'!$F$2:$F$740,A27)</f>
        <v>9</v>
      </c>
    </row>
    <row r="28" customFormat="false" ht="15" hidden="false" customHeight="false" outlineLevel="0" collapsed="false">
      <c r="A28" s="11" t="s">
        <v>54</v>
      </c>
      <c r="B28" s="15" t="n">
        <f aca="false">COUNTIF('Реестр правил'!$F$2:$F$740,A28)</f>
        <v>18</v>
      </c>
    </row>
    <row r="29" customFormat="false" ht="15" hidden="false" customHeight="false" outlineLevel="0" collapsed="false">
      <c r="A29" s="11" t="s">
        <v>55</v>
      </c>
      <c r="B29" s="15" t="n">
        <f aca="false">COUNTIF('Реестр правил'!$F$2:$F$740,A29)</f>
        <v>28</v>
      </c>
    </row>
    <row r="30" customFormat="false" ht="15" hidden="false" customHeight="false" outlineLevel="0" collapsed="false">
      <c r="A30" s="11" t="s">
        <v>56</v>
      </c>
      <c r="B30" s="15" t="n">
        <f aca="false">COUNTIF('Реестр правил'!$F$2:$F$740,A30)</f>
        <v>13</v>
      </c>
    </row>
    <row r="31" customFormat="false" ht="15" hidden="false" customHeight="false" outlineLevel="0" collapsed="false">
      <c r="A31" s="11" t="s">
        <v>57</v>
      </c>
      <c r="B31" s="15" t="n">
        <f aca="false">COUNTIF('Реестр правил'!$F$2:$F$740,A31)</f>
        <v>89</v>
      </c>
    </row>
    <row r="32" customFormat="false" ht="15" hidden="false" customHeight="false" outlineLevel="0" collapsed="false">
      <c r="A32" s="11" t="s">
        <v>58</v>
      </c>
      <c r="B32" s="15" t="n">
        <f aca="false">COUNTIF('Реестр правил'!$F$2:$F$740,A32)</f>
        <v>4</v>
      </c>
    </row>
    <row r="33" customFormat="false" ht="15" hidden="false" customHeight="false" outlineLevel="0" collapsed="false">
      <c r="A33" s="11" t="s">
        <v>59</v>
      </c>
      <c r="B33" s="15" t="n">
        <f aca="false">COUNTIF('Реестр правил'!$F$2:$F$740,A33)</f>
        <v>277</v>
      </c>
    </row>
  </sheetData>
  <mergeCells count="17">
    <mergeCell ref="A1:I1"/>
    <mergeCell ref="A2:I2"/>
    <mergeCell ref="E4:I4"/>
    <mergeCell ref="E5:I5"/>
    <mergeCell ref="E6:I6"/>
    <mergeCell ref="E7:I7"/>
    <mergeCell ref="E8:I8"/>
    <mergeCell ref="E9:I9"/>
    <mergeCell ref="E10:I10"/>
    <mergeCell ref="E12:I12"/>
    <mergeCell ref="E13:I13"/>
    <mergeCell ref="E14:I14"/>
    <mergeCell ref="E15:I15"/>
    <mergeCell ref="E16:I16"/>
    <mergeCell ref="E17:I17"/>
    <mergeCell ref="E18:I18"/>
    <mergeCell ref="A22:I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7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14"/>
    <col collapsed="false" customWidth="true" hidden="false" outlineLevel="0" max="3" min="3" style="1" width="22"/>
    <col collapsed="false" customWidth="true" hidden="false" outlineLevel="0" max="4" min="4" style="1" width="34"/>
    <col collapsed="false" customWidth="true" hidden="false" outlineLevel="0" max="5" min="5" style="1" width="24"/>
    <col collapsed="false" customWidth="true" hidden="false" outlineLevel="0" max="6" min="6" style="1" width="25"/>
    <col collapsed="false" customWidth="true" hidden="false" outlineLevel="0" max="7" min="7" style="1" width="27"/>
    <col collapsed="false" customWidth="true" hidden="false" outlineLevel="0" max="9" min="8" style="1" width="34"/>
    <col collapsed="false" customWidth="true" hidden="false" outlineLevel="0" max="10" min="10" style="1" width="50"/>
    <col collapsed="false" customWidth="true" hidden="false" outlineLevel="0" max="11" min="11" style="1" width="34"/>
    <col collapsed="false" customWidth="true" hidden="false" outlineLevel="0" max="12" min="12" style="1" width="27"/>
    <col collapsed="false" customWidth="true" hidden="false" outlineLevel="0" max="14" min="13" style="1" width="31"/>
    <col collapsed="false" customWidth="true" hidden="false" outlineLevel="0" max="16" min="15" style="1" width="58"/>
    <col collapsed="false" customWidth="true" hidden="false" outlineLevel="0" max="17" min="17" style="1" width="68"/>
    <col collapsed="false" customWidth="true" hidden="false" outlineLevel="0" max="18" min="18" style="1" width="92"/>
    <col collapsed="false" customWidth="true" hidden="false" outlineLevel="0" max="19" min="19" style="1" width="75"/>
    <col collapsed="false" customWidth="true" hidden="false" outlineLevel="0" max="20" min="20" style="1" width="58"/>
    <col collapsed="false" customWidth="true" hidden="false" outlineLevel="0" max="22" min="21" style="1" width="46"/>
    <col collapsed="false" customWidth="true" hidden="false" outlineLevel="0" max="24" min="23" style="1" width="54"/>
    <col collapsed="false" customWidth="true" hidden="false" outlineLevel="0" max="25" min="25" style="1" width="48"/>
    <col collapsed="false" customWidth="true" hidden="false" outlineLevel="0" max="27" min="26" style="1" width="46"/>
    <col collapsed="false" customWidth="true" hidden="false" outlineLevel="0" max="28" min="28" style="1" width="12"/>
    <col collapsed="false" customWidth="true" hidden="false" outlineLevel="0" max="29" min="29" style="1" width="48"/>
    <col collapsed="false" customWidth="true" hidden="false" outlineLevel="0" max="30" min="30" style="1" width="25"/>
    <col collapsed="false" customWidth="true" hidden="false" outlineLevel="0" max="31" min="31" style="1" width="36"/>
    <col collapsed="false" customWidth="true" hidden="false" outlineLevel="0" max="33" min="32" style="1" width="20"/>
    <col collapsed="false" customWidth="true" hidden="false" outlineLevel="0" max="34" min="34" style="1" width="24"/>
    <col collapsed="false" customWidth="true" hidden="false" outlineLevel="0" max="35" min="35" style="1" width="18"/>
  </cols>
  <sheetData>
    <row r="1" customFormat="false" ht="36" hidden="false" customHeight="true" outlineLevel="0" collapsed="false">
      <c r="A1" s="4" t="s">
        <v>60</v>
      </c>
      <c r="B1" s="5" t="s">
        <v>61</v>
      </c>
      <c r="C1" s="5" t="s">
        <v>62</v>
      </c>
      <c r="D1" s="5" t="s">
        <v>63</v>
      </c>
      <c r="E1" s="5" t="s">
        <v>64</v>
      </c>
      <c r="F1" s="5" t="s">
        <v>65</v>
      </c>
      <c r="G1" s="5" t="s">
        <v>66</v>
      </c>
      <c r="H1" s="5" t="s">
        <v>67</v>
      </c>
      <c r="I1" s="5" t="s">
        <v>68</v>
      </c>
      <c r="J1" s="5" t="s">
        <v>69</v>
      </c>
      <c r="K1" s="5" t="s">
        <v>70</v>
      </c>
      <c r="L1" s="5" t="s">
        <v>71</v>
      </c>
      <c r="M1" s="5" t="s">
        <v>72</v>
      </c>
      <c r="N1" s="5" t="s">
        <v>73</v>
      </c>
      <c r="O1" s="5" t="s">
        <v>74</v>
      </c>
      <c r="P1" s="5" t="s">
        <v>75</v>
      </c>
      <c r="Q1" s="5" t="s">
        <v>76</v>
      </c>
      <c r="R1" s="5" t="s">
        <v>77</v>
      </c>
      <c r="S1" s="5" t="s">
        <v>78</v>
      </c>
      <c r="T1" s="5" t="s">
        <v>79</v>
      </c>
      <c r="U1" s="5" t="s">
        <v>80</v>
      </c>
      <c r="V1" s="5" t="s">
        <v>81</v>
      </c>
      <c r="W1" s="5" t="s">
        <v>82</v>
      </c>
      <c r="X1" s="5" t="s">
        <v>83</v>
      </c>
      <c r="Y1" s="5" t="s">
        <v>84</v>
      </c>
      <c r="Z1" s="5" t="s">
        <v>85</v>
      </c>
      <c r="AA1" s="5" t="s">
        <v>86</v>
      </c>
      <c r="AB1" s="5" t="s">
        <v>87</v>
      </c>
      <c r="AC1" s="5" t="s">
        <v>88</v>
      </c>
      <c r="AD1" s="5" t="s">
        <v>89</v>
      </c>
      <c r="AE1" s="5" t="s">
        <v>90</v>
      </c>
      <c r="AF1" s="5" t="s">
        <v>91</v>
      </c>
      <c r="AG1" s="5" t="s">
        <v>92</v>
      </c>
      <c r="AH1" s="5" t="s">
        <v>93</v>
      </c>
      <c r="AI1" s="6" t="s">
        <v>94</v>
      </c>
    </row>
    <row r="2" customFormat="false" ht="76" hidden="false" customHeight="true" outlineLevel="0" collapsed="false">
      <c r="A2" s="16" t="n">
        <v>1</v>
      </c>
      <c r="B2" s="17" t="s">
        <v>95</v>
      </c>
      <c r="C2" s="18" t="s">
        <v>9</v>
      </c>
      <c r="D2" s="18" t="s">
        <v>96</v>
      </c>
      <c r="E2" s="18" t="s">
        <v>97</v>
      </c>
      <c r="F2" s="19" t="s">
        <v>59</v>
      </c>
      <c r="G2" s="19" t="s">
        <v>98</v>
      </c>
      <c r="H2" s="19" t="s">
        <v>99</v>
      </c>
      <c r="I2" s="19" t="s">
        <v>100</v>
      </c>
      <c r="J2" s="19" t="s">
        <v>101</v>
      </c>
      <c r="K2" s="19" t="s">
        <v>102</v>
      </c>
      <c r="L2" s="19" t="s">
        <v>103</v>
      </c>
      <c r="M2" s="19" t="s">
        <v>104</v>
      </c>
      <c r="N2" s="19" t="s">
        <v>105</v>
      </c>
      <c r="O2" s="19" t="s">
        <v>106</v>
      </c>
      <c r="P2" s="19" t="s">
        <v>107</v>
      </c>
      <c r="Q2" s="19" t="s">
        <v>108</v>
      </c>
      <c r="R2" s="19" t="s">
        <v>109</v>
      </c>
      <c r="S2" s="19" t="s">
        <v>110</v>
      </c>
      <c r="T2" s="19" t="s">
        <v>111</v>
      </c>
      <c r="U2" s="19"/>
      <c r="V2" s="19"/>
      <c r="W2" s="19" t="s">
        <v>112</v>
      </c>
      <c r="X2" s="19"/>
      <c r="Y2" s="19"/>
      <c r="Z2" s="19"/>
      <c r="AA2" s="19"/>
      <c r="AB2" s="20" t="n">
        <v>10</v>
      </c>
      <c r="AC2" s="19" t="s">
        <v>113</v>
      </c>
      <c r="AD2" s="19"/>
      <c r="AE2" s="19" t="s">
        <v>114</v>
      </c>
      <c r="AF2" s="19" t="s">
        <v>115</v>
      </c>
      <c r="AG2" s="19"/>
      <c r="AH2" s="19"/>
      <c r="AI2" s="20" t="n">
        <f aca="false">COUNTIF($B$2:$B$740,B2)</f>
        <v>1</v>
      </c>
    </row>
    <row r="3" customFormat="false" ht="76" hidden="false" customHeight="true" outlineLevel="0" collapsed="false">
      <c r="A3" s="21" t="n">
        <v>2</v>
      </c>
      <c r="B3" s="22" t="s">
        <v>116</v>
      </c>
      <c r="C3" s="23" t="s">
        <v>9</v>
      </c>
      <c r="D3" s="23" t="s">
        <v>96</v>
      </c>
      <c r="E3" s="23" t="s">
        <v>97</v>
      </c>
      <c r="F3" s="24" t="s">
        <v>59</v>
      </c>
      <c r="G3" s="24" t="s">
        <v>98</v>
      </c>
      <c r="H3" s="24" t="s">
        <v>99</v>
      </c>
      <c r="I3" s="24" t="s">
        <v>100</v>
      </c>
      <c r="J3" s="24" t="s">
        <v>117</v>
      </c>
      <c r="K3" s="24" t="s">
        <v>118</v>
      </c>
      <c r="L3" s="24" t="s">
        <v>119</v>
      </c>
      <c r="M3" s="24" t="s">
        <v>120</v>
      </c>
      <c r="N3" s="24" t="s">
        <v>121</v>
      </c>
      <c r="O3" s="24" t="s">
        <v>122</v>
      </c>
      <c r="P3" s="24" t="s">
        <v>123</v>
      </c>
      <c r="Q3" s="24" t="s">
        <v>124</v>
      </c>
      <c r="R3" s="24" t="s">
        <v>125</v>
      </c>
      <c r="S3" s="24" t="s">
        <v>126</v>
      </c>
      <c r="T3" s="24" t="s">
        <v>127</v>
      </c>
      <c r="U3" s="24"/>
      <c r="V3" s="24"/>
      <c r="W3" s="24" t="s">
        <v>123</v>
      </c>
      <c r="X3" s="24"/>
      <c r="Y3" s="24"/>
      <c r="Z3" s="24"/>
      <c r="AA3" s="24"/>
      <c r="AB3" s="25" t="n">
        <v>10</v>
      </c>
      <c r="AC3" s="24" t="s">
        <v>128</v>
      </c>
      <c r="AD3" s="24"/>
      <c r="AE3" s="24" t="s">
        <v>129</v>
      </c>
      <c r="AF3" s="24" t="s">
        <v>115</v>
      </c>
      <c r="AG3" s="24"/>
      <c r="AH3" s="24"/>
      <c r="AI3" s="25" t="n">
        <f aca="false">COUNTIF($B$2:$B$740,B3)</f>
        <v>1</v>
      </c>
    </row>
    <row r="4" customFormat="false" ht="76" hidden="false" customHeight="true" outlineLevel="0" collapsed="false">
      <c r="A4" s="21" t="n">
        <v>3</v>
      </c>
      <c r="B4" s="22" t="s">
        <v>130</v>
      </c>
      <c r="C4" s="23" t="s">
        <v>9</v>
      </c>
      <c r="D4" s="23" t="s">
        <v>96</v>
      </c>
      <c r="E4" s="23" t="s">
        <v>97</v>
      </c>
      <c r="F4" s="24" t="s">
        <v>59</v>
      </c>
      <c r="G4" s="24" t="s">
        <v>98</v>
      </c>
      <c r="H4" s="24" t="s">
        <v>99</v>
      </c>
      <c r="I4" s="24" t="s">
        <v>100</v>
      </c>
      <c r="J4" s="24" t="s">
        <v>131</v>
      </c>
      <c r="K4" s="24" t="s">
        <v>132</v>
      </c>
      <c r="L4" s="24" t="s">
        <v>119</v>
      </c>
      <c r="M4" s="24" t="s">
        <v>120</v>
      </c>
      <c r="N4" s="24" t="s">
        <v>133</v>
      </c>
      <c r="O4" s="24" t="s">
        <v>134</v>
      </c>
      <c r="P4" s="24" t="s">
        <v>107</v>
      </c>
      <c r="Q4" s="24" t="s">
        <v>135</v>
      </c>
      <c r="R4" s="24" t="s">
        <v>136</v>
      </c>
      <c r="S4" s="24" t="s">
        <v>137</v>
      </c>
      <c r="T4" s="24" t="s">
        <v>138</v>
      </c>
      <c r="U4" s="24"/>
      <c r="V4" s="24"/>
      <c r="W4" s="24" t="s">
        <v>139</v>
      </c>
      <c r="X4" s="24"/>
      <c r="Y4" s="24"/>
      <c r="Z4" s="24"/>
      <c r="AA4" s="24"/>
      <c r="AB4" s="25" t="n">
        <v>10</v>
      </c>
      <c r="AC4" s="24" t="s">
        <v>140</v>
      </c>
      <c r="AD4" s="24"/>
      <c r="AE4" s="24" t="s">
        <v>141</v>
      </c>
      <c r="AF4" s="24" t="s">
        <v>115</v>
      </c>
      <c r="AG4" s="24"/>
      <c r="AH4" s="24"/>
      <c r="AI4" s="25" t="n">
        <f aca="false">COUNTIF($B$2:$B$740,B4)</f>
        <v>1</v>
      </c>
    </row>
    <row r="5" customFormat="false" ht="76" hidden="false" customHeight="true" outlineLevel="0" collapsed="false">
      <c r="A5" s="21" t="n">
        <v>4</v>
      </c>
      <c r="B5" s="22" t="s">
        <v>142</v>
      </c>
      <c r="C5" s="23" t="s">
        <v>9</v>
      </c>
      <c r="D5" s="23" t="s">
        <v>96</v>
      </c>
      <c r="E5" s="23" t="s">
        <v>97</v>
      </c>
      <c r="F5" s="24" t="s">
        <v>59</v>
      </c>
      <c r="G5" s="24" t="s">
        <v>98</v>
      </c>
      <c r="H5" s="24" t="s">
        <v>99</v>
      </c>
      <c r="I5" s="24" t="s">
        <v>100</v>
      </c>
      <c r="J5" s="24" t="s">
        <v>143</v>
      </c>
      <c r="K5" s="24" t="s">
        <v>102</v>
      </c>
      <c r="L5" s="24" t="s">
        <v>103</v>
      </c>
      <c r="M5" s="24" t="s">
        <v>144</v>
      </c>
      <c r="N5" s="24" t="s">
        <v>145</v>
      </c>
      <c r="O5" s="24" t="s">
        <v>146</v>
      </c>
      <c r="P5" s="24" t="s">
        <v>147</v>
      </c>
      <c r="Q5" s="24" t="s">
        <v>148</v>
      </c>
      <c r="R5" s="24" t="s">
        <v>149</v>
      </c>
      <c r="S5" s="24" t="s">
        <v>150</v>
      </c>
      <c r="T5" s="24" t="s">
        <v>151</v>
      </c>
      <c r="U5" s="24"/>
      <c r="V5" s="24"/>
      <c r="W5" s="24" t="s">
        <v>152</v>
      </c>
      <c r="X5" s="24"/>
      <c r="Y5" s="24"/>
      <c r="Z5" s="24"/>
      <c r="AA5" s="24"/>
      <c r="AB5" s="25" t="n">
        <v>10</v>
      </c>
      <c r="AC5" s="24" t="s">
        <v>153</v>
      </c>
      <c r="AD5" s="24"/>
      <c r="AE5" s="24" t="s">
        <v>114</v>
      </c>
      <c r="AF5" s="24" t="s">
        <v>115</v>
      </c>
      <c r="AG5" s="24"/>
      <c r="AH5" s="24"/>
      <c r="AI5" s="25" t="n">
        <f aca="false">COUNTIF($B$2:$B$740,B5)</f>
        <v>1</v>
      </c>
    </row>
    <row r="6" customFormat="false" ht="76" hidden="false" customHeight="true" outlineLevel="0" collapsed="false">
      <c r="A6" s="21" t="n">
        <v>5</v>
      </c>
      <c r="B6" s="22" t="s">
        <v>154</v>
      </c>
      <c r="C6" s="23" t="s">
        <v>9</v>
      </c>
      <c r="D6" s="23" t="s">
        <v>96</v>
      </c>
      <c r="E6" s="23" t="s">
        <v>97</v>
      </c>
      <c r="F6" s="24" t="s">
        <v>59</v>
      </c>
      <c r="G6" s="24" t="s">
        <v>98</v>
      </c>
      <c r="H6" s="24" t="s">
        <v>99</v>
      </c>
      <c r="I6" s="24" t="s">
        <v>100</v>
      </c>
      <c r="J6" s="24" t="s">
        <v>155</v>
      </c>
      <c r="K6" s="24" t="s">
        <v>132</v>
      </c>
      <c r="L6" s="24" t="s">
        <v>119</v>
      </c>
      <c r="M6" s="24" t="s">
        <v>156</v>
      </c>
      <c r="N6" s="24" t="s">
        <v>157</v>
      </c>
      <c r="O6" s="24" t="s">
        <v>158</v>
      </c>
      <c r="P6" s="24" t="s">
        <v>147</v>
      </c>
      <c r="Q6" s="24" t="s">
        <v>159</v>
      </c>
      <c r="R6" s="24" t="s">
        <v>160</v>
      </c>
      <c r="S6" s="24" t="s">
        <v>161</v>
      </c>
      <c r="T6" s="24" t="s">
        <v>162</v>
      </c>
      <c r="U6" s="24"/>
      <c r="V6" s="24"/>
      <c r="W6" s="24" t="s">
        <v>163</v>
      </c>
      <c r="X6" s="24"/>
      <c r="Y6" s="24"/>
      <c r="Z6" s="24"/>
      <c r="AA6" s="24" t="s">
        <v>164</v>
      </c>
      <c r="AB6" s="25" t="n">
        <v>100</v>
      </c>
      <c r="AC6" s="24" t="s">
        <v>165</v>
      </c>
      <c r="AD6" s="24" t="s">
        <v>166</v>
      </c>
      <c r="AE6" s="24" t="s">
        <v>167</v>
      </c>
      <c r="AF6" s="24" t="s">
        <v>115</v>
      </c>
      <c r="AG6" s="24" t="s">
        <v>168</v>
      </c>
      <c r="AH6" s="24" t="s">
        <v>169</v>
      </c>
      <c r="AI6" s="25" t="n">
        <f aca="false">COUNTIF($B$2:$B$740,B6)</f>
        <v>1</v>
      </c>
    </row>
    <row r="7" customFormat="false" ht="76" hidden="false" customHeight="true" outlineLevel="0" collapsed="false">
      <c r="A7" s="21" t="n">
        <v>6</v>
      </c>
      <c r="B7" s="22" t="s">
        <v>170</v>
      </c>
      <c r="C7" s="23" t="s">
        <v>9</v>
      </c>
      <c r="D7" s="23" t="s">
        <v>96</v>
      </c>
      <c r="E7" s="23" t="s">
        <v>97</v>
      </c>
      <c r="F7" s="24" t="s">
        <v>59</v>
      </c>
      <c r="G7" s="24" t="s">
        <v>98</v>
      </c>
      <c r="H7" s="24" t="s">
        <v>99</v>
      </c>
      <c r="I7" s="24" t="s">
        <v>100</v>
      </c>
      <c r="J7" s="24" t="s">
        <v>171</v>
      </c>
      <c r="K7" s="24" t="s">
        <v>172</v>
      </c>
      <c r="L7" s="24" t="s">
        <v>173</v>
      </c>
      <c r="M7" s="24" t="s">
        <v>171</v>
      </c>
      <c r="N7" s="24" t="s">
        <v>174</v>
      </c>
      <c r="O7" s="24" t="s">
        <v>175</v>
      </c>
      <c r="P7" s="24" t="s">
        <v>176</v>
      </c>
      <c r="Q7" s="24" t="s">
        <v>177</v>
      </c>
      <c r="R7" s="24" t="s">
        <v>178</v>
      </c>
      <c r="S7" s="24" t="s">
        <v>179</v>
      </c>
      <c r="T7" s="24" t="s">
        <v>180</v>
      </c>
      <c r="U7" s="24" t="s">
        <v>181</v>
      </c>
      <c r="V7" s="24"/>
      <c r="W7" s="24" t="s">
        <v>182</v>
      </c>
      <c r="X7" s="24"/>
      <c r="Y7" s="24" t="s">
        <v>183</v>
      </c>
      <c r="Z7" s="24"/>
      <c r="AA7" s="24"/>
      <c r="AB7" s="25" t="n">
        <v>10</v>
      </c>
      <c r="AC7" s="24" t="s">
        <v>184</v>
      </c>
      <c r="AD7" s="24"/>
      <c r="AE7" s="24" t="s">
        <v>185</v>
      </c>
      <c r="AF7" s="24" t="s">
        <v>115</v>
      </c>
      <c r="AG7" s="24"/>
      <c r="AH7" s="24"/>
      <c r="AI7" s="25" t="n">
        <f aca="false">COUNTIF($B$2:$B$740,B7)</f>
        <v>1</v>
      </c>
    </row>
    <row r="8" customFormat="false" ht="76" hidden="false" customHeight="true" outlineLevel="0" collapsed="false">
      <c r="A8" s="21" t="n">
        <v>7</v>
      </c>
      <c r="B8" s="22" t="s">
        <v>186</v>
      </c>
      <c r="C8" s="23" t="s">
        <v>9</v>
      </c>
      <c r="D8" s="23" t="s">
        <v>96</v>
      </c>
      <c r="E8" s="23" t="s">
        <v>97</v>
      </c>
      <c r="F8" s="24" t="s">
        <v>59</v>
      </c>
      <c r="G8" s="24" t="s">
        <v>98</v>
      </c>
      <c r="H8" s="24" t="s">
        <v>99</v>
      </c>
      <c r="I8" s="24" t="s">
        <v>100</v>
      </c>
      <c r="J8" s="24" t="s">
        <v>187</v>
      </c>
      <c r="K8" s="24" t="s">
        <v>172</v>
      </c>
      <c r="L8" s="24" t="s">
        <v>119</v>
      </c>
      <c r="M8" s="24" t="s">
        <v>188</v>
      </c>
      <c r="N8" s="24"/>
      <c r="O8" s="24" t="s">
        <v>189</v>
      </c>
      <c r="P8" s="24" t="s">
        <v>190</v>
      </c>
      <c r="Q8" s="24" t="s">
        <v>191</v>
      </c>
      <c r="R8" s="24" t="s">
        <v>192</v>
      </c>
      <c r="S8" s="24" t="s">
        <v>193</v>
      </c>
      <c r="T8" s="24" t="s">
        <v>194</v>
      </c>
      <c r="U8" s="24" t="s">
        <v>195</v>
      </c>
      <c r="V8" s="24"/>
      <c r="W8" s="24"/>
      <c r="X8" s="24"/>
      <c r="Y8" s="24"/>
      <c r="Z8" s="24"/>
      <c r="AA8" s="24"/>
      <c r="AB8" s="25" t="n">
        <v>10</v>
      </c>
      <c r="AC8" s="24" t="s">
        <v>196</v>
      </c>
      <c r="AD8" s="24"/>
      <c r="AE8" s="24"/>
      <c r="AF8" s="24" t="s">
        <v>115</v>
      </c>
      <c r="AG8" s="24"/>
      <c r="AH8" s="24"/>
      <c r="AI8" s="25" t="n">
        <f aca="false">COUNTIF($B$2:$B$740,B8)</f>
        <v>1</v>
      </c>
    </row>
    <row r="9" customFormat="false" ht="76" hidden="false" customHeight="true" outlineLevel="0" collapsed="false">
      <c r="A9" s="21" t="n">
        <v>8</v>
      </c>
      <c r="B9" s="22" t="s">
        <v>197</v>
      </c>
      <c r="C9" s="23" t="s">
        <v>9</v>
      </c>
      <c r="D9" s="23" t="s">
        <v>96</v>
      </c>
      <c r="E9" s="23" t="s">
        <v>97</v>
      </c>
      <c r="F9" s="24" t="s">
        <v>59</v>
      </c>
      <c r="G9" s="24" t="s">
        <v>98</v>
      </c>
      <c r="H9" s="24" t="s">
        <v>99</v>
      </c>
      <c r="I9" s="24" t="s">
        <v>100</v>
      </c>
      <c r="J9" s="24" t="s">
        <v>198</v>
      </c>
      <c r="K9" s="24" t="s">
        <v>172</v>
      </c>
      <c r="L9" s="24" t="s">
        <v>119</v>
      </c>
      <c r="M9" s="24" t="s">
        <v>199</v>
      </c>
      <c r="N9" s="24"/>
      <c r="O9" s="24" t="s">
        <v>200</v>
      </c>
      <c r="P9" s="24" t="s">
        <v>201</v>
      </c>
      <c r="Q9" s="24" t="s">
        <v>202</v>
      </c>
      <c r="R9" s="24" t="s">
        <v>203</v>
      </c>
      <c r="S9" s="24" t="s">
        <v>204</v>
      </c>
      <c r="T9" s="24" t="s">
        <v>205</v>
      </c>
      <c r="U9" s="24" t="s">
        <v>206</v>
      </c>
      <c r="V9" s="24"/>
      <c r="W9" s="24"/>
      <c r="X9" s="24"/>
      <c r="Y9" s="24"/>
      <c r="Z9" s="24"/>
      <c r="AA9" s="24"/>
      <c r="AB9" s="25" t="n">
        <v>10</v>
      </c>
      <c r="AC9" s="24" t="s">
        <v>207</v>
      </c>
      <c r="AD9" s="24"/>
      <c r="AE9" s="24"/>
      <c r="AF9" s="24" t="s">
        <v>115</v>
      </c>
      <c r="AG9" s="24"/>
      <c r="AH9" s="24"/>
      <c r="AI9" s="25" t="n">
        <f aca="false">COUNTIF($B$2:$B$740,B9)</f>
        <v>1</v>
      </c>
    </row>
    <row r="10" customFormat="false" ht="48" hidden="false" customHeight="true" outlineLevel="0" collapsed="false">
      <c r="A10" s="26" t="n">
        <v>9</v>
      </c>
      <c r="B10" s="27" t="s">
        <v>208</v>
      </c>
      <c r="C10" s="24" t="s">
        <v>12</v>
      </c>
      <c r="D10" s="24" t="s">
        <v>209</v>
      </c>
      <c r="E10" s="24" t="s">
        <v>97</v>
      </c>
      <c r="F10" s="24" t="s">
        <v>59</v>
      </c>
      <c r="G10" s="24" t="s">
        <v>98</v>
      </c>
      <c r="H10" s="24" t="s">
        <v>99</v>
      </c>
      <c r="I10" s="24" t="s">
        <v>210</v>
      </c>
      <c r="J10" s="24" t="s">
        <v>211</v>
      </c>
      <c r="K10" s="24" t="s">
        <v>212</v>
      </c>
      <c r="L10" s="24" t="s">
        <v>119</v>
      </c>
      <c r="M10" s="24" t="s">
        <v>213</v>
      </c>
      <c r="N10" s="24" t="s">
        <v>214</v>
      </c>
      <c r="O10" s="24" t="s">
        <v>215</v>
      </c>
      <c r="P10" s="24" t="s">
        <v>216</v>
      </c>
      <c r="Q10" s="24" t="s">
        <v>217</v>
      </c>
      <c r="R10" s="24" t="s">
        <v>218</v>
      </c>
      <c r="S10" s="24" t="s">
        <v>219</v>
      </c>
      <c r="T10" s="24" t="s">
        <v>220</v>
      </c>
      <c r="U10" s="24" t="s">
        <v>221</v>
      </c>
      <c r="V10" s="24" t="s">
        <v>222</v>
      </c>
      <c r="W10" s="24" t="s">
        <v>223</v>
      </c>
      <c r="X10" s="24"/>
      <c r="Y10" s="24" t="s">
        <v>224</v>
      </c>
      <c r="Z10" s="24"/>
      <c r="AA10" s="24" t="s">
        <v>223</v>
      </c>
      <c r="AB10" s="25" t="n">
        <v>60</v>
      </c>
      <c r="AC10" s="24" t="s">
        <v>225</v>
      </c>
      <c r="AD10" s="24" t="s">
        <v>226</v>
      </c>
      <c r="AE10" s="24" t="s">
        <v>227</v>
      </c>
      <c r="AF10" s="24" t="s">
        <v>168</v>
      </c>
      <c r="AG10" s="24"/>
      <c r="AH10" s="24" t="s">
        <v>228</v>
      </c>
      <c r="AI10" s="25" t="n">
        <f aca="false">COUNTIF($B$2:$B$740,B10)</f>
        <v>1</v>
      </c>
    </row>
    <row r="11" customFormat="false" ht="76" hidden="false" customHeight="true" outlineLevel="0" collapsed="false">
      <c r="A11" s="21" t="n">
        <v>10</v>
      </c>
      <c r="B11" s="22" t="s">
        <v>229</v>
      </c>
      <c r="C11" s="23" t="s">
        <v>9</v>
      </c>
      <c r="D11" s="23" t="s">
        <v>96</v>
      </c>
      <c r="E11" s="23" t="s">
        <v>97</v>
      </c>
      <c r="F11" s="24" t="s">
        <v>59</v>
      </c>
      <c r="G11" s="24" t="s">
        <v>98</v>
      </c>
      <c r="H11" s="24" t="s">
        <v>99</v>
      </c>
      <c r="I11" s="24" t="s">
        <v>210</v>
      </c>
      <c r="J11" s="24" t="s">
        <v>230</v>
      </c>
      <c r="K11" s="24" t="s">
        <v>231</v>
      </c>
      <c r="L11" s="24" t="s">
        <v>119</v>
      </c>
      <c r="M11" s="24" t="s">
        <v>232</v>
      </c>
      <c r="N11" s="24" t="s">
        <v>233</v>
      </c>
      <c r="O11" s="24" t="s">
        <v>234</v>
      </c>
      <c r="P11" s="24" t="s">
        <v>235</v>
      </c>
      <c r="Q11" s="24" t="s">
        <v>236</v>
      </c>
      <c r="R11" s="24" t="s">
        <v>237</v>
      </c>
      <c r="S11" s="24" t="s">
        <v>238</v>
      </c>
      <c r="T11" s="24" t="s">
        <v>239</v>
      </c>
      <c r="U11" s="24" t="s">
        <v>240</v>
      </c>
      <c r="V11" s="24"/>
      <c r="W11" s="24" t="s">
        <v>241</v>
      </c>
      <c r="X11" s="24"/>
      <c r="Y11" s="24" t="s">
        <v>242</v>
      </c>
      <c r="Z11" s="24"/>
      <c r="AA11" s="24"/>
      <c r="AB11" s="25" t="n">
        <v>10</v>
      </c>
      <c r="AC11" s="24" t="s">
        <v>243</v>
      </c>
      <c r="AD11" s="24"/>
      <c r="AE11" s="24"/>
      <c r="AF11" s="24" t="s">
        <v>115</v>
      </c>
      <c r="AG11" s="24"/>
      <c r="AH11" s="24"/>
      <c r="AI11" s="25" t="n">
        <f aca="false">COUNTIF($B$2:$B$740,B11)</f>
        <v>1</v>
      </c>
    </row>
    <row r="12" customFormat="false" ht="76" hidden="false" customHeight="true" outlineLevel="0" collapsed="false">
      <c r="A12" s="21" t="n">
        <v>11</v>
      </c>
      <c r="B12" s="22" t="s">
        <v>244</v>
      </c>
      <c r="C12" s="23" t="s">
        <v>9</v>
      </c>
      <c r="D12" s="23" t="s">
        <v>96</v>
      </c>
      <c r="E12" s="23" t="s">
        <v>97</v>
      </c>
      <c r="F12" s="24" t="s">
        <v>59</v>
      </c>
      <c r="G12" s="24" t="s">
        <v>98</v>
      </c>
      <c r="H12" s="24" t="s">
        <v>99</v>
      </c>
      <c r="I12" s="24" t="s">
        <v>210</v>
      </c>
      <c r="J12" s="24" t="s">
        <v>245</v>
      </c>
      <c r="K12" s="24" t="s">
        <v>246</v>
      </c>
      <c r="L12" s="24" t="s">
        <v>119</v>
      </c>
      <c r="M12" s="24" t="s">
        <v>247</v>
      </c>
      <c r="N12" s="24" t="s">
        <v>248</v>
      </c>
      <c r="O12" s="24" t="s">
        <v>249</v>
      </c>
      <c r="P12" s="24" t="s">
        <v>250</v>
      </c>
      <c r="Q12" s="24" t="s">
        <v>251</v>
      </c>
      <c r="R12" s="24" t="s">
        <v>252</v>
      </c>
      <c r="S12" s="24" t="s">
        <v>253</v>
      </c>
      <c r="T12" s="24" t="s">
        <v>254</v>
      </c>
      <c r="U12" s="24"/>
      <c r="V12" s="24" t="s">
        <v>255</v>
      </c>
      <c r="W12" s="24" t="s">
        <v>252</v>
      </c>
      <c r="X12" s="24"/>
      <c r="Y12" s="24"/>
      <c r="Z12" s="24"/>
      <c r="AA12" s="24"/>
      <c r="AB12" s="25" t="n">
        <v>10</v>
      </c>
      <c r="AC12" s="24" t="s">
        <v>256</v>
      </c>
      <c r="AD12" s="24"/>
      <c r="AE12" s="24"/>
      <c r="AF12" s="24" t="s">
        <v>115</v>
      </c>
      <c r="AG12" s="24"/>
      <c r="AH12" s="24"/>
      <c r="AI12" s="25" t="n">
        <f aca="false">COUNTIF($B$2:$B$740,B12)</f>
        <v>1</v>
      </c>
    </row>
    <row r="13" customFormat="false" ht="76" hidden="false" customHeight="true" outlineLevel="0" collapsed="false">
      <c r="A13" s="21" t="n">
        <v>12</v>
      </c>
      <c r="B13" s="22" t="s">
        <v>257</v>
      </c>
      <c r="C13" s="23" t="s">
        <v>9</v>
      </c>
      <c r="D13" s="23" t="s">
        <v>96</v>
      </c>
      <c r="E13" s="23" t="s">
        <v>97</v>
      </c>
      <c r="F13" s="24" t="s">
        <v>59</v>
      </c>
      <c r="G13" s="24" t="s">
        <v>98</v>
      </c>
      <c r="H13" s="24" t="s">
        <v>99</v>
      </c>
      <c r="I13" s="24" t="s">
        <v>210</v>
      </c>
      <c r="J13" s="24" t="s">
        <v>258</v>
      </c>
      <c r="K13" s="24" t="s">
        <v>259</v>
      </c>
      <c r="L13" s="24" t="s">
        <v>119</v>
      </c>
      <c r="M13" s="24" t="s">
        <v>260</v>
      </c>
      <c r="N13" s="24" t="s">
        <v>261</v>
      </c>
      <c r="O13" s="24" t="s">
        <v>262</v>
      </c>
      <c r="P13" s="24" t="s">
        <v>263</v>
      </c>
      <c r="Q13" s="24" t="s">
        <v>264</v>
      </c>
      <c r="R13" s="24" t="s">
        <v>265</v>
      </c>
      <c r="S13" s="24" t="s">
        <v>266</v>
      </c>
      <c r="T13" s="24" t="s">
        <v>267</v>
      </c>
      <c r="U13" s="24"/>
      <c r="V13" s="24"/>
      <c r="W13" s="24"/>
      <c r="X13" s="24"/>
      <c r="Y13" s="24"/>
      <c r="Z13" s="24"/>
      <c r="AA13" s="24"/>
      <c r="AB13" s="25" t="n">
        <v>10</v>
      </c>
      <c r="AC13" s="24" t="s">
        <v>268</v>
      </c>
      <c r="AD13" s="24"/>
      <c r="AE13" s="24"/>
      <c r="AF13" s="24" t="s">
        <v>115</v>
      </c>
      <c r="AG13" s="24"/>
      <c r="AH13" s="24"/>
      <c r="AI13" s="25" t="n">
        <f aca="false">COUNTIF($B$2:$B$740,B13)</f>
        <v>1</v>
      </c>
    </row>
    <row r="14" customFormat="false" ht="67.2" hidden="false" customHeight="true" outlineLevel="0" collapsed="false">
      <c r="A14" s="26" t="n">
        <v>13</v>
      </c>
      <c r="B14" s="27" t="s">
        <v>269</v>
      </c>
      <c r="C14" s="24" t="s">
        <v>9</v>
      </c>
      <c r="D14" s="24" t="s">
        <v>96</v>
      </c>
      <c r="E14" s="24" t="s">
        <v>97</v>
      </c>
      <c r="F14" s="24" t="s">
        <v>59</v>
      </c>
      <c r="G14" s="24" t="s">
        <v>98</v>
      </c>
      <c r="H14" s="24" t="s">
        <v>99</v>
      </c>
      <c r="I14" s="24" t="s">
        <v>270</v>
      </c>
      <c r="J14" s="24" t="s">
        <v>271</v>
      </c>
      <c r="K14" s="24" t="s">
        <v>272</v>
      </c>
      <c r="L14" s="24" t="s">
        <v>119</v>
      </c>
      <c r="M14" s="24" t="s">
        <v>273</v>
      </c>
      <c r="N14" s="24" t="s">
        <v>274</v>
      </c>
      <c r="O14" s="24" t="s">
        <v>275</v>
      </c>
      <c r="P14" s="24" t="s">
        <v>276</v>
      </c>
      <c r="Q14" s="24" t="s">
        <v>277</v>
      </c>
      <c r="R14" s="24" t="s">
        <v>278</v>
      </c>
      <c r="S14" s="24" t="s">
        <v>279</v>
      </c>
      <c r="T14" s="24" t="s">
        <v>280</v>
      </c>
      <c r="U14" s="24" t="s">
        <v>281</v>
      </c>
      <c r="V14" s="24"/>
      <c r="W14" s="24" t="s">
        <v>282</v>
      </c>
      <c r="X14" s="24"/>
      <c r="Y14" s="24"/>
      <c r="Z14" s="24"/>
      <c r="AA14" s="24"/>
      <c r="AB14" s="25" t="n">
        <v>60</v>
      </c>
      <c r="AC14" s="24" t="s">
        <v>283</v>
      </c>
      <c r="AD14" s="24"/>
      <c r="AE14" s="24" t="s">
        <v>284</v>
      </c>
      <c r="AF14" s="24" t="s">
        <v>168</v>
      </c>
      <c r="AG14" s="24"/>
      <c r="AH14" s="24" t="s">
        <v>228</v>
      </c>
      <c r="AI14" s="25" t="n">
        <f aca="false">COUNTIF($B$2:$B$740,B14)</f>
        <v>1</v>
      </c>
    </row>
    <row r="15" customFormat="false" ht="67.2" hidden="false" customHeight="true" outlineLevel="0" collapsed="false">
      <c r="A15" s="26" t="n">
        <v>14</v>
      </c>
      <c r="B15" s="27" t="s">
        <v>285</v>
      </c>
      <c r="C15" s="24" t="s">
        <v>9</v>
      </c>
      <c r="D15" s="24" t="s">
        <v>96</v>
      </c>
      <c r="E15" s="24" t="s">
        <v>97</v>
      </c>
      <c r="F15" s="24" t="s">
        <v>59</v>
      </c>
      <c r="G15" s="24" t="s">
        <v>98</v>
      </c>
      <c r="H15" s="24" t="s">
        <v>99</v>
      </c>
      <c r="I15" s="24" t="s">
        <v>270</v>
      </c>
      <c r="J15" s="24" t="s">
        <v>286</v>
      </c>
      <c r="K15" s="24" t="s">
        <v>272</v>
      </c>
      <c r="L15" s="24" t="s">
        <v>119</v>
      </c>
      <c r="M15" s="24" t="s">
        <v>273</v>
      </c>
      <c r="N15" s="24" t="s">
        <v>287</v>
      </c>
      <c r="O15" s="24" t="s">
        <v>275</v>
      </c>
      <c r="P15" s="24" t="s">
        <v>288</v>
      </c>
      <c r="Q15" s="24" t="s">
        <v>289</v>
      </c>
      <c r="R15" s="24" t="s">
        <v>290</v>
      </c>
      <c r="S15" s="24" t="s">
        <v>291</v>
      </c>
      <c r="T15" s="24" t="s">
        <v>292</v>
      </c>
      <c r="U15" s="24" t="s">
        <v>293</v>
      </c>
      <c r="V15" s="24"/>
      <c r="W15" s="24" t="s">
        <v>294</v>
      </c>
      <c r="X15" s="24"/>
      <c r="Y15" s="24"/>
      <c r="Z15" s="24"/>
      <c r="AA15" s="24"/>
      <c r="AB15" s="25" t="n">
        <v>60</v>
      </c>
      <c r="AC15" s="24" t="s">
        <v>295</v>
      </c>
      <c r="AD15" s="24"/>
      <c r="AE15" s="24" t="s">
        <v>296</v>
      </c>
      <c r="AF15" s="24" t="s">
        <v>168</v>
      </c>
      <c r="AG15" s="24"/>
      <c r="AH15" s="24" t="s">
        <v>228</v>
      </c>
      <c r="AI15" s="25" t="n">
        <f aca="false">COUNTIF($B$2:$B$740,B15)</f>
        <v>1</v>
      </c>
    </row>
    <row r="16" customFormat="false" ht="67.2" hidden="false" customHeight="true" outlineLevel="0" collapsed="false">
      <c r="A16" s="26" t="n">
        <v>15</v>
      </c>
      <c r="B16" s="27" t="s">
        <v>297</v>
      </c>
      <c r="C16" s="24" t="s">
        <v>9</v>
      </c>
      <c r="D16" s="24" t="s">
        <v>96</v>
      </c>
      <c r="E16" s="24" t="s">
        <v>97</v>
      </c>
      <c r="F16" s="24" t="s">
        <v>59</v>
      </c>
      <c r="G16" s="24" t="s">
        <v>98</v>
      </c>
      <c r="H16" s="24" t="s">
        <v>99</v>
      </c>
      <c r="I16" s="24" t="s">
        <v>270</v>
      </c>
      <c r="J16" s="24" t="s">
        <v>298</v>
      </c>
      <c r="K16" s="24" t="s">
        <v>299</v>
      </c>
      <c r="L16" s="24" t="s">
        <v>119</v>
      </c>
      <c r="M16" s="24" t="s">
        <v>300</v>
      </c>
      <c r="N16" s="24" t="s">
        <v>301</v>
      </c>
      <c r="O16" s="24" t="s">
        <v>302</v>
      </c>
      <c r="P16" s="24" t="s">
        <v>303</v>
      </c>
      <c r="Q16" s="24" t="s">
        <v>304</v>
      </c>
      <c r="R16" s="24" t="s">
        <v>305</v>
      </c>
      <c r="S16" s="24" t="s">
        <v>306</v>
      </c>
      <c r="T16" s="24" t="s">
        <v>307</v>
      </c>
      <c r="U16" s="24" t="s">
        <v>308</v>
      </c>
      <c r="V16" s="24"/>
      <c r="W16" s="24" t="s">
        <v>309</v>
      </c>
      <c r="X16" s="24"/>
      <c r="Y16" s="24" t="s">
        <v>310</v>
      </c>
      <c r="Z16" s="24"/>
      <c r="AA16" s="24" t="s">
        <v>310</v>
      </c>
      <c r="AB16" s="25" t="n">
        <v>60</v>
      </c>
      <c r="AC16" s="24" t="s">
        <v>295</v>
      </c>
      <c r="AD16" s="24"/>
      <c r="AE16" s="24" t="s">
        <v>311</v>
      </c>
      <c r="AF16" s="24" t="s">
        <v>168</v>
      </c>
      <c r="AG16" s="24"/>
      <c r="AH16" s="24" t="s">
        <v>228</v>
      </c>
      <c r="AI16" s="25" t="n">
        <f aca="false">COUNTIF($B$2:$B$740,B16)</f>
        <v>1</v>
      </c>
    </row>
    <row r="17" customFormat="false" ht="48" hidden="false" customHeight="true" outlineLevel="0" collapsed="false">
      <c r="A17" s="26" t="n">
        <v>16</v>
      </c>
      <c r="B17" s="27" t="s">
        <v>312</v>
      </c>
      <c r="C17" s="24" t="s">
        <v>9</v>
      </c>
      <c r="D17" s="24" t="s">
        <v>96</v>
      </c>
      <c r="E17" s="24" t="s">
        <v>97</v>
      </c>
      <c r="F17" s="24" t="s">
        <v>59</v>
      </c>
      <c r="G17" s="24" t="s">
        <v>98</v>
      </c>
      <c r="H17" s="24" t="s">
        <v>99</v>
      </c>
      <c r="I17" s="24" t="s">
        <v>270</v>
      </c>
      <c r="J17" s="24" t="s">
        <v>313</v>
      </c>
      <c r="K17" s="24" t="s">
        <v>299</v>
      </c>
      <c r="L17" s="24" t="s">
        <v>119</v>
      </c>
      <c r="M17" s="24" t="s">
        <v>300</v>
      </c>
      <c r="N17" s="24" t="s">
        <v>314</v>
      </c>
      <c r="O17" s="24" t="s">
        <v>315</v>
      </c>
      <c r="P17" s="24" t="s">
        <v>316</v>
      </c>
      <c r="Q17" s="24" t="s">
        <v>317</v>
      </c>
      <c r="R17" s="24" t="s">
        <v>318</v>
      </c>
      <c r="S17" s="24" t="s">
        <v>319</v>
      </c>
      <c r="T17" s="24" t="s">
        <v>320</v>
      </c>
      <c r="U17" s="24" t="s">
        <v>321</v>
      </c>
      <c r="V17" s="24"/>
      <c r="W17" s="24" t="s">
        <v>322</v>
      </c>
      <c r="X17" s="24"/>
      <c r="Y17" s="24"/>
      <c r="Z17" s="24"/>
      <c r="AA17" s="24"/>
      <c r="AB17" s="25" t="n">
        <v>60</v>
      </c>
      <c r="AC17" s="24" t="s">
        <v>295</v>
      </c>
      <c r="AD17" s="24"/>
      <c r="AE17" s="24" t="s">
        <v>323</v>
      </c>
      <c r="AF17" s="24" t="s">
        <v>168</v>
      </c>
      <c r="AG17" s="24"/>
      <c r="AH17" s="24" t="s">
        <v>228</v>
      </c>
      <c r="AI17" s="25" t="n">
        <f aca="false">COUNTIF($B$2:$B$740,B17)</f>
        <v>1</v>
      </c>
    </row>
    <row r="18" customFormat="false" ht="48" hidden="false" customHeight="true" outlineLevel="0" collapsed="false">
      <c r="A18" s="26" t="n">
        <v>17</v>
      </c>
      <c r="B18" s="27" t="s">
        <v>324</v>
      </c>
      <c r="C18" s="24" t="s">
        <v>9</v>
      </c>
      <c r="D18" s="24" t="s">
        <v>96</v>
      </c>
      <c r="E18" s="24" t="s">
        <v>97</v>
      </c>
      <c r="F18" s="24" t="s">
        <v>59</v>
      </c>
      <c r="G18" s="24" t="s">
        <v>98</v>
      </c>
      <c r="H18" s="24" t="s">
        <v>99</v>
      </c>
      <c r="I18" s="24" t="s">
        <v>270</v>
      </c>
      <c r="J18" s="24" t="s">
        <v>325</v>
      </c>
      <c r="K18" s="24" t="s">
        <v>299</v>
      </c>
      <c r="L18" s="24" t="s">
        <v>119</v>
      </c>
      <c r="M18" s="24" t="s">
        <v>300</v>
      </c>
      <c r="N18" s="24" t="s">
        <v>326</v>
      </c>
      <c r="O18" s="24" t="s">
        <v>327</v>
      </c>
      <c r="P18" s="24" t="s">
        <v>328</v>
      </c>
      <c r="Q18" s="24" t="s">
        <v>329</v>
      </c>
      <c r="R18" s="24" t="s">
        <v>330</v>
      </c>
      <c r="S18" s="24" t="s">
        <v>331</v>
      </c>
      <c r="T18" s="24" t="s">
        <v>332</v>
      </c>
      <c r="U18" s="24" t="s">
        <v>333</v>
      </c>
      <c r="V18" s="24"/>
      <c r="W18" s="24" t="s">
        <v>333</v>
      </c>
      <c r="X18" s="24"/>
      <c r="Y18" s="24"/>
      <c r="Z18" s="24"/>
      <c r="AA18" s="24"/>
      <c r="AB18" s="25" t="n">
        <v>60</v>
      </c>
      <c r="AC18" s="24" t="s">
        <v>334</v>
      </c>
      <c r="AD18" s="24"/>
      <c r="AE18" s="24" t="s">
        <v>323</v>
      </c>
      <c r="AF18" s="24" t="s">
        <v>168</v>
      </c>
      <c r="AG18" s="24"/>
      <c r="AH18" s="24" t="s">
        <v>228</v>
      </c>
      <c r="AI18" s="25" t="n">
        <f aca="false">COUNTIF($B$2:$B$740,B18)</f>
        <v>1</v>
      </c>
    </row>
    <row r="19" customFormat="false" ht="48" hidden="false" customHeight="true" outlineLevel="0" collapsed="false">
      <c r="A19" s="26" t="n">
        <v>18</v>
      </c>
      <c r="B19" s="27" t="s">
        <v>335</v>
      </c>
      <c r="C19" s="24" t="s">
        <v>9</v>
      </c>
      <c r="D19" s="24" t="s">
        <v>96</v>
      </c>
      <c r="E19" s="24" t="s">
        <v>97</v>
      </c>
      <c r="F19" s="24" t="s">
        <v>59</v>
      </c>
      <c r="G19" s="24" t="s">
        <v>98</v>
      </c>
      <c r="H19" s="24" t="s">
        <v>99</v>
      </c>
      <c r="I19" s="24" t="s">
        <v>270</v>
      </c>
      <c r="J19" s="24" t="s">
        <v>336</v>
      </c>
      <c r="K19" s="24" t="s">
        <v>337</v>
      </c>
      <c r="L19" s="24" t="s">
        <v>119</v>
      </c>
      <c r="M19" s="24" t="s">
        <v>338</v>
      </c>
      <c r="N19" s="24" t="s">
        <v>339</v>
      </c>
      <c r="O19" s="24" t="s">
        <v>340</v>
      </c>
      <c r="P19" s="24" t="s">
        <v>341</v>
      </c>
      <c r="Q19" s="24" t="s">
        <v>342</v>
      </c>
      <c r="R19" s="24" t="s">
        <v>343</v>
      </c>
      <c r="S19" s="24" t="s">
        <v>344</v>
      </c>
      <c r="T19" s="24" t="s">
        <v>345</v>
      </c>
      <c r="U19" s="24"/>
      <c r="V19" s="24"/>
      <c r="W19" s="24" t="s">
        <v>346</v>
      </c>
      <c r="X19" s="24"/>
      <c r="Y19" s="24"/>
      <c r="Z19" s="24"/>
      <c r="AA19" s="24"/>
      <c r="AB19" s="25" t="n">
        <v>60</v>
      </c>
      <c r="AC19" s="24" t="s">
        <v>347</v>
      </c>
      <c r="AD19" s="24"/>
      <c r="AE19" s="24" t="s">
        <v>348</v>
      </c>
      <c r="AF19" s="24" t="s">
        <v>168</v>
      </c>
      <c r="AG19" s="24"/>
      <c r="AH19" s="24" t="s">
        <v>228</v>
      </c>
      <c r="AI19" s="25" t="n">
        <f aca="false">COUNTIF($B$2:$B$740,B19)</f>
        <v>1</v>
      </c>
    </row>
    <row r="20" customFormat="false" ht="57.6" hidden="false" customHeight="true" outlineLevel="0" collapsed="false">
      <c r="A20" s="26" t="n">
        <v>19</v>
      </c>
      <c r="B20" s="27" t="s">
        <v>349</v>
      </c>
      <c r="C20" s="24" t="s">
        <v>9</v>
      </c>
      <c r="D20" s="24" t="s">
        <v>96</v>
      </c>
      <c r="E20" s="24" t="s">
        <v>97</v>
      </c>
      <c r="F20" s="24" t="s">
        <v>59</v>
      </c>
      <c r="G20" s="24" t="s">
        <v>98</v>
      </c>
      <c r="H20" s="24" t="s">
        <v>99</v>
      </c>
      <c r="I20" s="24" t="s">
        <v>270</v>
      </c>
      <c r="J20" s="24" t="s">
        <v>350</v>
      </c>
      <c r="K20" s="24" t="s">
        <v>337</v>
      </c>
      <c r="L20" s="24" t="s">
        <v>119</v>
      </c>
      <c r="M20" s="24" t="s">
        <v>338</v>
      </c>
      <c r="N20" s="24" t="s">
        <v>351</v>
      </c>
      <c r="O20" s="24" t="s">
        <v>352</v>
      </c>
      <c r="P20" s="24" t="s">
        <v>341</v>
      </c>
      <c r="Q20" s="24" t="s">
        <v>353</v>
      </c>
      <c r="R20" s="24" t="s">
        <v>354</v>
      </c>
      <c r="S20" s="24" t="s">
        <v>355</v>
      </c>
      <c r="T20" s="24" t="s">
        <v>356</v>
      </c>
      <c r="U20" s="24"/>
      <c r="V20" s="24"/>
      <c r="W20" s="24" t="s">
        <v>357</v>
      </c>
      <c r="X20" s="24"/>
      <c r="Y20" s="24"/>
      <c r="Z20" s="24"/>
      <c r="AA20" s="24"/>
      <c r="AB20" s="25" t="n">
        <v>60</v>
      </c>
      <c r="AC20" s="24" t="s">
        <v>358</v>
      </c>
      <c r="AD20" s="24"/>
      <c r="AE20" s="24" t="s">
        <v>359</v>
      </c>
      <c r="AF20" s="24" t="s">
        <v>168</v>
      </c>
      <c r="AG20" s="24"/>
      <c r="AH20" s="24" t="s">
        <v>228</v>
      </c>
      <c r="AI20" s="25" t="n">
        <f aca="false">COUNTIF($B$2:$B$740,B20)</f>
        <v>1</v>
      </c>
    </row>
    <row r="21" customFormat="false" ht="48" hidden="false" customHeight="true" outlineLevel="0" collapsed="false">
      <c r="A21" s="26" t="n">
        <v>20</v>
      </c>
      <c r="B21" s="27" t="s">
        <v>360</v>
      </c>
      <c r="C21" s="24" t="s">
        <v>9</v>
      </c>
      <c r="D21" s="24" t="s">
        <v>96</v>
      </c>
      <c r="E21" s="24" t="s">
        <v>97</v>
      </c>
      <c r="F21" s="24" t="s">
        <v>59</v>
      </c>
      <c r="G21" s="24" t="s">
        <v>98</v>
      </c>
      <c r="H21" s="24" t="s">
        <v>99</v>
      </c>
      <c r="I21" s="24" t="s">
        <v>270</v>
      </c>
      <c r="J21" s="24" t="s">
        <v>361</v>
      </c>
      <c r="K21" s="24" t="s">
        <v>337</v>
      </c>
      <c r="L21" s="24" t="s">
        <v>119</v>
      </c>
      <c r="M21" s="24" t="s">
        <v>338</v>
      </c>
      <c r="N21" s="24" t="s">
        <v>362</v>
      </c>
      <c r="O21" s="24" t="s">
        <v>363</v>
      </c>
      <c r="P21" s="24" t="s">
        <v>341</v>
      </c>
      <c r="Q21" s="24" t="s">
        <v>364</v>
      </c>
      <c r="R21" s="24" t="s">
        <v>365</v>
      </c>
      <c r="S21" s="24" t="s">
        <v>366</v>
      </c>
      <c r="T21" s="24" t="s">
        <v>367</v>
      </c>
      <c r="U21" s="24"/>
      <c r="V21" s="24"/>
      <c r="W21" s="24" t="s">
        <v>368</v>
      </c>
      <c r="X21" s="24"/>
      <c r="Y21" s="24"/>
      <c r="Z21" s="24"/>
      <c r="AA21" s="24"/>
      <c r="AB21" s="25" t="n">
        <v>60</v>
      </c>
      <c r="AC21" s="24" t="s">
        <v>358</v>
      </c>
      <c r="AD21" s="24"/>
      <c r="AE21" s="24" t="s">
        <v>369</v>
      </c>
      <c r="AF21" s="24" t="s">
        <v>168</v>
      </c>
      <c r="AG21" s="24"/>
      <c r="AH21" s="24" t="s">
        <v>228</v>
      </c>
      <c r="AI21" s="25" t="n">
        <f aca="false">COUNTIF($B$2:$B$740,B21)</f>
        <v>1</v>
      </c>
    </row>
    <row r="22" customFormat="false" ht="48" hidden="false" customHeight="true" outlineLevel="0" collapsed="false">
      <c r="A22" s="26" t="n">
        <v>21</v>
      </c>
      <c r="B22" s="27" t="s">
        <v>370</v>
      </c>
      <c r="C22" s="24" t="s">
        <v>9</v>
      </c>
      <c r="D22" s="24" t="s">
        <v>96</v>
      </c>
      <c r="E22" s="24" t="s">
        <v>97</v>
      </c>
      <c r="F22" s="24" t="s">
        <v>59</v>
      </c>
      <c r="G22" s="24" t="s">
        <v>98</v>
      </c>
      <c r="H22" s="24" t="s">
        <v>99</v>
      </c>
      <c r="I22" s="24" t="s">
        <v>270</v>
      </c>
      <c r="J22" s="24" t="s">
        <v>371</v>
      </c>
      <c r="K22" s="24" t="s">
        <v>337</v>
      </c>
      <c r="L22" s="24" t="s">
        <v>119</v>
      </c>
      <c r="M22" s="24" t="s">
        <v>338</v>
      </c>
      <c r="N22" s="24" t="s">
        <v>372</v>
      </c>
      <c r="O22" s="24" t="s">
        <v>373</v>
      </c>
      <c r="P22" s="24" t="s">
        <v>374</v>
      </c>
      <c r="Q22" s="24" t="s">
        <v>375</v>
      </c>
      <c r="R22" s="24" t="s">
        <v>376</v>
      </c>
      <c r="S22" s="24" t="s">
        <v>377</v>
      </c>
      <c r="T22" s="24" t="s">
        <v>378</v>
      </c>
      <c r="U22" s="24"/>
      <c r="V22" s="24"/>
      <c r="W22" s="24" t="s">
        <v>379</v>
      </c>
      <c r="X22" s="24"/>
      <c r="Y22" s="24"/>
      <c r="Z22" s="24"/>
      <c r="AA22" s="24"/>
      <c r="AB22" s="25" t="n">
        <v>60</v>
      </c>
      <c r="AC22" s="24" t="s">
        <v>358</v>
      </c>
      <c r="AD22" s="24"/>
      <c r="AE22" s="24" t="s">
        <v>380</v>
      </c>
      <c r="AF22" s="24" t="s">
        <v>168</v>
      </c>
      <c r="AG22" s="24"/>
      <c r="AH22" s="24" t="s">
        <v>228</v>
      </c>
      <c r="AI22" s="25" t="n">
        <f aca="false">COUNTIF($B$2:$B$740,B22)</f>
        <v>1</v>
      </c>
    </row>
    <row r="23" customFormat="false" ht="57.6" hidden="false" customHeight="true" outlineLevel="0" collapsed="false">
      <c r="A23" s="26" t="n">
        <v>22</v>
      </c>
      <c r="B23" s="27" t="s">
        <v>381</v>
      </c>
      <c r="C23" s="24" t="s">
        <v>9</v>
      </c>
      <c r="D23" s="24" t="s">
        <v>96</v>
      </c>
      <c r="E23" s="24" t="s">
        <v>97</v>
      </c>
      <c r="F23" s="24" t="s">
        <v>59</v>
      </c>
      <c r="G23" s="24" t="s">
        <v>98</v>
      </c>
      <c r="H23" s="24" t="s">
        <v>99</v>
      </c>
      <c r="I23" s="24" t="s">
        <v>270</v>
      </c>
      <c r="J23" s="24" t="s">
        <v>382</v>
      </c>
      <c r="K23" s="24" t="s">
        <v>383</v>
      </c>
      <c r="L23" s="24" t="s">
        <v>119</v>
      </c>
      <c r="M23" s="24" t="s">
        <v>338</v>
      </c>
      <c r="N23" s="24" t="s">
        <v>384</v>
      </c>
      <c r="O23" s="24" t="s">
        <v>352</v>
      </c>
      <c r="P23" s="24" t="s">
        <v>385</v>
      </c>
      <c r="Q23" s="24" t="s">
        <v>386</v>
      </c>
      <c r="R23" s="24" t="s">
        <v>387</v>
      </c>
      <c r="S23" s="24" t="s">
        <v>388</v>
      </c>
      <c r="T23" s="24" t="s">
        <v>389</v>
      </c>
      <c r="U23" s="24" t="s">
        <v>390</v>
      </c>
      <c r="V23" s="24"/>
      <c r="W23" s="24" t="s">
        <v>391</v>
      </c>
      <c r="X23" s="24"/>
      <c r="Y23" s="24" t="s">
        <v>390</v>
      </c>
      <c r="Z23" s="24"/>
      <c r="AA23" s="24"/>
      <c r="AB23" s="25" t="n">
        <v>60</v>
      </c>
      <c r="AC23" s="24" t="s">
        <v>392</v>
      </c>
      <c r="AD23" s="24"/>
      <c r="AE23" s="24" t="s">
        <v>393</v>
      </c>
      <c r="AF23" s="24" t="s">
        <v>168</v>
      </c>
      <c r="AG23" s="24"/>
      <c r="AH23" s="24" t="s">
        <v>228</v>
      </c>
      <c r="AI23" s="25" t="n">
        <f aca="false">COUNTIF($B$2:$B$740,B23)</f>
        <v>1</v>
      </c>
    </row>
    <row r="24" customFormat="false" ht="76" hidden="false" customHeight="true" outlineLevel="0" collapsed="false">
      <c r="A24" s="21" t="n">
        <v>23</v>
      </c>
      <c r="B24" s="22" t="s">
        <v>394</v>
      </c>
      <c r="C24" s="23" t="s">
        <v>9</v>
      </c>
      <c r="D24" s="23" t="s">
        <v>96</v>
      </c>
      <c r="E24" s="23" t="s">
        <v>97</v>
      </c>
      <c r="F24" s="24" t="s">
        <v>59</v>
      </c>
      <c r="G24" s="24" t="s">
        <v>98</v>
      </c>
      <c r="H24" s="24" t="s">
        <v>99</v>
      </c>
      <c r="I24" s="24" t="s">
        <v>395</v>
      </c>
      <c r="J24" s="24" t="s">
        <v>396</v>
      </c>
      <c r="K24" s="24" t="s">
        <v>397</v>
      </c>
      <c r="L24" s="24" t="s">
        <v>103</v>
      </c>
      <c r="M24" s="24" t="s">
        <v>398</v>
      </c>
      <c r="N24" s="24" t="s">
        <v>399</v>
      </c>
      <c r="O24" s="24" t="s">
        <v>400</v>
      </c>
      <c r="P24" s="24" t="s">
        <v>401</v>
      </c>
      <c r="Q24" s="24" t="s">
        <v>402</v>
      </c>
      <c r="R24" s="24" t="s">
        <v>403</v>
      </c>
      <c r="S24" s="24" t="s">
        <v>404</v>
      </c>
      <c r="T24" s="24" t="s">
        <v>405</v>
      </c>
      <c r="U24" s="24" t="s">
        <v>183</v>
      </c>
      <c r="V24" s="24"/>
      <c r="W24" s="24" t="s">
        <v>406</v>
      </c>
      <c r="X24" s="24"/>
      <c r="Y24" s="24" t="s">
        <v>183</v>
      </c>
      <c r="Z24" s="24"/>
      <c r="AA24" s="24"/>
      <c r="AB24" s="25" t="n">
        <v>10</v>
      </c>
      <c r="AC24" s="24" t="s">
        <v>407</v>
      </c>
      <c r="AD24" s="24"/>
      <c r="AE24" s="24" t="s">
        <v>408</v>
      </c>
      <c r="AF24" s="24" t="s">
        <v>115</v>
      </c>
      <c r="AG24" s="24"/>
      <c r="AH24" s="24"/>
      <c r="AI24" s="25" t="n">
        <f aca="false">COUNTIF($B$2:$B$740,B24)</f>
        <v>1</v>
      </c>
    </row>
    <row r="25" customFormat="false" ht="76" hidden="false" customHeight="true" outlineLevel="0" collapsed="false">
      <c r="A25" s="21" t="n">
        <v>24</v>
      </c>
      <c r="B25" s="22" t="s">
        <v>409</v>
      </c>
      <c r="C25" s="23" t="s">
        <v>9</v>
      </c>
      <c r="D25" s="23" t="s">
        <v>96</v>
      </c>
      <c r="E25" s="23" t="s">
        <v>97</v>
      </c>
      <c r="F25" s="24" t="s">
        <v>59</v>
      </c>
      <c r="G25" s="24" t="s">
        <v>98</v>
      </c>
      <c r="H25" s="24" t="s">
        <v>99</v>
      </c>
      <c r="I25" s="24" t="s">
        <v>395</v>
      </c>
      <c r="J25" s="24" t="s">
        <v>410</v>
      </c>
      <c r="K25" s="24" t="s">
        <v>411</v>
      </c>
      <c r="L25" s="24" t="s">
        <v>103</v>
      </c>
      <c r="M25" s="24" t="s">
        <v>398</v>
      </c>
      <c r="N25" s="24" t="s">
        <v>412</v>
      </c>
      <c r="O25" s="24" t="s">
        <v>413</v>
      </c>
      <c r="P25" s="24" t="s">
        <v>414</v>
      </c>
      <c r="Q25" s="24" t="s">
        <v>415</v>
      </c>
      <c r="R25" s="24" t="s">
        <v>416</v>
      </c>
      <c r="S25" s="24" t="s">
        <v>417</v>
      </c>
      <c r="T25" s="24" t="s">
        <v>418</v>
      </c>
      <c r="U25" s="24"/>
      <c r="V25" s="24"/>
      <c r="W25" s="24" t="s">
        <v>419</v>
      </c>
      <c r="X25" s="24"/>
      <c r="Y25" s="24"/>
      <c r="Z25" s="24"/>
      <c r="AA25" s="24" t="s">
        <v>416</v>
      </c>
      <c r="AB25" s="25" t="n">
        <v>10</v>
      </c>
      <c r="AC25" s="24" t="s">
        <v>420</v>
      </c>
      <c r="AD25" s="24"/>
      <c r="AE25" s="24" t="s">
        <v>408</v>
      </c>
      <c r="AF25" s="24" t="s">
        <v>115</v>
      </c>
      <c r="AG25" s="24"/>
      <c r="AH25" s="24"/>
      <c r="AI25" s="25" t="n">
        <f aca="false">COUNTIF($B$2:$B$740,B25)</f>
        <v>1</v>
      </c>
    </row>
    <row r="26" customFormat="false" ht="76" hidden="false" customHeight="true" outlineLevel="0" collapsed="false">
      <c r="A26" s="21" t="n">
        <v>25</v>
      </c>
      <c r="B26" s="22" t="s">
        <v>421</v>
      </c>
      <c r="C26" s="23" t="s">
        <v>9</v>
      </c>
      <c r="D26" s="23" t="s">
        <v>96</v>
      </c>
      <c r="E26" s="23" t="s">
        <v>97</v>
      </c>
      <c r="F26" s="24" t="s">
        <v>59</v>
      </c>
      <c r="G26" s="24" t="s">
        <v>98</v>
      </c>
      <c r="H26" s="24" t="s">
        <v>99</v>
      </c>
      <c r="I26" s="24" t="s">
        <v>395</v>
      </c>
      <c r="J26" s="24" t="s">
        <v>422</v>
      </c>
      <c r="K26" s="24" t="s">
        <v>423</v>
      </c>
      <c r="L26" s="24" t="s">
        <v>103</v>
      </c>
      <c r="M26" s="24" t="s">
        <v>398</v>
      </c>
      <c r="N26" s="24" t="s">
        <v>424</v>
      </c>
      <c r="O26" s="24" t="s">
        <v>425</v>
      </c>
      <c r="P26" s="24" t="s">
        <v>426</v>
      </c>
      <c r="Q26" s="24" t="s">
        <v>427</v>
      </c>
      <c r="R26" s="24" t="s">
        <v>428</v>
      </c>
      <c r="S26" s="24" t="s">
        <v>429</v>
      </c>
      <c r="T26" s="24" t="s">
        <v>430</v>
      </c>
      <c r="U26" s="24"/>
      <c r="V26" s="24"/>
      <c r="W26" s="24" t="s">
        <v>431</v>
      </c>
      <c r="X26" s="24"/>
      <c r="Y26" s="24"/>
      <c r="Z26" s="24"/>
      <c r="AA26" s="24"/>
      <c r="AB26" s="25" t="n">
        <v>10</v>
      </c>
      <c r="AC26" s="24" t="s">
        <v>432</v>
      </c>
      <c r="AD26" s="24"/>
      <c r="AE26" s="24"/>
      <c r="AF26" s="24" t="s">
        <v>115</v>
      </c>
      <c r="AG26" s="24"/>
      <c r="AH26" s="24"/>
      <c r="AI26" s="25" t="n">
        <f aca="false">COUNTIF($B$2:$B$740,B26)</f>
        <v>1</v>
      </c>
    </row>
    <row r="27" customFormat="false" ht="76" hidden="false" customHeight="true" outlineLevel="0" collapsed="false">
      <c r="A27" s="21" t="n">
        <v>26</v>
      </c>
      <c r="B27" s="22" t="s">
        <v>433</v>
      </c>
      <c r="C27" s="23" t="s">
        <v>9</v>
      </c>
      <c r="D27" s="23" t="s">
        <v>96</v>
      </c>
      <c r="E27" s="23" t="s">
        <v>97</v>
      </c>
      <c r="F27" s="24" t="s">
        <v>59</v>
      </c>
      <c r="G27" s="24" t="s">
        <v>98</v>
      </c>
      <c r="H27" s="24" t="s">
        <v>99</v>
      </c>
      <c r="I27" s="24" t="s">
        <v>395</v>
      </c>
      <c r="J27" s="24" t="s">
        <v>434</v>
      </c>
      <c r="K27" s="24" t="s">
        <v>423</v>
      </c>
      <c r="L27" s="24" t="s">
        <v>103</v>
      </c>
      <c r="M27" s="24" t="s">
        <v>398</v>
      </c>
      <c r="N27" s="24" t="s">
        <v>435</v>
      </c>
      <c r="O27" s="24" t="s">
        <v>436</v>
      </c>
      <c r="P27" s="24" t="s">
        <v>437</v>
      </c>
      <c r="Q27" s="24" t="s">
        <v>438</v>
      </c>
      <c r="R27" s="24" t="s">
        <v>439</v>
      </c>
      <c r="S27" s="24" t="s">
        <v>440</v>
      </c>
      <c r="T27" s="24" t="s">
        <v>441</v>
      </c>
      <c r="U27" s="24"/>
      <c r="V27" s="24"/>
      <c r="W27" s="24" t="s">
        <v>442</v>
      </c>
      <c r="X27" s="24"/>
      <c r="Y27" s="24"/>
      <c r="Z27" s="24"/>
      <c r="AA27" s="24"/>
      <c r="AB27" s="25" t="n">
        <v>10</v>
      </c>
      <c r="AC27" s="24" t="s">
        <v>420</v>
      </c>
      <c r="AD27" s="24"/>
      <c r="AE27" s="24" t="s">
        <v>186</v>
      </c>
      <c r="AF27" s="24" t="s">
        <v>115</v>
      </c>
      <c r="AG27" s="24"/>
      <c r="AH27" s="24"/>
      <c r="AI27" s="25" t="n">
        <f aca="false">COUNTIF($B$2:$B$740,B27)</f>
        <v>1</v>
      </c>
    </row>
    <row r="28" customFormat="false" ht="76" hidden="false" customHeight="true" outlineLevel="0" collapsed="false">
      <c r="A28" s="21" t="n">
        <v>27</v>
      </c>
      <c r="B28" s="22" t="s">
        <v>443</v>
      </c>
      <c r="C28" s="23" t="s">
        <v>9</v>
      </c>
      <c r="D28" s="23" t="s">
        <v>96</v>
      </c>
      <c r="E28" s="23" t="s">
        <v>97</v>
      </c>
      <c r="F28" s="24" t="s">
        <v>59</v>
      </c>
      <c r="G28" s="24" t="s">
        <v>98</v>
      </c>
      <c r="H28" s="24" t="s">
        <v>99</v>
      </c>
      <c r="I28" s="24" t="s">
        <v>395</v>
      </c>
      <c r="J28" s="24" t="s">
        <v>444</v>
      </c>
      <c r="K28" s="24" t="s">
        <v>423</v>
      </c>
      <c r="L28" s="24" t="s">
        <v>103</v>
      </c>
      <c r="M28" s="24" t="s">
        <v>398</v>
      </c>
      <c r="N28" s="24" t="s">
        <v>445</v>
      </c>
      <c r="O28" s="24" t="s">
        <v>446</v>
      </c>
      <c r="P28" s="24" t="s">
        <v>447</v>
      </c>
      <c r="Q28" s="24" t="s">
        <v>448</v>
      </c>
      <c r="R28" s="24" t="s">
        <v>449</v>
      </c>
      <c r="S28" s="24" t="s">
        <v>450</v>
      </c>
      <c r="T28" s="24" t="s">
        <v>451</v>
      </c>
      <c r="U28" s="24"/>
      <c r="V28" s="24"/>
      <c r="W28" s="24" t="s">
        <v>452</v>
      </c>
      <c r="X28" s="24"/>
      <c r="Y28" s="24" t="s">
        <v>449</v>
      </c>
      <c r="Z28" s="24"/>
      <c r="AA28" s="24"/>
      <c r="AB28" s="25" t="n">
        <v>10</v>
      </c>
      <c r="AC28" s="24" t="s">
        <v>453</v>
      </c>
      <c r="AD28" s="24"/>
      <c r="AE28" s="24"/>
      <c r="AF28" s="24" t="s">
        <v>115</v>
      </c>
      <c r="AG28" s="24"/>
      <c r="AH28" s="24"/>
      <c r="AI28" s="25" t="n">
        <f aca="false">COUNTIF($B$2:$B$740,B28)</f>
        <v>1</v>
      </c>
    </row>
    <row r="29" customFormat="false" ht="76" hidden="false" customHeight="true" outlineLevel="0" collapsed="false">
      <c r="A29" s="21" t="n">
        <v>28</v>
      </c>
      <c r="B29" s="22" t="s">
        <v>454</v>
      </c>
      <c r="C29" s="23" t="s">
        <v>9</v>
      </c>
      <c r="D29" s="23" t="s">
        <v>96</v>
      </c>
      <c r="E29" s="23" t="s">
        <v>97</v>
      </c>
      <c r="F29" s="24" t="s">
        <v>59</v>
      </c>
      <c r="G29" s="24" t="s">
        <v>98</v>
      </c>
      <c r="H29" s="24" t="s">
        <v>99</v>
      </c>
      <c r="I29" s="24" t="s">
        <v>455</v>
      </c>
      <c r="J29" s="24" t="s">
        <v>456</v>
      </c>
      <c r="K29" s="24" t="s">
        <v>457</v>
      </c>
      <c r="L29" s="24" t="s">
        <v>119</v>
      </c>
      <c r="M29" s="24" t="s">
        <v>458</v>
      </c>
      <c r="N29" s="24" t="s">
        <v>459</v>
      </c>
      <c r="O29" s="24" t="s">
        <v>460</v>
      </c>
      <c r="P29" s="24" t="s">
        <v>461</v>
      </c>
      <c r="Q29" s="24" t="s">
        <v>462</v>
      </c>
      <c r="R29" s="24" t="s">
        <v>463</v>
      </c>
      <c r="S29" s="24" t="s">
        <v>464</v>
      </c>
      <c r="T29" s="24" t="s">
        <v>465</v>
      </c>
      <c r="U29" s="24" t="s">
        <v>461</v>
      </c>
      <c r="V29" s="24" t="s">
        <v>466</v>
      </c>
      <c r="W29" s="24" t="s">
        <v>463</v>
      </c>
      <c r="X29" s="24"/>
      <c r="Y29" s="24" t="s">
        <v>461</v>
      </c>
      <c r="Z29" s="24"/>
      <c r="AA29" s="24"/>
      <c r="AB29" s="25" t="n">
        <v>10</v>
      </c>
      <c r="AC29" s="24" t="s">
        <v>467</v>
      </c>
      <c r="AD29" s="24"/>
      <c r="AE29" s="24"/>
      <c r="AF29" s="24" t="s">
        <v>115</v>
      </c>
      <c r="AG29" s="24"/>
      <c r="AH29" s="24"/>
      <c r="AI29" s="25" t="n">
        <f aca="false">COUNTIF($B$2:$B$740,B29)</f>
        <v>1</v>
      </c>
    </row>
    <row r="30" customFormat="false" ht="76" hidden="false" customHeight="true" outlineLevel="0" collapsed="false">
      <c r="A30" s="21" t="n">
        <v>29</v>
      </c>
      <c r="B30" s="22" t="s">
        <v>468</v>
      </c>
      <c r="C30" s="23" t="s">
        <v>9</v>
      </c>
      <c r="D30" s="23" t="s">
        <v>96</v>
      </c>
      <c r="E30" s="23" t="s">
        <v>97</v>
      </c>
      <c r="F30" s="24" t="s">
        <v>59</v>
      </c>
      <c r="G30" s="24" t="s">
        <v>98</v>
      </c>
      <c r="H30" s="24" t="s">
        <v>99</v>
      </c>
      <c r="I30" s="24" t="s">
        <v>455</v>
      </c>
      <c r="J30" s="24" t="s">
        <v>469</v>
      </c>
      <c r="K30" s="24" t="s">
        <v>470</v>
      </c>
      <c r="L30" s="24" t="s">
        <v>119</v>
      </c>
      <c r="M30" s="24" t="s">
        <v>458</v>
      </c>
      <c r="N30" s="24" t="s">
        <v>471</v>
      </c>
      <c r="O30" s="24" t="s">
        <v>472</v>
      </c>
      <c r="P30" s="24" t="s">
        <v>473</v>
      </c>
      <c r="Q30" s="24" t="s">
        <v>474</v>
      </c>
      <c r="R30" s="24" t="s">
        <v>475</v>
      </c>
      <c r="S30" s="24" t="s">
        <v>476</v>
      </c>
      <c r="T30" s="24" t="s">
        <v>477</v>
      </c>
      <c r="U30" s="24"/>
      <c r="V30" s="24" t="s">
        <v>478</v>
      </c>
      <c r="W30" s="24" t="s">
        <v>475</v>
      </c>
      <c r="X30" s="24"/>
      <c r="Y30" s="24"/>
      <c r="Z30" s="24"/>
      <c r="AA30" s="24"/>
      <c r="AB30" s="25" t="n">
        <v>10</v>
      </c>
      <c r="AC30" s="24" t="s">
        <v>479</v>
      </c>
      <c r="AD30" s="24"/>
      <c r="AE30" s="24" t="s">
        <v>480</v>
      </c>
      <c r="AF30" s="24" t="s">
        <v>115</v>
      </c>
      <c r="AG30" s="24"/>
      <c r="AH30" s="24"/>
      <c r="AI30" s="25" t="n">
        <f aca="false">COUNTIF($B$2:$B$740,B30)</f>
        <v>1</v>
      </c>
    </row>
    <row r="31" customFormat="false" ht="76" hidden="false" customHeight="true" outlineLevel="0" collapsed="false">
      <c r="A31" s="21" t="n">
        <v>30</v>
      </c>
      <c r="B31" s="22" t="s">
        <v>481</v>
      </c>
      <c r="C31" s="23" t="s">
        <v>9</v>
      </c>
      <c r="D31" s="23" t="s">
        <v>96</v>
      </c>
      <c r="E31" s="23" t="s">
        <v>97</v>
      </c>
      <c r="F31" s="24" t="s">
        <v>59</v>
      </c>
      <c r="G31" s="24" t="s">
        <v>98</v>
      </c>
      <c r="H31" s="24" t="s">
        <v>99</v>
      </c>
      <c r="I31" s="24" t="s">
        <v>455</v>
      </c>
      <c r="J31" s="24" t="s">
        <v>482</v>
      </c>
      <c r="K31" s="24" t="s">
        <v>483</v>
      </c>
      <c r="L31" s="24" t="s">
        <v>119</v>
      </c>
      <c r="M31" s="24" t="s">
        <v>484</v>
      </c>
      <c r="N31" s="24" t="s">
        <v>485</v>
      </c>
      <c r="O31" s="24" t="s">
        <v>486</v>
      </c>
      <c r="P31" s="24" t="s">
        <v>487</v>
      </c>
      <c r="Q31" s="24" t="s">
        <v>488</v>
      </c>
      <c r="R31" s="24" t="s">
        <v>489</v>
      </c>
      <c r="S31" s="24" t="s">
        <v>490</v>
      </c>
      <c r="T31" s="24" t="s">
        <v>491</v>
      </c>
      <c r="U31" s="24" t="s">
        <v>489</v>
      </c>
      <c r="V31" s="24" t="s">
        <v>487</v>
      </c>
      <c r="W31" s="24"/>
      <c r="X31" s="24"/>
      <c r="Y31" s="24" t="s">
        <v>489</v>
      </c>
      <c r="Z31" s="24"/>
      <c r="AA31" s="24"/>
      <c r="AB31" s="25" t="n">
        <v>10</v>
      </c>
      <c r="AC31" s="24" t="s">
        <v>479</v>
      </c>
      <c r="AD31" s="24"/>
      <c r="AE31" s="24"/>
      <c r="AF31" s="24" t="s">
        <v>115</v>
      </c>
      <c r="AG31" s="24"/>
      <c r="AH31" s="24"/>
      <c r="AI31" s="25" t="n">
        <f aca="false">COUNTIF($B$2:$B$740,B31)</f>
        <v>1</v>
      </c>
    </row>
    <row r="32" customFormat="false" ht="76" hidden="false" customHeight="true" outlineLevel="0" collapsed="false">
      <c r="A32" s="21" t="n">
        <v>31</v>
      </c>
      <c r="B32" s="22" t="s">
        <v>492</v>
      </c>
      <c r="C32" s="23" t="s">
        <v>9</v>
      </c>
      <c r="D32" s="23" t="s">
        <v>96</v>
      </c>
      <c r="E32" s="23" t="s">
        <v>97</v>
      </c>
      <c r="F32" s="24" t="s">
        <v>59</v>
      </c>
      <c r="G32" s="24" t="s">
        <v>98</v>
      </c>
      <c r="H32" s="24" t="s">
        <v>99</v>
      </c>
      <c r="I32" s="24" t="s">
        <v>455</v>
      </c>
      <c r="J32" s="24" t="s">
        <v>493</v>
      </c>
      <c r="K32" s="24" t="s">
        <v>494</v>
      </c>
      <c r="L32" s="24" t="s">
        <v>119</v>
      </c>
      <c r="M32" s="24" t="s">
        <v>484</v>
      </c>
      <c r="N32" s="24" t="s">
        <v>495</v>
      </c>
      <c r="O32" s="24" t="s">
        <v>486</v>
      </c>
      <c r="P32" s="24" t="s">
        <v>496</v>
      </c>
      <c r="Q32" s="24" t="s">
        <v>497</v>
      </c>
      <c r="R32" s="24" t="s">
        <v>498</v>
      </c>
      <c r="S32" s="24" t="s">
        <v>499</v>
      </c>
      <c r="T32" s="24" t="s">
        <v>500</v>
      </c>
      <c r="U32" s="24"/>
      <c r="V32" s="24" t="s">
        <v>496</v>
      </c>
      <c r="W32" s="24" t="s">
        <v>501</v>
      </c>
      <c r="X32" s="24"/>
      <c r="Y32" s="24" t="s">
        <v>498</v>
      </c>
      <c r="Z32" s="24"/>
      <c r="AA32" s="24"/>
      <c r="AB32" s="25" t="n">
        <v>10</v>
      </c>
      <c r="AC32" s="24" t="s">
        <v>479</v>
      </c>
      <c r="AD32" s="24"/>
      <c r="AE32" s="24" t="s">
        <v>502</v>
      </c>
      <c r="AF32" s="24" t="s">
        <v>115</v>
      </c>
      <c r="AG32" s="24"/>
      <c r="AH32" s="24"/>
      <c r="AI32" s="25" t="n">
        <f aca="false">COUNTIF($B$2:$B$740,B32)</f>
        <v>1</v>
      </c>
    </row>
    <row r="33" customFormat="false" ht="76" hidden="false" customHeight="true" outlineLevel="0" collapsed="false">
      <c r="A33" s="21" t="n">
        <v>32</v>
      </c>
      <c r="B33" s="22" t="s">
        <v>503</v>
      </c>
      <c r="C33" s="23" t="s">
        <v>9</v>
      </c>
      <c r="D33" s="23" t="s">
        <v>96</v>
      </c>
      <c r="E33" s="23" t="s">
        <v>97</v>
      </c>
      <c r="F33" s="24" t="s">
        <v>59</v>
      </c>
      <c r="G33" s="24" t="s">
        <v>98</v>
      </c>
      <c r="H33" s="24" t="s">
        <v>99</v>
      </c>
      <c r="I33" s="24" t="s">
        <v>455</v>
      </c>
      <c r="J33" s="24" t="s">
        <v>504</v>
      </c>
      <c r="K33" s="24" t="s">
        <v>505</v>
      </c>
      <c r="L33" s="24" t="s">
        <v>119</v>
      </c>
      <c r="M33" s="24" t="s">
        <v>484</v>
      </c>
      <c r="N33" s="24" t="s">
        <v>506</v>
      </c>
      <c r="O33" s="24" t="s">
        <v>507</v>
      </c>
      <c r="P33" s="24" t="s">
        <v>508</v>
      </c>
      <c r="Q33" s="24" t="s">
        <v>509</v>
      </c>
      <c r="R33" s="24" t="s">
        <v>510</v>
      </c>
      <c r="S33" s="24" t="s">
        <v>511</v>
      </c>
      <c r="T33" s="24" t="s">
        <v>512</v>
      </c>
      <c r="U33" s="24" t="s">
        <v>511</v>
      </c>
      <c r="V33" s="24" t="s">
        <v>513</v>
      </c>
      <c r="W33" s="24" t="s">
        <v>510</v>
      </c>
      <c r="X33" s="24"/>
      <c r="Y33" s="24" t="s">
        <v>514</v>
      </c>
      <c r="Z33" s="24"/>
      <c r="AA33" s="24"/>
      <c r="AB33" s="25" t="n">
        <v>10</v>
      </c>
      <c r="AC33" s="24" t="s">
        <v>479</v>
      </c>
      <c r="AD33" s="24"/>
      <c r="AE33" s="24"/>
      <c r="AF33" s="24" t="s">
        <v>115</v>
      </c>
      <c r="AG33" s="24"/>
      <c r="AH33" s="24"/>
      <c r="AI33" s="25" t="n">
        <f aca="false">COUNTIF($B$2:$B$740,B33)</f>
        <v>1</v>
      </c>
    </row>
    <row r="34" customFormat="false" ht="76" hidden="false" customHeight="true" outlineLevel="0" collapsed="false">
      <c r="A34" s="21" t="n">
        <v>33</v>
      </c>
      <c r="B34" s="22" t="s">
        <v>515</v>
      </c>
      <c r="C34" s="23" t="s">
        <v>9</v>
      </c>
      <c r="D34" s="23" t="s">
        <v>96</v>
      </c>
      <c r="E34" s="23" t="s">
        <v>97</v>
      </c>
      <c r="F34" s="24" t="s">
        <v>59</v>
      </c>
      <c r="G34" s="24" t="s">
        <v>98</v>
      </c>
      <c r="H34" s="24" t="s">
        <v>99</v>
      </c>
      <c r="I34" s="24" t="s">
        <v>455</v>
      </c>
      <c r="J34" s="24" t="s">
        <v>516</v>
      </c>
      <c r="K34" s="24" t="s">
        <v>517</v>
      </c>
      <c r="L34" s="24" t="s">
        <v>119</v>
      </c>
      <c r="M34" s="24" t="s">
        <v>484</v>
      </c>
      <c r="N34" s="24" t="s">
        <v>471</v>
      </c>
      <c r="O34" s="24" t="s">
        <v>518</v>
      </c>
      <c r="P34" s="24" t="s">
        <v>519</v>
      </c>
      <c r="Q34" s="24" t="s">
        <v>520</v>
      </c>
      <c r="R34" s="24" t="s">
        <v>521</v>
      </c>
      <c r="S34" s="24" t="s">
        <v>522</v>
      </c>
      <c r="T34" s="24" t="s">
        <v>523</v>
      </c>
      <c r="U34" s="24"/>
      <c r="V34" s="24" t="s">
        <v>524</v>
      </c>
      <c r="W34" s="24" t="s">
        <v>521</v>
      </c>
      <c r="X34" s="24"/>
      <c r="Y34" s="24" t="s">
        <v>525</v>
      </c>
      <c r="Z34" s="24"/>
      <c r="AA34" s="24"/>
      <c r="AB34" s="25" t="n">
        <v>10</v>
      </c>
      <c r="AC34" s="24" t="s">
        <v>526</v>
      </c>
      <c r="AD34" s="24"/>
      <c r="AE34" s="24"/>
      <c r="AF34" s="24" t="s">
        <v>115</v>
      </c>
      <c r="AG34" s="24"/>
      <c r="AH34" s="24"/>
      <c r="AI34" s="25" t="n">
        <f aca="false">COUNTIF($B$2:$B$740,B34)</f>
        <v>1</v>
      </c>
    </row>
    <row r="35" customFormat="false" ht="57.6" hidden="false" customHeight="true" outlineLevel="0" collapsed="false">
      <c r="A35" s="26" t="n">
        <v>34</v>
      </c>
      <c r="B35" s="27" t="s">
        <v>527</v>
      </c>
      <c r="C35" s="24" t="s">
        <v>9</v>
      </c>
      <c r="D35" s="24" t="s">
        <v>96</v>
      </c>
      <c r="E35" s="24" t="s">
        <v>97</v>
      </c>
      <c r="F35" s="24" t="s">
        <v>59</v>
      </c>
      <c r="G35" s="24" t="s">
        <v>98</v>
      </c>
      <c r="H35" s="24" t="s">
        <v>99</v>
      </c>
      <c r="I35" s="24" t="s">
        <v>528</v>
      </c>
      <c r="J35" s="24" t="s">
        <v>529</v>
      </c>
      <c r="K35" s="24" t="s">
        <v>530</v>
      </c>
      <c r="L35" s="24" t="s">
        <v>531</v>
      </c>
      <c r="M35" s="24" t="s">
        <v>532</v>
      </c>
      <c r="N35" s="24" t="s">
        <v>533</v>
      </c>
      <c r="O35" s="24" t="s">
        <v>534</v>
      </c>
      <c r="P35" s="24" t="s">
        <v>535</v>
      </c>
      <c r="Q35" s="24" t="s">
        <v>536</v>
      </c>
      <c r="R35" s="24" t="s">
        <v>537</v>
      </c>
      <c r="S35" s="24" t="s">
        <v>538</v>
      </c>
      <c r="T35" s="24" t="s">
        <v>539</v>
      </c>
      <c r="U35" s="24"/>
      <c r="V35" s="24"/>
      <c r="W35" s="24" t="s">
        <v>540</v>
      </c>
      <c r="X35" s="24" t="s">
        <v>541</v>
      </c>
      <c r="Y35" s="24"/>
      <c r="Z35" s="24"/>
      <c r="AA35" s="24"/>
      <c r="AB35" s="25" t="n">
        <v>100</v>
      </c>
      <c r="AC35" s="24" t="s">
        <v>542</v>
      </c>
      <c r="AD35" s="24" t="s">
        <v>543</v>
      </c>
      <c r="AE35" s="24" t="s">
        <v>544</v>
      </c>
      <c r="AF35" s="24" t="s">
        <v>168</v>
      </c>
      <c r="AG35" s="24" t="s">
        <v>168</v>
      </c>
      <c r="AH35" s="24" t="s">
        <v>545</v>
      </c>
      <c r="AI35" s="25" t="n">
        <f aca="false">COUNTIF($B$2:$B$740,B35)</f>
        <v>1</v>
      </c>
    </row>
    <row r="36" customFormat="false" ht="76" hidden="false" customHeight="true" outlineLevel="0" collapsed="false">
      <c r="A36" s="21" t="n">
        <v>35</v>
      </c>
      <c r="B36" s="22" t="s">
        <v>546</v>
      </c>
      <c r="C36" s="23" t="s">
        <v>9</v>
      </c>
      <c r="D36" s="23" t="s">
        <v>96</v>
      </c>
      <c r="E36" s="23" t="s">
        <v>97</v>
      </c>
      <c r="F36" s="24" t="s">
        <v>59</v>
      </c>
      <c r="G36" s="24" t="s">
        <v>98</v>
      </c>
      <c r="H36" s="24" t="s">
        <v>99</v>
      </c>
      <c r="I36" s="24" t="s">
        <v>528</v>
      </c>
      <c r="J36" s="24" t="s">
        <v>547</v>
      </c>
      <c r="K36" s="24" t="s">
        <v>548</v>
      </c>
      <c r="L36" s="24" t="s">
        <v>119</v>
      </c>
      <c r="M36" s="24" t="s">
        <v>549</v>
      </c>
      <c r="N36" s="24" t="s">
        <v>550</v>
      </c>
      <c r="O36" s="24" t="s">
        <v>551</v>
      </c>
      <c r="P36" s="24" t="s">
        <v>552</v>
      </c>
      <c r="Q36" s="24" t="s">
        <v>553</v>
      </c>
      <c r="R36" s="24" t="s">
        <v>554</v>
      </c>
      <c r="S36" s="24" t="s">
        <v>555</v>
      </c>
      <c r="T36" s="24" t="s">
        <v>556</v>
      </c>
      <c r="U36" s="24" t="s">
        <v>557</v>
      </c>
      <c r="V36" s="24"/>
      <c r="W36" s="24" t="s">
        <v>558</v>
      </c>
      <c r="X36" s="24"/>
      <c r="Y36" s="24"/>
      <c r="Z36" s="24"/>
      <c r="AA36" s="24" t="s">
        <v>559</v>
      </c>
      <c r="AB36" s="25" t="n">
        <v>100</v>
      </c>
      <c r="AC36" s="24" t="s">
        <v>560</v>
      </c>
      <c r="AD36" s="24" t="s">
        <v>561</v>
      </c>
      <c r="AE36" s="24" t="s">
        <v>562</v>
      </c>
      <c r="AF36" s="24" t="s">
        <v>115</v>
      </c>
      <c r="AG36" s="24" t="s">
        <v>168</v>
      </c>
      <c r="AH36" s="24" t="s">
        <v>545</v>
      </c>
      <c r="AI36" s="25" t="n">
        <f aca="false">COUNTIF($B$2:$B$740,B36)</f>
        <v>1</v>
      </c>
    </row>
    <row r="37" customFormat="false" ht="67.2" hidden="false" customHeight="true" outlineLevel="0" collapsed="false">
      <c r="A37" s="26" t="n">
        <v>36</v>
      </c>
      <c r="B37" s="27" t="s">
        <v>563</v>
      </c>
      <c r="C37" s="24" t="s">
        <v>9</v>
      </c>
      <c r="D37" s="24" t="s">
        <v>96</v>
      </c>
      <c r="E37" s="24" t="s">
        <v>97</v>
      </c>
      <c r="F37" s="24" t="s">
        <v>59</v>
      </c>
      <c r="G37" s="24" t="s">
        <v>98</v>
      </c>
      <c r="H37" s="24" t="s">
        <v>99</v>
      </c>
      <c r="I37" s="24" t="s">
        <v>528</v>
      </c>
      <c r="J37" s="24" t="s">
        <v>564</v>
      </c>
      <c r="K37" s="24" t="s">
        <v>565</v>
      </c>
      <c r="L37" s="24" t="s">
        <v>119</v>
      </c>
      <c r="M37" s="24" t="s">
        <v>566</v>
      </c>
      <c r="N37" s="24"/>
      <c r="O37" s="24" t="s">
        <v>567</v>
      </c>
      <c r="P37" s="24" t="s">
        <v>568</v>
      </c>
      <c r="Q37" s="24" t="s">
        <v>569</v>
      </c>
      <c r="R37" s="24" t="s">
        <v>570</v>
      </c>
      <c r="S37" s="24" t="s">
        <v>571</v>
      </c>
      <c r="T37" s="24" t="s">
        <v>572</v>
      </c>
      <c r="U37" s="24" t="s">
        <v>567</v>
      </c>
      <c r="V37" s="24"/>
      <c r="W37" s="24" t="s">
        <v>573</v>
      </c>
      <c r="X37" s="24" t="s">
        <v>574</v>
      </c>
      <c r="Y37" s="24"/>
      <c r="Z37" s="24"/>
      <c r="AA37" s="24" t="s">
        <v>575</v>
      </c>
      <c r="AB37" s="25" t="n">
        <v>100</v>
      </c>
      <c r="AC37" s="24" t="s">
        <v>576</v>
      </c>
      <c r="AD37" s="24" t="s">
        <v>577</v>
      </c>
      <c r="AE37" s="24" t="s">
        <v>578</v>
      </c>
      <c r="AF37" s="24" t="s">
        <v>168</v>
      </c>
      <c r="AG37" s="24" t="s">
        <v>168</v>
      </c>
      <c r="AH37" s="24" t="s">
        <v>545</v>
      </c>
      <c r="AI37" s="25" t="n">
        <f aca="false">COUNTIF($B$2:$B$740,B37)</f>
        <v>1</v>
      </c>
    </row>
    <row r="38" customFormat="false" ht="76" hidden="false" customHeight="true" outlineLevel="0" collapsed="false">
      <c r="A38" s="21" t="n">
        <v>37</v>
      </c>
      <c r="B38" s="22" t="s">
        <v>579</v>
      </c>
      <c r="C38" s="23" t="s">
        <v>9</v>
      </c>
      <c r="D38" s="23" t="s">
        <v>96</v>
      </c>
      <c r="E38" s="23" t="s">
        <v>97</v>
      </c>
      <c r="F38" s="24" t="s">
        <v>59</v>
      </c>
      <c r="G38" s="24" t="s">
        <v>98</v>
      </c>
      <c r="H38" s="24" t="s">
        <v>99</v>
      </c>
      <c r="I38" s="24" t="s">
        <v>528</v>
      </c>
      <c r="J38" s="24" t="s">
        <v>580</v>
      </c>
      <c r="K38" s="24" t="s">
        <v>581</v>
      </c>
      <c r="L38" s="24" t="s">
        <v>119</v>
      </c>
      <c r="M38" s="24" t="s">
        <v>582</v>
      </c>
      <c r="N38" s="24"/>
      <c r="O38" s="24" t="s">
        <v>583</v>
      </c>
      <c r="P38" s="24" t="s">
        <v>584</v>
      </c>
      <c r="Q38" s="24" t="s">
        <v>585</v>
      </c>
      <c r="R38" s="24" t="s">
        <v>586</v>
      </c>
      <c r="S38" s="24" t="s">
        <v>587</v>
      </c>
      <c r="T38" s="24" t="s">
        <v>588</v>
      </c>
      <c r="U38" s="24" t="s">
        <v>586</v>
      </c>
      <c r="V38" s="24"/>
      <c r="W38" s="24" t="s">
        <v>589</v>
      </c>
      <c r="X38" s="24" t="s">
        <v>588</v>
      </c>
      <c r="Y38" s="24" t="s">
        <v>586</v>
      </c>
      <c r="Z38" s="24"/>
      <c r="AA38" s="24"/>
      <c r="AB38" s="25" t="n">
        <v>10</v>
      </c>
      <c r="AC38" s="24" t="s">
        <v>590</v>
      </c>
      <c r="AD38" s="24"/>
      <c r="AE38" s="24"/>
      <c r="AF38" s="24" t="s">
        <v>115</v>
      </c>
      <c r="AG38" s="24"/>
      <c r="AH38" s="24"/>
      <c r="AI38" s="25" t="n">
        <f aca="false">COUNTIF($B$2:$B$740,B38)</f>
        <v>1</v>
      </c>
    </row>
    <row r="39" customFormat="false" ht="76" hidden="false" customHeight="true" outlineLevel="0" collapsed="false">
      <c r="A39" s="21" t="n">
        <v>38</v>
      </c>
      <c r="B39" s="22" t="s">
        <v>591</v>
      </c>
      <c r="C39" s="23" t="s">
        <v>9</v>
      </c>
      <c r="D39" s="23" t="s">
        <v>96</v>
      </c>
      <c r="E39" s="23" t="s">
        <v>97</v>
      </c>
      <c r="F39" s="24" t="s">
        <v>59</v>
      </c>
      <c r="G39" s="24" t="s">
        <v>98</v>
      </c>
      <c r="H39" s="24" t="s">
        <v>99</v>
      </c>
      <c r="I39" s="24" t="s">
        <v>528</v>
      </c>
      <c r="J39" s="24" t="s">
        <v>592</v>
      </c>
      <c r="K39" s="24" t="s">
        <v>593</v>
      </c>
      <c r="L39" s="24" t="s">
        <v>103</v>
      </c>
      <c r="M39" s="24" t="s">
        <v>594</v>
      </c>
      <c r="N39" s="24" t="s">
        <v>595</v>
      </c>
      <c r="O39" s="24" t="s">
        <v>596</v>
      </c>
      <c r="P39" s="24" t="s">
        <v>552</v>
      </c>
      <c r="Q39" s="24" t="s">
        <v>597</v>
      </c>
      <c r="R39" s="24" t="s">
        <v>598</v>
      </c>
      <c r="S39" s="24" t="s">
        <v>599</v>
      </c>
      <c r="T39" s="24" t="s">
        <v>600</v>
      </c>
      <c r="U39" s="24"/>
      <c r="V39" s="24" t="s">
        <v>601</v>
      </c>
      <c r="W39" s="24" t="s">
        <v>600</v>
      </c>
      <c r="X39" s="24"/>
      <c r="Y39" s="24"/>
      <c r="Z39" s="24"/>
      <c r="AA39" s="24"/>
      <c r="AB39" s="25" t="n">
        <v>10</v>
      </c>
      <c r="AC39" s="24" t="s">
        <v>590</v>
      </c>
      <c r="AD39" s="24"/>
      <c r="AE39" s="24"/>
      <c r="AF39" s="24" t="s">
        <v>115</v>
      </c>
      <c r="AG39" s="24"/>
      <c r="AH39" s="24"/>
      <c r="AI39" s="25" t="n">
        <f aca="false">COUNTIF($B$2:$B$740,B39)</f>
        <v>1</v>
      </c>
    </row>
    <row r="40" customFormat="false" ht="76" hidden="false" customHeight="true" outlineLevel="0" collapsed="false">
      <c r="A40" s="21" t="n">
        <v>39</v>
      </c>
      <c r="B40" s="22" t="s">
        <v>602</v>
      </c>
      <c r="C40" s="23" t="s">
        <v>9</v>
      </c>
      <c r="D40" s="23" t="s">
        <v>96</v>
      </c>
      <c r="E40" s="23" t="s">
        <v>97</v>
      </c>
      <c r="F40" s="24" t="s">
        <v>59</v>
      </c>
      <c r="G40" s="24" t="s">
        <v>98</v>
      </c>
      <c r="H40" s="24" t="s">
        <v>99</v>
      </c>
      <c r="I40" s="24" t="s">
        <v>528</v>
      </c>
      <c r="J40" s="24" t="s">
        <v>603</v>
      </c>
      <c r="K40" s="24" t="s">
        <v>604</v>
      </c>
      <c r="L40" s="24" t="s">
        <v>103</v>
      </c>
      <c r="M40" s="24" t="s">
        <v>605</v>
      </c>
      <c r="N40" s="24" t="s">
        <v>606</v>
      </c>
      <c r="O40" s="24" t="s">
        <v>607</v>
      </c>
      <c r="P40" s="24" t="s">
        <v>552</v>
      </c>
      <c r="Q40" s="24" t="s">
        <v>608</v>
      </c>
      <c r="R40" s="24" t="s">
        <v>609</v>
      </c>
      <c r="S40" s="24" t="s">
        <v>610</v>
      </c>
      <c r="T40" s="24" t="s">
        <v>611</v>
      </c>
      <c r="U40" s="24"/>
      <c r="V40" s="24"/>
      <c r="W40" s="24"/>
      <c r="X40" s="24"/>
      <c r="Y40" s="24"/>
      <c r="Z40" s="24" t="s">
        <v>609</v>
      </c>
      <c r="AA40" s="24"/>
      <c r="AB40" s="25" t="n">
        <v>10</v>
      </c>
      <c r="AC40" s="24" t="s">
        <v>612</v>
      </c>
      <c r="AD40" s="24"/>
      <c r="AE40" s="24"/>
      <c r="AF40" s="24" t="s">
        <v>115</v>
      </c>
      <c r="AG40" s="24"/>
      <c r="AH40" s="24"/>
      <c r="AI40" s="25" t="n">
        <f aca="false">COUNTIF($B$2:$B$740,B40)</f>
        <v>1</v>
      </c>
    </row>
    <row r="41" customFormat="false" ht="76" hidden="false" customHeight="true" outlineLevel="0" collapsed="false">
      <c r="A41" s="21" t="n">
        <v>40</v>
      </c>
      <c r="B41" s="22" t="s">
        <v>613</v>
      </c>
      <c r="C41" s="23" t="s">
        <v>9</v>
      </c>
      <c r="D41" s="23" t="s">
        <v>96</v>
      </c>
      <c r="E41" s="23" t="s">
        <v>97</v>
      </c>
      <c r="F41" s="24" t="s">
        <v>59</v>
      </c>
      <c r="G41" s="24" t="s">
        <v>98</v>
      </c>
      <c r="H41" s="24" t="s">
        <v>99</v>
      </c>
      <c r="I41" s="24" t="s">
        <v>528</v>
      </c>
      <c r="J41" s="24" t="s">
        <v>614</v>
      </c>
      <c r="K41" s="24" t="s">
        <v>615</v>
      </c>
      <c r="L41" s="24" t="s">
        <v>103</v>
      </c>
      <c r="M41" s="24" t="s">
        <v>605</v>
      </c>
      <c r="N41" s="24" t="s">
        <v>616</v>
      </c>
      <c r="O41" s="24" t="s">
        <v>617</v>
      </c>
      <c r="P41" s="24" t="s">
        <v>618</v>
      </c>
      <c r="Q41" s="24" t="s">
        <v>619</v>
      </c>
      <c r="R41" s="24" t="s">
        <v>620</v>
      </c>
      <c r="S41" s="24" t="s">
        <v>621</v>
      </c>
      <c r="T41" s="24" t="s">
        <v>622</v>
      </c>
      <c r="U41" s="24"/>
      <c r="V41" s="24"/>
      <c r="W41" s="24" t="s">
        <v>619</v>
      </c>
      <c r="X41" s="24"/>
      <c r="Y41" s="24"/>
      <c r="Z41" s="24"/>
      <c r="AA41" s="24"/>
      <c r="AB41" s="25" t="n">
        <v>10</v>
      </c>
      <c r="AC41" s="24" t="s">
        <v>623</v>
      </c>
      <c r="AD41" s="24"/>
      <c r="AE41" s="24"/>
      <c r="AF41" s="24" t="s">
        <v>115</v>
      </c>
      <c r="AG41" s="24"/>
      <c r="AH41" s="24"/>
      <c r="AI41" s="25" t="n">
        <f aca="false">COUNTIF($B$2:$B$740,B41)</f>
        <v>1</v>
      </c>
    </row>
    <row r="42" customFormat="false" ht="86.4" hidden="false" customHeight="true" outlineLevel="0" collapsed="false">
      <c r="A42" s="26" t="n">
        <v>41</v>
      </c>
      <c r="B42" s="27" t="s">
        <v>624</v>
      </c>
      <c r="C42" s="24" t="s">
        <v>9</v>
      </c>
      <c r="D42" s="24" t="s">
        <v>96</v>
      </c>
      <c r="E42" s="24" t="s">
        <v>97</v>
      </c>
      <c r="F42" s="24" t="s">
        <v>59</v>
      </c>
      <c r="G42" s="24" t="s">
        <v>98</v>
      </c>
      <c r="H42" s="24" t="s">
        <v>99</v>
      </c>
      <c r="I42" s="24" t="s">
        <v>528</v>
      </c>
      <c r="J42" s="24" t="s">
        <v>625</v>
      </c>
      <c r="K42" s="24" t="s">
        <v>626</v>
      </c>
      <c r="L42" s="24" t="s">
        <v>119</v>
      </c>
      <c r="M42" s="24" t="s">
        <v>627</v>
      </c>
      <c r="N42" s="24" t="s">
        <v>628</v>
      </c>
      <c r="O42" s="24" t="s">
        <v>629</v>
      </c>
      <c r="P42" s="24" t="s">
        <v>630</v>
      </c>
      <c r="Q42" s="24" t="s">
        <v>631</v>
      </c>
      <c r="R42" s="24" t="s">
        <v>632</v>
      </c>
      <c r="S42" s="24" t="s">
        <v>633</v>
      </c>
      <c r="T42" s="24" t="s">
        <v>634</v>
      </c>
      <c r="U42" s="24" t="s">
        <v>635</v>
      </c>
      <c r="V42" s="24"/>
      <c r="W42" s="24" t="s">
        <v>636</v>
      </c>
      <c r="X42" s="24" t="s">
        <v>637</v>
      </c>
      <c r="Y42" s="24"/>
      <c r="Z42" s="24"/>
      <c r="AA42" s="24"/>
      <c r="AB42" s="25" t="n">
        <v>100</v>
      </c>
      <c r="AC42" s="24" t="s">
        <v>638</v>
      </c>
      <c r="AD42" s="24" t="s">
        <v>639</v>
      </c>
      <c r="AE42" s="24" t="s">
        <v>640</v>
      </c>
      <c r="AF42" s="24" t="s">
        <v>168</v>
      </c>
      <c r="AG42" s="24" t="s">
        <v>168</v>
      </c>
      <c r="AH42" s="24" t="s">
        <v>545</v>
      </c>
      <c r="AI42" s="25" t="n">
        <f aca="false">COUNTIF($B$2:$B$740,B42)</f>
        <v>1</v>
      </c>
    </row>
    <row r="43" customFormat="false" ht="48" hidden="false" customHeight="true" outlineLevel="0" collapsed="false">
      <c r="A43" s="26" t="n">
        <v>42</v>
      </c>
      <c r="B43" s="27" t="s">
        <v>641</v>
      </c>
      <c r="C43" s="24" t="s">
        <v>9</v>
      </c>
      <c r="D43" s="24" t="s">
        <v>96</v>
      </c>
      <c r="E43" s="24" t="s">
        <v>97</v>
      </c>
      <c r="F43" s="24" t="s">
        <v>59</v>
      </c>
      <c r="G43" s="24" t="s">
        <v>98</v>
      </c>
      <c r="H43" s="24" t="s">
        <v>99</v>
      </c>
      <c r="I43" s="24" t="s">
        <v>528</v>
      </c>
      <c r="J43" s="24" t="s">
        <v>642</v>
      </c>
      <c r="K43" s="24" t="s">
        <v>643</v>
      </c>
      <c r="L43" s="24" t="s">
        <v>119</v>
      </c>
      <c r="M43" s="24" t="s">
        <v>644</v>
      </c>
      <c r="N43" s="24"/>
      <c r="O43" s="24" t="s">
        <v>645</v>
      </c>
      <c r="P43" s="24" t="s">
        <v>646</v>
      </c>
      <c r="Q43" s="24" t="s">
        <v>647</v>
      </c>
      <c r="R43" s="24" t="s">
        <v>648</v>
      </c>
      <c r="S43" s="24" t="s">
        <v>649</v>
      </c>
      <c r="T43" s="24" t="s">
        <v>650</v>
      </c>
      <c r="U43" s="24"/>
      <c r="V43" s="24"/>
      <c r="W43" s="24" t="s">
        <v>651</v>
      </c>
      <c r="X43" s="24" t="s">
        <v>652</v>
      </c>
      <c r="Y43" s="24"/>
      <c r="Z43" s="24"/>
      <c r="AA43" s="24" t="s">
        <v>653</v>
      </c>
      <c r="AB43" s="25" t="n">
        <v>100</v>
      </c>
      <c r="AC43" s="24" t="s">
        <v>654</v>
      </c>
      <c r="AD43" s="24" t="s">
        <v>543</v>
      </c>
      <c r="AE43" s="24" t="s">
        <v>655</v>
      </c>
      <c r="AF43" s="24" t="s">
        <v>168</v>
      </c>
      <c r="AG43" s="24" t="s">
        <v>168</v>
      </c>
      <c r="AH43" s="24" t="s">
        <v>545</v>
      </c>
      <c r="AI43" s="25" t="n">
        <f aca="false">COUNTIF($B$2:$B$740,B43)</f>
        <v>1</v>
      </c>
    </row>
    <row r="44" customFormat="false" ht="57.6" hidden="false" customHeight="true" outlineLevel="0" collapsed="false">
      <c r="A44" s="26" t="n">
        <v>43</v>
      </c>
      <c r="B44" s="27" t="s">
        <v>656</v>
      </c>
      <c r="C44" s="24" t="s">
        <v>9</v>
      </c>
      <c r="D44" s="24" t="s">
        <v>96</v>
      </c>
      <c r="E44" s="24" t="s">
        <v>97</v>
      </c>
      <c r="F44" s="24" t="s">
        <v>59</v>
      </c>
      <c r="G44" s="24" t="s">
        <v>98</v>
      </c>
      <c r="H44" s="24" t="s">
        <v>99</v>
      </c>
      <c r="I44" s="24" t="s">
        <v>528</v>
      </c>
      <c r="J44" s="24" t="s">
        <v>657</v>
      </c>
      <c r="K44" s="24" t="s">
        <v>658</v>
      </c>
      <c r="L44" s="24" t="s">
        <v>119</v>
      </c>
      <c r="M44" s="24" t="s">
        <v>659</v>
      </c>
      <c r="N44" s="24"/>
      <c r="O44" s="24" t="s">
        <v>645</v>
      </c>
      <c r="P44" s="24" t="s">
        <v>660</v>
      </c>
      <c r="Q44" s="24" t="s">
        <v>661</v>
      </c>
      <c r="R44" s="24" t="s">
        <v>662</v>
      </c>
      <c r="S44" s="24" t="s">
        <v>663</v>
      </c>
      <c r="T44" s="24" t="s">
        <v>664</v>
      </c>
      <c r="U44" s="24"/>
      <c r="V44" s="24"/>
      <c r="W44" s="24" t="s">
        <v>665</v>
      </c>
      <c r="X44" s="24" t="s">
        <v>666</v>
      </c>
      <c r="Y44" s="24"/>
      <c r="Z44" s="24"/>
      <c r="AA44" s="24" t="s">
        <v>653</v>
      </c>
      <c r="AB44" s="25" t="n">
        <v>100</v>
      </c>
      <c r="AC44" s="24" t="s">
        <v>654</v>
      </c>
      <c r="AD44" s="24" t="s">
        <v>543</v>
      </c>
      <c r="AE44" s="24" t="s">
        <v>667</v>
      </c>
      <c r="AF44" s="24" t="s">
        <v>168</v>
      </c>
      <c r="AG44" s="24" t="s">
        <v>168</v>
      </c>
      <c r="AH44" s="24" t="s">
        <v>545</v>
      </c>
      <c r="AI44" s="25" t="n">
        <f aca="false">COUNTIF($B$2:$B$740,B44)</f>
        <v>1</v>
      </c>
    </row>
    <row r="45" customFormat="false" ht="76" hidden="false" customHeight="true" outlineLevel="0" collapsed="false">
      <c r="A45" s="21" t="n">
        <v>44</v>
      </c>
      <c r="B45" s="22" t="s">
        <v>668</v>
      </c>
      <c r="C45" s="23" t="s">
        <v>9</v>
      </c>
      <c r="D45" s="23" t="s">
        <v>96</v>
      </c>
      <c r="E45" s="23" t="s">
        <v>97</v>
      </c>
      <c r="F45" s="24" t="s">
        <v>59</v>
      </c>
      <c r="G45" s="24" t="s">
        <v>98</v>
      </c>
      <c r="H45" s="24" t="s">
        <v>99</v>
      </c>
      <c r="I45" s="24" t="s">
        <v>669</v>
      </c>
      <c r="J45" s="24" t="s">
        <v>670</v>
      </c>
      <c r="K45" s="24" t="s">
        <v>671</v>
      </c>
      <c r="L45" s="24" t="s">
        <v>119</v>
      </c>
      <c r="M45" s="24" t="s">
        <v>672</v>
      </c>
      <c r="N45" s="24" t="s">
        <v>673</v>
      </c>
      <c r="O45" s="24" t="s">
        <v>674</v>
      </c>
      <c r="P45" s="24" t="s">
        <v>675</v>
      </c>
      <c r="Q45" s="24" t="s">
        <v>676</v>
      </c>
      <c r="R45" s="24" t="s">
        <v>677</v>
      </c>
      <c r="S45" s="24" t="s">
        <v>678</v>
      </c>
      <c r="T45" s="24" t="s">
        <v>679</v>
      </c>
      <c r="U45" s="24" t="s">
        <v>680</v>
      </c>
      <c r="V45" s="24"/>
      <c r="W45" s="24"/>
      <c r="X45" s="24"/>
      <c r="Y45" s="24" t="s">
        <v>681</v>
      </c>
      <c r="Z45" s="24"/>
      <c r="AA45" s="24"/>
      <c r="AB45" s="25" t="n">
        <v>10</v>
      </c>
      <c r="AC45" s="24" t="s">
        <v>682</v>
      </c>
      <c r="AD45" s="24"/>
      <c r="AE45" s="24"/>
      <c r="AF45" s="24" t="s">
        <v>115</v>
      </c>
      <c r="AG45" s="24"/>
      <c r="AH45" s="24"/>
      <c r="AI45" s="25" t="n">
        <f aca="false">COUNTIF($B$2:$B$740,B45)</f>
        <v>1</v>
      </c>
    </row>
    <row r="46" customFormat="false" ht="76" hidden="false" customHeight="true" outlineLevel="0" collapsed="false">
      <c r="A46" s="21" t="n">
        <v>45</v>
      </c>
      <c r="B46" s="22" t="s">
        <v>683</v>
      </c>
      <c r="C46" s="23" t="s">
        <v>9</v>
      </c>
      <c r="D46" s="23" t="s">
        <v>96</v>
      </c>
      <c r="E46" s="23" t="s">
        <v>97</v>
      </c>
      <c r="F46" s="24" t="s">
        <v>59</v>
      </c>
      <c r="G46" s="24" t="s">
        <v>98</v>
      </c>
      <c r="H46" s="24" t="s">
        <v>99</v>
      </c>
      <c r="I46" s="24" t="s">
        <v>669</v>
      </c>
      <c r="J46" s="24" t="s">
        <v>684</v>
      </c>
      <c r="K46" s="24" t="s">
        <v>685</v>
      </c>
      <c r="L46" s="24" t="s">
        <v>119</v>
      </c>
      <c r="M46" s="24" t="s">
        <v>686</v>
      </c>
      <c r="N46" s="24" t="s">
        <v>687</v>
      </c>
      <c r="O46" s="24" t="s">
        <v>688</v>
      </c>
      <c r="P46" s="24" t="s">
        <v>689</v>
      </c>
      <c r="Q46" s="24" t="s">
        <v>690</v>
      </c>
      <c r="R46" s="24" t="s">
        <v>691</v>
      </c>
      <c r="S46" s="24" t="s">
        <v>692</v>
      </c>
      <c r="T46" s="24" t="s">
        <v>693</v>
      </c>
      <c r="U46" s="24"/>
      <c r="V46" s="24"/>
      <c r="W46" s="24" t="s">
        <v>694</v>
      </c>
      <c r="X46" s="24"/>
      <c r="Y46" s="24" t="s">
        <v>695</v>
      </c>
      <c r="Z46" s="24"/>
      <c r="AA46" s="24"/>
      <c r="AB46" s="25" t="n">
        <v>100</v>
      </c>
      <c r="AC46" s="24" t="s">
        <v>696</v>
      </c>
      <c r="AD46" s="24" t="s">
        <v>561</v>
      </c>
      <c r="AE46" s="24" t="s">
        <v>697</v>
      </c>
      <c r="AF46" s="24" t="s">
        <v>115</v>
      </c>
      <c r="AG46" s="24" t="s">
        <v>168</v>
      </c>
      <c r="AH46" s="24" t="s">
        <v>545</v>
      </c>
      <c r="AI46" s="25" t="n">
        <f aca="false">COUNTIF($B$2:$B$740,B46)</f>
        <v>1</v>
      </c>
    </row>
    <row r="47" customFormat="false" ht="76" hidden="false" customHeight="true" outlineLevel="0" collapsed="false">
      <c r="A47" s="21" t="n">
        <v>46</v>
      </c>
      <c r="B47" s="22" t="s">
        <v>698</v>
      </c>
      <c r="C47" s="23" t="s">
        <v>9</v>
      </c>
      <c r="D47" s="23" t="s">
        <v>96</v>
      </c>
      <c r="E47" s="23" t="s">
        <v>97</v>
      </c>
      <c r="F47" s="24" t="s">
        <v>59</v>
      </c>
      <c r="G47" s="24" t="s">
        <v>98</v>
      </c>
      <c r="H47" s="24" t="s">
        <v>99</v>
      </c>
      <c r="I47" s="24" t="s">
        <v>669</v>
      </c>
      <c r="J47" s="24" t="s">
        <v>699</v>
      </c>
      <c r="K47" s="24" t="s">
        <v>700</v>
      </c>
      <c r="L47" s="24" t="s">
        <v>173</v>
      </c>
      <c r="M47" s="24" t="s">
        <v>701</v>
      </c>
      <c r="N47" s="24"/>
      <c r="O47" s="24" t="s">
        <v>702</v>
      </c>
      <c r="P47" s="24" t="s">
        <v>703</v>
      </c>
      <c r="Q47" s="24" t="s">
        <v>704</v>
      </c>
      <c r="R47" s="24" t="s">
        <v>705</v>
      </c>
      <c r="S47" s="24" t="s">
        <v>706</v>
      </c>
      <c r="T47" s="24" t="s">
        <v>707</v>
      </c>
      <c r="U47" s="24" t="s">
        <v>708</v>
      </c>
      <c r="V47" s="24"/>
      <c r="W47" s="24" t="s">
        <v>709</v>
      </c>
      <c r="X47" s="24"/>
      <c r="Y47" s="24"/>
      <c r="Z47" s="24"/>
      <c r="AA47" s="24"/>
      <c r="AB47" s="25" t="n">
        <v>10</v>
      </c>
      <c r="AC47" s="24" t="s">
        <v>710</v>
      </c>
      <c r="AD47" s="24"/>
      <c r="AE47" s="24" t="s">
        <v>711</v>
      </c>
      <c r="AF47" s="24" t="s">
        <v>115</v>
      </c>
      <c r="AG47" s="24"/>
      <c r="AH47" s="24"/>
      <c r="AI47" s="25" t="n">
        <f aca="false">COUNTIF($B$2:$B$740,B47)</f>
        <v>1</v>
      </c>
    </row>
    <row r="48" customFormat="false" ht="76" hidden="false" customHeight="true" outlineLevel="0" collapsed="false">
      <c r="A48" s="21" t="n">
        <v>47</v>
      </c>
      <c r="B48" s="22" t="s">
        <v>712</v>
      </c>
      <c r="C48" s="23" t="s">
        <v>9</v>
      </c>
      <c r="D48" s="23" t="s">
        <v>96</v>
      </c>
      <c r="E48" s="23" t="s">
        <v>97</v>
      </c>
      <c r="F48" s="24" t="s">
        <v>59</v>
      </c>
      <c r="G48" s="24" t="s">
        <v>98</v>
      </c>
      <c r="H48" s="24" t="s">
        <v>99</v>
      </c>
      <c r="I48" s="24" t="s">
        <v>669</v>
      </c>
      <c r="J48" s="24" t="s">
        <v>713</v>
      </c>
      <c r="K48" s="24" t="s">
        <v>714</v>
      </c>
      <c r="L48" s="24" t="s">
        <v>119</v>
      </c>
      <c r="M48" s="24" t="s">
        <v>715</v>
      </c>
      <c r="N48" s="24" t="s">
        <v>716</v>
      </c>
      <c r="O48" s="24" t="s">
        <v>717</v>
      </c>
      <c r="P48" s="24" t="s">
        <v>718</v>
      </c>
      <c r="Q48" s="24" t="s">
        <v>719</v>
      </c>
      <c r="R48" s="24" t="s">
        <v>720</v>
      </c>
      <c r="S48" s="24" t="s">
        <v>721</v>
      </c>
      <c r="T48" s="24" t="s">
        <v>722</v>
      </c>
      <c r="U48" s="24" t="s">
        <v>723</v>
      </c>
      <c r="V48" s="24"/>
      <c r="W48" s="24" t="s">
        <v>719</v>
      </c>
      <c r="X48" s="24" t="s">
        <v>724</v>
      </c>
      <c r="Y48" s="24" t="s">
        <v>717</v>
      </c>
      <c r="Z48" s="24"/>
      <c r="AA48" s="24"/>
      <c r="AB48" s="25" t="n">
        <v>100</v>
      </c>
      <c r="AC48" s="24" t="s">
        <v>725</v>
      </c>
      <c r="AD48" s="24" t="s">
        <v>561</v>
      </c>
      <c r="AE48" s="24" t="s">
        <v>562</v>
      </c>
      <c r="AF48" s="24" t="s">
        <v>115</v>
      </c>
      <c r="AG48" s="24" t="s">
        <v>168</v>
      </c>
      <c r="AH48" s="24" t="s">
        <v>545</v>
      </c>
      <c r="AI48" s="25" t="n">
        <f aca="false">COUNTIF($B$2:$B$740,B48)</f>
        <v>1</v>
      </c>
    </row>
    <row r="49" customFormat="false" ht="76" hidden="false" customHeight="true" outlineLevel="0" collapsed="false">
      <c r="A49" s="21" t="n">
        <v>48</v>
      </c>
      <c r="B49" s="22" t="s">
        <v>726</v>
      </c>
      <c r="C49" s="23" t="s">
        <v>9</v>
      </c>
      <c r="D49" s="23" t="s">
        <v>96</v>
      </c>
      <c r="E49" s="23" t="s">
        <v>97</v>
      </c>
      <c r="F49" s="24" t="s">
        <v>59</v>
      </c>
      <c r="G49" s="24" t="s">
        <v>98</v>
      </c>
      <c r="H49" s="24" t="s">
        <v>99</v>
      </c>
      <c r="I49" s="24" t="s">
        <v>669</v>
      </c>
      <c r="J49" s="24" t="s">
        <v>727</v>
      </c>
      <c r="K49" s="24" t="s">
        <v>728</v>
      </c>
      <c r="L49" s="24" t="s">
        <v>119</v>
      </c>
      <c r="M49" s="24" t="s">
        <v>729</v>
      </c>
      <c r="N49" s="24" t="s">
        <v>730</v>
      </c>
      <c r="O49" s="24" t="s">
        <v>731</v>
      </c>
      <c r="P49" s="24" t="s">
        <v>732</v>
      </c>
      <c r="Q49" s="24" t="s">
        <v>733</v>
      </c>
      <c r="R49" s="24" t="s">
        <v>734</v>
      </c>
      <c r="S49" s="24" t="s">
        <v>735</v>
      </c>
      <c r="T49" s="24" t="s">
        <v>736</v>
      </c>
      <c r="U49" s="24" t="s">
        <v>737</v>
      </c>
      <c r="V49" s="24"/>
      <c r="W49" s="24" t="s">
        <v>738</v>
      </c>
      <c r="X49" s="24" t="s">
        <v>734</v>
      </c>
      <c r="Y49" s="24"/>
      <c r="Z49" s="24"/>
      <c r="AA49" s="24"/>
      <c r="AB49" s="25" t="n">
        <v>10</v>
      </c>
      <c r="AC49" s="24" t="s">
        <v>739</v>
      </c>
      <c r="AD49" s="24"/>
      <c r="AE49" s="24" t="s">
        <v>740</v>
      </c>
      <c r="AF49" s="24" t="s">
        <v>115</v>
      </c>
      <c r="AG49" s="24"/>
      <c r="AH49" s="24"/>
      <c r="AI49" s="25" t="n">
        <f aca="false">COUNTIF($B$2:$B$740,B49)</f>
        <v>1</v>
      </c>
    </row>
    <row r="50" customFormat="false" ht="76" hidden="false" customHeight="true" outlineLevel="0" collapsed="false">
      <c r="A50" s="21" t="n">
        <v>49</v>
      </c>
      <c r="B50" s="22" t="s">
        <v>741</v>
      </c>
      <c r="C50" s="23" t="s">
        <v>9</v>
      </c>
      <c r="D50" s="23" t="s">
        <v>96</v>
      </c>
      <c r="E50" s="23" t="s">
        <v>97</v>
      </c>
      <c r="F50" s="24" t="s">
        <v>59</v>
      </c>
      <c r="G50" s="24" t="s">
        <v>98</v>
      </c>
      <c r="H50" s="24" t="s">
        <v>99</v>
      </c>
      <c r="I50" s="24" t="s">
        <v>669</v>
      </c>
      <c r="J50" s="24" t="s">
        <v>742</v>
      </c>
      <c r="K50" s="24" t="s">
        <v>743</v>
      </c>
      <c r="L50" s="24" t="s">
        <v>119</v>
      </c>
      <c r="M50" s="24" t="s">
        <v>744</v>
      </c>
      <c r="N50" s="24" t="s">
        <v>745</v>
      </c>
      <c r="O50" s="24" t="s">
        <v>746</v>
      </c>
      <c r="P50" s="24" t="s">
        <v>747</v>
      </c>
      <c r="Q50" s="24" t="s">
        <v>748</v>
      </c>
      <c r="R50" s="24" t="s">
        <v>749</v>
      </c>
      <c r="S50" s="24" t="s">
        <v>750</v>
      </c>
      <c r="T50" s="24" t="s">
        <v>751</v>
      </c>
      <c r="U50" s="24" t="s">
        <v>752</v>
      </c>
      <c r="V50" s="24"/>
      <c r="W50" s="24" t="s">
        <v>753</v>
      </c>
      <c r="X50" s="24"/>
      <c r="Y50" s="24" t="s">
        <v>754</v>
      </c>
      <c r="Z50" s="24"/>
      <c r="AA50" s="24"/>
      <c r="AB50" s="25" t="n">
        <v>10</v>
      </c>
      <c r="AC50" s="24" t="s">
        <v>755</v>
      </c>
      <c r="AD50" s="24"/>
      <c r="AE50" s="24" t="s">
        <v>756</v>
      </c>
      <c r="AF50" s="24" t="s">
        <v>115</v>
      </c>
      <c r="AG50" s="24"/>
      <c r="AH50" s="24"/>
      <c r="AI50" s="25" t="n">
        <f aca="false">COUNTIF($B$2:$B$740,B50)</f>
        <v>1</v>
      </c>
    </row>
    <row r="51" customFormat="false" ht="76" hidden="false" customHeight="true" outlineLevel="0" collapsed="false">
      <c r="A51" s="21" t="n">
        <v>50</v>
      </c>
      <c r="B51" s="22" t="s">
        <v>757</v>
      </c>
      <c r="C51" s="23" t="s">
        <v>9</v>
      </c>
      <c r="D51" s="23" t="s">
        <v>96</v>
      </c>
      <c r="E51" s="23" t="s">
        <v>97</v>
      </c>
      <c r="F51" s="24" t="s">
        <v>59</v>
      </c>
      <c r="G51" s="24" t="s">
        <v>98</v>
      </c>
      <c r="H51" s="24" t="s">
        <v>99</v>
      </c>
      <c r="I51" s="24" t="s">
        <v>669</v>
      </c>
      <c r="J51" s="24" t="s">
        <v>758</v>
      </c>
      <c r="K51" s="24" t="s">
        <v>759</v>
      </c>
      <c r="L51" s="24" t="s">
        <v>119</v>
      </c>
      <c r="M51" s="24" t="s">
        <v>760</v>
      </c>
      <c r="N51" s="24" t="s">
        <v>761</v>
      </c>
      <c r="O51" s="24" t="s">
        <v>762</v>
      </c>
      <c r="P51" s="24" t="s">
        <v>763</v>
      </c>
      <c r="Q51" s="24" t="s">
        <v>764</v>
      </c>
      <c r="R51" s="24" t="s">
        <v>765</v>
      </c>
      <c r="S51" s="24" t="s">
        <v>766</v>
      </c>
      <c r="T51" s="24" t="s">
        <v>767</v>
      </c>
      <c r="U51" s="24" t="s">
        <v>768</v>
      </c>
      <c r="V51" s="24" t="s">
        <v>767</v>
      </c>
      <c r="W51" s="24" t="s">
        <v>766</v>
      </c>
      <c r="X51" s="24"/>
      <c r="Y51" s="24"/>
      <c r="Z51" s="24"/>
      <c r="AA51" s="24"/>
      <c r="AB51" s="25" t="n">
        <v>10</v>
      </c>
      <c r="AC51" s="24" t="s">
        <v>755</v>
      </c>
      <c r="AD51" s="24"/>
      <c r="AE51" s="24"/>
      <c r="AF51" s="24" t="s">
        <v>115</v>
      </c>
      <c r="AG51" s="24"/>
      <c r="AH51" s="24"/>
      <c r="AI51" s="25" t="n">
        <f aca="false">COUNTIF($B$2:$B$740,B51)</f>
        <v>1</v>
      </c>
    </row>
    <row r="52" customFormat="false" ht="76" hidden="false" customHeight="true" outlineLevel="0" collapsed="false">
      <c r="A52" s="21" t="n">
        <v>51</v>
      </c>
      <c r="B52" s="22" t="s">
        <v>769</v>
      </c>
      <c r="C52" s="23" t="s">
        <v>9</v>
      </c>
      <c r="D52" s="23" t="s">
        <v>96</v>
      </c>
      <c r="E52" s="23" t="s">
        <v>97</v>
      </c>
      <c r="F52" s="24" t="s">
        <v>59</v>
      </c>
      <c r="G52" s="24" t="s">
        <v>98</v>
      </c>
      <c r="H52" s="24" t="s">
        <v>99</v>
      </c>
      <c r="I52" s="24" t="s">
        <v>669</v>
      </c>
      <c r="J52" s="24" t="s">
        <v>770</v>
      </c>
      <c r="K52" s="24" t="s">
        <v>771</v>
      </c>
      <c r="L52" s="24" t="s">
        <v>119</v>
      </c>
      <c r="M52" s="24" t="s">
        <v>760</v>
      </c>
      <c r="N52" s="24" t="s">
        <v>772</v>
      </c>
      <c r="O52" s="24" t="s">
        <v>773</v>
      </c>
      <c r="P52" s="24" t="s">
        <v>774</v>
      </c>
      <c r="Q52" s="24" t="s">
        <v>775</v>
      </c>
      <c r="R52" s="24" t="s">
        <v>776</v>
      </c>
      <c r="S52" s="24" t="s">
        <v>777</v>
      </c>
      <c r="T52" s="24" t="s">
        <v>778</v>
      </c>
      <c r="U52" s="24" t="s">
        <v>779</v>
      </c>
      <c r="V52" s="24"/>
      <c r="W52" s="24" t="s">
        <v>777</v>
      </c>
      <c r="X52" s="24"/>
      <c r="Y52" s="24"/>
      <c r="Z52" s="24"/>
      <c r="AA52" s="24"/>
      <c r="AB52" s="25" t="n">
        <v>10</v>
      </c>
      <c r="AC52" s="24" t="s">
        <v>755</v>
      </c>
      <c r="AD52" s="24"/>
      <c r="AE52" s="24"/>
      <c r="AF52" s="24" t="s">
        <v>115</v>
      </c>
      <c r="AG52" s="24"/>
      <c r="AH52" s="24"/>
      <c r="AI52" s="25" t="n">
        <f aca="false">COUNTIF($B$2:$B$740,B52)</f>
        <v>1</v>
      </c>
    </row>
    <row r="53" customFormat="false" ht="76" hidden="false" customHeight="true" outlineLevel="0" collapsed="false">
      <c r="A53" s="21" t="n">
        <v>52</v>
      </c>
      <c r="B53" s="22" t="s">
        <v>780</v>
      </c>
      <c r="C53" s="23" t="s">
        <v>9</v>
      </c>
      <c r="D53" s="23" t="s">
        <v>96</v>
      </c>
      <c r="E53" s="23" t="s">
        <v>97</v>
      </c>
      <c r="F53" s="24" t="s">
        <v>59</v>
      </c>
      <c r="G53" s="24" t="s">
        <v>98</v>
      </c>
      <c r="H53" s="24" t="s">
        <v>99</v>
      </c>
      <c r="I53" s="24" t="s">
        <v>669</v>
      </c>
      <c r="J53" s="24" t="s">
        <v>781</v>
      </c>
      <c r="K53" s="24" t="s">
        <v>700</v>
      </c>
      <c r="L53" s="24" t="s">
        <v>103</v>
      </c>
      <c r="M53" s="24" t="s">
        <v>782</v>
      </c>
      <c r="N53" s="24" t="s">
        <v>783</v>
      </c>
      <c r="O53" s="24" t="s">
        <v>784</v>
      </c>
      <c r="P53" s="24" t="s">
        <v>785</v>
      </c>
      <c r="Q53" s="24" t="s">
        <v>786</v>
      </c>
      <c r="R53" s="24" t="s">
        <v>787</v>
      </c>
      <c r="S53" s="24" t="s">
        <v>788</v>
      </c>
      <c r="T53" s="24" t="s">
        <v>789</v>
      </c>
      <c r="U53" s="24" t="s">
        <v>790</v>
      </c>
      <c r="V53" s="24" t="s">
        <v>785</v>
      </c>
      <c r="W53" s="24"/>
      <c r="X53" s="24"/>
      <c r="Y53" s="24" t="s">
        <v>791</v>
      </c>
      <c r="Z53" s="24"/>
      <c r="AA53" s="24" t="s">
        <v>787</v>
      </c>
      <c r="AB53" s="25" t="n">
        <v>10</v>
      </c>
      <c r="AC53" s="24" t="s">
        <v>792</v>
      </c>
      <c r="AD53" s="24"/>
      <c r="AE53" s="24"/>
      <c r="AF53" s="24" t="s">
        <v>115</v>
      </c>
      <c r="AG53" s="24"/>
      <c r="AH53" s="24"/>
      <c r="AI53" s="25" t="n">
        <f aca="false">COUNTIF($B$2:$B$740,B53)</f>
        <v>1</v>
      </c>
    </row>
    <row r="54" customFormat="false" ht="76" hidden="false" customHeight="true" outlineLevel="0" collapsed="false">
      <c r="A54" s="21" t="n">
        <v>53</v>
      </c>
      <c r="B54" s="22" t="s">
        <v>793</v>
      </c>
      <c r="C54" s="23" t="s">
        <v>9</v>
      </c>
      <c r="D54" s="23" t="s">
        <v>96</v>
      </c>
      <c r="E54" s="23" t="s">
        <v>97</v>
      </c>
      <c r="F54" s="24" t="s">
        <v>59</v>
      </c>
      <c r="G54" s="24" t="s">
        <v>98</v>
      </c>
      <c r="H54" s="24" t="s">
        <v>99</v>
      </c>
      <c r="I54" s="24" t="s">
        <v>669</v>
      </c>
      <c r="J54" s="24" t="s">
        <v>794</v>
      </c>
      <c r="K54" s="24" t="s">
        <v>795</v>
      </c>
      <c r="L54" s="24" t="s">
        <v>173</v>
      </c>
      <c r="M54" s="24" t="s">
        <v>796</v>
      </c>
      <c r="N54" s="24" t="s">
        <v>797</v>
      </c>
      <c r="O54" s="24" t="s">
        <v>798</v>
      </c>
      <c r="P54" s="24" t="s">
        <v>799</v>
      </c>
      <c r="Q54" s="24" t="s">
        <v>800</v>
      </c>
      <c r="R54" s="24" t="s">
        <v>801</v>
      </c>
      <c r="S54" s="24" t="s">
        <v>802</v>
      </c>
      <c r="T54" s="24" t="s">
        <v>803</v>
      </c>
      <c r="U54" s="24" t="s">
        <v>801</v>
      </c>
      <c r="V54" s="24"/>
      <c r="W54" s="24"/>
      <c r="X54" s="24"/>
      <c r="Y54" s="24" t="s">
        <v>804</v>
      </c>
      <c r="Z54" s="24"/>
      <c r="AA54" s="24" t="s">
        <v>801</v>
      </c>
      <c r="AB54" s="25" t="n">
        <v>10</v>
      </c>
      <c r="AC54" s="24" t="s">
        <v>792</v>
      </c>
      <c r="AD54" s="24"/>
      <c r="AE54" s="24"/>
      <c r="AF54" s="24" t="s">
        <v>115</v>
      </c>
      <c r="AG54" s="24"/>
      <c r="AH54" s="24"/>
      <c r="AI54" s="25" t="n">
        <f aca="false">COUNTIF($B$2:$B$740,B54)</f>
        <v>1</v>
      </c>
    </row>
    <row r="55" customFormat="false" ht="76" hidden="false" customHeight="true" outlineLevel="0" collapsed="false">
      <c r="A55" s="21" t="n">
        <v>54</v>
      </c>
      <c r="B55" s="22" t="s">
        <v>805</v>
      </c>
      <c r="C55" s="23" t="s">
        <v>9</v>
      </c>
      <c r="D55" s="23" t="s">
        <v>96</v>
      </c>
      <c r="E55" s="23" t="s">
        <v>97</v>
      </c>
      <c r="F55" s="24" t="s">
        <v>59</v>
      </c>
      <c r="G55" s="24" t="s">
        <v>98</v>
      </c>
      <c r="H55" s="24" t="s">
        <v>99</v>
      </c>
      <c r="I55" s="24" t="s">
        <v>669</v>
      </c>
      <c r="J55" s="24" t="s">
        <v>806</v>
      </c>
      <c r="K55" s="24" t="s">
        <v>771</v>
      </c>
      <c r="L55" s="24" t="s">
        <v>119</v>
      </c>
      <c r="M55" s="24" t="s">
        <v>232</v>
      </c>
      <c r="N55" s="24" t="s">
        <v>807</v>
      </c>
      <c r="O55" s="24" t="s">
        <v>808</v>
      </c>
      <c r="P55" s="24" t="s">
        <v>809</v>
      </c>
      <c r="Q55" s="24" t="s">
        <v>810</v>
      </c>
      <c r="R55" s="24" t="s">
        <v>811</v>
      </c>
      <c r="S55" s="24" t="s">
        <v>812</v>
      </c>
      <c r="T55" s="24" t="s">
        <v>813</v>
      </c>
      <c r="U55" s="24" t="s">
        <v>814</v>
      </c>
      <c r="V55" s="24"/>
      <c r="W55" s="24"/>
      <c r="X55" s="24"/>
      <c r="Y55" s="24"/>
      <c r="Z55" s="24"/>
      <c r="AA55" s="24"/>
      <c r="AB55" s="25" t="n">
        <v>10</v>
      </c>
      <c r="AC55" s="24" t="s">
        <v>815</v>
      </c>
      <c r="AD55" s="24"/>
      <c r="AE55" s="24"/>
      <c r="AF55" s="24" t="s">
        <v>115</v>
      </c>
      <c r="AG55" s="24"/>
      <c r="AH55" s="24"/>
      <c r="AI55" s="25" t="n">
        <f aca="false">COUNTIF($B$2:$B$740,B55)</f>
        <v>1</v>
      </c>
    </row>
    <row r="56" customFormat="false" ht="76" hidden="false" customHeight="true" outlineLevel="0" collapsed="false">
      <c r="A56" s="21" t="n">
        <v>55</v>
      </c>
      <c r="B56" s="22" t="s">
        <v>740</v>
      </c>
      <c r="C56" s="23" t="s">
        <v>9</v>
      </c>
      <c r="D56" s="23" t="s">
        <v>96</v>
      </c>
      <c r="E56" s="23" t="s">
        <v>97</v>
      </c>
      <c r="F56" s="24" t="s">
        <v>59</v>
      </c>
      <c r="G56" s="24" t="s">
        <v>98</v>
      </c>
      <c r="H56" s="24" t="s">
        <v>99</v>
      </c>
      <c r="I56" s="24" t="s">
        <v>669</v>
      </c>
      <c r="J56" s="24" t="s">
        <v>816</v>
      </c>
      <c r="K56" s="24" t="s">
        <v>700</v>
      </c>
      <c r="L56" s="24" t="s">
        <v>119</v>
      </c>
      <c r="M56" s="24" t="s">
        <v>744</v>
      </c>
      <c r="N56" s="24" t="s">
        <v>817</v>
      </c>
      <c r="O56" s="24" t="s">
        <v>818</v>
      </c>
      <c r="P56" s="24" t="s">
        <v>819</v>
      </c>
      <c r="Q56" s="24" t="s">
        <v>820</v>
      </c>
      <c r="R56" s="24" t="s">
        <v>821</v>
      </c>
      <c r="S56" s="24" t="s">
        <v>822</v>
      </c>
      <c r="T56" s="24" t="s">
        <v>823</v>
      </c>
      <c r="U56" s="24" t="s">
        <v>824</v>
      </c>
      <c r="V56" s="24"/>
      <c r="W56" s="24"/>
      <c r="X56" s="24" t="s">
        <v>822</v>
      </c>
      <c r="Y56" s="24" t="s">
        <v>818</v>
      </c>
      <c r="Z56" s="24"/>
      <c r="AA56" s="24"/>
      <c r="AB56" s="25" t="n">
        <v>10</v>
      </c>
      <c r="AC56" s="24" t="s">
        <v>825</v>
      </c>
      <c r="AD56" s="24"/>
      <c r="AE56" s="24"/>
      <c r="AF56" s="24" t="s">
        <v>115</v>
      </c>
      <c r="AG56" s="24"/>
      <c r="AH56" s="24"/>
      <c r="AI56" s="25" t="n">
        <f aca="false">COUNTIF($B$2:$B$740,B56)</f>
        <v>1</v>
      </c>
    </row>
    <row r="57" customFormat="false" ht="76" hidden="false" customHeight="true" outlineLevel="0" collapsed="false">
      <c r="A57" s="21" t="n">
        <v>56</v>
      </c>
      <c r="B57" s="22" t="s">
        <v>826</v>
      </c>
      <c r="C57" s="23" t="s">
        <v>9</v>
      </c>
      <c r="D57" s="23" t="s">
        <v>96</v>
      </c>
      <c r="E57" s="23" t="s">
        <v>97</v>
      </c>
      <c r="F57" s="24" t="s">
        <v>59</v>
      </c>
      <c r="G57" s="24" t="s">
        <v>98</v>
      </c>
      <c r="H57" s="24" t="s">
        <v>99</v>
      </c>
      <c r="I57" s="24" t="s">
        <v>669</v>
      </c>
      <c r="J57" s="24" t="s">
        <v>827</v>
      </c>
      <c r="K57" s="24" t="s">
        <v>828</v>
      </c>
      <c r="L57" s="24" t="s">
        <v>103</v>
      </c>
      <c r="M57" s="24" t="s">
        <v>829</v>
      </c>
      <c r="N57" s="24" t="s">
        <v>830</v>
      </c>
      <c r="O57" s="24" t="s">
        <v>831</v>
      </c>
      <c r="P57" s="24" t="s">
        <v>832</v>
      </c>
      <c r="Q57" s="24" t="s">
        <v>833</v>
      </c>
      <c r="R57" s="24" t="s">
        <v>834</v>
      </c>
      <c r="S57" s="24" t="s">
        <v>835</v>
      </c>
      <c r="T57" s="24" t="s">
        <v>836</v>
      </c>
      <c r="U57" s="24" t="s">
        <v>834</v>
      </c>
      <c r="V57" s="24"/>
      <c r="W57" s="24"/>
      <c r="X57" s="24"/>
      <c r="Y57" s="24" t="s">
        <v>837</v>
      </c>
      <c r="Z57" s="24"/>
      <c r="AA57" s="24"/>
      <c r="AB57" s="25" t="n">
        <v>10</v>
      </c>
      <c r="AC57" s="24" t="s">
        <v>838</v>
      </c>
      <c r="AD57" s="24"/>
      <c r="AE57" s="24"/>
      <c r="AF57" s="24" t="s">
        <v>115</v>
      </c>
      <c r="AG57" s="24"/>
      <c r="AH57" s="24"/>
      <c r="AI57" s="25" t="n">
        <f aca="false">COUNTIF($B$2:$B$740,B57)</f>
        <v>1</v>
      </c>
    </row>
    <row r="58" customFormat="false" ht="76" hidden="false" customHeight="true" outlineLevel="0" collapsed="false">
      <c r="A58" s="21" t="n">
        <v>57</v>
      </c>
      <c r="B58" s="22" t="s">
        <v>839</v>
      </c>
      <c r="C58" s="23" t="s">
        <v>9</v>
      </c>
      <c r="D58" s="23" t="s">
        <v>96</v>
      </c>
      <c r="E58" s="23" t="s">
        <v>97</v>
      </c>
      <c r="F58" s="24" t="s">
        <v>59</v>
      </c>
      <c r="G58" s="24" t="s">
        <v>98</v>
      </c>
      <c r="H58" s="24" t="s">
        <v>99</v>
      </c>
      <c r="I58" s="24" t="s">
        <v>669</v>
      </c>
      <c r="J58" s="24" t="s">
        <v>840</v>
      </c>
      <c r="K58" s="24" t="s">
        <v>841</v>
      </c>
      <c r="L58" s="24" t="s">
        <v>103</v>
      </c>
      <c r="M58" s="24" t="s">
        <v>842</v>
      </c>
      <c r="N58" s="24"/>
      <c r="O58" s="24" t="s">
        <v>843</v>
      </c>
      <c r="P58" s="24" t="s">
        <v>844</v>
      </c>
      <c r="Q58" s="24" t="s">
        <v>845</v>
      </c>
      <c r="R58" s="24" t="s">
        <v>846</v>
      </c>
      <c r="S58" s="24" t="s">
        <v>847</v>
      </c>
      <c r="T58" s="24" t="s">
        <v>848</v>
      </c>
      <c r="U58" s="24"/>
      <c r="V58" s="24"/>
      <c r="W58" s="24" t="s">
        <v>847</v>
      </c>
      <c r="X58" s="24"/>
      <c r="Y58" s="24"/>
      <c r="Z58" s="24"/>
      <c r="AA58" s="24"/>
      <c r="AB58" s="25" t="n">
        <v>100</v>
      </c>
      <c r="AC58" s="24" t="s">
        <v>849</v>
      </c>
      <c r="AD58" s="24" t="s">
        <v>561</v>
      </c>
      <c r="AE58" s="24" t="s">
        <v>850</v>
      </c>
      <c r="AF58" s="24" t="s">
        <v>115</v>
      </c>
      <c r="AG58" s="24" t="s">
        <v>168</v>
      </c>
      <c r="AH58" s="24" t="s">
        <v>545</v>
      </c>
      <c r="AI58" s="25" t="n">
        <f aca="false">COUNTIF($B$2:$B$740,B58)</f>
        <v>1</v>
      </c>
    </row>
    <row r="59" customFormat="false" ht="76" hidden="false" customHeight="true" outlineLevel="0" collapsed="false">
      <c r="A59" s="21" t="n">
        <v>58</v>
      </c>
      <c r="B59" s="22" t="s">
        <v>851</v>
      </c>
      <c r="C59" s="23" t="s">
        <v>9</v>
      </c>
      <c r="D59" s="23" t="s">
        <v>96</v>
      </c>
      <c r="E59" s="23" t="s">
        <v>97</v>
      </c>
      <c r="F59" s="24" t="s">
        <v>59</v>
      </c>
      <c r="G59" s="24" t="s">
        <v>98</v>
      </c>
      <c r="H59" s="24" t="s">
        <v>99</v>
      </c>
      <c r="I59" s="24" t="s">
        <v>852</v>
      </c>
      <c r="J59" s="24" t="s">
        <v>853</v>
      </c>
      <c r="K59" s="24" t="s">
        <v>854</v>
      </c>
      <c r="L59" s="24" t="s">
        <v>119</v>
      </c>
      <c r="M59" s="24" t="s">
        <v>855</v>
      </c>
      <c r="N59" s="24" t="s">
        <v>856</v>
      </c>
      <c r="O59" s="24" t="s">
        <v>857</v>
      </c>
      <c r="P59" s="24" t="s">
        <v>858</v>
      </c>
      <c r="Q59" s="24" t="s">
        <v>859</v>
      </c>
      <c r="R59" s="24" t="s">
        <v>860</v>
      </c>
      <c r="S59" s="24" t="s">
        <v>861</v>
      </c>
      <c r="T59" s="24" t="s">
        <v>862</v>
      </c>
      <c r="U59" s="24" t="s">
        <v>183</v>
      </c>
      <c r="V59" s="24" t="s">
        <v>861</v>
      </c>
      <c r="W59" s="24" t="s">
        <v>182</v>
      </c>
      <c r="X59" s="24"/>
      <c r="Y59" s="24" t="s">
        <v>183</v>
      </c>
      <c r="Z59" s="24"/>
      <c r="AA59" s="24"/>
      <c r="AB59" s="25" t="n">
        <v>10</v>
      </c>
      <c r="AC59" s="24" t="s">
        <v>863</v>
      </c>
      <c r="AD59" s="24"/>
      <c r="AE59" s="24" t="s">
        <v>864</v>
      </c>
      <c r="AF59" s="24" t="s">
        <v>115</v>
      </c>
      <c r="AG59" s="24"/>
      <c r="AH59" s="24"/>
      <c r="AI59" s="25" t="n">
        <f aca="false">COUNTIF($B$2:$B$740,B59)</f>
        <v>1</v>
      </c>
    </row>
    <row r="60" customFormat="false" ht="76" hidden="false" customHeight="true" outlineLevel="0" collapsed="false">
      <c r="A60" s="21" t="n">
        <v>59</v>
      </c>
      <c r="B60" s="22" t="s">
        <v>865</v>
      </c>
      <c r="C60" s="23" t="s">
        <v>9</v>
      </c>
      <c r="D60" s="23" t="s">
        <v>96</v>
      </c>
      <c r="E60" s="23" t="s">
        <v>97</v>
      </c>
      <c r="F60" s="24" t="s">
        <v>59</v>
      </c>
      <c r="G60" s="24" t="s">
        <v>98</v>
      </c>
      <c r="H60" s="24" t="s">
        <v>99</v>
      </c>
      <c r="I60" s="24" t="s">
        <v>852</v>
      </c>
      <c r="J60" s="24" t="s">
        <v>866</v>
      </c>
      <c r="K60" s="24" t="s">
        <v>867</v>
      </c>
      <c r="L60" s="24" t="s">
        <v>119</v>
      </c>
      <c r="M60" s="24" t="s">
        <v>868</v>
      </c>
      <c r="N60" s="24" t="s">
        <v>869</v>
      </c>
      <c r="O60" s="24" t="s">
        <v>870</v>
      </c>
      <c r="P60" s="24" t="s">
        <v>871</v>
      </c>
      <c r="Q60" s="24" t="s">
        <v>872</v>
      </c>
      <c r="R60" s="24" t="s">
        <v>873</v>
      </c>
      <c r="S60" s="24" t="s">
        <v>874</v>
      </c>
      <c r="T60" s="24" t="s">
        <v>875</v>
      </c>
      <c r="U60" s="24"/>
      <c r="V60" s="24" t="s">
        <v>876</v>
      </c>
      <c r="W60" s="24"/>
      <c r="X60" s="24"/>
      <c r="Y60" s="24"/>
      <c r="Z60" s="24"/>
      <c r="AA60" s="24"/>
      <c r="AB60" s="25" t="n">
        <v>10</v>
      </c>
      <c r="AC60" s="24" t="s">
        <v>877</v>
      </c>
      <c r="AD60" s="24"/>
      <c r="AE60" s="24" t="s">
        <v>878</v>
      </c>
      <c r="AF60" s="24" t="s">
        <v>115</v>
      </c>
      <c r="AG60" s="24"/>
      <c r="AH60" s="24"/>
      <c r="AI60" s="25" t="n">
        <f aca="false">COUNTIF($B$2:$B$740,B60)</f>
        <v>1</v>
      </c>
    </row>
    <row r="61" customFormat="false" ht="76" hidden="false" customHeight="true" outlineLevel="0" collapsed="false">
      <c r="A61" s="21" t="n">
        <v>60</v>
      </c>
      <c r="B61" s="22" t="s">
        <v>879</v>
      </c>
      <c r="C61" s="23" t="s">
        <v>9</v>
      </c>
      <c r="D61" s="23" t="s">
        <v>96</v>
      </c>
      <c r="E61" s="23" t="s">
        <v>97</v>
      </c>
      <c r="F61" s="24" t="s">
        <v>59</v>
      </c>
      <c r="G61" s="24" t="s">
        <v>98</v>
      </c>
      <c r="H61" s="24" t="s">
        <v>99</v>
      </c>
      <c r="I61" s="24" t="s">
        <v>852</v>
      </c>
      <c r="J61" s="24" t="s">
        <v>880</v>
      </c>
      <c r="K61" s="24" t="s">
        <v>881</v>
      </c>
      <c r="L61" s="24" t="s">
        <v>119</v>
      </c>
      <c r="M61" s="24" t="s">
        <v>882</v>
      </c>
      <c r="N61" s="24" t="s">
        <v>856</v>
      </c>
      <c r="O61" s="24" t="s">
        <v>883</v>
      </c>
      <c r="P61" s="24" t="s">
        <v>884</v>
      </c>
      <c r="Q61" s="24" t="s">
        <v>885</v>
      </c>
      <c r="R61" s="24" t="s">
        <v>886</v>
      </c>
      <c r="S61" s="24" t="s">
        <v>471</v>
      </c>
      <c r="T61" s="24" t="s">
        <v>887</v>
      </c>
      <c r="U61" s="24"/>
      <c r="V61" s="24" t="s">
        <v>886</v>
      </c>
      <c r="W61" s="24" t="s">
        <v>886</v>
      </c>
      <c r="X61" s="24"/>
      <c r="Y61" s="24"/>
      <c r="Z61" s="24"/>
      <c r="AA61" s="24"/>
      <c r="AB61" s="25" t="n">
        <v>10</v>
      </c>
      <c r="AC61" s="24" t="s">
        <v>888</v>
      </c>
      <c r="AD61" s="24"/>
      <c r="AE61" s="24"/>
      <c r="AF61" s="24" t="s">
        <v>115</v>
      </c>
      <c r="AG61" s="24"/>
      <c r="AH61" s="24"/>
      <c r="AI61" s="25" t="n">
        <f aca="false">COUNTIF($B$2:$B$740,B61)</f>
        <v>1</v>
      </c>
    </row>
    <row r="62" customFormat="false" ht="76" hidden="false" customHeight="true" outlineLevel="0" collapsed="false">
      <c r="A62" s="21" t="n">
        <v>61</v>
      </c>
      <c r="B62" s="22" t="s">
        <v>889</v>
      </c>
      <c r="C62" s="23" t="s">
        <v>9</v>
      </c>
      <c r="D62" s="23" t="s">
        <v>96</v>
      </c>
      <c r="E62" s="23" t="s">
        <v>97</v>
      </c>
      <c r="F62" s="24" t="s">
        <v>59</v>
      </c>
      <c r="G62" s="24" t="s">
        <v>98</v>
      </c>
      <c r="H62" s="24" t="s">
        <v>99</v>
      </c>
      <c r="I62" s="24" t="s">
        <v>852</v>
      </c>
      <c r="J62" s="24" t="s">
        <v>890</v>
      </c>
      <c r="K62" s="24" t="s">
        <v>891</v>
      </c>
      <c r="L62" s="24" t="s">
        <v>119</v>
      </c>
      <c r="M62" s="24" t="s">
        <v>892</v>
      </c>
      <c r="N62" s="24" t="s">
        <v>893</v>
      </c>
      <c r="O62" s="24" t="s">
        <v>894</v>
      </c>
      <c r="P62" s="24" t="s">
        <v>895</v>
      </c>
      <c r="Q62" s="24" t="s">
        <v>896</v>
      </c>
      <c r="R62" s="24" t="s">
        <v>897</v>
      </c>
      <c r="S62" s="24" t="s">
        <v>898</v>
      </c>
      <c r="T62" s="24" t="s">
        <v>899</v>
      </c>
      <c r="U62" s="24"/>
      <c r="V62" s="24" t="s">
        <v>898</v>
      </c>
      <c r="W62" s="24"/>
      <c r="X62" s="24"/>
      <c r="Y62" s="24" t="s">
        <v>897</v>
      </c>
      <c r="Z62" s="24"/>
      <c r="AA62" s="24"/>
      <c r="AB62" s="25" t="n">
        <v>10</v>
      </c>
      <c r="AC62" s="24" t="s">
        <v>900</v>
      </c>
      <c r="AD62" s="24"/>
      <c r="AE62" s="24"/>
      <c r="AF62" s="24" t="s">
        <v>115</v>
      </c>
      <c r="AG62" s="24"/>
      <c r="AH62" s="24"/>
      <c r="AI62" s="25" t="n">
        <f aca="false">COUNTIF($B$2:$B$740,B62)</f>
        <v>1</v>
      </c>
    </row>
    <row r="63" customFormat="false" ht="76" hidden="false" customHeight="true" outlineLevel="0" collapsed="false">
      <c r="A63" s="21" t="n">
        <v>62</v>
      </c>
      <c r="B63" s="22" t="s">
        <v>901</v>
      </c>
      <c r="C63" s="23" t="s">
        <v>12</v>
      </c>
      <c r="D63" s="23" t="s">
        <v>209</v>
      </c>
      <c r="E63" s="23" t="s">
        <v>97</v>
      </c>
      <c r="F63" s="24" t="s">
        <v>59</v>
      </c>
      <c r="G63" s="24" t="s">
        <v>98</v>
      </c>
      <c r="H63" s="24" t="s">
        <v>99</v>
      </c>
      <c r="I63" s="24" t="s">
        <v>852</v>
      </c>
      <c r="J63" s="24" t="s">
        <v>902</v>
      </c>
      <c r="K63" s="24" t="s">
        <v>903</v>
      </c>
      <c r="L63" s="24" t="s">
        <v>531</v>
      </c>
      <c r="M63" s="24" t="s">
        <v>904</v>
      </c>
      <c r="N63" s="24" t="s">
        <v>905</v>
      </c>
      <c r="O63" s="24" t="s">
        <v>906</v>
      </c>
      <c r="P63" s="24" t="s">
        <v>907</v>
      </c>
      <c r="Q63" s="24" t="s">
        <v>908</v>
      </c>
      <c r="R63" s="24" t="s">
        <v>909</v>
      </c>
      <c r="S63" s="24" t="s">
        <v>910</v>
      </c>
      <c r="T63" s="24" t="s">
        <v>911</v>
      </c>
      <c r="U63" s="24" t="s">
        <v>912</v>
      </c>
      <c r="V63" s="24" t="s">
        <v>913</v>
      </c>
      <c r="W63" s="24" t="s">
        <v>908</v>
      </c>
      <c r="X63" s="24"/>
      <c r="Y63" s="24" t="s">
        <v>183</v>
      </c>
      <c r="Z63" s="24"/>
      <c r="AA63" s="24"/>
      <c r="AB63" s="25" t="n">
        <v>10</v>
      </c>
      <c r="AC63" s="24" t="s">
        <v>914</v>
      </c>
      <c r="AD63" s="24" t="s">
        <v>915</v>
      </c>
      <c r="AE63" s="24" t="s">
        <v>757</v>
      </c>
      <c r="AF63" s="24" t="s">
        <v>115</v>
      </c>
      <c r="AG63" s="24"/>
      <c r="AH63" s="24"/>
      <c r="AI63" s="25" t="n">
        <f aca="false">COUNTIF($B$2:$B$740,B63)</f>
        <v>1</v>
      </c>
    </row>
    <row r="64" customFormat="false" ht="76" hidden="false" customHeight="true" outlineLevel="0" collapsed="false">
      <c r="A64" s="21" t="n">
        <v>63</v>
      </c>
      <c r="B64" s="22" t="s">
        <v>916</v>
      </c>
      <c r="C64" s="23" t="s">
        <v>9</v>
      </c>
      <c r="D64" s="23" t="s">
        <v>96</v>
      </c>
      <c r="E64" s="23" t="s">
        <v>97</v>
      </c>
      <c r="F64" s="24" t="s">
        <v>59</v>
      </c>
      <c r="G64" s="24" t="s">
        <v>98</v>
      </c>
      <c r="H64" s="24" t="s">
        <v>99</v>
      </c>
      <c r="I64" s="24" t="s">
        <v>852</v>
      </c>
      <c r="J64" s="24" t="s">
        <v>917</v>
      </c>
      <c r="K64" s="24" t="s">
        <v>918</v>
      </c>
      <c r="L64" s="24" t="s">
        <v>119</v>
      </c>
      <c r="M64" s="24" t="s">
        <v>919</v>
      </c>
      <c r="N64" s="24" t="s">
        <v>856</v>
      </c>
      <c r="O64" s="24" t="s">
        <v>920</v>
      </c>
      <c r="P64" s="24" t="s">
        <v>921</v>
      </c>
      <c r="Q64" s="24" t="s">
        <v>922</v>
      </c>
      <c r="R64" s="24" t="s">
        <v>923</v>
      </c>
      <c r="S64" s="24" t="s">
        <v>924</v>
      </c>
      <c r="T64" s="24" t="s">
        <v>925</v>
      </c>
      <c r="U64" s="24"/>
      <c r="V64" s="24"/>
      <c r="W64" s="24"/>
      <c r="X64" s="24" t="s">
        <v>925</v>
      </c>
      <c r="Y64" s="24"/>
      <c r="Z64" s="24"/>
      <c r="AA64" s="24"/>
      <c r="AB64" s="25" t="n">
        <v>10</v>
      </c>
      <c r="AC64" s="24" t="s">
        <v>926</v>
      </c>
      <c r="AD64" s="24"/>
      <c r="AE64" s="24"/>
      <c r="AF64" s="24" t="s">
        <v>115</v>
      </c>
      <c r="AG64" s="24"/>
      <c r="AH64" s="24"/>
      <c r="AI64" s="25" t="n">
        <f aca="false">COUNTIF($B$2:$B$740,B64)</f>
        <v>1</v>
      </c>
    </row>
    <row r="65" customFormat="false" ht="67.2" hidden="false" customHeight="true" outlineLevel="0" collapsed="false">
      <c r="A65" s="26" t="n">
        <v>64</v>
      </c>
      <c r="B65" s="27" t="s">
        <v>864</v>
      </c>
      <c r="C65" s="24" t="s">
        <v>9</v>
      </c>
      <c r="D65" s="24" t="s">
        <v>96</v>
      </c>
      <c r="E65" s="24" t="s">
        <v>97</v>
      </c>
      <c r="F65" s="24" t="s">
        <v>59</v>
      </c>
      <c r="G65" s="24" t="s">
        <v>98</v>
      </c>
      <c r="H65" s="24" t="s">
        <v>99</v>
      </c>
      <c r="I65" s="24" t="s">
        <v>852</v>
      </c>
      <c r="J65" s="24" t="s">
        <v>927</v>
      </c>
      <c r="K65" s="24" t="s">
        <v>928</v>
      </c>
      <c r="L65" s="24" t="s">
        <v>119</v>
      </c>
      <c r="M65" s="24" t="s">
        <v>929</v>
      </c>
      <c r="N65" s="24" t="s">
        <v>930</v>
      </c>
      <c r="O65" s="24" t="s">
        <v>931</v>
      </c>
      <c r="P65" s="24" t="s">
        <v>932</v>
      </c>
      <c r="Q65" s="24" t="s">
        <v>933</v>
      </c>
      <c r="R65" s="24" t="s">
        <v>934</v>
      </c>
      <c r="S65" s="24" t="s">
        <v>935</v>
      </c>
      <c r="T65" s="24" t="s">
        <v>936</v>
      </c>
      <c r="U65" s="24" t="s">
        <v>183</v>
      </c>
      <c r="V65" s="24"/>
      <c r="W65" s="24" t="s">
        <v>937</v>
      </c>
      <c r="X65" s="24"/>
      <c r="Y65" s="24" t="s">
        <v>183</v>
      </c>
      <c r="Z65" s="24"/>
      <c r="AA65" s="24"/>
      <c r="AB65" s="25" t="n">
        <v>80</v>
      </c>
      <c r="AC65" s="24" t="s">
        <v>938</v>
      </c>
      <c r="AD65" s="24" t="s">
        <v>939</v>
      </c>
      <c r="AE65" s="24" t="s">
        <v>940</v>
      </c>
      <c r="AF65" s="24" t="s">
        <v>168</v>
      </c>
      <c r="AG65" s="24"/>
      <c r="AH65" s="24" t="s">
        <v>941</v>
      </c>
      <c r="AI65" s="25" t="n">
        <f aca="false">COUNTIF($B$2:$B$740,B65)</f>
        <v>1</v>
      </c>
    </row>
    <row r="66" customFormat="false" ht="76" hidden="false" customHeight="true" outlineLevel="0" collapsed="false">
      <c r="A66" s="21" t="n">
        <v>65</v>
      </c>
      <c r="B66" s="22" t="s">
        <v>942</v>
      </c>
      <c r="C66" s="23" t="s">
        <v>9</v>
      </c>
      <c r="D66" s="23" t="s">
        <v>96</v>
      </c>
      <c r="E66" s="23" t="s">
        <v>97</v>
      </c>
      <c r="F66" s="24" t="s">
        <v>59</v>
      </c>
      <c r="G66" s="24" t="s">
        <v>98</v>
      </c>
      <c r="H66" s="24" t="s">
        <v>99</v>
      </c>
      <c r="I66" s="24" t="s">
        <v>852</v>
      </c>
      <c r="J66" s="24" t="s">
        <v>943</v>
      </c>
      <c r="K66" s="24" t="s">
        <v>944</v>
      </c>
      <c r="L66" s="24" t="s">
        <v>103</v>
      </c>
      <c r="M66" s="24" t="s">
        <v>945</v>
      </c>
      <c r="N66" s="24" t="s">
        <v>946</v>
      </c>
      <c r="O66" s="24" t="s">
        <v>947</v>
      </c>
      <c r="P66" s="24" t="s">
        <v>948</v>
      </c>
      <c r="Q66" s="24" t="s">
        <v>949</v>
      </c>
      <c r="R66" s="24" t="s">
        <v>950</v>
      </c>
      <c r="S66" s="24" t="s">
        <v>951</v>
      </c>
      <c r="T66" s="24" t="s">
        <v>952</v>
      </c>
      <c r="U66" s="24" t="s">
        <v>183</v>
      </c>
      <c r="V66" s="24"/>
      <c r="W66" s="24" t="s">
        <v>953</v>
      </c>
      <c r="X66" s="24"/>
      <c r="Y66" s="24" t="s">
        <v>183</v>
      </c>
      <c r="Z66" s="24"/>
      <c r="AA66" s="24"/>
      <c r="AB66" s="25" t="n">
        <v>80</v>
      </c>
      <c r="AC66" s="24" t="s">
        <v>954</v>
      </c>
      <c r="AD66" s="24" t="s">
        <v>955</v>
      </c>
      <c r="AE66" s="24" t="s">
        <v>956</v>
      </c>
      <c r="AF66" s="24" t="s">
        <v>168</v>
      </c>
      <c r="AG66" s="24"/>
      <c r="AH66" s="24" t="s">
        <v>941</v>
      </c>
      <c r="AI66" s="25" t="n">
        <f aca="false">COUNTIF($B$2:$B$740,B66)</f>
        <v>1</v>
      </c>
    </row>
    <row r="67" customFormat="false" ht="76" hidden="false" customHeight="true" outlineLevel="0" collapsed="false">
      <c r="A67" s="21" t="n">
        <v>66</v>
      </c>
      <c r="B67" s="22" t="s">
        <v>957</v>
      </c>
      <c r="C67" s="23" t="s">
        <v>9</v>
      </c>
      <c r="D67" s="23" t="s">
        <v>96</v>
      </c>
      <c r="E67" s="23" t="s">
        <v>97</v>
      </c>
      <c r="F67" s="24" t="s">
        <v>59</v>
      </c>
      <c r="G67" s="24" t="s">
        <v>98</v>
      </c>
      <c r="H67" s="24" t="s">
        <v>99</v>
      </c>
      <c r="I67" s="24" t="s">
        <v>852</v>
      </c>
      <c r="J67" s="24" t="s">
        <v>958</v>
      </c>
      <c r="K67" s="24" t="s">
        <v>959</v>
      </c>
      <c r="L67" s="24" t="s">
        <v>119</v>
      </c>
      <c r="M67" s="24" t="s">
        <v>232</v>
      </c>
      <c r="N67" s="24" t="s">
        <v>856</v>
      </c>
      <c r="O67" s="24" t="s">
        <v>960</v>
      </c>
      <c r="P67" s="24" t="s">
        <v>961</v>
      </c>
      <c r="Q67" s="24" t="s">
        <v>962</v>
      </c>
      <c r="R67" s="24" t="s">
        <v>963</v>
      </c>
      <c r="S67" s="24" t="s">
        <v>964</v>
      </c>
      <c r="T67" s="24" t="s">
        <v>965</v>
      </c>
      <c r="U67" s="24" t="s">
        <v>183</v>
      </c>
      <c r="V67" s="24" t="s">
        <v>966</v>
      </c>
      <c r="W67" s="24" t="s">
        <v>967</v>
      </c>
      <c r="X67" s="24"/>
      <c r="Y67" s="24" t="s">
        <v>183</v>
      </c>
      <c r="Z67" s="24"/>
      <c r="AA67" s="24" t="s">
        <v>968</v>
      </c>
      <c r="AB67" s="25" t="n">
        <v>10</v>
      </c>
      <c r="AC67" s="24" t="s">
        <v>969</v>
      </c>
      <c r="AD67" s="24"/>
      <c r="AE67" s="24" t="s">
        <v>864</v>
      </c>
      <c r="AF67" s="24" t="s">
        <v>115</v>
      </c>
      <c r="AG67" s="24"/>
      <c r="AH67" s="24"/>
      <c r="AI67" s="25" t="n">
        <f aca="false">COUNTIF($B$2:$B$740,B67)</f>
        <v>1</v>
      </c>
    </row>
    <row r="68" customFormat="false" ht="172.8" hidden="false" customHeight="true" outlineLevel="0" collapsed="false">
      <c r="A68" s="26" t="n">
        <v>67</v>
      </c>
      <c r="B68" s="27" t="s">
        <v>970</v>
      </c>
      <c r="C68" s="24" t="s">
        <v>9</v>
      </c>
      <c r="D68" s="24" t="s">
        <v>96</v>
      </c>
      <c r="E68" s="24" t="s">
        <v>97</v>
      </c>
      <c r="F68" s="24" t="s">
        <v>59</v>
      </c>
      <c r="G68" s="24" t="s">
        <v>98</v>
      </c>
      <c r="H68" s="24" t="s">
        <v>99</v>
      </c>
      <c r="I68" s="24" t="s">
        <v>971</v>
      </c>
      <c r="J68" s="24" t="s">
        <v>972</v>
      </c>
      <c r="K68" s="24" t="s">
        <v>973</v>
      </c>
      <c r="L68" s="24" t="s">
        <v>119</v>
      </c>
      <c r="M68" s="24" t="s">
        <v>232</v>
      </c>
      <c r="N68" s="24" t="s">
        <v>856</v>
      </c>
      <c r="O68" s="24" t="s">
        <v>974</v>
      </c>
      <c r="P68" s="24" t="s">
        <v>975</v>
      </c>
      <c r="Q68" s="24" t="s">
        <v>976</v>
      </c>
      <c r="R68" s="24" t="s">
        <v>977</v>
      </c>
      <c r="S68" s="24" t="s">
        <v>978</v>
      </c>
      <c r="T68" s="24" t="s">
        <v>979</v>
      </c>
      <c r="U68" s="24" t="s">
        <v>980</v>
      </c>
      <c r="V68" s="24" t="s">
        <v>981</v>
      </c>
      <c r="W68" s="24" t="s">
        <v>182</v>
      </c>
      <c r="X68" s="24"/>
      <c r="Y68" s="24" t="s">
        <v>183</v>
      </c>
      <c r="Z68" s="24"/>
      <c r="AA68" s="24" t="s">
        <v>982</v>
      </c>
      <c r="AB68" s="25" t="n">
        <v>100</v>
      </c>
      <c r="AC68" s="24" t="s">
        <v>983</v>
      </c>
      <c r="AD68" s="24" t="s">
        <v>984</v>
      </c>
      <c r="AE68" s="24" t="s">
        <v>985</v>
      </c>
      <c r="AF68" s="24" t="s">
        <v>168</v>
      </c>
      <c r="AG68" s="24" t="s">
        <v>168</v>
      </c>
      <c r="AH68" s="24" t="s">
        <v>545</v>
      </c>
      <c r="AI68" s="25" t="n">
        <f aca="false">COUNTIF($B$2:$B$740,B68)</f>
        <v>1</v>
      </c>
    </row>
    <row r="69" customFormat="false" ht="38.4" hidden="false" customHeight="true" outlineLevel="0" collapsed="false">
      <c r="A69" s="26" t="n">
        <v>68</v>
      </c>
      <c r="B69" s="27" t="s">
        <v>986</v>
      </c>
      <c r="C69" s="24" t="s">
        <v>9</v>
      </c>
      <c r="D69" s="24" t="s">
        <v>96</v>
      </c>
      <c r="E69" s="24" t="s">
        <v>97</v>
      </c>
      <c r="F69" s="24" t="s">
        <v>59</v>
      </c>
      <c r="G69" s="24" t="s">
        <v>98</v>
      </c>
      <c r="H69" s="24" t="s">
        <v>99</v>
      </c>
      <c r="I69" s="24" t="s">
        <v>971</v>
      </c>
      <c r="J69" s="24" t="s">
        <v>987</v>
      </c>
      <c r="K69" s="24" t="s">
        <v>988</v>
      </c>
      <c r="L69" s="24" t="s">
        <v>119</v>
      </c>
      <c r="M69" s="24" t="s">
        <v>300</v>
      </c>
      <c r="N69" s="24" t="s">
        <v>989</v>
      </c>
      <c r="O69" s="24" t="s">
        <v>990</v>
      </c>
      <c r="P69" s="24" t="s">
        <v>991</v>
      </c>
      <c r="Q69" s="24" t="s">
        <v>992</v>
      </c>
      <c r="R69" s="24" t="s">
        <v>993</v>
      </c>
      <c r="S69" s="24" t="s">
        <v>994</v>
      </c>
      <c r="T69" s="24" t="s">
        <v>995</v>
      </c>
      <c r="U69" s="24" t="s">
        <v>990</v>
      </c>
      <c r="V69" s="24" t="s">
        <v>994</v>
      </c>
      <c r="W69" s="24" t="s">
        <v>996</v>
      </c>
      <c r="X69" s="24"/>
      <c r="Y69" s="24"/>
      <c r="Z69" s="24"/>
      <c r="AA69" s="24"/>
      <c r="AB69" s="25" t="n">
        <v>80</v>
      </c>
      <c r="AC69" s="24" t="s">
        <v>997</v>
      </c>
      <c r="AD69" s="24" t="s">
        <v>939</v>
      </c>
      <c r="AE69" s="24" t="s">
        <v>998</v>
      </c>
      <c r="AF69" s="24" t="s">
        <v>168</v>
      </c>
      <c r="AG69" s="24"/>
      <c r="AH69" s="24" t="s">
        <v>941</v>
      </c>
      <c r="AI69" s="25" t="n">
        <f aca="false">COUNTIF($B$2:$B$740,B69)</f>
        <v>1</v>
      </c>
    </row>
    <row r="70" customFormat="false" ht="76" hidden="false" customHeight="true" outlineLevel="0" collapsed="false">
      <c r="A70" s="21" t="n">
        <v>69</v>
      </c>
      <c r="B70" s="22" t="s">
        <v>999</v>
      </c>
      <c r="C70" s="23" t="s">
        <v>9</v>
      </c>
      <c r="D70" s="23" t="s">
        <v>96</v>
      </c>
      <c r="E70" s="23" t="s">
        <v>97</v>
      </c>
      <c r="F70" s="24" t="s">
        <v>59</v>
      </c>
      <c r="G70" s="24" t="s">
        <v>98</v>
      </c>
      <c r="H70" s="24" t="s">
        <v>99</v>
      </c>
      <c r="I70" s="24" t="s">
        <v>971</v>
      </c>
      <c r="J70" s="24" t="s">
        <v>1000</v>
      </c>
      <c r="K70" s="24" t="s">
        <v>1001</v>
      </c>
      <c r="L70" s="24" t="s">
        <v>119</v>
      </c>
      <c r="M70" s="24" t="s">
        <v>1002</v>
      </c>
      <c r="N70" s="24" t="s">
        <v>1003</v>
      </c>
      <c r="O70" s="24" t="s">
        <v>1004</v>
      </c>
      <c r="P70" s="24" t="s">
        <v>1005</v>
      </c>
      <c r="Q70" s="24" t="s">
        <v>1006</v>
      </c>
      <c r="R70" s="24" t="s">
        <v>1007</v>
      </c>
      <c r="S70" s="24" t="s">
        <v>1008</v>
      </c>
      <c r="T70" s="24" t="s">
        <v>1009</v>
      </c>
      <c r="U70" s="24"/>
      <c r="V70" s="24"/>
      <c r="W70" s="24" t="s">
        <v>1010</v>
      </c>
      <c r="X70" s="24"/>
      <c r="Y70" s="24"/>
      <c r="Z70" s="24"/>
      <c r="AA70" s="24"/>
      <c r="AB70" s="25" t="n">
        <v>10</v>
      </c>
      <c r="AC70" s="24" t="s">
        <v>1011</v>
      </c>
      <c r="AD70" s="24"/>
      <c r="AE70" s="24"/>
      <c r="AF70" s="24" t="s">
        <v>115</v>
      </c>
      <c r="AG70" s="24"/>
      <c r="AH70" s="24"/>
      <c r="AI70" s="25" t="n">
        <f aca="false">COUNTIF($B$2:$B$740,B70)</f>
        <v>1</v>
      </c>
    </row>
    <row r="71" customFormat="false" ht="67.2" hidden="false" customHeight="true" outlineLevel="0" collapsed="false">
      <c r="A71" s="26" t="n">
        <v>70</v>
      </c>
      <c r="B71" s="27" t="s">
        <v>1012</v>
      </c>
      <c r="C71" s="24" t="s">
        <v>9</v>
      </c>
      <c r="D71" s="24" t="s">
        <v>96</v>
      </c>
      <c r="E71" s="24" t="s">
        <v>97</v>
      </c>
      <c r="F71" s="24" t="s">
        <v>59</v>
      </c>
      <c r="G71" s="24" t="s">
        <v>98</v>
      </c>
      <c r="H71" s="24" t="s">
        <v>99</v>
      </c>
      <c r="I71" s="24" t="s">
        <v>971</v>
      </c>
      <c r="J71" s="24" t="s">
        <v>1013</v>
      </c>
      <c r="K71" s="24" t="s">
        <v>1001</v>
      </c>
      <c r="L71" s="24" t="s">
        <v>119</v>
      </c>
      <c r="M71" s="24" t="s">
        <v>1002</v>
      </c>
      <c r="N71" s="24" t="s">
        <v>1014</v>
      </c>
      <c r="O71" s="24" t="s">
        <v>1015</v>
      </c>
      <c r="P71" s="24" t="s">
        <v>1016</v>
      </c>
      <c r="Q71" s="24" t="s">
        <v>1017</v>
      </c>
      <c r="R71" s="24" t="s">
        <v>1018</v>
      </c>
      <c r="S71" s="24" t="s">
        <v>1019</v>
      </c>
      <c r="T71" s="24" t="s">
        <v>1020</v>
      </c>
      <c r="U71" s="24" t="s">
        <v>183</v>
      </c>
      <c r="V71" s="24"/>
      <c r="W71" s="24" t="s">
        <v>1021</v>
      </c>
      <c r="X71" s="24"/>
      <c r="Y71" s="24" t="s">
        <v>183</v>
      </c>
      <c r="Z71" s="24"/>
      <c r="AA71" s="24"/>
      <c r="AB71" s="25" t="n">
        <v>80</v>
      </c>
      <c r="AC71" s="24" t="s">
        <v>1022</v>
      </c>
      <c r="AD71" s="24" t="s">
        <v>939</v>
      </c>
      <c r="AE71" s="24" t="s">
        <v>1023</v>
      </c>
      <c r="AF71" s="24" t="s">
        <v>168</v>
      </c>
      <c r="AG71" s="24"/>
      <c r="AH71" s="24" t="s">
        <v>941</v>
      </c>
      <c r="AI71" s="25" t="n">
        <f aca="false">COUNTIF($B$2:$B$740,B71)</f>
        <v>1</v>
      </c>
    </row>
    <row r="72" customFormat="false" ht="76" hidden="false" customHeight="true" outlineLevel="0" collapsed="false">
      <c r="A72" s="21" t="n">
        <v>71</v>
      </c>
      <c r="B72" s="22" t="s">
        <v>1024</v>
      </c>
      <c r="C72" s="23" t="s">
        <v>9</v>
      </c>
      <c r="D72" s="23" t="s">
        <v>96</v>
      </c>
      <c r="E72" s="23" t="s">
        <v>97</v>
      </c>
      <c r="F72" s="24" t="s">
        <v>59</v>
      </c>
      <c r="G72" s="24" t="s">
        <v>98</v>
      </c>
      <c r="H72" s="24" t="s">
        <v>99</v>
      </c>
      <c r="I72" s="24" t="s">
        <v>971</v>
      </c>
      <c r="J72" s="24" t="s">
        <v>1025</v>
      </c>
      <c r="K72" s="24" t="s">
        <v>1026</v>
      </c>
      <c r="L72" s="24" t="s">
        <v>119</v>
      </c>
      <c r="M72" s="24" t="s">
        <v>1027</v>
      </c>
      <c r="N72" s="24" t="s">
        <v>856</v>
      </c>
      <c r="O72" s="24" t="s">
        <v>1028</v>
      </c>
      <c r="P72" s="24" t="s">
        <v>1029</v>
      </c>
      <c r="Q72" s="24" t="s">
        <v>1030</v>
      </c>
      <c r="R72" s="24" t="s">
        <v>1031</v>
      </c>
      <c r="S72" s="24" t="s">
        <v>1032</v>
      </c>
      <c r="T72" s="24" t="s">
        <v>1033</v>
      </c>
      <c r="U72" s="24"/>
      <c r="V72" s="24"/>
      <c r="W72" s="24" t="s">
        <v>1034</v>
      </c>
      <c r="X72" s="24"/>
      <c r="Y72" s="24"/>
      <c r="Z72" s="24"/>
      <c r="AA72" s="24"/>
      <c r="AB72" s="25" t="n">
        <v>10</v>
      </c>
      <c r="AC72" s="24" t="s">
        <v>1035</v>
      </c>
      <c r="AD72" s="24"/>
      <c r="AE72" s="24"/>
      <c r="AF72" s="24" t="s">
        <v>115</v>
      </c>
      <c r="AG72" s="24"/>
      <c r="AH72" s="24"/>
      <c r="AI72" s="25" t="n">
        <f aca="false">COUNTIF($B$2:$B$740,B72)</f>
        <v>1</v>
      </c>
    </row>
    <row r="73" customFormat="false" ht="38.4" hidden="false" customHeight="true" outlineLevel="0" collapsed="false">
      <c r="A73" s="26" t="n">
        <v>72</v>
      </c>
      <c r="B73" s="27" t="s">
        <v>1036</v>
      </c>
      <c r="C73" s="24" t="s">
        <v>9</v>
      </c>
      <c r="D73" s="24" t="s">
        <v>96</v>
      </c>
      <c r="E73" s="24" t="s">
        <v>97</v>
      </c>
      <c r="F73" s="24" t="s">
        <v>59</v>
      </c>
      <c r="G73" s="24" t="s">
        <v>98</v>
      </c>
      <c r="H73" s="24" t="s">
        <v>99</v>
      </c>
      <c r="I73" s="24" t="s">
        <v>971</v>
      </c>
      <c r="J73" s="24" t="s">
        <v>1037</v>
      </c>
      <c r="K73" s="24" t="s">
        <v>1038</v>
      </c>
      <c r="L73" s="24" t="s">
        <v>119</v>
      </c>
      <c r="M73" s="24" t="s">
        <v>1039</v>
      </c>
      <c r="N73" s="24" t="s">
        <v>856</v>
      </c>
      <c r="O73" s="24" t="s">
        <v>1040</v>
      </c>
      <c r="P73" s="24" t="s">
        <v>1041</v>
      </c>
      <c r="Q73" s="24" t="s">
        <v>1042</v>
      </c>
      <c r="R73" s="24" t="s">
        <v>1043</v>
      </c>
      <c r="S73" s="24" t="s">
        <v>1044</v>
      </c>
      <c r="T73" s="24" t="s">
        <v>1045</v>
      </c>
      <c r="U73" s="24"/>
      <c r="V73" s="24"/>
      <c r="W73" s="24" t="s">
        <v>1046</v>
      </c>
      <c r="X73" s="24"/>
      <c r="Y73" s="24"/>
      <c r="Z73" s="24"/>
      <c r="AA73" s="24"/>
      <c r="AB73" s="25" t="n">
        <v>70</v>
      </c>
      <c r="AC73" s="24" t="s">
        <v>1047</v>
      </c>
      <c r="AD73" s="24" t="s">
        <v>1048</v>
      </c>
      <c r="AE73" s="24" t="s">
        <v>1049</v>
      </c>
      <c r="AF73" s="24" t="s">
        <v>168</v>
      </c>
      <c r="AG73" s="24"/>
      <c r="AH73" s="24" t="s">
        <v>1050</v>
      </c>
      <c r="AI73" s="25" t="n">
        <f aca="false">COUNTIF($B$2:$B$740,B73)</f>
        <v>1</v>
      </c>
    </row>
    <row r="74" customFormat="false" ht="48" hidden="false" customHeight="true" outlineLevel="0" collapsed="false">
      <c r="A74" s="26" t="n">
        <v>73</v>
      </c>
      <c r="B74" s="27" t="s">
        <v>1051</v>
      </c>
      <c r="C74" s="24" t="s">
        <v>9</v>
      </c>
      <c r="D74" s="24" t="s">
        <v>96</v>
      </c>
      <c r="E74" s="24" t="s">
        <v>97</v>
      </c>
      <c r="F74" s="24" t="s">
        <v>59</v>
      </c>
      <c r="G74" s="24" t="s">
        <v>98</v>
      </c>
      <c r="H74" s="24" t="s">
        <v>99</v>
      </c>
      <c r="I74" s="24" t="s">
        <v>971</v>
      </c>
      <c r="J74" s="24" t="s">
        <v>1052</v>
      </c>
      <c r="K74" s="24" t="s">
        <v>1053</v>
      </c>
      <c r="L74" s="24" t="s">
        <v>119</v>
      </c>
      <c r="M74" s="24" t="s">
        <v>232</v>
      </c>
      <c r="N74" s="24" t="s">
        <v>856</v>
      </c>
      <c r="O74" s="24" t="s">
        <v>1054</v>
      </c>
      <c r="P74" s="24" t="s">
        <v>1055</v>
      </c>
      <c r="Q74" s="24" t="s">
        <v>1056</v>
      </c>
      <c r="R74" s="24" t="s">
        <v>1057</v>
      </c>
      <c r="S74" s="24" t="s">
        <v>1058</v>
      </c>
      <c r="T74" s="24" t="s">
        <v>1059</v>
      </c>
      <c r="U74" s="24" t="s">
        <v>1054</v>
      </c>
      <c r="V74" s="24" t="s">
        <v>1060</v>
      </c>
      <c r="W74" s="24" t="s">
        <v>1061</v>
      </c>
      <c r="X74" s="24"/>
      <c r="Y74" s="24"/>
      <c r="Z74" s="24"/>
      <c r="AA74" s="24"/>
      <c r="AB74" s="25" t="n">
        <v>80</v>
      </c>
      <c r="AC74" s="24" t="s">
        <v>1062</v>
      </c>
      <c r="AD74" s="24" t="s">
        <v>1063</v>
      </c>
      <c r="AE74" s="24" t="s">
        <v>1064</v>
      </c>
      <c r="AF74" s="24" t="s">
        <v>168</v>
      </c>
      <c r="AG74" s="24"/>
      <c r="AH74" s="24" t="s">
        <v>941</v>
      </c>
      <c r="AI74" s="25" t="n">
        <f aca="false">COUNTIF($B$2:$B$740,B74)</f>
        <v>1</v>
      </c>
    </row>
    <row r="75" customFormat="false" ht="57.6" hidden="false" customHeight="true" outlineLevel="0" collapsed="false">
      <c r="A75" s="26" t="n">
        <v>74</v>
      </c>
      <c r="B75" s="27" t="s">
        <v>1065</v>
      </c>
      <c r="C75" s="24" t="s">
        <v>9</v>
      </c>
      <c r="D75" s="24" t="s">
        <v>96</v>
      </c>
      <c r="E75" s="24" t="s">
        <v>97</v>
      </c>
      <c r="F75" s="24" t="s">
        <v>59</v>
      </c>
      <c r="G75" s="24" t="s">
        <v>98</v>
      </c>
      <c r="H75" s="24" t="s">
        <v>99</v>
      </c>
      <c r="I75" s="24" t="s">
        <v>971</v>
      </c>
      <c r="J75" s="24" t="s">
        <v>1066</v>
      </c>
      <c r="K75" s="24" t="s">
        <v>1067</v>
      </c>
      <c r="L75" s="24" t="s">
        <v>119</v>
      </c>
      <c r="M75" s="24" t="s">
        <v>232</v>
      </c>
      <c r="N75" s="24" t="s">
        <v>856</v>
      </c>
      <c r="O75" s="24" t="s">
        <v>1068</v>
      </c>
      <c r="P75" s="24" t="s">
        <v>1069</v>
      </c>
      <c r="Q75" s="24" t="s">
        <v>1070</v>
      </c>
      <c r="R75" s="24" t="s">
        <v>1071</v>
      </c>
      <c r="S75" s="24" t="s">
        <v>1072</v>
      </c>
      <c r="T75" s="24" t="s">
        <v>1073</v>
      </c>
      <c r="U75" s="24" t="s">
        <v>1074</v>
      </c>
      <c r="V75" s="24"/>
      <c r="W75" s="24" t="s">
        <v>1075</v>
      </c>
      <c r="X75" s="24"/>
      <c r="Y75" s="24"/>
      <c r="Z75" s="24"/>
      <c r="AA75" s="24"/>
      <c r="AB75" s="25" t="n">
        <v>70</v>
      </c>
      <c r="AC75" s="24" t="s">
        <v>1076</v>
      </c>
      <c r="AD75" s="24" t="s">
        <v>1077</v>
      </c>
      <c r="AE75" s="24" t="s">
        <v>1078</v>
      </c>
      <c r="AF75" s="24" t="s">
        <v>168</v>
      </c>
      <c r="AG75" s="24"/>
      <c r="AH75" s="24" t="s">
        <v>1050</v>
      </c>
      <c r="AI75" s="25" t="n">
        <f aca="false">COUNTIF($B$2:$B$740,B75)</f>
        <v>1</v>
      </c>
    </row>
    <row r="76" customFormat="false" ht="76" hidden="false" customHeight="true" outlineLevel="0" collapsed="false">
      <c r="A76" s="21" t="n">
        <v>75</v>
      </c>
      <c r="B76" s="22" t="s">
        <v>1079</v>
      </c>
      <c r="C76" s="23" t="s">
        <v>9</v>
      </c>
      <c r="D76" s="23" t="s">
        <v>96</v>
      </c>
      <c r="E76" s="23" t="s">
        <v>97</v>
      </c>
      <c r="F76" s="24" t="s">
        <v>59</v>
      </c>
      <c r="G76" s="24" t="s">
        <v>98</v>
      </c>
      <c r="H76" s="24" t="s">
        <v>99</v>
      </c>
      <c r="I76" s="24" t="s">
        <v>971</v>
      </c>
      <c r="J76" s="24" t="s">
        <v>1080</v>
      </c>
      <c r="K76" s="24" t="s">
        <v>1081</v>
      </c>
      <c r="L76" s="24" t="s">
        <v>119</v>
      </c>
      <c r="M76" s="24" t="s">
        <v>868</v>
      </c>
      <c r="N76" s="24" t="s">
        <v>1082</v>
      </c>
      <c r="O76" s="24" t="s">
        <v>1083</v>
      </c>
      <c r="P76" s="24" t="s">
        <v>1084</v>
      </c>
      <c r="Q76" s="24" t="s">
        <v>1085</v>
      </c>
      <c r="R76" s="24" t="s">
        <v>1086</v>
      </c>
      <c r="S76" s="24" t="s">
        <v>1087</v>
      </c>
      <c r="T76" s="24" t="s">
        <v>1088</v>
      </c>
      <c r="U76" s="24" t="s">
        <v>1086</v>
      </c>
      <c r="V76" s="24"/>
      <c r="W76" s="24" t="s">
        <v>1086</v>
      </c>
      <c r="X76" s="24"/>
      <c r="Y76" s="24"/>
      <c r="Z76" s="24"/>
      <c r="AA76" s="24"/>
      <c r="AB76" s="25" t="n">
        <v>10</v>
      </c>
      <c r="AC76" s="24" t="s">
        <v>1089</v>
      </c>
      <c r="AD76" s="24"/>
      <c r="AE76" s="24"/>
      <c r="AF76" s="24" t="s">
        <v>115</v>
      </c>
      <c r="AG76" s="24"/>
      <c r="AH76" s="24"/>
      <c r="AI76" s="25" t="n">
        <f aca="false">COUNTIF($B$2:$B$740,B76)</f>
        <v>1</v>
      </c>
    </row>
    <row r="77" customFormat="false" ht="76" hidden="false" customHeight="true" outlineLevel="0" collapsed="false">
      <c r="A77" s="21" t="n">
        <v>76</v>
      </c>
      <c r="B77" s="22" t="s">
        <v>878</v>
      </c>
      <c r="C77" s="23" t="s">
        <v>9</v>
      </c>
      <c r="D77" s="23" t="s">
        <v>96</v>
      </c>
      <c r="E77" s="23" t="s">
        <v>97</v>
      </c>
      <c r="F77" s="24" t="s">
        <v>59</v>
      </c>
      <c r="G77" s="24" t="s">
        <v>98</v>
      </c>
      <c r="H77" s="24" t="s">
        <v>99</v>
      </c>
      <c r="I77" s="24" t="s">
        <v>971</v>
      </c>
      <c r="J77" s="24" t="s">
        <v>1090</v>
      </c>
      <c r="K77" s="24" t="s">
        <v>1091</v>
      </c>
      <c r="L77" s="24" t="s">
        <v>119</v>
      </c>
      <c r="M77" s="24" t="s">
        <v>868</v>
      </c>
      <c r="N77" s="24" t="s">
        <v>1092</v>
      </c>
      <c r="O77" s="24" t="s">
        <v>1093</v>
      </c>
      <c r="P77" s="24" t="s">
        <v>1094</v>
      </c>
      <c r="Q77" s="24" t="s">
        <v>1095</v>
      </c>
      <c r="R77" s="24" t="s">
        <v>1096</v>
      </c>
      <c r="S77" s="24" t="s">
        <v>1097</v>
      </c>
      <c r="T77" s="24" t="s">
        <v>1098</v>
      </c>
      <c r="U77" s="24"/>
      <c r="V77" s="24" t="s">
        <v>1097</v>
      </c>
      <c r="W77" s="24"/>
      <c r="X77" s="24"/>
      <c r="Y77" s="24"/>
      <c r="Z77" s="24"/>
      <c r="AA77" s="24"/>
      <c r="AB77" s="25" t="n">
        <v>10</v>
      </c>
      <c r="AC77" s="24" t="s">
        <v>1099</v>
      </c>
      <c r="AD77" s="24"/>
      <c r="AE77" s="24" t="s">
        <v>865</v>
      </c>
      <c r="AF77" s="24" t="s">
        <v>115</v>
      </c>
      <c r="AG77" s="24"/>
      <c r="AH77" s="24"/>
      <c r="AI77" s="25" t="n">
        <f aca="false">COUNTIF($B$2:$B$740,B77)</f>
        <v>1</v>
      </c>
    </row>
    <row r="78" customFormat="false" ht="48" hidden="false" customHeight="true" outlineLevel="0" collapsed="false">
      <c r="A78" s="26" t="n">
        <v>77</v>
      </c>
      <c r="B78" s="27" t="s">
        <v>1100</v>
      </c>
      <c r="C78" s="24" t="s">
        <v>9</v>
      </c>
      <c r="D78" s="24" t="s">
        <v>96</v>
      </c>
      <c r="E78" s="24" t="s">
        <v>97</v>
      </c>
      <c r="F78" s="24" t="s">
        <v>59</v>
      </c>
      <c r="G78" s="24" t="s">
        <v>98</v>
      </c>
      <c r="H78" s="24" t="s">
        <v>99</v>
      </c>
      <c r="I78" s="24" t="s">
        <v>971</v>
      </c>
      <c r="J78" s="24" t="s">
        <v>1101</v>
      </c>
      <c r="K78" s="24" t="s">
        <v>1102</v>
      </c>
      <c r="L78" s="24" t="s">
        <v>119</v>
      </c>
      <c r="M78" s="24" t="s">
        <v>458</v>
      </c>
      <c r="N78" s="24" t="s">
        <v>1103</v>
      </c>
      <c r="O78" s="24" t="s">
        <v>1104</v>
      </c>
      <c r="P78" s="24" t="s">
        <v>1105</v>
      </c>
      <c r="Q78" s="24" t="s">
        <v>1106</v>
      </c>
      <c r="R78" s="24" t="s">
        <v>1107</v>
      </c>
      <c r="S78" s="24" t="s">
        <v>1108</v>
      </c>
      <c r="T78" s="24" t="s">
        <v>1109</v>
      </c>
      <c r="U78" s="24" t="s">
        <v>1110</v>
      </c>
      <c r="V78" s="24"/>
      <c r="W78" s="24" t="s">
        <v>1111</v>
      </c>
      <c r="X78" s="24"/>
      <c r="Y78" s="24" t="s">
        <v>1110</v>
      </c>
      <c r="Z78" s="24"/>
      <c r="AA78" s="24"/>
      <c r="AB78" s="25" t="n">
        <v>100</v>
      </c>
      <c r="AC78" s="24" t="s">
        <v>1112</v>
      </c>
      <c r="AD78" s="24" t="s">
        <v>543</v>
      </c>
      <c r="AE78" s="24" t="s">
        <v>1113</v>
      </c>
      <c r="AF78" s="24" t="s">
        <v>168</v>
      </c>
      <c r="AG78" s="24" t="s">
        <v>168</v>
      </c>
      <c r="AH78" s="24" t="s">
        <v>545</v>
      </c>
      <c r="AI78" s="25" t="n">
        <f aca="false">COUNTIF($B$2:$B$740,B78)</f>
        <v>1</v>
      </c>
    </row>
    <row r="79" customFormat="false" ht="57.6" hidden="false" customHeight="true" outlineLevel="0" collapsed="false">
      <c r="A79" s="26" t="n">
        <v>78</v>
      </c>
      <c r="B79" s="27" t="s">
        <v>1114</v>
      </c>
      <c r="C79" s="24" t="s">
        <v>9</v>
      </c>
      <c r="D79" s="24" t="s">
        <v>96</v>
      </c>
      <c r="E79" s="24" t="s">
        <v>97</v>
      </c>
      <c r="F79" s="24" t="s">
        <v>59</v>
      </c>
      <c r="G79" s="24" t="s">
        <v>98</v>
      </c>
      <c r="H79" s="24" t="s">
        <v>99</v>
      </c>
      <c r="I79" s="24" t="s">
        <v>971</v>
      </c>
      <c r="J79" s="24" t="s">
        <v>1115</v>
      </c>
      <c r="K79" s="24" t="s">
        <v>1116</v>
      </c>
      <c r="L79" s="24" t="s">
        <v>119</v>
      </c>
      <c r="M79" s="24" t="s">
        <v>458</v>
      </c>
      <c r="N79" s="24" t="s">
        <v>1117</v>
      </c>
      <c r="O79" s="24" t="s">
        <v>1118</v>
      </c>
      <c r="P79" s="24" t="s">
        <v>1119</v>
      </c>
      <c r="Q79" s="24" t="s">
        <v>1120</v>
      </c>
      <c r="R79" s="24" t="s">
        <v>1121</v>
      </c>
      <c r="S79" s="24" t="s">
        <v>1122</v>
      </c>
      <c r="T79" s="24" t="s">
        <v>1123</v>
      </c>
      <c r="U79" s="24" t="s">
        <v>1124</v>
      </c>
      <c r="V79" s="24"/>
      <c r="W79" s="24" t="s">
        <v>1125</v>
      </c>
      <c r="X79" s="24"/>
      <c r="Y79" s="24"/>
      <c r="Z79" s="24"/>
      <c r="AA79" s="24"/>
      <c r="AB79" s="25" t="n">
        <v>100</v>
      </c>
      <c r="AC79" s="24" t="s">
        <v>1126</v>
      </c>
      <c r="AD79" s="24" t="s">
        <v>543</v>
      </c>
      <c r="AE79" s="24" t="s">
        <v>1127</v>
      </c>
      <c r="AF79" s="24" t="s">
        <v>168</v>
      </c>
      <c r="AG79" s="24" t="s">
        <v>168</v>
      </c>
      <c r="AH79" s="24" t="s">
        <v>545</v>
      </c>
      <c r="AI79" s="25" t="n">
        <f aca="false">COUNTIF($B$2:$B$740,B79)</f>
        <v>1</v>
      </c>
    </row>
    <row r="80" customFormat="false" ht="48" hidden="false" customHeight="true" outlineLevel="0" collapsed="false">
      <c r="A80" s="26" t="n">
        <v>79</v>
      </c>
      <c r="B80" s="27" t="s">
        <v>1128</v>
      </c>
      <c r="C80" s="24" t="s">
        <v>9</v>
      </c>
      <c r="D80" s="24" t="s">
        <v>96</v>
      </c>
      <c r="E80" s="24" t="s">
        <v>97</v>
      </c>
      <c r="F80" s="24" t="s">
        <v>59</v>
      </c>
      <c r="G80" s="24" t="s">
        <v>98</v>
      </c>
      <c r="H80" s="24" t="s">
        <v>99</v>
      </c>
      <c r="I80" s="24" t="s">
        <v>971</v>
      </c>
      <c r="J80" s="24" t="s">
        <v>1129</v>
      </c>
      <c r="K80" s="24" t="s">
        <v>1130</v>
      </c>
      <c r="L80" s="24" t="s">
        <v>119</v>
      </c>
      <c r="M80" s="24" t="s">
        <v>458</v>
      </c>
      <c r="N80" s="24" t="s">
        <v>1131</v>
      </c>
      <c r="O80" s="24" t="s">
        <v>1132</v>
      </c>
      <c r="P80" s="24" t="s">
        <v>1133</v>
      </c>
      <c r="Q80" s="24" t="s">
        <v>1134</v>
      </c>
      <c r="R80" s="24" t="s">
        <v>1135</v>
      </c>
      <c r="S80" s="24" t="s">
        <v>1136</v>
      </c>
      <c r="T80" s="24" t="s">
        <v>1109</v>
      </c>
      <c r="U80" s="24" t="s">
        <v>1137</v>
      </c>
      <c r="V80" s="24"/>
      <c r="W80" s="24" t="s">
        <v>1137</v>
      </c>
      <c r="X80" s="24"/>
      <c r="Y80" s="24"/>
      <c r="Z80" s="24"/>
      <c r="AA80" s="24"/>
      <c r="AB80" s="25" t="n">
        <v>100</v>
      </c>
      <c r="AC80" s="24" t="s">
        <v>1138</v>
      </c>
      <c r="AD80" s="24" t="s">
        <v>543</v>
      </c>
      <c r="AE80" s="24" t="s">
        <v>1139</v>
      </c>
      <c r="AF80" s="24" t="s">
        <v>168</v>
      </c>
      <c r="AG80" s="24" t="s">
        <v>168</v>
      </c>
      <c r="AH80" s="24" t="s">
        <v>545</v>
      </c>
      <c r="AI80" s="25" t="n">
        <f aca="false">COUNTIF($B$2:$B$740,B80)</f>
        <v>1</v>
      </c>
    </row>
    <row r="81" customFormat="false" ht="57.6" hidden="false" customHeight="true" outlineLevel="0" collapsed="false">
      <c r="A81" s="26" t="n">
        <v>80</v>
      </c>
      <c r="B81" s="27" t="s">
        <v>1140</v>
      </c>
      <c r="C81" s="24" t="s">
        <v>9</v>
      </c>
      <c r="D81" s="24" t="s">
        <v>96</v>
      </c>
      <c r="E81" s="24" t="s">
        <v>97</v>
      </c>
      <c r="F81" s="24" t="s">
        <v>59</v>
      </c>
      <c r="G81" s="24" t="s">
        <v>98</v>
      </c>
      <c r="H81" s="24" t="s">
        <v>99</v>
      </c>
      <c r="I81" s="24" t="s">
        <v>971</v>
      </c>
      <c r="J81" s="24" t="s">
        <v>1141</v>
      </c>
      <c r="K81" s="24" t="s">
        <v>1142</v>
      </c>
      <c r="L81" s="24" t="s">
        <v>119</v>
      </c>
      <c r="M81" s="24" t="s">
        <v>1143</v>
      </c>
      <c r="N81" s="24" t="s">
        <v>1144</v>
      </c>
      <c r="O81" s="24" t="s">
        <v>1145</v>
      </c>
      <c r="P81" s="24" t="s">
        <v>1146</v>
      </c>
      <c r="Q81" s="24" t="s">
        <v>1147</v>
      </c>
      <c r="R81" s="24" t="s">
        <v>1148</v>
      </c>
      <c r="S81" s="24" t="s">
        <v>1149</v>
      </c>
      <c r="T81" s="24" t="s">
        <v>1150</v>
      </c>
      <c r="U81" s="24"/>
      <c r="V81" s="24"/>
      <c r="W81" s="24"/>
      <c r="X81" s="24"/>
      <c r="Y81" s="24"/>
      <c r="Z81" s="24"/>
      <c r="AA81" s="24" t="s">
        <v>1151</v>
      </c>
      <c r="AB81" s="25" t="n">
        <v>100</v>
      </c>
      <c r="AC81" s="24" t="s">
        <v>1152</v>
      </c>
      <c r="AD81" s="24" t="s">
        <v>1153</v>
      </c>
      <c r="AE81" s="24" t="s">
        <v>1154</v>
      </c>
      <c r="AF81" s="24" t="s">
        <v>168</v>
      </c>
      <c r="AG81" s="24" t="s">
        <v>168</v>
      </c>
      <c r="AH81" s="24" t="s">
        <v>545</v>
      </c>
      <c r="AI81" s="25" t="n">
        <f aca="false">COUNTIF($B$2:$B$740,B81)</f>
        <v>1</v>
      </c>
    </row>
    <row r="82" customFormat="false" ht="76" hidden="false" customHeight="true" outlineLevel="0" collapsed="false">
      <c r="A82" s="21" t="n">
        <v>81</v>
      </c>
      <c r="B82" s="22" t="s">
        <v>1155</v>
      </c>
      <c r="C82" s="23" t="s">
        <v>9</v>
      </c>
      <c r="D82" s="23" t="s">
        <v>96</v>
      </c>
      <c r="E82" s="23" t="s">
        <v>97</v>
      </c>
      <c r="F82" s="24" t="s">
        <v>59</v>
      </c>
      <c r="G82" s="24" t="s">
        <v>98</v>
      </c>
      <c r="H82" s="24" t="s">
        <v>99</v>
      </c>
      <c r="I82" s="24" t="s">
        <v>1156</v>
      </c>
      <c r="J82" s="24" t="s">
        <v>1157</v>
      </c>
      <c r="K82" s="24" t="s">
        <v>1158</v>
      </c>
      <c r="L82" s="24" t="s">
        <v>119</v>
      </c>
      <c r="M82" s="24" t="s">
        <v>1159</v>
      </c>
      <c r="N82" s="24" t="s">
        <v>1160</v>
      </c>
      <c r="O82" s="24" t="s">
        <v>1161</v>
      </c>
      <c r="P82" s="24" t="s">
        <v>1162</v>
      </c>
      <c r="Q82" s="24" t="s">
        <v>1163</v>
      </c>
      <c r="R82" s="24" t="s">
        <v>1164</v>
      </c>
      <c r="S82" s="24" t="s">
        <v>1165</v>
      </c>
      <c r="T82" s="24" t="s">
        <v>1166</v>
      </c>
      <c r="U82" s="24"/>
      <c r="V82" s="24" t="s">
        <v>1167</v>
      </c>
      <c r="W82" s="24" t="s">
        <v>1168</v>
      </c>
      <c r="X82" s="24"/>
      <c r="Y82" s="24"/>
      <c r="Z82" s="24"/>
      <c r="AA82" s="24"/>
      <c r="AB82" s="25" t="n">
        <v>10</v>
      </c>
      <c r="AC82" s="24" t="s">
        <v>1169</v>
      </c>
      <c r="AD82" s="24"/>
      <c r="AE82" s="24"/>
      <c r="AF82" s="24" t="s">
        <v>115</v>
      </c>
      <c r="AG82" s="24"/>
      <c r="AH82" s="24"/>
      <c r="AI82" s="25" t="n">
        <f aca="false">COUNTIF($B$2:$B$740,B82)</f>
        <v>1</v>
      </c>
    </row>
    <row r="83" customFormat="false" ht="76" hidden="false" customHeight="true" outlineLevel="0" collapsed="false">
      <c r="A83" s="21" t="n">
        <v>82</v>
      </c>
      <c r="B83" s="22" t="s">
        <v>480</v>
      </c>
      <c r="C83" s="23" t="s">
        <v>9</v>
      </c>
      <c r="D83" s="23" t="s">
        <v>96</v>
      </c>
      <c r="E83" s="23" t="s">
        <v>97</v>
      </c>
      <c r="F83" s="24" t="s">
        <v>59</v>
      </c>
      <c r="G83" s="24" t="s">
        <v>98</v>
      </c>
      <c r="H83" s="24" t="s">
        <v>99</v>
      </c>
      <c r="I83" s="24" t="s">
        <v>1156</v>
      </c>
      <c r="J83" s="24" t="s">
        <v>1170</v>
      </c>
      <c r="K83" s="24" t="s">
        <v>1171</v>
      </c>
      <c r="L83" s="24" t="s">
        <v>119</v>
      </c>
      <c r="M83" s="24" t="s">
        <v>1172</v>
      </c>
      <c r="N83" s="24" t="s">
        <v>1160</v>
      </c>
      <c r="O83" s="24" t="s">
        <v>1173</v>
      </c>
      <c r="P83" s="24" t="s">
        <v>1174</v>
      </c>
      <c r="Q83" s="24" t="s">
        <v>1175</v>
      </c>
      <c r="R83" s="24" t="s">
        <v>1176</v>
      </c>
      <c r="S83" s="24" t="s">
        <v>1177</v>
      </c>
      <c r="T83" s="24" t="s">
        <v>1178</v>
      </c>
      <c r="U83" s="24"/>
      <c r="V83" s="24" t="s">
        <v>1179</v>
      </c>
      <c r="W83" s="24"/>
      <c r="X83" s="24"/>
      <c r="Y83" s="24"/>
      <c r="Z83" s="24"/>
      <c r="AA83" s="24"/>
      <c r="AB83" s="25" t="n">
        <v>10</v>
      </c>
      <c r="AC83" s="24" t="s">
        <v>1169</v>
      </c>
      <c r="AD83" s="24"/>
      <c r="AE83" s="24" t="s">
        <v>454</v>
      </c>
      <c r="AF83" s="24" t="s">
        <v>115</v>
      </c>
      <c r="AG83" s="24"/>
      <c r="AH83" s="24"/>
      <c r="AI83" s="25" t="n">
        <f aca="false">COUNTIF($B$2:$B$740,B83)</f>
        <v>1</v>
      </c>
    </row>
    <row r="84" customFormat="false" ht="76" hidden="false" customHeight="true" outlineLevel="0" collapsed="false">
      <c r="A84" s="21" t="n">
        <v>83</v>
      </c>
      <c r="B84" s="22" t="s">
        <v>1180</v>
      </c>
      <c r="C84" s="23" t="s">
        <v>9</v>
      </c>
      <c r="D84" s="23" t="s">
        <v>96</v>
      </c>
      <c r="E84" s="23" t="s">
        <v>97</v>
      </c>
      <c r="F84" s="24" t="s">
        <v>59</v>
      </c>
      <c r="G84" s="24" t="s">
        <v>98</v>
      </c>
      <c r="H84" s="24" t="s">
        <v>99</v>
      </c>
      <c r="I84" s="24" t="s">
        <v>1156</v>
      </c>
      <c r="J84" s="24" t="s">
        <v>1181</v>
      </c>
      <c r="K84" s="24" t="s">
        <v>1182</v>
      </c>
      <c r="L84" s="24" t="s">
        <v>1183</v>
      </c>
      <c r="M84" s="24" t="s">
        <v>1184</v>
      </c>
      <c r="N84" s="24" t="s">
        <v>1185</v>
      </c>
      <c r="O84" s="24" t="s">
        <v>1186</v>
      </c>
      <c r="P84" s="24" t="s">
        <v>1187</v>
      </c>
      <c r="Q84" s="24" t="s">
        <v>1188</v>
      </c>
      <c r="R84" s="24" t="s">
        <v>1189</v>
      </c>
      <c r="S84" s="24" t="s">
        <v>1190</v>
      </c>
      <c r="T84" s="24" t="s">
        <v>1191</v>
      </c>
      <c r="U84" s="24"/>
      <c r="V84" s="24"/>
      <c r="W84" s="24"/>
      <c r="X84" s="24" t="s">
        <v>1187</v>
      </c>
      <c r="Y84" s="24"/>
      <c r="Z84" s="24" t="s">
        <v>1189</v>
      </c>
      <c r="AA84" s="24"/>
      <c r="AB84" s="25" t="n">
        <v>10</v>
      </c>
      <c r="AC84" s="24" t="s">
        <v>1169</v>
      </c>
      <c r="AD84" s="24"/>
      <c r="AE84" s="24" t="s">
        <v>1192</v>
      </c>
      <c r="AF84" s="24" t="s">
        <v>115</v>
      </c>
      <c r="AG84" s="24"/>
      <c r="AH84" s="24"/>
      <c r="AI84" s="25" t="n">
        <f aca="false">COUNTIF($B$2:$B$740,B84)</f>
        <v>1</v>
      </c>
    </row>
    <row r="85" customFormat="false" ht="76" hidden="false" customHeight="true" outlineLevel="0" collapsed="false">
      <c r="A85" s="21" t="n">
        <v>84</v>
      </c>
      <c r="B85" s="22" t="s">
        <v>1192</v>
      </c>
      <c r="C85" s="23" t="s">
        <v>9</v>
      </c>
      <c r="D85" s="23" t="s">
        <v>96</v>
      </c>
      <c r="E85" s="23" t="s">
        <v>97</v>
      </c>
      <c r="F85" s="24" t="s">
        <v>59</v>
      </c>
      <c r="G85" s="24" t="s">
        <v>98</v>
      </c>
      <c r="H85" s="24" t="s">
        <v>99</v>
      </c>
      <c r="I85" s="24" t="s">
        <v>1156</v>
      </c>
      <c r="J85" s="24" t="s">
        <v>1193</v>
      </c>
      <c r="K85" s="24" t="s">
        <v>1194</v>
      </c>
      <c r="L85" s="24" t="s">
        <v>1183</v>
      </c>
      <c r="M85" s="24" t="s">
        <v>1195</v>
      </c>
      <c r="N85" s="24" t="s">
        <v>1196</v>
      </c>
      <c r="O85" s="24" t="s">
        <v>1197</v>
      </c>
      <c r="P85" s="24" t="s">
        <v>1198</v>
      </c>
      <c r="Q85" s="24" t="s">
        <v>1199</v>
      </c>
      <c r="R85" s="24" t="s">
        <v>1200</v>
      </c>
      <c r="S85" s="24" t="s">
        <v>1201</v>
      </c>
      <c r="T85" s="24" t="s">
        <v>1202</v>
      </c>
      <c r="U85" s="24" t="s">
        <v>1200</v>
      </c>
      <c r="V85" s="24" t="s">
        <v>1200</v>
      </c>
      <c r="W85" s="24"/>
      <c r="X85" s="24"/>
      <c r="Y85" s="24"/>
      <c r="Z85" s="24"/>
      <c r="AA85" s="24"/>
      <c r="AB85" s="25" t="n">
        <v>10</v>
      </c>
      <c r="AC85" s="24" t="s">
        <v>1169</v>
      </c>
      <c r="AD85" s="24"/>
      <c r="AE85" s="24"/>
      <c r="AF85" s="24" t="s">
        <v>115</v>
      </c>
      <c r="AG85" s="24"/>
      <c r="AH85" s="24"/>
      <c r="AI85" s="25" t="n">
        <f aca="false">COUNTIF($B$2:$B$740,B85)</f>
        <v>1</v>
      </c>
    </row>
    <row r="86" customFormat="false" ht="38.4" hidden="false" customHeight="true" outlineLevel="0" collapsed="false">
      <c r="A86" s="26" t="n">
        <v>85</v>
      </c>
      <c r="B86" s="27" t="s">
        <v>114</v>
      </c>
      <c r="C86" s="24" t="s">
        <v>9</v>
      </c>
      <c r="D86" s="24" t="s">
        <v>96</v>
      </c>
      <c r="E86" s="24" t="s">
        <v>97</v>
      </c>
      <c r="F86" s="24" t="s">
        <v>59</v>
      </c>
      <c r="G86" s="24" t="s">
        <v>98</v>
      </c>
      <c r="H86" s="24" t="s">
        <v>99</v>
      </c>
      <c r="I86" s="24" t="s">
        <v>59</v>
      </c>
      <c r="J86" s="24" t="s">
        <v>1203</v>
      </c>
      <c r="K86" s="24" t="s">
        <v>1204</v>
      </c>
      <c r="L86" s="24" t="s">
        <v>103</v>
      </c>
      <c r="M86" s="24" t="s">
        <v>1205</v>
      </c>
      <c r="N86" s="24" t="s">
        <v>1206</v>
      </c>
      <c r="O86" s="24" t="s">
        <v>1207</v>
      </c>
      <c r="P86" s="24" t="s">
        <v>1208</v>
      </c>
      <c r="Q86" s="24" t="s">
        <v>1209</v>
      </c>
      <c r="R86" s="24" t="s">
        <v>1210</v>
      </c>
      <c r="S86" s="24" t="s">
        <v>1211</v>
      </c>
      <c r="T86" s="24" t="s">
        <v>1212</v>
      </c>
      <c r="U86" s="24"/>
      <c r="V86" s="24"/>
      <c r="W86" s="24"/>
      <c r="X86" s="24"/>
      <c r="Y86" s="24"/>
      <c r="Z86" s="24"/>
      <c r="AA86" s="24"/>
      <c r="AB86" s="25" t="n">
        <v>70</v>
      </c>
      <c r="AC86" s="24" t="s">
        <v>1213</v>
      </c>
      <c r="AD86" s="24" t="s">
        <v>1214</v>
      </c>
      <c r="AE86" s="24" t="s">
        <v>1215</v>
      </c>
      <c r="AF86" s="24" t="s">
        <v>168</v>
      </c>
      <c r="AG86" s="24"/>
      <c r="AH86" s="24" t="s">
        <v>1050</v>
      </c>
      <c r="AI86" s="25" t="n">
        <f aca="false">COUNTIF($B$2:$B$740,B86)</f>
        <v>1</v>
      </c>
    </row>
    <row r="87" customFormat="false" ht="76" hidden="false" customHeight="true" outlineLevel="0" collapsed="false">
      <c r="A87" s="21" t="n">
        <v>86</v>
      </c>
      <c r="B87" s="22" t="s">
        <v>1216</v>
      </c>
      <c r="C87" s="23" t="s">
        <v>9</v>
      </c>
      <c r="D87" s="23" t="s">
        <v>96</v>
      </c>
      <c r="E87" s="23" t="s">
        <v>97</v>
      </c>
      <c r="F87" s="24" t="s">
        <v>59</v>
      </c>
      <c r="G87" s="24" t="s">
        <v>98</v>
      </c>
      <c r="H87" s="24" t="s">
        <v>99</v>
      </c>
      <c r="I87" s="24" t="s">
        <v>59</v>
      </c>
      <c r="J87" s="24" t="s">
        <v>1217</v>
      </c>
      <c r="K87" s="24" t="s">
        <v>1218</v>
      </c>
      <c r="L87" s="24" t="s">
        <v>103</v>
      </c>
      <c r="M87" s="24" t="s">
        <v>605</v>
      </c>
      <c r="N87" s="24" t="s">
        <v>1219</v>
      </c>
      <c r="O87" s="24" t="s">
        <v>1220</v>
      </c>
      <c r="P87" s="24" t="s">
        <v>1221</v>
      </c>
      <c r="Q87" s="24" t="s">
        <v>1222</v>
      </c>
      <c r="R87" s="24" t="s">
        <v>1223</v>
      </c>
      <c r="S87" s="24" t="s">
        <v>1224</v>
      </c>
      <c r="T87" s="24" t="s">
        <v>1225</v>
      </c>
      <c r="U87" s="24"/>
      <c r="V87" s="24"/>
      <c r="W87" s="24" t="s">
        <v>1226</v>
      </c>
      <c r="X87" s="24"/>
      <c r="Y87" s="24"/>
      <c r="Z87" s="24"/>
      <c r="AA87" s="24"/>
      <c r="AB87" s="25" t="n">
        <v>10</v>
      </c>
      <c r="AC87" s="24" t="s">
        <v>1227</v>
      </c>
      <c r="AD87" s="24"/>
      <c r="AE87" s="24"/>
      <c r="AF87" s="24" t="s">
        <v>115</v>
      </c>
      <c r="AG87" s="24"/>
      <c r="AH87" s="24"/>
      <c r="AI87" s="25" t="n">
        <f aca="false">COUNTIF($B$2:$B$740,B87)</f>
        <v>1</v>
      </c>
    </row>
    <row r="88" customFormat="false" ht="76" hidden="false" customHeight="true" outlineLevel="0" collapsed="false">
      <c r="A88" s="21" t="n">
        <v>87</v>
      </c>
      <c r="B88" s="22" t="s">
        <v>1228</v>
      </c>
      <c r="C88" s="23" t="s">
        <v>9</v>
      </c>
      <c r="D88" s="23" t="s">
        <v>96</v>
      </c>
      <c r="E88" s="23" t="s">
        <v>97</v>
      </c>
      <c r="F88" s="24" t="s">
        <v>59</v>
      </c>
      <c r="G88" s="24" t="s">
        <v>98</v>
      </c>
      <c r="H88" s="24" t="s">
        <v>99</v>
      </c>
      <c r="I88" s="24" t="s">
        <v>59</v>
      </c>
      <c r="J88" s="24" t="s">
        <v>1229</v>
      </c>
      <c r="K88" s="24" t="s">
        <v>1230</v>
      </c>
      <c r="L88" s="24" t="s">
        <v>103</v>
      </c>
      <c r="M88" s="24" t="s">
        <v>605</v>
      </c>
      <c r="N88" s="24" t="s">
        <v>1231</v>
      </c>
      <c r="O88" s="24" t="s">
        <v>1232</v>
      </c>
      <c r="P88" s="24" t="s">
        <v>1233</v>
      </c>
      <c r="Q88" s="24" t="s">
        <v>1234</v>
      </c>
      <c r="R88" s="24" t="s">
        <v>1235</v>
      </c>
      <c r="S88" s="24" t="s">
        <v>1236</v>
      </c>
      <c r="T88" s="24" t="s">
        <v>1237</v>
      </c>
      <c r="U88" s="24" t="s">
        <v>1238</v>
      </c>
      <c r="V88" s="24" t="s">
        <v>1233</v>
      </c>
      <c r="W88" s="24" t="s">
        <v>1239</v>
      </c>
      <c r="X88" s="24"/>
      <c r="Y88" s="24" t="s">
        <v>183</v>
      </c>
      <c r="Z88" s="24"/>
      <c r="AA88" s="24"/>
      <c r="AB88" s="25" t="n">
        <v>10</v>
      </c>
      <c r="AC88" s="24" t="s">
        <v>1240</v>
      </c>
      <c r="AD88" s="24"/>
      <c r="AE88" s="24" t="s">
        <v>1241</v>
      </c>
      <c r="AF88" s="24" t="s">
        <v>115</v>
      </c>
      <c r="AG88" s="24"/>
      <c r="AH88" s="24"/>
      <c r="AI88" s="25" t="n">
        <f aca="false">COUNTIF($B$2:$B$740,B88)</f>
        <v>1</v>
      </c>
    </row>
    <row r="89" customFormat="false" ht="76" hidden="false" customHeight="true" outlineLevel="0" collapsed="false">
      <c r="A89" s="21" t="n">
        <v>88</v>
      </c>
      <c r="B89" s="22" t="s">
        <v>1242</v>
      </c>
      <c r="C89" s="23" t="s">
        <v>9</v>
      </c>
      <c r="D89" s="23" t="s">
        <v>96</v>
      </c>
      <c r="E89" s="23" t="s">
        <v>97</v>
      </c>
      <c r="F89" s="24" t="s">
        <v>59</v>
      </c>
      <c r="G89" s="24" t="s">
        <v>98</v>
      </c>
      <c r="H89" s="24" t="s">
        <v>99</v>
      </c>
      <c r="I89" s="24" t="s">
        <v>59</v>
      </c>
      <c r="J89" s="24" t="s">
        <v>1243</v>
      </c>
      <c r="K89" s="24" t="s">
        <v>1244</v>
      </c>
      <c r="L89" s="24" t="s">
        <v>119</v>
      </c>
      <c r="M89" s="24" t="s">
        <v>1245</v>
      </c>
      <c r="N89" s="24" t="s">
        <v>1246</v>
      </c>
      <c r="O89" s="24" t="s">
        <v>1247</v>
      </c>
      <c r="P89" s="24" t="s">
        <v>1248</v>
      </c>
      <c r="Q89" s="24" t="s">
        <v>1249</v>
      </c>
      <c r="R89" s="24" t="s">
        <v>1250</v>
      </c>
      <c r="S89" s="24" t="s">
        <v>1251</v>
      </c>
      <c r="T89" s="24" t="s">
        <v>1252</v>
      </c>
      <c r="U89" s="24"/>
      <c r="V89" s="24"/>
      <c r="W89" s="24" t="s">
        <v>1249</v>
      </c>
      <c r="X89" s="24"/>
      <c r="Y89" s="24"/>
      <c r="Z89" s="24"/>
      <c r="AA89" s="24"/>
      <c r="AB89" s="25" t="n">
        <v>10</v>
      </c>
      <c r="AC89" s="24" t="s">
        <v>1253</v>
      </c>
      <c r="AD89" s="24"/>
      <c r="AE89" s="24" t="s">
        <v>1254</v>
      </c>
      <c r="AF89" s="24" t="s">
        <v>115</v>
      </c>
      <c r="AG89" s="24"/>
      <c r="AH89" s="24"/>
      <c r="AI89" s="25" t="n">
        <f aca="false">COUNTIF($B$2:$B$740,B89)</f>
        <v>1</v>
      </c>
    </row>
    <row r="90" customFormat="false" ht="76" hidden="false" customHeight="true" outlineLevel="0" collapsed="false">
      <c r="A90" s="21" t="n">
        <v>89</v>
      </c>
      <c r="B90" s="22" t="s">
        <v>1255</v>
      </c>
      <c r="C90" s="23" t="s">
        <v>9</v>
      </c>
      <c r="D90" s="23" t="s">
        <v>96</v>
      </c>
      <c r="E90" s="23" t="s">
        <v>97</v>
      </c>
      <c r="F90" s="24" t="s">
        <v>59</v>
      </c>
      <c r="G90" s="24" t="s">
        <v>98</v>
      </c>
      <c r="H90" s="24" t="s">
        <v>99</v>
      </c>
      <c r="I90" s="24" t="s">
        <v>59</v>
      </c>
      <c r="J90" s="24" t="s">
        <v>1256</v>
      </c>
      <c r="K90" s="24" t="s">
        <v>1257</v>
      </c>
      <c r="L90" s="24" t="s">
        <v>119</v>
      </c>
      <c r="M90" s="24" t="s">
        <v>1258</v>
      </c>
      <c r="N90" s="24" t="s">
        <v>1259</v>
      </c>
      <c r="O90" s="24" t="s">
        <v>1260</v>
      </c>
      <c r="P90" s="24" t="s">
        <v>1261</v>
      </c>
      <c r="Q90" s="24" t="s">
        <v>1262</v>
      </c>
      <c r="R90" s="24" t="s">
        <v>1263</v>
      </c>
      <c r="S90" s="24" t="s">
        <v>1264</v>
      </c>
      <c r="T90" s="24" t="s">
        <v>1265</v>
      </c>
      <c r="U90" s="24"/>
      <c r="V90" s="24"/>
      <c r="W90" s="24" t="s">
        <v>1262</v>
      </c>
      <c r="X90" s="24"/>
      <c r="Y90" s="24"/>
      <c r="Z90" s="24"/>
      <c r="AA90" s="24"/>
      <c r="AB90" s="25" t="n">
        <v>10</v>
      </c>
      <c r="AC90" s="24" t="s">
        <v>1266</v>
      </c>
      <c r="AD90" s="24"/>
      <c r="AE90" s="24" t="s">
        <v>1267</v>
      </c>
      <c r="AF90" s="24" t="s">
        <v>115</v>
      </c>
      <c r="AG90" s="24"/>
      <c r="AH90" s="24"/>
      <c r="AI90" s="25" t="n">
        <f aca="false">COUNTIF($B$2:$B$740,B90)</f>
        <v>1</v>
      </c>
    </row>
    <row r="91" customFormat="false" ht="76" hidden="false" customHeight="true" outlineLevel="0" collapsed="false">
      <c r="A91" s="21" t="n">
        <v>90</v>
      </c>
      <c r="B91" s="22" t="s">
        <v>141</v>
      </c>
      <c r="C91" s="23" t="s">
        <v>9</v>
      </c>
      <c r="D91" s="23" t="s">
        <v>96</v>
      </c>
      <c r="E91" s="23" t="s">
        <v>97</v>
      </c>
      <c r="F91" s="24" t="s">
        <v>59</v>
      </c>
      <c r="G91" s="24" t="s">
        <v>98</v>
      </c>
      <c r="H91" s="24" t="s">
        <v>99</v>
      </c>
      <c r="I91" s="24" t="s">
        <v>59</v>
      </c>
      <c r="J91" s="24" t="s">
        <v>1268</v>
      </c>
      <c r="K91" s="24" t="s">
        <v>1269</v>
      </c>
      <c r="L91" s="24" t="s">
        <v>119</v>
      </c>
      <c r="M91" s="24" t="s">
        <v>120</v>
      </c>
      <c r="N91" s="24" t="s">
        <v>1270</v>
      </c>
      <c r="O91" s="24" t="s">
        <v>1271</v>
      </c>
      <c r="P91" s="24" t="s">
        <v>1272</v>
      </c>
      <c r="Q91" s="24" t="s">
        <v>1273</v>
      </c>
      <c r="R91" s="24" t="s">
        <v>1274</v>
      </c>
      <c r="S91" s="24" t="s">
        <v>1275</v>
      </c>
      <c r="T91" s="24" t="s">
        <v>1276</v>
      </c>
      <c r="U91" s="24"/>
      <c r="V91" s="24"/>
      <c r="W91" s="24" t="s">
        <v>1271</v>
      </c>
      <c r="X91" s="24"/>
      <c r="Y91" s="24"/>
      <c r="Z91" s="24"/>
      <c r="AA91" s="24"/>
      <c r="AB91" s="25" t="n">
        <v>10</v>
      </c>
      <c r="AC91" s="24" t="s">
        <v>1277</v>
      </c>
      <c r="AD91" s="24"/>
      <c r="AE91" s="24"/>
      <c r="AF91" s="24" t="s">
        <v>115</v>
      </c>
      <c r="AG91" s="24"/>
      <c r="AH91" s="24"/>
      <c r="AI91" s="25" t="n">
        <f aca="false">COUNTIF($B$2:$B$740,B91)</f>
        <v>1</v>
      </c>
    </row>
    <row r="92" customFormat="false" ht="76" hidden="false" customHeight="true" outlineLevel="0" collapsed="false">
      <c r="A92" s="21" t="n">
        <v>91</v>
      </c>
      <c r="B92" s="22" t="s">
        <v>1278</v>
      </c>
      <c r="C92" s="23" t="s">
        <v>9</v>
      </c>
      <c r="D92" s="23" t="s">
        <v>96</v>
      </c>
      <c r="E92" s="23" t="s">
        <v>97</v>
      </c>
      <c r="F92" s="24" t="s">
        <v>59</v>
      </c>
      <c r="G92" s="24" t="s">
        <v>98</v>
      </c>
      <c r="H92" s="24" t="s">
        <v>99</v>
      </c>
      <c r="I92" s="24" t="s">
        <v>59</v>
      </c>
      <c r="J92" s="24" t="s">
        <v>1279</v>
      </c>
      <c r="K92" s="24" t="s">
        <v>1280</v>
      </c>
      <c r="L92" s="24" t="s">
        <v>103</v>
      </c>
      <c r="M92" s="24" t="s">
        <v>398</v>
      </c>
      <c r="N92" s="24" t="s">
        <v>1281</v>
      </c>
      <c r="O92" s="24" t="s">
        <v>1282</v>
      </c>
      <c r="P92" s="24" t="s">
        <v>1283</v>
      </c>
      <c r="Q92" s="24" t="s">
        <v>1284</v>
      </c>
      <c r="R92" s="24" t="s">
        <v>1285</v>
      </c>
      <c r="S92" s="24" t="s">
        <v>1286</v>
      </c>
      <c r="T92" s="24" t="s">
        <v>1287</v>
      </c>
      <c r="U92" s="24"/>
      <c r="V92" s="24"/>
      <c r="W92" s="24"/>
      <c r="X92" s="24"/>
      <c r="Y92" s="24"/>
      <c r="Z92" s="24"/>
      <c r="AA92" s="24"/>
      <c r="AB92" s="25" t="n">
        <v>10</v>
      </c>
      <c r="AC92" s="24" t="s">
        <v>1288</v>
      </c>
      <c r="AD92" s="24"/>
      <c r="AE92" s="24"/>
      <c r="AF92" s="24" t="s">
        <v>115</v>
      </c>
      <c r="AG92" s="24"/>
      <c r="AH92" s="24"/>
      <c r="AI92" s="25" t="n">
        <f aca="false">COUNTIF($B$2:$B$740,B92)</f>
        <v>1</v>
      </c>
    </row>
    <row r="93" customFormat="false" ht="67.2" hidden="false" customHeight="true" outlineLevel="0" collapsed="false">
      <c r="A93" s="26" t="n">
        <v>92</v>
      </c>
      <c r="B93" s="27" t="s">
        <v>1289</v>
      </c>
      <c r="C93" s="24" t="s">
        <v>9</v>
      </c>
      <c r="D93" s="24" t="s">
        <v>96</v>
      </c>
      <c r="E93" s="24" t="s">
        <v>97</v>
      </c>
      <c r="F93" s="24" t="s">
        <v>59</v>
      </c>
      <c r="G93" s="24" t="s">
        <v>98</v>
      </c>
      <c r="H93" s="24" t="s">
        <v>99</v>
      </c>
      <c r="I93" s="24" t="s">
        <v>59</v>
      </c>
      <c r="J93" s="24" t="s">
        <v>1290</v>
      </c>
      <c r="K93" s="24" t="s">
        <v>1291</v>
      </c>
      <c r="L93" s="24" t="s">
        <v>531</v>
      </c>
      <c r="M93" s="24" t="s">
        <v>1292</v>
      </c>
      <c r="N93" s="24" t="s">
        <v>1293</v>
      </c>
      <c r="O93" s="24" t="s">
        <v>1294</v>
      </c>
      <c r="P93" s="24" t="s">
        <v>1295</v>
      </c>
      <c r="Q93" s="24" t="s">
        <v>1296</v>
      </c>
      <c r="R93" s="24" t="s">
        <v>1297</v>
      </c>
      <c r="S93" s="24" t="s">
        <v>1298</v>
      </c>
      <c r="T93" s="24" t="s">
        <v>1299</v>
      </c>
      <c r="U93" s="24" t="s">
        <v>183</v>
      </c>
      <c r="V93" s="24"/>
      <c r="W93" s="24" t="s">
        <v>1300</v>
      </c>
      <c r="X93" s="24" t="s">
        <v>1301</v>
      </c>
      <c r="Y93" s="24" t="s">
        <v>183</v>
      </c>
      <c r="Z93" s="24"/>
      <c r="AA93" s="24"/>
      <c r="AB93" s="25" t="n">
        <v>60</v>
      </c>
      <c r="AC93" s="24" t="s">
        <v>1302</v>
      </c>
      <c r="AD93" s="24"/>
      <c r="AE93" s="24" t="s">
        <v>1303</v>
      </c>
      <c r="AF93" s="24" t="s">
        <v>168</v>
      </c>
      <c r="AG93" s="24"/>
      <c r="AH93" s="24" t="s">
        <v>228</v>
      </c>
      <c r="AI93" s="25" t="n">
        <f aca="false">COUNTIF($B$2:$B$740,B93)</f>
        <v>1</v>
      </c>
    </row>
    <row r="94" customFormat="false" ht="76" hidden="false" customHeight="true" outlineLevel="0" collapsed="false">
      <c r="A94" s="21" t="n">
        <v>93</v>
      </c>
      <c r="B94" s="22" t="s">
        <v>1304</v>
      </c>
      <c r="C94" s="23" t="s">
        <v>9</v>
      </c>
      <c r="D94" s="23" t="s">
        <v>96</v>
      </c>
      <c r="E94" s="23" t="s">
        <v>97</v>
      </c>
      <c r="F94" s="24" t="s">
        <v>59</v>
      </c>
      <c r="G94" s="24" t="s">
        <v>98</v>
      </c>
      <c r="H94" s="24" t="s">
        <v>99</v>
      </c>
      <c r="I94" s="24" t="s">
        <v>59</v>
      </c>
      <c r="J94" s="24" t="s">
        <v>1305</v>
      </c>
      <c r="K94" s="24" t="s">
        <v>1306</v>
      </c>
      <c r="L94" s="24" t="s">
        <v>103</v>
      </c>
      <c r="M94" s="24" t="s">
        <v>1292</v>
      </c>
      <c r="N94" s="24" t="s">
        <v>1307</v>
      </c>
      <c r="O94" s="24" t="s">
        <v>1308</v>
      </c>
      <c r="P94" s="24" t="s">
        <v>552</v>
      </c>
      <c r="Q94" s="24" t="s">
        <v>1309</v>
      </c>
      <c r="R94" s="24" t="s">
        <v>1310</v>
      </c>
      <c r="S94" s="24" t="s">
        <v>1311</v>
      </c>
      <c r="T94" s="24" t="s">
        <v>1312</v>
      </c>
      <c r="U94" s="24"/>
      <c r="V94" s="24"/>
      <c r="W94" s="24" t="s">
        <v>1310</v>
      </c>
      <c r="X94" s="24" t="s">
        <v>1310</v>
      </c>
      <c r="Y94" s="24"/>
      <c r="Z94" s="24"/>
      <c r="AA94" s="24"/>
      <c r="AB94" s="25" t="n">
        <v>10</v>
      </c>
      <c r="AC94" s="24" t="s">
        <v>1313</v>
      </c>
      <c r="AD94" s="24"/>
      <c r="AE94" s="24"/>
      <c r="AF94" s="24" t="s">
        <v>115</v>
      </c>
      <c r="AG94" s="24"/>
      <c r="AH94" s="24"/>
      <c r="AI94" s="25" t="n">
        <f aca="false">COUNTIF($B$2:$B$740,B94)</f>
        <v>1</v>
      </c>
    </row>
    <row r="95" customFormat="false" ht="76" hidden="false" customHeight="true" outlineLevel="0" collapsed="false">
      <c r="A95" s="21" t="n">
        <v>94</v>
      </c>
      <c r="B95" s="22" t="s">
        <v>1314</v>
      </c>
      <c r="C95" s="23" t="s">
        <v>9</v>
      </c>
      <c r="D95" s="23" t="s">
        <v>96</v>
      </c>
      <c r="E95" s="23" t="s">
        <v>97</v>
      </c>
      <c r="F95" s="24" t="s">
        <v>59</v>
      </c>
      <c r="G95" s="24" t="s">
        <v>98</v>
      </c>
      <c r="H95" s="24" t="s">
        <v>99</v>
      </c>
      <c r="I95" s="24" t="s">
        <v>59</v>
      </c>
      <c r="J95" s="24" t="s">
        <v>1315</v>
      </c>
      <c r="K95" s="24" t="s">
        <v>1316</v>
      </c>
      <c r="L95" s="24" t="s">
        <v>531</v>
      </c>
      <c r="M95" s="24" t="s">
        <v>1317</v>
      </c>
      <c r="N95" s="24" t="s">
        <v>1318</v>
      </c>
      <c r="O95" s="24" t="s">
        <v>1319</v>
      </c>
      <c r="P95" s="24" t="s">
        <v>552</v>
      </c>
      <c r="Q95" s="24" t="s">
        <v>1320</v>
      </c>
      <c r="R95" s="24" t="s">
        <v>1321</v>
      </c>
      <c r="S95" s="24" t="s">
        <v>1322</v>
      </c>
      <c r="T95" s="24" t="s">
        <v>1323</v>
      </c>
      <c r="U95" s="24"/>
      <c r="V95" s="24"/>
      <c r="W95" s="24" t="s">
        <v>1324</v>
      </c>
      <c r="X95" s="24"/>
      <c r="Y95" s="24" t="s">
        <v>1325</v>
      </c>
      <c r="Z95" s="24"/>
      <c r="AA95" s="24"/>
      <c r="AB95" s="25" t="n">
        <v>10</v>
      </c>
      <c r="AC95" s="24" t="s">
        <v>1326</v>
      </c>
      <c r="AD95" s="24"/>
      <c r="AE95" s="24"/>
      <c r="AF95" s="24" t="s">
        <v>115</v>
      </c>
      <c r="AG95" s="24"/>
      <c r="AH95" s="24"/>
      <c r="AI95" s="25" t="n">
        <f aca="false">COUNTIF($B$2:$B$740,B95)</f>
        <v>1</v>
      </c>
    </row>
    <row r="96" customFormat="false" ht="76" hidden="false" customHeight="true" outlineLevel="0" collapsed="false">
      <c r="A96" s="21" t="n">
        <v>95</v>
      </c>
      <c r="B96" s="22" t="s">
        <v>1327</v>
      </c>
      <c r="C96" s="23" t="s">
        <v>9</v>
      </c>
      <c r="D96" s="23" t="s">
        <v>96</v>
      </c>
      <c r="E96" s="23" t="s">
        <v>97</v>
      </c>
      <c r="F96" s="24" t="s">
        <v>59</v>
      </c>
      <c r="G96" s="24" t="s">
        <v>98</v>
      </c>
      <c r="H96" s="24" t="s">
        <v>99</v>
      </c>
      <c r="I96" s="24" t="s">
        <v>59</v>
      </c>
      <c r="J96" s="24" t="s">
        <v>1328</v>
      </c>
      <c r="K96" s="24" t="s">
        <v>1329</v>
      </c>
      <c r="L96" s="24" t="s">
        <v>119</v>
      </c>
      <c r="M96" s="24" t="s">
        <v>1330</v>
      </c>
      <c r="N96" s="24" t="s">
        <v>1331</v>
      </c>
      <c r="O96" s="24" t="s">
        <v>1332</v>
      </c>
      <c r="P96" s="24" t="s">
        <v>1333</v>
      </c>
      <c r="Q96" s="24" t="s">
        <v>1334</v>
      </c>
      <c r="R96" s="24" t="s">
        <v>1335</v>
      </c>
      <c r="S96" s="24" t="s">
        <v>1336</v>
      </c>
      <c r="T96" s="24" t="s">
        <v>1337</v>
      </c>
      <c r="U96" s="24" t="s">
        <v>1338</v>
      </c>
      <c r="V96" s="24"/>
      <c r="W96" s="24" t="s">
        <v>1339</v>
      </c>
      <c r="X96" s="24" t="s">
        <v>1333</v>
      </c>
      <c r="Y96" s="24" t="s">
        <v>1340</v>
      </c>
      <c r="Z96" s="24"/>
      <c r="AA96" s="24"/>
      <c r="AB96" s="25" t="n">
        <v>10</v>
      </c>
      <c r="AC96" s="24" t="s">
        <v>1341</v>
      </c>
      <c r="AD96" s="24" t="s">
        <v>1342</v>
      </c>
      <c r="AE96" s="24"/>
      <c r="AF96" s="24" t="s">
        <v>115</v>
      </c>
      <c r="AG96" s="24"/>
      <c r="AH96" s="24"/>
      <c r="AI96" s="25" t="n">
        <f aca="false">COUNTIF($B$2:$B$740,B96)</f>
        <v>1</v>
      </c>
    </row>
    <row r="97" customFormat="false" ht="76" hidden="false" customHeight="true" outlineLevel="0" collapsed="false">
      <c r="A97" s="21" t="n">
        <v>96</v>
      </c>
      <c r="B97" s="22" t="s">
        <v>1343</v>
      </c>
      <c r="C97" s="23" t="s">
        <v>9</v>
      </c>
      <c r="D97" s="23" t="s">
        <v>96</v>
      </c>
      <c r="E97" s="23" t="s">
        <v>97</v>
      </c>
      <c r="F97" s="24" t="s">
        <v>59</v>
      </c>
      <c r="G97" s="24" t="s">
        <v>98</v>
      </c>
      <c r="H97" s="24" t="s">
        <v>1344</v>
      </c>
      <c r="I97" s="24" t="s">
        <v>1345</v>
      </c>
      <c r="J97" s="24" t="s">
        <v>1346</v>
      </c>
      <c r="K97" s="24" t="s">
        <v>1347</v>
      </c>
      <c r="L97" s="24" t="s">
        <v>103</v>
      </c>
      <c r="M97" s="24" t="s">
        <v>605</v>
      </c>
      <c r="N97" s="24" t="s">
        <v>1348</v>
      </c>
      <c r="O97" s="24" t="s">
        <v>1349</v>
      </c>
      <c r="P97" s="24" t="s">
        <v>1350</v>
      </c>
      <c r="Q97" s="24" t="s">
        <v>1351</v>
      </c>
      <c r="R97" s="24" t="s">
        <v>1352</v>
      </c>
      <c r="S97" s="24" t="s">
        <v>1353</v>
      </c>
      <c r="T97" s="24" t="s">
        <v>1354</v>
      </c>
      <c r="U97" s="24"/>
      <c r="V97" s="24"/>
      <c r="W97" s="24" t="s">
        <v>1352</v>
      </c>
      <c r="X97" s="24" t="s">
        <v>1355</v>
      </c>
      <c r="Y97" s="24"/>
      <c r="Z97" s="24"/>
      <c r="AA97" s="24"/>
      <c r="AB97" s="25" t="n">
        <v>10</v>
      </c>
      <c r="AC97" s="24" t="s">
        <v>1356</v>
      </c>
      <c r="AD97" s="24"/>
      <c r="AE97" s="24"/>
      <c r="AF97" s="24" t="s">
        <v>115</v>
      </c>
      <c r="AG97" s="24"/>
      <c r="AH97" s="24"/>
      <c r="AI97" s="25" t="n">
        <f aca="false">COUNTIF($B$2:$B$740,B97)</f>
        <v>1</v>
      </c>
    </row>
    <row r="98" customFormat="false" ht="76" hidden="false" customHeight="true" outlineLevel="0" collapsed="false">
      <c r="A98" s="21" t="n">
        <v>97</v>
      </c>
      <c r="B98" s="22" t="s">
        <v>1357</v>
      </c>
      <c r="C98" s="23" t="s">
        <v>9</v>
      </c>
      <c r="D98" s="23" t="s">
        <v>96</v>
      </c>
      <c r="E98" s="23" t="s">
        <v>97</v>
      </c>
      <c r="F98" s="24" t="s">
        <v>57</v>
      </c>
      <c r="G98" s="24" t="s">
        <v>57</v>
      </c>
      <c r="H98" s="24" t="s">
        <v>1344</v>
      </c>
      <c r="I98" s="24" t="s">
        <v>1345</v>
      </c>
      <c r="J98" s="24" t="s">
        <v>1358</v>
      </c>
      <c r="K98" s="24" t="s">
        <v>1347</v>
      </c>
      <c r="L98" s="24" t="s">
        <v>103</v>
      </c>
      <c r="M98" s="24" t="s">
        <v>398</v>
      </c>
      <c r="N98" s="24" t="s">
        <v>1359</v>
      </c>
      <c r="O98" s="24" t="s">
        <v>1360</v>
      </c>
      <c r="P98" s="24" t="s">
        <v>1361</v>
      </c>
      <c r="Q98" s="24" t="s">
        <v>1362</v>
      </c>
      <c r="R98" s="24" t="s">
        <v>1363</v>
      </c>
      <c r="S98" s="24" t="s">
        <v>1364</v>
      </c>
      <c r="T98" s="24" t="s">
        <v>1365</v>
      </c>
      <c r="U98" s="24"/>
      <c r="V98" s="24" t="s">
        <v>1362</v>
      </c>
      <c r="W98" s="24" t="s">
        <v>1366</v>
      </c>
      <c r="X98" s="24" t="s">
        <v>1362</v>
      </c>
      <c r="Y98" s="24"/>
      <c r="Z98" s="24"/>
      <c r="AA98" s="24"/>
      <c r="AB98" s="25" t="n">
        <v>10</v>
      </c>
      <c r="AC98" s="24" t="s">
        <v>1367</v>
      </c>
      <c r="AD98" s="24"/>
      <c r="AE98" s="24" t="s">
        <v>1368</v>
      </c>
      <c r="AF98" s="24" t="s">
        <v>115</v>
      </c>
      <c r="AG98" s="24"/>
      <c r="AH98" s="24"/>
      <c r="AI98" s="25" t="n">
        <f aca="false">COUNTIF($B$2:$B$740,B98)</f>
        <v>1</v>
      </c>
    </row>
    <row r="99" customFormat="false" ht="76" hidden="false" customHeight="true" outlineLevel="0" collapsed="false">
      <c r="A99" s="21" t="n">
        <v>98</v>
      </c>
      <c r="B99" s="22" t="s">
        <v>1369</v>
      </c>
      <c r="C99" s="23" t="s">
        <v>9</v>
      </c>
      <c r="D99" s="23" t="s">
        <v>96</v>
      </c>
      <c r="E99" s="23" t="s">
        <v>97</v>
      </c>
      <c r="F99" s="24" t="s">
        <v>57</v>
      </c>
      <c r="G99" s="24" t="s">
        <v>57</v>
      </c>
      <c r="H99" s="24" t="s">
        <v>1344</v>
      </c>
      <c r="I99" s="24" t="s">
        <v>1345</v>
      </c>
      <c r="J99" s="24" t="s">
        <v>1370</v>
      </c>
      <c r="K99" s="24" t="s">
        <v>1371</v>
      </c>
      <c r="L99" s="24" t="s">
        <v>531</v>
      </c>
      <c r="M99" s="24" t="s">
        <v>1372</v>
      </c>
      <c r="N99" s="24" t="s">
        <v>1373</v>
      </c>
      <c r="O99" s="24" t="s">
        <v>1374</v>
      </c>
      <c r="P99" s="24" t="s">
        <v>1375</v>
      </c>
      <c r="Q99" s="24" t="s">
        <v>1376</v>
      </c>
      <c r="R99" s="24" t="s">
        <v>1377</v>
      </c>
      <c r="S99" s="24" t="s">
        <v>1378</v>
      </c>
      <c r="T99" s="24" t="s">
        <v>1379</v>
      </c>
      <c r="U99" s="24" t="s">
        <v>1380</v>
      </c>
      <c r="V99" s="24"/>
      <c r="W99" s="24" t="s">
        <v>1375</v>
      </c>
      <c r="X99" s="24" t="s">
        <v>1381</v>
      </c>
      <c r="Y99" s="24" t="s">
        <v>1380</v>
      </c>
      <c r="Z99" s="24"/>
      <c r="AA99" s="24"/>
      <c r="AB99" s="25" t="n">
        <v>10</v>
      </c>
      <c r="AC99" s="24" t="s">
        <v>1356</v>
      </c>
      <c r="AD99" s="24"/>
      <c r="AE99" s="24" t="s">
        <v>1382</v>
      </c>
      <c r="AF99" s="24" t="s">
        <v>115</v>
      </c>
      <c r="AG99" s="24"/>
      <c r="AH99" s="24"/>
      <c r="AI99" s="25" t="n">
        <f aca="false">COUNTIF($B$2:$B$740,B99)</f>
        <v>1</v>
      </c>
    </row>
    <row r="100" customFormat="false" ht="76" hidden="false" customHeight="true" outlineLevel="0" collapsed="false">
      <c r="A100" s="21" t="n">
        <v>99</v>
      </c>
      <c r="B100" s="22" t="s">
        <v>1383</v>
      </c>
      <c r="C100" s="23" t="s">
        <v>9</v>
      </c>
      <c r="D100" s="23" t="s">
        <v>96</v>
      </c>
      <c r="E100" s="23" t="s">
        <v>97</v>
      </c>
      <c r="F100" s="24" t="s">
        <v>57</v>
      </c>
      <c r="G100" s="24" t="s">
        <v>57</v>
      </c>
      <c r="H100" s="24" t="s">
        <v>1344</v>
      </c>
      <c r="I100" s="24" t="s">
        <v>1345</v>
      </c>
      <c r="J100" s="24" t="s">
        <v>1384</v>
      </c>
      <c r="K100" s="24" t="s">
        <v>1385</v>
      </c>
      <c r="L100" s="24" t="s">
        <v>103</v>
      </c>
      <c r="M100" s="24" t="s">
        <v>1386</v>
      </c>
      <c r="N100" s="24" t="s">
        <v>1387</v>
      </c>
      <c r="O100" s="24" t="s">
        <v>1388</v>
      </c>
      <c r="P100" s="24" t="s">
        <v>1389</v>
      </c>
      <c r="Q100" s="24" t="s">
        <v>1390</v>
      </c>
      <c r="R100" s="24" t="s">
        <v>1391</v>
      </c>
      <c r="S100" s="24" t="s">
        <v>1392</v>
      </c>
      <c r="T100" s="24" t="s">
        <v>1393</v>
      </c>
      <c r="U100" s="24"/>
      <c r="V100" s="24" t="s">
        <v>1394</v>
      </c>
      <c r="W100" s="24" t="s">
        <v>1391</v>
      </c>
      <c r="X100" s="24"/>
      <c r="Y100" s="24"/>
      <c r="Z100" s="24"/>
      <c r="AA100" s="24"/>
      <c r="AB100" s="25" t="n">
        <v>10</v>
      </c>
      <c r="AC100" s="24" t="s">
        <v>1356</v>
      </c>
      <c r="AD100" s="24"/>
      <c r="AE100" s="24"/>
      <c r="AF100" s="24" t="s">
        <v>115</v>
      </c>
      <c r="AG100" s="24"/>
      <c r="AH100" s="24"/>
      <c r="AI100" s="25" t="n">
        <f aca="false">COUNTIF($B$2:$B$740,B100)</f>
        <v>1</v>
      </c>
    </row>
    <row r="101" customFormat="false" ht="76" hidden="false" customHeight="true" outlineLevel="0" collapsed="false">
      <c r="A101" s="21" t="n">
        <v>100</v>
      </c>
      <c r="B101" s="22" t="s">
        <v>1395</v>
      </c>
      <c r="C101" s="23" t="s">
        <v>9</v>
      </c>
      <c r="D101" s="23" t="s">
        <v>96</v>
      </c>
      <c r="E101" s="23" t="s">
        <v>97</v>
      </c>
      <c r="F101" s="24" t="s">
        <v>55</v>
      </c>
      <c r="G101" s="24" t="s">
        <v>1396</v>
      </c>
      <c r="H101" s="24" t="s">
        <v>1344</v>
      </c>
      <c r="I101" s="24" t="s">
        <v>1345</v>
      </c>
      <c r="J101" s="24" t="s">
        <v>1397</v>
      </c>
      <c r="K101" s="24" t="s">
        <v>1398</v>
      </c>
      <c r="L101" s="24" t="s">
        <v>119</v>
      </c>
      <c r="M101" s="24" t="s">
        <v>1399</v>
      </c>
      <c r="N101" s="24"/>
      <c r="O101" s="24" t="s">
        <v>1400</v>
      </c>
      <c r="P101" s="24" t="s">
        <v>1401</v>
      </c>
      <c r="Q101" s="24" t="s">
        <v>1402</v>
      </c>
      <c r="R101" s="24" t="s">
        <v>1403</v>
      </c>
      <c r="S101" s="24" t="s">
        <v>1404</v>
      </c>
      <c r="T101" s="24" t="s">
        <v>1405</v>
      </c>
      <c r="U101" s="24"/>
      <c r="V101" s="24"/>
      <c r="W101" s="24" t="s">
        <v>1404</v>
      </c>
      <c r="X101" s="24"/>
      <c r="Y101" s="24"/>
      <c r="Z101" s="24"/>
      <c r="AA101" s="24"/>
      <c r="AB101" s="25" t="n">
        <v>10</v>
      </c>
      <c r="AC101" s="24" t="s">
        <v>1356</v>
      </c>
      <c r="AD101" s="24"/>
      <c r="AE101" s="24"/>
      <c r="AF101" s="24" t="s">
        <v>115</v>
      </c>
      <c r="AG101" s="24"/>
      <c r="AH101" s="24"/>
      <c r="AI101" s="25" t="n">
        <f aca="false">COUNTIF($B$2:$B$740,B101)</f>
        <v>1</v>
      </c>
    </row>
    <row r="102" customFormat="false" ht="76" hidden="false" customHeight="true" outlineLevel="0" collapsed="false">
      <c r="A102" s="21" t="n">
        <v>101</v>
      </c>
      <c r="B102" s="22" t="s">
        <v>1406</v>
      </c>
      <c r="C102" s="23" t="s">
        <v>9</v>
      </c>
      <c r="D102" s="23" t="s">
        <v>96</v>
      </c>
      <c r="E102" s="23" t="s">
        <v>97</v>
      </c>
      <c r="F102" s="24" t="s">
        <v>50</v>
      </c>
      <c r="G102" s="24" t="s">
        <v>1407</v>
      </c>
      <c r="H102" s="24" t="s">
        <v>1344</v>
      </c>
      <c r="I102" s="24" t="s">
        <v>1345</v>
      </c>
      <c r="J102" s="24" t="s">
        <v>1408</v>
      </c>
      <c r="K102" s="24" t="s">
        <v>1409</v>
      </c>
      <c r="L102" s="24" t="s">
        <v>119</v>
      </c>
      <c r="M102" s="24" t="s">
        <v>1410</v>
      </c>
      <c r="N102" s="24" t="s">
        <v>1411</v>
      </c>
      <c r="O102" s="24" t="s">
        <v>1412</v>
      </c>
      <c r="P102" s="24" t="s">
        <v>1413</v>
      </c>
      <c r="Q102" s="24" t="s">
        <v>1414</v>
      </c>
      <c r="R102" s="24" t="s">
        <v>1415</v>
      </c>
      <c r="S102" s="24" t="s">
        <v>1416</v>
      </c>
      <c r="T102" s="24" t="s">
        <v>1417</v>
      </c>
      <c r="U102" s="24" t="s">
        <v>1418</v>
      </c>
      <c r="V102" s="24" t="s">
        <v>1419</v>
      </c>
      <c r="W102" s="24"/>
      <c r="X102" s="24"/>
      <c r="Y102" s="24"/>
      <c r="Z102" s="24"/>
      <c r="AA102" s="24"/>
      <c r="AB102" s="25" t="n">
        <v>10</v>
      </c>
      <c r="AC102" s="24" t="s">
        <v>1356</v>
      </c>
      <c r="AD102" s="24"/>
      <c r="AE102" s="24"/>
      <c r="AF102" s="24" t="s">
        <v>115</v>
      </c>
      <c r="AG102" s="24"/>
      <c r="AH102" s="24"/>
      <c r="AI102" s="25" t="n">
        <f aca="false">COUNTIF($B$2:$B$740,B102)</f>
        <v>1</v>
      </c>
    </row>
    <row r="103" customFormat="false" ht="76" hidden="false" customHeight="true" outlineLevel="0" collapsed="false">
      <c r="A103" s="21" t="n">
        <v>102</v>
      </c>
      <c r="B103" s="22" t="s">
        <v>1420</v>
      </c>
      <c r="C103" s="23" t="s">
        <v>9</v>
      </c>
      <c r="D103" s="23" t="s">
        <v>96</v>
      </c>
      <c r="E103" s="23" t="s">
        <v>97</v>
      </c>
      <c r="F103" s="24" t="s">
        <v>57</v>
      </c>
      <c r="G103" s="24" t="s">
        <v>57</v>
      </c>
      <c r="H103" s="24" t="s">
        <v>1344</v>
      </c>
      <c r="I103" s="24" t="s">
        <v>1345</v>
      </c>
      <c r="J103" s="24" t="s">
        <v>1421</v>
      </c>
      <c r="K103" s="24" t="s">
        <v>1422</v>
      </c>
      <c r="L103" s="24" t="s">
        <v>119</v>
      </c>
      <c r="M103" s="24" t="s">
        <v>1423</v>
      </c>
      <c r="N103" s="24"/>
      <c r="O103" s="24" t="s">
        <v>1424</v>
      </c>
      <c r="P103" s="24" t="s">
        <v>1425</v>
      </c>
      <c r="Q103" s="24" t="s">
        <v>1426</v>
      </c>
      <c r="R103" s="24" t="s">
        <v>1427</v>
      </c>
      <c r="S103" s="24" t="s">
        <v>1428</v>
      </c>
      <c r="T103" s="24" t="s">
        <v>1429</v>
      </c>
      <c r="U103" s="24"/>
      <c r="V103" s="24"/>
      <c r="W103" s="24" t="s">
        <v>1430</v>
      </c>
      <c r="X103" s="24"/>
      <c r="Y103" s="24"/>
      <c r="Z103" s="24"/>
      <c r="AA103" s="24"/>
      <c r="AB103" s="25" t="n">
        <v>100</v>
      </c>
      <c r="AC103" s="24" t="s">
        <v>1431</v>
      </c>
      <c r="AD103" s="24" t="s">
        <v>561</v>
      </c>
      <c r="AE103" s="24" t="s">
        <v>562</v>
      </c>
      <c r="AF103" s="24" t="s">
        <v>115</v>
      </c>
      <c r="AG103" s="24" t="s">
        <v>168</v>
      </c>
      <c r="AH103" s="24" t="s">
        <v>545</v>
      </c>
      <c r="AI103" s="25" t="n">
        <f aca="false">COUNTIF($B$2:$B$740,B103)</f>
        <v>1</v>
      </c>
    </row>
    <row r="104" customFormat="false" ht="76" hidden="false" customHeight="true" outlineLevel="0" collapsed="false">
      <c r="A104" s="21" t="n">
        <v>103</v>
      </c>
      <c r="B104" s="22" t="s">
        <v>1432</v>
      </c>
      <c r="C104" s="23" t="s">
        <v>9</v>
      </c>
      <c r="D104" s="23" t="s">
        <v>96</v>
      </c>
      <c r="E104" s="23" t="s">
        <v>97</v>
      </c>
      <c r="F104" s="24" t="s">
        <v>50</v>
      </c>
      <c r="G104" s="24" t="s">
        <v>1407</v>
      </c>
      <c r="H104" s="24" t="s">
        <v>1344</v>
      </c>
      <c r="I104" s="24" t="s">
        <v>1345</v>
      </c>
      <c r="J104" s="24" t="s">
        <v>1433</v>
      </c>
      <c r="K104" s="24" t="s">
        <v>1434</v>
      </c>
      <c r="L104" s="24" t="s">
        <v>119</v>
      </c>
      <c r="M104" s="24" t="s">
        <v>1435</v>
      </c>
      <c r="N104" s="24" t="s">
        <v>856</v>
      </c>
      <c r="O104" s="24" t="s">
        <v>1436</v>
      </c>
      <c r="P104" s="24" t="s">
        <v>1437</v>
      </c>
      <c r="Q104" s="24" t="s">
        <v>1438</v>
      </c>
      <c r="R104" s="24" t="s">
        <v>1439</v>
      </c>
      <c r="S104" s="24" t="s">
        <v>1440</v>
      </c>
      <c r="T104" s="24" t="s">
        <v>1441</v>
      </c>
      <c r="U104" s="24" t="s">
        <v>1439</v>
      </c>
      <c r="V104" s="24" t="s">
        <v>1438</v>
      </c>
      <c r="W104" s="24"/>
      <c r="X104" s="24"/>
      <c r="Y104" s="24"/>
      <c r="Z104" s="24"/>
      <c r="AA104" s="24" t="s">
        <v>1440</v>
      </c>
      <c r="AB104" s="25" t="n">
        <v>10</v>
      </c>
      <c r="AC104" s="24" t="s">
        <v>1356</v>
      </c>
      <c r="AD104" s="24"/>
      <c r="AE104" s="24"/>
      <c r="AF104" s="24" t="s">
        <v>115</v>
      </c>
      <c r="AG104" s="24"/>
      <c r="AH104" s="24"/>
      <c r="AI104" s="25" t="n">
        <f aca="false">COUNTIF($B$2:$B$740,B104)</f>
        <v>1</v>
      </c>
    </row>
    <row r="105" customFormat="false" ht="76" hidden="false" customHeight="true" outlineLevel="0" collapsed="false">
      <c r="A105" s="21" t="n">
        <v>104</v>
      </c>
      <c r="B105" s="22" t="s">
        <v>1442</v>
      </c>
      <c r="C105" s="23" t="s">
        <v>9</v>
      </c>
      <c r="D105" s="23" t="s">
        <v>96</v>
      </c>
      <c r="E105" s="23" t="s">
        <v>97</v>
      </c>
      <c r="F105" s="24" t="s">
        <v>50</v>
      </c>
      <c r="G105" s="24" t="s">
        <v>1407</v>
      </c>
      <c r="H105" s="24" t="s">
        <v>1344</v>
      </c>
      <c r="I105" s="24" t="s">
        <v>1345</v>
      </c>
      <c r="J105" s="24" t="s">
        <v>1443</v>
      </c>
      <c r="K105" s="24" t="s">
        <v>1444</v>
      </c>
      <c r="L105" s="24" t="s">
        <v>103</v>
      </c>
      <c r="M105" s="24" t="s">
        <v>398</v>
      </c>
      <c r="N105" s="24" t="s">
        <v>1445</v>
      </c>
      <c r="O105" s="24" t="s">
        <v>1446</v>
      </c>
      <c r="P105" s="24" t="s">
        <v>1447</v>
      </c>
      <c r="Q105" s="24" t="s">
        <v>1448</v>
      </c>
      <c r="R105" s="24" t="s">
        <v>1449</v>
      </c>
      <c r="S105" s="24" t="s">
        <v>1450</v>
      </c>
      <c r="T105" s="24" t="s">
        <v>1451</v>
      </c>
      <c r="U105" s="24"/>
      <c r="V105" s="24"/>
      <c r="W105" s="24"/>
      <c r="X105" s="24"/>
      <c r="Y105" s="24"/>
      <c r="Z105" s="24"/>
      <c r="AA105" s="24"/>
      <c r="AB105" s="25" t="n">
        <v>10</v>
      </c>
      <c r="AC105" s="24" t="s">
        <v>1356</v>
      </c>
      <c r="AD105" s="24"/>
      <c r="AE105" s="24"/>
      <c r="AF105" s="24" t="s">
        <v>115</v>
      </c>
      <c r="AG105" s="24"/>
      <c r="AH105" s="24"/>
      <c r="AI105" s="25" t="n">
        <f aca="false">COUNTIF($B$2:$B$740,B105)</f>
        <v>1</v>
      </c>
    </row>
    <row r="106" customFormat="false" ht="76" hidden="false" customHeight="true" outlineLevel="0" collapsed="false">
      <c r="A106" s="21" t="n">
        <v>105</v>
      </c>
      <c r="B106" s="22" t="s">
        <v>1452</v>
      </c>
      <c r="C106" s="23" t="s">
        <v>9</v>
      </c>
      <c r="D106" s="23" t="s">
        <v>96</v>
      </c>
      <c r="E106" s="23" t="s">
        <v>97</v>
      </c>
      <c r="F106" s="24" t="s">
        <v>57</v>
      </c>
      <c r="G106" s="24" t="s">
        <v>57</v>
      </c>
      <c r="H106" s="24" t="s">
        <v>1344</v>
      </c>
      <c r="I106" s="24" t="s">
        <v>1345</v>
      </c>
      <c r="J106" s="24" t="s">
        <v>1453</v>
      </c>
      <c r="K106" s="24" t="s">
        <v>1454</v>
      </c>
      <c r="L106" s="24" t="s">
        <v>103</v>
      </c>
      <c r="M106" s="24" t="s">
        <v>882</v>
      </c>
      <c r="N106" s="24" t="s">
        <v>856</v>
      </c>
      <c r="O106" s="24" t="s">
        <v>1455</v>
      </c>
      <c r="P106" s="24" t="s">
        <v>1456</v>
      </c>
      <c r="Q106" s="24" t="s">
        <v>1457</v>
      </c>
      <c r="R106" s="24" t="s">
        <v>1458</v>
      </c>
      <c r="S106" s="24" t="s">
        <v>1459</v>
      </c>
      <c r="T106" s="24" t="s">
        <v>1460</v>
      </c>
      <c r="U106" s="24"/>
      <c r="V106" s="24"/>
      <c r="W106" s="24" t="s">
        <v>1457</v>
      </c>
      <c r="X106" s="24" t="s">
        <v>1459</v>
      </c>
      <c r="Y106" s="24"/>
      <c r="Z106" s="24"/>
      <c r="AA106" s="24"/>
      <c r="AB106" s="25" t="n">
        <v>10</v>
      </c>
      <c r="AC106" s="24" t="s">
        <v>1461</v>
      </c>
      <c r="AD106" s="24"/>
      <c r="AE106" s="24"/>
      <c r="AF106" s="24" t="s">
        <v>115</v>
      </c>
      <c r="AG106" s="24"/>
      <c r="AH106" s="24"/>
      <c r="AI106" s="25" t="n">
        <f aca="false">COUNTIF($B$2:$B$740,B106)</f>
        <v>1</v>
      </c>
    </row>
    <row r="107" customFormat="false" ht="76" hidden="false" customHeight="true" outlineLevel="0" collapsed="false">
      <c r="A107" s="21" t="n">
        <v>106</v>
      </c>
      <c r="B107" s="22" t="s">
        <v>1462</v>
      </c>
      <c r="C107" s="23" t="s">
        <v>9</v>
      </c>
      <c r="D107" s="23" t="s">
        <v>96</v>
      </c>
      <c r="E107" s="23" t="s">
        <v>97</v>
      </c>
      <c r="F107" s="24" t="s">
        <v>57</v>
      </c>
      <c r="G107" s="24" t="s">
        <v>57</v>
      </c>
      <c r="H107" s="24" t="s">
        <v>1344</v>
      </c>
      <c r="I107" s="24" t="s">
        <v>1345</v>
      </c>
      <c r="J107" s="24" t="s">
        <v>1463</v>
      </c>
      <c r="K107" s="24" t="s">
        <v>1464</v>
      </c>
      <c r="L107" s="24" t="s">
        <v>103</v>
      </c>
      <c r="M107" s="24" t="s">
        <v>1465</v>
      </c>
      <c r="N107" s="24"/>
      <c r="O107" s="24" t="s">
        <v>1466</v>
      </c>
      <c r="P107" s="24" t="s">
        <v>1467</v>
      </c>
      <c r="Q107" s="24" t="s">
        <v>1468</v>
      </c>
      <c r="R107" s="24" t="s">
        <v>1469</v>
      </c>
      <c r="S107" s="24" t="s">
        <v>1470</v>
      </c>
      <c r="T107" s="24" t="s">
        <v>1471</v>
      </c>
      <c r="U107" s="24"/>
      <c r="V107" s="24"/>
      <c r="W107" s="24"/>
      <c r="X107" s="24"/>
      <c r="Y107" s="24"/>
      <c r="Z107" s="24"/>
      <c r="AA107" s="24"/>
      <c r="AB107" s="25" t="n">
        <v>10</v>
      </c>
      <c r="AC107" s="24" t="s">
        <v>1461</v>
      </c>
      <c r="AD107" s="24"/>
      <c r="AE107" s="24"/>
      <c r="AF107" s="24" t="s">
        <v>115</v>
      </c>
      <c r="AG107" s="24"/>
      <c r="AH107" s="24"/>
      <c r="AI107" s="25" t="n">
        <f aca="false">COUNTIF($B$2:$B$740,B107)</f>
        <v>1</v>
      </c>
    </row>
    <row r="108" customFormat="false" ht="76" hidden="false" customHeight="true" outlineLevel="0" collapsed="false">
      <c r="A108" s="21" t="n">
        <v>107</v>
      </c>
      <c r="B108" s="22" t="s">
        <v>1472</v>
      </c>
      <c r="C108" s="23" t="s">
        <v>9</v>
      </c>
      <c r="D108" s="23" t="s">
        <v>96</v>
      </c>
      <c r="E108" s="23" t="s">
        <v>97</v>
      </c>
      <c r="F108" s="24" t="s">
        <v>57</v>
      </c>
      <c r="G108" s="24" t="s">
        <v>57</v>
      </c>
      <c r="H108" s="24" t="s">
        <v>1344</v>
      </c>
      <c r="I108" s="24" t="s">
        <v>1345</v>
      </c>
      <c r="J108" s="24" t="s">
        <v>1473</v>
      </c>
      <c r="K108" s="24" t="s">
        <v>1474</v>
      </c>
      <c r="L108" s="24" t="s">
        <v>119</v>
      </c>
      <c r="M108" s="24" t="s">
        <v>1475</v>
      </c>
      <c r="N108" s="24"/>
      <c r="O108" s="24" t="s">
        <v>1476</v>
      </c>
      <c r="P108" s="24" t="s">
        <v>1477</v>
      </c>
      <c r="Q108" s="24" t="s">
        <v>1478</v>
      </c>
      <c r="R108" s="24" t="s">
        <v>1479</v>
      </c>
      <c r="S108" s="24" t="s">
        <v>1480</v>
      </c>
      <c r="T108" s="24" t="s">
        <v>1481</v>
      </c>
      <c r="U108" s="24"/>
      <c r="V108" s="24"/>
      <c r="W108" s="24" t="s">
        <v>1482</v>
      </c>
      <c r="X108" s="24"/>
      <c r="Y108" s="24"/>
      <c r="Z108" s="24"/>
      <c r="AA108" s="24"/>
      <c r="AB108" s="25" t="n">
        <v>100</v>
      </c>
      <c r="AC108" s="24" t="s">
        <v>1483</v>
      </c>
      <c r="AD108" s="24" t="s">
        <v>561</v>
      </c>
      <c r="AE108" s="24" t="s">
        <v>562</v>
      </c>
      <c r="AF108" s="24" t="s">
        <v>115</v>
      </c>
      <c r="AG108" s="24" t="s">
        <v>168</v>
      </c>
      <c r="AH108" s="24" t="s">
        <v>545</v>
      </c>
      <c r="AI108" s="25" t="n">
        <f aca="false">COUNTIF($B$2:$B$740,B108)</f>
        <v>1</v>
      </c>
    </row>
    <row r="109" customFormat="false" ht="19.2" hidden="false" customHeight="true" outlineLevel="0" collapsed="false">
      <c r="A109" s="26" t="n">
        <v>108</v>
      </c>
      <c r="B109" s="27" t="s">
        <v>1484</v>
      </c>
      <c r="C109" s="24" t="s">
        <v>9</v>
      </c>
      <c r="D109" s="24" t="s">
        <v>96</v>
      </c>
      <c r="E109" s="24" t="s">
        <v>97</v>
      </c>
      <c r="F109" s="24" t="s">
        <v>57</v>
      </c>
      <c r="G109" s="24" t="s">
        <v>57</v>
      </c>
      <c r="H109" s="24" t="s">
        <v>1344</v>
      </c>
      <c r="I109" s="24" t="s">
        <v>1345</v>
      </c>
      <c r="J109" s="24" t="s">
        <v>1485</v>
      </c>
      <c r="K109" s="24" t="s">
        <v>1486</v>
      </c>
      <c r="L109" s="24" t="s">
        <v>119</v>
      </c>
      <c r="M109" s="24" t="s">
        <v>1487</v>
      </c>
      <c r="N109" s="24"/>
      <c r="O109" s="24" t="s">
        <v>1488</v>
      </c>
      <c r="P109" s="24" t="s">
        <v>1489</v>
      </c>
      <c r="Q109" s="24" t="s">
        <v>1490</v>
      </c>
      <c r="R109" s="24" t="s">
        <v>1491</v>
      </c>
      <c r="S109" s="24" t="s">
        <v>1492</v>
      </c>
      <c r="T109" s="24" t="s">
        <v>1493</v>
      </c>
      <c r="U109" s="24"/>
      <c r="V109" s="24" t="s">
        <v>1492</v>
      </c>
      <c r="W109" s="24" t="s">
        <v>1494</v>
      </c>
      <c r="X109" s="24"/>
      <c r="Y109" s="24"/>
      <c r="Z109" s="24"/>
      <c r="AA109" s="24"/>
      <c r="AB109" s="25" t="n">
        <v>70</v>
      </c>
      <c r="AC109" s="24" t="s">
        <v>1495</v>
      </c>
      <c r="AD109" s="24" t="s">
        <v>1496</v>
      </c>
      <c r="AE109" s="24" t="s">
        <v>1497</v>
      </c>
      <c r="AF109" s="24" t="s">
        <v>168</v>
      </c>
      <c r="AG109" s="24"/>
      <c r="AH109" s="24" t="s">
        <v>1050</v>
      </c>
      <c r="AI109" s="25" t="n">
        <f aca="false">COUNTIF($B$2:$B$740,B109)</f>
        <v>1</v>
      </c>
    </row>
    <row r="110" customFormat="false" ht="48" hidden="false" customHeight="true" outlineLevel="0" collapsed="false">
      <c r="A110" s="26" t="n">
        <v>109</v>
      </c>
      <c r="B110" s="27" t="s">
        <v>1498</v>
      </c>
      <c r="C110" s="24" t="s">
        <v>9</v>
      </c>
      <c r="D110" s="24" t="s">
        <v>96</v>
      </c>
      <c r="E110" s="24" t="s">
        <v>97</v>
      </c>
      <c r="F110" s="24" t="s">
        <v>57</v>
      </c>
      <c r="G110" s="24" t="s">
        <v>57</v>
      </c>
      <c r="H110" s="24" t="s">
        <v>1344</v>
      </c>
      <c r="I110" s="24" t="s">
        <v>1499</v>
      </c>
      <c r="J110" s="24" t="s">
        <v>1500</v>
      </c>
      <c r="K110" s="24" t="s">
        <v>1501</v>
      </c>
      <c r="L110" s="24" t="s">
        <v>1183</v>
      </c>
      <c r="M110" s="24" t="s">
        <v>1410</v>
      </c>
      <c r="N110" s="24" t="s">
        <v>1502</v>
      </c>
      <c r="O110" s="24" t="s">
        <v>1503</v>
      </c>
      <c r="P110" s="24" t="s">
        <v>1504</v>
      </c>
      <c r="Q110" s="24" t="s">
        <v>1505</v>
      </c>
      <c r="R110" s="24" t="s">
        <v>1506</v>
      </c>
      <c r="S110" s="24" t="s">
        <v>1507</v>
      </c>
      <c r="T110" s="24" t="s">
        <v>1508</v>
      </c>
      <c r="U110" s="24"/>
      <c r="V110" s="24"/>
      <c r="W110" s="24" t="s">
        <v>1509</v>
      </c>
      <c r="X110" s="24" t="s">
        <v>1510</v>
      </c>
      <c r="Y110" s="24"/>
      <c r="Z110" s="24"/>
      <c r="AA110" s="24" t="s">
        <v>1511</v>
      </c>
      <c r="AB110" s="25" t="n">
        <v>100</v>
      </c>
      <c r="AC110" s="24" t="s">
        <v>1512</v>
      </c>
      <c r="AD110" s="24" t="s">
        <v>543</v>
      </c>
      <c r="AE110" s="24" t="s">
        <v>1513</v>
      </c>
      <c r="AF110" s="24" t="s">
        <v>168</v>
      </c>
      <c r="AG110" s="24" t="s">
        <v>168</v>
      </c>
      <c r="AH110" s="24" t="s">
        <v>545</v>
      </c>
      <c r="AI110" s="25" t="n">
        <f aca="false">COUNTIF($B$2:$B$740,B110)</f>
        <v>1</v>
      </c>
    </row>
    <row r="111" customFormat="false" ht="76" hidden="false" customHeight="true" outlineLevel="0" collapsed="false">
      <c r="A111" s="21" t="n">
        <v>110</v>
      </c>
      <c r="B111" s="22" t="s">
        <v>1514</v>
      </c>
      <c r="C111" s="23" t="s">
        <v>9</v>
      </c>
      <c r="D111" s="23" t="s">
        <v>96</v>
      </c>
      <c r="E111" s="23" t="s">
        <v>97</v>
      </c>
      <c r="F111" s="24" t="s">
        <v>57</v>
      </c>
      <c r="G111" s="24" t="s">
        <v>57</v>
      </c>
      <c r="H111" s="24" t="s">
        <v>1344</v>
      </c>
      <c r="I111" s="24" t="s">
        <v>1345</v>
      </c>
      <c r="J111" s="24" t="s">
        <v>1515</v>
      </c>
      <c r="K111" s="24" t="s">
        <v>1516</v>
      </c>
      <c r="L111" s="24" t="s">
        <v>103</v>
      </c>
      <c r="M111" s="24" t="s">
        <v>1410</v>
      </c>
      <c r="N111" s="24" t="s">
        <v>1517</v>
      </c>
      <c r="O111" s="24" t="s">
        <v>1518</v>
      </c>
      <c r="P111" s="24" t="s">
        <v>1519</v>
      </c>
      <c r="Q111" s="24" t="s">
        <v>1520</v>
      </c>
      <c r="R111" s="24" t="s">
        <v>1521</v>
      </c>
      <c r="S111" s="24" t="s">
        <v>1522</v>
      </c>
      <c r="T111" s="24" t="s">
        <v>1523</v>
      </c>
      <c r="U111" s="24"/>
      <c r="V111" s="24" t="s">
        <v>1524</v>
      </c>
      <c r="W111" s="24" t="s">
        <v>1524</v>
      </c>
      <c r="X111" s="24"/>
      <c r="Y111" s="24"/>
      <c r="Z111" s="24"/>
      <c r="AA111" s="24" t="s">
        <v>1525</v>
      </c>
      <c r="AB111" s="25" t="n">
        <v>100</v>
      </c>
      <c r="AC111" s="24" t="s">
        <v>1526</v>
      </c>
      <c r="AD111" s="24" t="s">
        <v>561</v>
      </c>
      <c r="AE111" s="24" t="s">
        <v>1527</v>
      </c>
      <c r="AF111" s="24" t="s">
        <v>115</v>
      </c>
      <c r="AG111" s="24" t="s">
        <v>168</v>
      </c>
      <c r="AH111" s="24" t="s">
        <v>545</v>
      </c>
      <c r="AI111" s="25" t="n">
        <f aca="false">COUNTIF($B$2:$B$740,B111)</f>
        <v>1</v>
      </c>
    </row>
    <row r="112" customFormat="false" ht="76" hidden="false" customHeight="true" outlineLevel="0" collapsed="false">
      <c r="A112" s="21" t="n">
        <v>111</v>
      </c>
      <c r="B112" s="22" t="s">
        <v>1528</v>
      </c>
      <c r="C112" s="23" t="s">
        <v>9</v>
      </c>
      <c r="D112" s="23" t="s">
        <v>96</v>
      </c>
      <c r="E112" s="23" t="s">
        <v>97</v>
      </c>
      <c r="F112" s="24" t="s">
        <v>57</v>
      </c>
      <c r="G112" s="24" t="s">
        <v>57</v>
      </c>
      <c r="H112" s="24" t="s">
        <v>1344</v>
      </c>
      <c r="I112" s="24" t="s">
        <v>1345</v>
      </c>
      <c r="J112" s="24" t="s">
        <v>1529</v>
      </c>
      <c r="K112" s="24" t="s">
        <v>1530</v>
      </c>
      <c r="L112" s="24" t="s">
        <v>119</v>
      </c>
      <c r="M112" s="24" t="s">
        <v>1531</v>
      </c>
      <c r="N112" s="24"/>
      <c r="O112" s="24" t="s">
        <v>1532</v>
      </c>
      <c r="P112" s="24" t="s">
        <v>1533</v>
      </c>
      <c r="Q112" s="24" t="s">
        <v>1534</v>
      </c>
      <c r="R112" s="24" t="s">
        <v>1535</v>
      </c>
      <c r="S112" s="24" t="s">
        <v>1536</v>
      </c>
      <c r="T112" s="24" t="s">
        <v>1537</v>
      </c>
      <c r="U112" s="24"/>
      <c r="V112" s="24"/>
      <c r="W112" s="24"/>
      <c r="X112" s="24"/>
      <c r="Y112" s="24"/>
      <c r="Z112" s="24"/>
      <c r="AA112" s="24"/>
      <c r="AB112" s="25" t="n">
        <v>10</v>
      </c>
      <c r="AC112" s="24" t="s">
        <v>1538</v>
      </c>
      <c r="AD112" s="24"/>
      <c r="AE112" s="24"/>
      <c r="AF112" s="24" t="s">
        <v>115</v>
      </c>
      <c r="AG112" s="24"/>
      <c r="AH112" s="24"/>
      <c r="AI112" s="25" t="n">
        <f aca="false">COUNTIF($B$2:$B$740,B112)</f>
        <v>1</v>
      </c>
    </row>
    <row r="113" customFormat="false" ht="28.8" hidden="false" customHeight="true" outlineLevel="0" collapsed="false">
      <c r="A113" s="26" t="n">
        <v>112</v>
      </c>
      <c r="B113" s="27" t="s">
        <v>1539</v>
      </c>
      <c r="C113" s="24" t="s">
        <v>9</v>
      </c>
      <c r="D113" s="24" t="s">
        <v>96</v>
      </c>
      <c r="E113" s="24" t="s">
        <v>97</v>
      </c>
      <c r="F113" s="24" t="s">
        <v>57</v>
      </c>
      <c r="G113" s="24" t="s">
        <v>57</v>
      </c>
      <c r="H113" s="24" t="s">
        <v>1344</v>
      </c>
      <c r="I113" s="24" t="s">
        <v>1345</v>
      </c>
      <c r="J113" s="24" t="s">
        <v>1540</v>
      </c>
      <c r="K113" s="24" t="s">
        <v>1541</v>
      </c>
      <c r="L113" s="24" t="s">
        <v>119</v>
      </c>
      <c r="M113" s="24" t="s">
        <v>1542</v>
      </c>
      <c r="N113" s="24"/>
      <c r="O113" s="24" t="s">
        <v>1543</v>
      </c>
      <c r="P113" s="24" t="s">
        <v>1544</v>
      </c>
      <c r="Q113" s="24" t="s">
        <v>1545</v>
      </c>
      <c r="R113" s="24" t="s">
        <v>1546</v>
      </c>
      <c r="S113" s="24" t="s">
        <v>1547</v>
      </c>
      <c r="T113" s="24" t="s">
        <v>1548</v>
      </c>
      <c r="U113" s="24"/>
      <c r="V113" s="24" t="s">
        <v>1547</v>
      </c>
      <c r="W113" s="24" t="s">
        <v>1549</v>
      </c>
      <c r="X113" s="24"/>
      <c r="Y113" s="24"/>
      <c r="Z113" s="24"/>
      <c r="AA113" s="24"/>
      <c r="AB113" s="25" t="n">
        <v>70</v>
      </c>
      <c r="AC113" s="24" t="s">
        <v>1550</v>
      </c>
      <c r="AD113" s="24" t="s">
        <v>1496</v>
      </c>
      <c r="AE113" s="24" t="s">
        <v>1551</v>
      </c>
      <c r="AF113" s="24" t="s">
        <v>168</v>
      </c>
      <c r="AG113" s="24"/>
      <c r="AH113" s="24" t="s">
        <v>1050</v>
      </c>
      <c r="AI113" s="25" t="n">
        <f aca="false">COUNTIF($B$2:$B$740,B113)</f>
        <v>1</v>
      </c>
    </row>
    <row r="114" customFormat="false" ht="76" hidden="false" customHeight="true" outlineLevel="0" collapsed="false">
      <c r="A114" s="21" t="n">
        <v>113</v>
      </c>
      <c r="B114" s="22" t="s">
        <v>1552</v>
      </c>
      <c r="C114" s="23" t="s">
        <v>9</v>
      </c>
      <c r="D114" s="23" t="s">
        <v>96</v>
      </c>
      <c r="E114" s="23" t="s">
        <v>97</v>
      </c>
      <c r="F114" s="24" t="s">
        <v>57</v>
      </c>
      <c r="G114" s="24" t="s">
        <v>57</v>
      </c>
      <c r="H114" s="24" t="s">
        <v>1344</v>
      </c>
      <c r="I114" s="24" t="s">
        <v>1345</v>
      </c>
      <c r="J114" s="24" t="s">
        <v>1553</v>
      </c>
      <c r="K114" s="24" t="s">
        <v>1554</v>
      </c>
      <c r="L114" s="24" t="s">
        <v>103</v>
      </c>
      <c r="M114" s="24" t="s">
        <v>842</v>
      </c>
      <c r="N114" s="24"/>
      <c r="O114" s="24" t="s">
        <v>1555</v>
      </c>
      <c r="P114" s="24" t="s">
        <v>1556</v>
      </c>
      <c r="Q114" s="24" t="s">
        <v>1557</v>
      </c>
      <c r="R114" s="24" t="s">
        <v>1558</v>
      </c>
      <c r="S114" s="24" t="s">
        <v>1559</v>
      </c>
      <c r="T114" s="24" t="s">
        <v>1560</v>
      </c>
      <c r="U114" s="24"/>
      <c r="V114" s="24" t="s">
        <v>1561</v>
      </c>
      <c r="W114" s="24"/>
      <c r="X114" s="24"/>
      <c r="Y114" s="24"/>
      <c r="Z114" s="24"/>
      <c r="AA114" s="24"/>
      <c r="AB114" s="25" t="n">
        <v>10</v>
      </c>
      <c r="AC114" s="24" t="s">
        <v>1562</v>
      </c>
      <c r="AD114" s="24"/>
      <c r="AE114" s="24"/>
      <c r="AF114" s="24" t="s">
        <v>115</v>
      </c>
      <c r="AG114" s="24"/>
      <c r="AH114" s="24"/>
      <c r="AI114" s="25" t="n">
        <f aca="false">COUNTIF($B$2:$B$740,B114)</f>
        <v>1</v>
      </c>
    </row>
    <row r="115" customFormat="false" ht="76" hidden="false" customHeight="true" outlineLevel="0" collapsed="false">
      <c r="A115" s="21" t="n">
        <v>114</v>
      </c>
      <c r="B115" s="22" t="s">
        <v>1563</v>
      </c>
      <c r="C115" s="23" t="s">
        <v>9</v>
      </c>
      <c r="D115" s="23" t="s">
        <v>96</v>
      </c>
      <c r="E115" s="23" t="s">
        <v>97</v>
      </c>
      <c r="F115" s="24" t="s">
        <v>59</v>
      </c>
      <c r="G115" s="24" t="s">
        <v>98</v>
      </c>
      <c r="H115" s="24" t="s">
        <v>1344</v>
      </c>
      <c r="I115" s="24" t="s">
        <v>1345</v>
      </c>
      <c r="J115" s="24" t="s">
        <v>1564</v>
      </c>
      <c r="K115" s="24" t="s">
        <v>1308</v>
      </c>
      <c r="L115" s="24" t="s">
        <v>103</v>
      </c>
      <c r="M115" s="24" t="s">
        <v>1565</v>
      </c>
      <c r="N115" s="24" t="s">
        <v>1566</v>
      </c>
      <c r="O115" s="24" t="s">
        <v>1567</v>
      </c>
      <c r="P115" s="24" t="s">
        <v>1568</v>
      </c>
      <c r="Q115" s="24" t="s">
        <v>1569</v>
      </c>
      <c r="R115" s="24" t="s">
        <v>1570</v>
      </c>
      <c r="S115" s="24" t="s">
        <v>1571</v>
      </c>
      <c r="T115" s="24" t="s">
        <v>1572</v>
      </c>
      <c r="U115" s="24"/>
      <c r="V115" s="24"/>
      <c r="W115" s="24" t="s">
        <v>1573</v>
      </c>
      <c r="X115" s="24"/>
      <c r="Y115" s="24"/>
      <c r="Z115" s="24"/>
      <c r="AA115" s="24"/>
      <c r="AB115" s="25" t="n">
        <v>10</v>
      </c>
      <c r="AC115" s="24" t="s">
        <v>1574</v>
      </c>
      <c r="AD115" s="24"/>
      <c r="AE115" s="24" t="s">
        <v>1575</v>
      </c>
      <c r="AF115" s="24" t="s">
        <v>115</v>
      </c>
      <c r="AG115" s="24"/>
      <c r="AH115" s="24"/>
      <c r="AI115" s="25" t="n">
        <f aca="false">COUNTIF($B$2:$B$740,B115)</f>
        <v>1</v>
      </c>
    </row>
    <row r="116" customFormat="false" ht="76" hidden="false" customHeight="true" outlineLevel="0" collapsed="false">
      <c r="A116" s="21" t="n">
        <v>115</v>
      </c>
      <c r="B116" s="22" t="s">
        <v>1576</v>
      </c>
      <c r="C116" s="23" t="s">
        <v>9</v>
      </c>
      <c r="D116" s="23" t="s">
        <v>96</v>
      </c>
      <c r="E116" s="23" t="s">
        <v>97</v>
      </c>
      <c r="F116" s="24" t="s">
        <v>57</v>
      </c>
      <c r="G116" s="24" t="s">
        <v>57</v>
      </c>
      <c r="H116" s="24" t="s">
        <v>1344</v>
      </c>
      <c r="I116" s="24" t="s">
        <v>1577</v>
      </c>
      <c r="J116" s="24" t="s">
        <v>1578</v>
      </c>
      <c r="K116" s="24" t="s">
        <v>1579</v>
      </c>
      <c r="L116" s="24" t="s">
        <v>103</v>
      </c>
      <c r="M116" s="24" t="s">
        <v>1580</v>
      </c>
      <c r="N116" s="24" t="s">
        <v>1581</v>
      </c>
      <c r="O116" s="24" t="s">
        <v>1582</v>
      </c>
      <c r="P116" s="24" t="s">
        <v>1583</v>
      </c>
      <c r="Q116" s="24" t="s">
        <v>1584</v>
      </c>
      <c r="R116" s="24" t="s">
        <v>1585</v>
      </c>
      <c r="S116" s="24" t="s">
        <v>1586</v>
      </c>
      <c r="T116" s="24" t="s">
        <v>1587</v>
      </c>
      <c r="U116" s="24"/>
      <c r="V116" s="24"/>
      <c r="W116" s="24" t="s">
        <v>1588</v>
      </c>
      <c r="X116" s="24"/>
      <c r="Y116" s="24"/>
      <c r="Z116" s="24"/>
      <c r="AA116" s="24"/>
      <c r="AB116" s="25" t="n">
        <v>10</v>
      </c>
      <c r="AC116" s="24" t="s">
        <v>1589</v>
      </c>
      <c r="AD116" s="24"/>
      <c r="AE116" s="24" t="s">
        <v>1528</v>
      </c>
      <c r="AF116" s="24" t="s">
        <v>115</v>
      </c>
      <c r="AG116" s="24"/>
      <c r="AH116" s="24"/>
      <c r="AI116" s="25" t="n">
        <f aca="false">COUNTIF($B$2:$B$740,B116)</f>
        <v>1</v>
      </c>
    </row>
    <row r="117" customFormat="false" ht="76" hidden="false" customHeight="true" outlineLevel="0" collapsed="false">
      <c r="A117" s="21" t="n">
        <v>116</v>
      </c>
      <c r="B117" s="22" t="s">
        <v>1590</v>
      </c>
      <c r="C117" s="23" t="s">
        <v>9</v>
      </c>
      <c r="D117" s="23" t="s">
        <v>96</v>
      </c>
      <c r="E117" s="23" t="s">
        <v>97</v>
      </c>
      <c r="F117" s="24" t="s">
        <v>57</v>
      </c>
      <c r="G117" s="24" t="s">
        <v>57</v>
      </c>
      <c r="H117" s="24" t="s">
        <v>1344</v>
      </c>
      <c r="I117" s="24" t="s">
        <v>1577</v>
      </c>
      <c r="J117" s="24" t="s">
        <v>1591</v>
      </c>
      <c r="K117" s="24" t="s">
        <v>1592</v>
      </c>
      <c r="L117" s="24" t="s">
        <v>103</v>
      </c>
      <c r="M117" s="24" t="s">
        <v>1580</v>
      </c>
      <c r="N117" s="24" t="s">
        <v>1593</v>
      </c>
      <c r="O117" s="24" t="s">
        <v>1594</v>
      </c>
      <c r="P117" s="24" t="s">
        <v>1595</v>
      </c>
      <c r="Q117" s="24" t="s">
        <v>1596</v>
      </c>
      <c r="R117" s="24" t="s">
        <v>1597</v>
      </c>
      <c r="S117" s="24" t="s">
        <v>1598</v>
      </c>
      <c r="T117" s="24" t="s">
        <v>1599</v>
      </c>
      <c r="U117" s="24" t="s">
        <v>1600</v>
      </c>
      <c r="V117" s="24" t="s">
        <v>1601</v>
      </c>
      <c r="W117" s="24" t="s">
        <v>1602</v>
      </c>
      <c r="X117" s="24"/>
      <c r="Y117" s="24" t="s">
        <v>1603</v>
      </c>
      <c r="Z117" s="24"/>
      <c r="AA117" s="24"/>
      <c r="AB117" s="25" t="n">
        <v>10</v>
      </c>
      <c r="AC117" s="24" t="s">
        <v>1604</v>
      </c>
      <c r="AD117" s="24"/>
      <c r="AE117" s="24"/>
      <c r="AF117" s="24" t="s">
        <v>115</v>
      </c>
      <c r="AG117" s="24"/>
      <c r="AH117" s="24"/>
      <c r="AI117" s="25" t="n">
        <f aca="false">COUNTIF($B$2:$B$740,B117)</f>
        <v>1</v>
      </c>
    </row>
    <row r="118" customFormat="false" ht="76" hidden="false" customHeight="true" outlineLevel="0" collapsed="false">
      <c r="A118" s="21" t="n">
        <v>117</v>
      </c>
      <c r="B118" s="22" t="s">
        <v>1605</v>
      </c>
      <c r="C118" s="23" t="s">
        <v>9</v>
      </c>
      <c r="D118" s="23" t="s">
        <v>96</v>
      </c>
      <c r="E118" s="23" t="s">
        <v>97</v>
      </c>
      <c r="F118" s="24" t="s">
        <v>57</v>
      </c>
      <c r="G118" s="24" t="s">
        <v>57</v>
      </c>
      <c r="H118" s="24" t="s">
        <v>1344</v>
      </c>
      <c r="I118" s="24" t="s">
        <v>1577</v>
      </c>
      <c r="J118" s="24" t="s">
        <v>1606</v>
      </c>
      <c r="K118" s="24" t="s">
        <v>1607</v>
      </c>
      <c r="L118" s="24" t="s">
        <v>103</v>
      </c>
      <c r="M118" s="24" t="s">
        <v>1608</v>
      </c>
      <c r="N118" s="24" t="s">
        <v>1609</v>
      </c>
      <c r="O118" s="24" t="s">
        <v>1610</v>
      </c>
      <c r="P118" s="24" t="s">
        <v>1611</v>
      </c>
      <c r="Q118" s="24" t="s">
        <v>1612</v>
      </c>
      <c r="R118" s="24" t="s">
        <v>1613</v>
      </c>
      <c r="S118" s="24" t="s">
        <v>1614</v>
      </c>
      <c r="T118" s="24" t="s">
        <v>1615</v>
      </c>
      <c r="U118" s="24" t="s">
        <v>1610</v>
      </c>
      <c r="V118" s="24" t="s">
        <v>1616</v>
      </c>
      <c r="W118" s="24" t="s">
        <v>1617</v>
      </c>
      <c r="X118" s="24"/>
      <c r="Y118" s="24"/>
      <c r="Z118" s="24"/>
      <c r="AA118" s="24"/>
      <c r="AB118" s="25" t="n">
        <v>10</v>
      </c>
      <c r="AC118" s="24" t="s">
        <v>1618</v>
      </c>
      <c r="AD118" s="24"/>
      <c r="AE118" s="24"/>
      <c r="AF118" s="24" t="s">
        <v>115</v>
      </c>
      <c r="AG118" s="24"/>
      <c r="AH118" s="24"/>
      <c r="AI118" s="25" t="n">
        <f aca="false">COUNTIF($B$2:$B$740,B118)</f>
        <v>1</v>
      </c>
    </row>
    <row r="119" customFormat="false" ht="76" hidden="false" customHeight="true" outlineLevel="0" collapsed="false">
      <c r="A119" s="21" t="n">
        <v>118</v>
      </c>
      <c r="B119" s="22" t="s">
        <v>1619</v>
      </c>
      <c r="C119" s="23" t="s">
        <v>9</v>
      </c>
      <c r="D119" s="23" t="s">
        <v>96</v>
      </c>
      <c r="E119" s="23" t="s">
        <v>97</v>
      </c>
      <c r="F119" s="24" t="s">
        <v>57</v>
      </c>
      <c r="G119" s="24" t="s">
        <v>57</v>
      </c>
      <c r="H119" s="24" t="s">
        <v>1344</v>
      </c>
      <c r="I119" s="24" t="s">
        <v>1577</v>
      </c>
      <c r="J119" s="24" t="s">
        <v>1620</v>
      </c>
      <c r="K119" s="24" t="s">
        <v>1621</v>
      </c>
      <c r="L119" s="24" t="s">
        <v>103</v>
      </c>
      <c r="M119" s="24" t="s">
        <v>1608</v>
      </c>
      <c r="N119" s="24" t="s">
        <v>1622</v>
      </c>
      <c r="O119" s="24" t="s">
        <v>1623</v>
      </c>
      <c r="P119" s="24" t="s">
        <v>1624</v>
      </c>
      <c r="Q119" s="24" t="s">
        <v>1625</v>
      </c>
      <c r="R119" s="24" t="s">
        <v>1626</v>
      </c>
      <c r="S119" s="24" t="s">
        <v>1627</v>
      </c>
      <c r="T119" s="24" t="s">
        <v>1628</v>
      </c>
      <c r="U119" s="24" t="s">
        <v>1623</v>
      </c>
      <c r="V119" s="24" t="s">
        <v>1629</v>
      </c>
      <c r="W119" s="24" t="s">
        <v>1630</v>
      </c>
      <c r="X119" s="24"/>
      <c r="Y119" s="24"/>
      <c r="Z119" s="24"/>
      <c r="AA119" s="24"/>
      <c r="AB119" s="25" t="n">
        <v>10</v>
      </c>
      <c r="AC119" s="24" t="s">
        <v>1631</v>
      </c>
      <c r="AD119" s="24"/>
      <c r="AE119" s="24"/>
      <c r="AF119" s="24" t="s">
        <v>115</v>
      </c>
      <c r="AG119" s="24"/>
      <c r="AH119" s="24"/>
      <c r="AI119" s="25" t="n">
        <f aca="false">COUNTIF($B$2:$B$740,B119)</f>
        <v>1</v>
      </c>
    </row>
    <row r="120" customFormat="false" ht="76" hidden="false" customHeight="true" outlineLevel="0" collapsed="false">
      <c r="A120" s="21" t="n">
        <v>119</v>
      </c>
      <c r="B120" s="22" t="s">
        <v>1632</v>
      </c>
      <c r="C120" s="23" t="s">
        <v>9</v>
      </c>
      <c r="D120" s="23" t="s">
        <v>96</v>
      </c>
      <c r="E120" s="23" t="s">
        <v>97</v>
      </c>
      <c r="F120" s="24" t="s">
        <v>57</v>
      </c>
      <c r="G120" s="24" t="s">
        <v>57</v>
      </c>
      <c r="H120" s="24" t="s">
        <v>1344</v>
      </c>
      <c r="I120" s="24" t="s">
        <v>1577</v>
      </c>
      <c r="J120" s="24" t="s">
        <v>1633</v>
      </c>
      <c r="K120" s="24" t="s">
        <v>1579</v>
      </c>
      <c r="L120" s="24" t="s">
        <v>103</v>
      </c>
      <c r="M120" s="24" t="s">
        <v>1634</v>
      </c>
      <c r="N120" s="24" t="s">
        <v>1581</v>
      </c>
      <c r="O120" s="24" t="s">
        <v>1582</v>
      </c>
      <c r="P120" s="24" t="s">
        <v>1635</v>
      </c>
      <c r="Q120" s="24" t="s">
        <v>1584</v>
      </c>
      <c r="R120" s="24" t="s">
        <v>1636</v>
      </c>
      <c r="S120" s="24" t="s">
        <v>1637</v>
      </c>
      <c r="T120" s="24" t="s">
        <v>1638</v>
      </c>
      <c r="U120" s="24"/>
      <c r="V120" s="24"/>
      <c r="W120" s="24" t="s">
        <v>1639</v>
      </c>
      <c r="X120" s="24"/>
      <c r="Y120" s="24"/>
      <c r="Z120" s="24"/>
      <c r="AA120" s="24"/>
      <c r="AB120" s="25" t="n">
        <v>10</v>
      </c>
      <c r="AC120" s="24" t="s">
        <v>1640</v>
      </c>
      <c r="AD120" s="24"/>
      <c r="AE120" s="24" t="s">
        <v>1641</v>
      </c>
      <c r="AF120" s="24" t="s">
        <v>115</v>
      </c>
      <c r="AG120" s="24"/>
      <c r="AH120" s="24"/>
      <c r="AI120" s="25" t="n">
        <f aca="false">COUNTIF($B$2:$B$740,B120)</f>
        <v>1</v>
      </c>
    </row>
    <row r="121" customFormat="false" ht="76" hidden="false" customHeight="true" outlineLevel="0" collapsed="false">
      <c r="A121" s="21" t="n">
        <v>120</v>
      </c>
      <c r="B121" s="22" t="s">
        <v>1642</v>
      </c>
      <c r="C121" s="23" t="s">
        <v>9</v>
      </c>
      <c r="D121" s="23" t="s">
        <v>96</v>
      </c>
      <c r="E121" s="23" t="s">
        <v>97</v>
      </c>
      <c r="F121" s="24" t="s">
        <v>57</v>
      </c>
      <c r="G121" s="24" t="s">
        <v>57</v>
      </c>
      <c r="H121" s="24" t="s">
        <v>1344</v>
      </c>
      <c r="I121" s="24" t="s">
        <v>1577</v>
      </c>
      <c r="J121" s="24" t="s">
        <v>1643</v>
      </c>
      <c r="K121" s="24" t="s">
        <v>1579</v>
      </c>
      <c r="L121" s="24" t="s">
        <v>103</v>
      </c>
      <c r="M121" s="24" t="s">
        <v>1644</v>
      </c>
      <c r="N121" s="24" t="s">
        <v>1581</v>
      </c>
      <c r="O121" s="24" t="s">
        <v>1645</v>
      </c>
      <c r="P121" s="24" t="s">
        <v>1635</v>
      </c>
      <c r="Q121" s="24" t="s">
        <v>1646</v>
      </c>
      <c r="R121" s="24" t="s">
        <v>1647</v>
      </c>
      <c r="S121" s="24" t="s">
        <v>1648</v>
      </c>
      <c r="T121" s="24" t="s">
        <v>1649</v>
      </c>
      <c r="U121" s="24"/>
      <c r="V121" s="24"/>
      <c r="W121" s="24" t="s">
        <v>1650</v>
      </c>
      <c r="X121" s="24"/>
      <c r="Y121" s="24"/>
      <c r="Z121" s="24"/>
      <c r="AA121" s="24"/>
      <c r="AB121" s="25" t="n">
        <v>10</v>
      </c>
      <c r="AC121" s="24" t="s">
        <v>1651</v>
      </c>
      <c r="AD121" s="24"/>
      <c r="AE121" s="24" t="s">
        <v>1652</v>
      </c>
      <c r="AF121" s="24" t="s">
        <v>115</v>
      </c>
      <c r="AG121" s="24"/>
      <c r="AH121" s="24"/>
      <c r="AI121" s="25" t="n">
        <f aca="false">COUNTIF($B$2:$B$740,B121)</f>
        <v>1</v>
      </c>
    </row>
    <row r="122" customFormat="false" ht="76" hidden="false" customHeight="true" outlineLevel="0" collapsed="false">
      <c r="A122" s="21" t="n">
        <v>121</v>
      </c>
      <c r="B122" s="22" t="s">
        <v>1653</v>
      </c>
      <c r="C122" s="23" t="s">
        <v>9</v>
      </c>
      <c r="D122" s="23" t="s">
        <v>96</v>
      </c>
      <c r="E122" s="23" t="s">
        <v>97</v>
      </c>
      <c r="F122" s="24" t="s">
        <v>57</v>
      </c>
      <c r="G122" s="24" t="s">
        <v>57</v>
      </c>
      <c r="H122" s="24" t="s">
        <v>1344</v>
      </c>
      <c r="I122" s="24" t="s">
        <v>1577</v>
      </c>
      <c r="J122" s="24" t="s">
        <v>1654</v>
      </c>
      <c r="K122" s="24" t="s">
        <v>1655</v>
      </c>
      <c r="L122" s="24" t="s">
        <v>103</v>
      </c>
      <c r="M122" s="24" t="s">
        <v>1656</v>
      </c>
      <c r="N122" s="24"/>
      <c r="O122" s="24" t="s">
        <v>1657</v>
      </c>
      <c r="P122" s="24" t="s">
        <v>1658</v>
      </c>
      <c r="Q122" s="24" t="s">
        <v>1659</v>
      </c>
      <c r="R122" s="24" t="s">
        <v>1660</v>
      </c>
      <c r="S122" s="24" t="s">
        <v>1661</v>
      </c>
      <c r="T122" s="24" t="s">
        <v>1662</v>
      </c>
      <c r="U122" s="24"/>
      <c r="V122" s="24"/>
      <c r="W122" s="24"/>
      <c r="X122" s="24"/>
      <c r="Y122" s="24" t="s">
        <v>1660</v>
      </c>
      <c r="Z122" s="24"/>
      <c r="AA122" s="24"/>
      <c r="AB122" s="25" t="n">
        <v>10</v>
      </c>
      <c r="AC122" s="24" t="s">
        <v>1663</v>
      </c>
      <c r="AD122" s="24"/>
      <c r="AE122" s="24"/>
      <c r="AF122" s="24" t="s">
        <v>115</v>
      </c>
      <c r="AG122" s="24"/>
      <c r="AH122" s="24"/>
      <c r="AI122" s="25" t="n">
        <f aca="false">COUNTIF($B$2:$B$740,B122)</f>
        <v>1</v>
      </c>
    </row>
    <row r="123" customFormat="false" ht="76" hidden="false" customHeight="true" outlineLevel="0" collapsed="false">
      <c r="A123" s="21" t="n">
        <v>122</v>
      </c>
      <c r="B123" s="22" t="s">
        <v>1664</v>
      </c>
      <c r="C123" s="23" t="s">
        <v>9</v>
      </c>
      <c r="D123" s="23" t="s">
        <v>96</v>
      </c>
      <c r="E123" s="23" t="s">
        <v>97</v>
      </c>
      <c r="F123" s="24" t="s">
        <v>50</v>
      </c>
      <c r="G123" s="24" t="s">
        <v>1407</v>
      </c>
      <c r="H123" s="24" t="s">
        <v>1344</v>
      </c>
      <c r="I123" s="24" t="s">
        <v>1577</v>
      </c>
      <c r="J123" s="24" t="s">
        <v>1665</v>
      </c>
      <c r="K123" s="24" t="s">
        <v>1666</v>
      </c>
      <c r="L123" s="24" t="s">
        <v>103</v>
      </c>
      <c r="M123" s="24" t="s">
        <v>1667</v>
      </c>
      <c r="N123" s="24" t="s">
        <v>1668</v>
      </c>
      <c r="O123" s="24" t="s">
        <v>1669</v>
      </c>
      <c r="P123" s="24" t="s">
        <v>1670</v>
      </c>
      <c r="Q123" s="24" t="s">
        <v>1671</v>
      </c>
      <c r="R123" s="24" t="s">
        <v>1672</v>
      </c>
      <c r="S123" s="24" t="s">
        <v>1673</v>
      </c>
      <c r="T123" s="24" t="s">
        <v>1674</v>
      </c>
      <c r="U123" s="24"/>
      <c r="V123" s="24"/>
      <c r="W123" s="24"/>
      <c r="X123" s="24"/>
      <c r="Y123" s="24"/>
      <c r="Z123" s="24"/>
      <c r="AA123" s="24"/>
      <c r="AB123" s="25" t="n">
        <v>10</v>
      </c>
      <c r="AC123" s="24" t="s">
        <v>1675</v>
      </c>
      <c r="AD123" s="24"/>
      <c r="AE123" s="24"/>
      <c r="AF123" s="24" t="s">
        <v>115</v>
      </c>
      <c r="AG123" s="24"/>
      <c r="AH123" s="24"/>
      <c r="AI123" s="25" t="n">
        <f aca="false">COUNTIF($B$2:$B$740,B123)</f>
        <v>1</v>
      </c>
    </row>
    <row r="124" customFormat="false" ht="76" hidden="false" customHeight="true" outlineLevel="0" collapsed="false">
      <c r="A124" s="21" t="n">
        <v>123</v>
      </c>
      <c r="B124" s="22" t="s">
        <v>1676</v>
      </c>
      <c r="C124" s="23" t="s">
        <v>9</v>
      </c>
      <c r="D124" s="23" t="s">
        <v>96</v>
      </c>
      <c r="E124" s="23" t="s">
        <v>97</v>
      </c>
      <c r="F124" s="24" t="s">
        <v>50</v>
      </c>
      <c r="G124" s="24" t="s">
        <v>1407</v>
      </c>
      <c r="H124" s="24" t="s">
        <v>1344</v>
      </c>
      <c r="I124" s="24" t="s">
        <v>1577</v>
      </c>
      <c r="J124" s="24" t="s">
        <v>1677</v>
      </c>
      <c r="K124" s="24" t="s">
        <v>1666</v>
      </c>
      <c r="L124" s="24" t="s">
        <v>103</v>
      </c>
      <c r="M124" s="24" t="s">
        <v>1667</v>
      </c>
      <c r="N124" s="24" t="s">
        <v>1678</v>
      </c>
      <c r="O124" s="24" t="s">
        <v>1679</v>
      </c>
      <c r="P124" s="24" t="s">
        <v>1680</v>
      </c>
      <c r="Q124" s="24" t="s">
        <v>1671</v>
      </c>
      <c r="R124" s="24" t="s">
        <v>1681</v>
      </c>
      <c r="S124" s="24" t="s">
        <v>1673</v>
      </c>
      <c r="T124" s="24" t="s">
        <v>1682</v>
      </c>
      <c r="U124" s="24"/>
      <c r="V124" s="24"/>
      <c r="W124" s="24"/>
      <c r="X124" s="24"/>
      <c r="Y124" s="24"/>
      <c r="Z124" s="24"/>
      <c r="AA124" s="24"/>
      <c r="AB124" s="25" t="n">
        <v>10</v>
      </c>
      <c r="AC124" s="24" t="s">
        <v>1683</v>
      </c>
      <c r="AD124" s="24"/>
      <c r="AE124" s="24"/>
      <c r="AF124" s="24" t="s">
        <v>115</v>
      </c>
      <c r="AG124" s="24"/>
      <c r="AH124" s="24"/>
      <c r="AI124" s="25" t="n">
        <f aca="false">COUNTIF($B$2:$B$740,B124)</f>
        <v>1</v>
      </c>
    </row>
    <row r="125" customFormat="false" ht="76" hidden="false" customHeight="true" outlineLevel="0" collapsed="false">
      <c r="A125" s="21" t="n">
        <v>124</v>
      </c>
      <c r="B125" s="22" t="s">
        <v>1684</v>
      </c>
      <c r="C125" s="23" t="s">
        <v>9</v>
      </c>
      <c r="D125" s="23" t="s">
        <v>96</v>
      </c>
      <c r="E125" s="23" t="s">
        <v>97</v>
      </c>
      <c r="F125" s="24" t="s">
        <v>57</v>
      </c>
      <c r="G125" s="24" t="s">
        <v>57</v>
      </c>
      <c r="H125" s="24" t="s">
        <v>1344</v>
      </c>
      <c r="I125" s="24" t="s">
        <v>1577</v>
      </c>
      <c r="J125" s="24" t="s">
        <v>1685</v>
      </c>
      <c r="K125" s="24" t="s">
        <v>1686</v>
      </c>
      <c r="L125" s="24" t="s">
        <v>103</v>
      </c>
      <c r="M125" s="24" t="s">
        <v>1667</v>
      </c>
      <c r="N125" s="24" t="s">
        <v>1687</v>
      </c>
      <c r="O125" s="24" t="s">
        <v>1688</v>
      </c>
      <c r="P125" s="24" t="s">
        <v>1658</v>
      </c>
      <c r="Q125" s="24" t="s">
        <v>1689</v>
      </c>
      <c r="R125" s="24" t="s">
        <v>1690</v>
      </c>
      <c r="S125" s="24" t="s">
        <v>1691</v>
      </c>
      <c r="T125" s="24" t="s">
        <v>1692</v>
      </c>
      <c r="U125" s="24"/>
      <c r="V125" s="24"/>
      <c r="W125" s="24"/>
      <c r="X125" s="24"/>
      <c r="Y125" s="24"/>
      <c r="Z125" s="24"/>
      <c r="AA125" s="24"/>
      <c r="AB125" s="25" t="n">
        <v>10</v>
      </c>
      <c r="AC125" s="24" t="s">
        <v>1693</v>
      </c>
      <c r="AD125" s="24"/>
      <c r="AE125" s="24"/>
      <c r="AF125" s="24" t="s">
        <v>115</v>
      </c>
      <c r="AG125" s="24"/>
      <c r="AH125" s="24"/>
      <c r="AI125" s="25" t="n">
        <f aca="false">COUNTIF($B$2:$B$740,B125)</f>
        <v>1</v>
      </c>
    </row>
    <row r="126" customFormat="false" ht="76" hidden="false" customHeight="true" outlineLevel="0" collapsed="false">
      <c r="A126" s="21" t="n">
        <v>125</v>
      </c>
      <c r="B126" s="22" t="s">
        <v>1694</v>
      </c>
      <c r="C126" s="23" t="s">
        <v>9</v>
      </c>
      <c r="D126" s="23" t="s">
        <v>96</v>
      </c>
      <c r="E126" s="23" t="s">
        <v>97</v>
      </c>
      <c r="F126" s="24" t="s">
        <v>57</v>
      </c>
      <c r="G126" s="24" t="s">
        <v>57</v>
      </c>
      <c r="H126" s="24" t="s">
        <v>1344</v>
      </c>
      <c r="I126" s="24" t="s">
        <v>1577</v>
      </c>
      <c r="J126" s="24" t="s">
        <v>1695</v>
      </c>
      <c r="K126" s="24" t="s">
        <v>1579</v>
      </c>
      <c r="L126" s="24" t="s">
        <v>103</v>
      </c>
      <c r="M126" s="24" t="s">
        <v>1696</v>
      </c>
      <c r="N126" s="24" t="s">
        <v>1581</v>
      </c>
      <c r="O126" s="24" t="s">
        <v>1645</v>
      </c>
      <c r="P126" s="24" t="s">
        <v>1635</v>
      </c>
      <c r="Q126" s="24" t="s">
        <v>1646</v>
      </c>
      <c r="R126" s="24" t="s">
        <v>1697</v>
      </c>
      <c r="S126" s="24" t="s">
        <v>1698</v>
      </c>
      <c r="T126" s="24" t="s">
        <v>1699</v>
      </c>
      <c r="U126" s="24"/>
      <c r="V126" s="24"/>
      <c r="W126" s="24" t="s">
        <v>1700</v>
      </c>
      <c r="X126" s="24"/>
      <c r="Y126" s="24"/>
      <c r="Z126" s="24"/>
      <c r="AA126" s="24"/>
      <c r="AB126" s="25" t="n">
        <v>10</v>
      </c>
      <c r="AC126" s="24" t="s">
        <v>1701</v>
      </c>
      <c r="AD126" s="24"/>
      <c r="AE126" s="24"/>
      <c r="AF126" s="24" t="s">
        <v>115</v>
      </c>
      <c r="AG126" s="24"/>
      <c r="AH126" s="24"/>
      <c r="AI126" s="25" t="n">
        <f aca="false">COUNTIF($B$2:$B$740,B126)</f>
        <v>1</v>
      </c>
    </row>
    <row r="127" customFormat="false" ht="76" hidden="false" customHeight="true" outlineLevel="0" collapsed="false">
      <c r="A127" s="21" t="n">
        <v>126</v>
      </c>
      <c r="B127" s="22" t="s">
        <v>1702</v>
      </c>
      <c r="C127" s="23" t="s">
        <v>9</v>
      </c>
      <c r="D127" s="23" t="s">
        <v>96</v>
      </c>
      <c r="E127" s="23" t="s">
        <v>97</v>
      </c>
      <c r="F127" s="24" t="s">
        <v>57</v>
      </c>
      <c r="G127" s="24" t="s">
        <v>57</v>
      </c>
      <c r="H127" s="24" t="s">
        <v>1344</v>
      </c>
      <c r="I127" s="24" t="s">
        <v>1577</v>
      </c>
      <c r="J127" s="24" t="s">
        <v>1703</v>
      </c>
      <c r="K127" s="24" t="s">
        <v>1704</v>
      </c>
      <c r="L127" s="24" t="s">
        <v>103</v>
      </c>
      <c r="M127" s="24" t="s">
        <v>1696</v>
      </c>
      <c r="N127" s="24" t="s">
        <v>1581</v>
      </c>
      <c r="O127" s="24" t="s">
        <v>1705</v>
      </c>
      <c r="P127" s="24" t="s">
        <v>1706</v>
      </c>
      <c r="Q127" s="24" t="s">
        <v>1707</v>
      </c>
      <c r="R127" s="24" t="s">
        <v>1708</v>
      </c>
      <c r="S127" s="24" t="s">
        <v>1709</v>
      </c>
      <c r="T127" s="24" t="s">
        <v>1710</v>
      </c>
      <c r="U127" s="24"/>
      <c r="V127" s="24"/>
      <c r="W127" s="24" t="s">
        <v>1711</v>
      </c>
      <c r="X127" s="24"/>
      <c r="Y127" s="24"/>
      <c r="Z127" s="24"/>
      <c r="AA127" s="24"/>
      <c r="AB127" s="25" t="n">
        <v>10</v>
      </c>
      <c r="AC127" s="24" t="s">
        <v>1712</v>
      </c>
      <c r="AD127" s="24"/>
      <c r="AE127" s="24"/>
      <c r="AF127" s="24" t="s">
        <v>115</v>
      </c>
      <c r="AG127" s="24"/>
      <c r="AH127" s="24"/>
      <c r="AI127" s="25" t="n">
        <f aca="false">COUNTIF($B$2:$B$740,B127)</f>
        <v>1</v>
      </c>
    </row>
    <row r="128" customFormat="false" ht="76" hidden="false" customHeight="true" outlineLevel="0" collapsed="false">
      <c r="A128" s="21" t="n">
        <v>127</v>
      </c>
      <c r="B128" s="22" t="s">
        <v>1713</v>
      </c>
      <c r="C128" s="23" t="s">
        <v>9</v>
      </c>
      <c r="D128" s="23" t="s">
        <v>96</v>
      </c>
      <c r="E128" s="23" t="s">
        <v>97</v>
      </c>
      <c r="F128" s="24" t="s">
        <v>54</v>
      </c>
      <c r="G128" s="24" t="s">
        <v>1714</v>
      </c>
      <c r="H128" s="24" t="s">
        <v>1344</v>
      </c>
      <c r="I128" s="24" t="s">
        <v>1577</v>
      </c>
      <c r="J128" s="24" t="s">
        <v>1715</v>
      </c>
      <c r="K128" s="24" t="s">
        <v>1716</v>
      </c>
      <c r="L128" s="24" t="s">
        <v>531</v>
      </c>
      <c r="M128" s="24" t="s">
        <v>1717</v>
      </c>
      <c r="N128" s="24" t="s">
        <v>1718</v>
      </c>
      <c r="O128" s="24" t="s">
        <v>1719</v>
      </c>
      <c r="P128" s="24" t="s">
        <v>1720</v>
      </c>
      <c r="Q128" s="24" t="s">
        <v>1721</v>
      </c>
      <c r="R128" s="24" t="s">
        <v>1722</v>
      </c>
      <c r="S128" s="24" t="s">
        <v>1723</v>
      </c>
      <c r="T128" s="24" t="s">
        <v>1724</v>
      </c>
      <c r="U128" s="24" t="s">
        <v>1725</v>
      </c>
      <c r="V128" s="24"/>
      <c r="W128" s="24"/>
      <c r="X128" s="24" t="s">
        <v>1726</v>
      </c>
      <c r="Y128" s="24" t="s">
        <v>1725</v>
      </c>
      <c r="Z128" s="24" t="s">
        <v>1725</v>
      </c>
      <c r="AA128" s="24" t="s">
        <v>1727</v>
      </c>
      <c r="AB128" s="25" t="n">
        <v>100</v>
      </c>
      <c r="AC128" s="24" t="s">
        <v>1728</v>
      </c>
      <c r="AD128" s="24" t="s">
        <v>1729</v>
      </c>
      <c r="AE128" s="24" t="s">
        <v>1730</v>
      </c>
      <c r="AF128" s="24" t="s">
        <v>115</v>
      </c>
      <c r="AG128" s="24" t="s">
        <v>168</v>
      </c>
      <c r="AH128" s="24" t="s">
        <v>545</v>
      </c>
      <c r="AI128" s="25" t="n">
        <f aca="false">COUNTIF($B$2:$B$740,B128)</f>
        <v>1</v>
      </c>
    </row>
    <row r="129" customFormat="false" ht="76" hidden="false" customHeight="true" outlineLevel="0" collapsed="false">
      <c r="A129" s="21" t="n">
        <v>128</v>
      </c>
      <c r="B129" s="22" t="s">
        <v>1731</v>
      </c>
      <c r="C129" s="23" t="s">
        <v>9</v>
      </c>
      <c r="D129" s="23" t="s">
        <v>96</v>
      </c>
      <c r="E129" s="23" t="s">
        <v>97</v>
      </c>
      <c r="F129" s="24" t="s">
        <v>57</v>
      </c>
      <c r="G129" s="24" t="s">
        <v>57</v>
      </c>
      <c r="H129" s="24" t="s">
        <v>1344</v>
      </c>
      <c r="I129" s="24" t="s">
        <v>1577</v>
      </c>
      <c r="J129" s="24" t="s">
        <v>1732</v>
      </c>
      <c r="K129" s="24" t="s">
        <v>1733</v>
      </c>
      <c r="L129" s="24" t="s">
        <v>119</v>
      </c>
      <c r="M129" s="24" t="s">
        <v>1696</v>
      </c>
      <c r="N129" s="24" t="s">
        <v>1734</v>
      </c>
      <c r="O129" s="24" t="s">
        <v>1735</v>
      </c>
      <c r="P129" s="24" t="s">
        <v>1736</v>
      </c>
      <c r="Q129" s="24" t="s">
        <v>1737</v>
      </c>
      <c r="R129" s="24" t="s">
        <v>1738</v>
      </c>
      <c r="S129" s="24" t="s">
        <v>1739</v>
      </c>
      <c r="T129" s="24" t="s">
        <v>1740</v>
      </c>
      <c r="U129" s="24" t="s">
        <v>1735</v>
      </c>
      <c r="V129" s="24" t="s">
        <v>1741</v>
      </c>
      <c r="W129" s="24" t="s">
        <v>1738</v>
      </c>
      <c r="X129" s="24"/>
      <c r="Y129" s="24"/>
      <c r="Z129" s="24"/>
      <c r="AA129" s="24"/>
      <c r="AB129" s="25" t="n">
        <v>10</v>
      </c>
      <c r="AC129" s="24" t="s">
        <v>1742</v>
      </c>
      <c r="AD129" s="24"/>
      <c r="AE129" s="24"/>
      <c r="AF129" s="24" t="s">
        <v>115</v>
      </c>
      <c r="AG129" s="24"/>
      <c r="AH129" s="24"/>
      <c r="AI129" s="25" t="n">
        <f aca="false">COUNTIF($B$2:$B$740,B129)</f>
        <v>1</v>
      </c>
    </row>
    <row r="130" customFormat="false" ht="76" hidden="false" customHeight="true" outlineLevel="0" collapsed="false">
      <c r="A130" s="21" t="n">
        <v>129</v>
      </c>
      <c r="B130" s="22" t="s">
        <v>1743</v>
      </c>
      <c r="C130" s="23" t="s">
        <v>9</v>
      </c>
      <c r="D130" s="23" t="s">
        <v>96</v>
      </c>
      <c r="E130" s="23" t="s">
        <v>97</v>
      </c>
      <c r="F130" s="24" t="s">
        <v>57</v>
      </c>
      <c r="G130" s="24" t="s">
        <v>57</v>
      </c>
      <c r="H130" s="24" t="s">
        <v>1344</v>
      </c>
      <c r="I130" s="24" t="s">
        <v>1577</v>
      </c>
      <c r="J130" s="24" t="s">
        <v>1744</v>
      </c>
      <c r="K130" s="24" t="s">
        <v>1745</v>
      </c>
      <c r="L130" s="24" t="s">
        <v>119</v>
      </c>
      <c r="M130" s="24" t="s">
        <v>1696</v>
      </c>
      <c r="N130" s="24" t="s">
        <v>1746</v>
      </c>
      <c r="O130" s="24" t="s">
        <v>1747</v>
      </c>
      <c r="P130" s="24" t="s">
        <v>1748</v>
      </c>
      <c r="Q130" s="24" t="s">
        <v>1749</v>
      </c>
      <c r="R130" s="24" t="s">
        <v>1750</v>
      </c>
      <c r="S130" s="24" t="s">
        <v>1751</v>
      </c>
      <c r="T130" s="24" t="s">
        <v>1752</v>
      </c>
      <c r="U130" s="24" t="s">
        <v>1747</v>
      </c>
      <c r="V130" s="24" t="s">
        <v>1753</v>
      </c>
      <c r="W130" s="24" t="s">
        <v>1749</v>
      </c>
      <c r="X130" s="24"/>
      <c r="Y130" s="24"/>
      <c r="Z130" s="24"/>
      <c r="AA130" s="24"/>
      <c r="AB130" s="25" t="n">
        <v>10</v>
      </c>
      <c r="AC130" s="24" t="s">
        <v>1754</v>
      </c>
      <c r="AD130" s="24"/>
      <c r="AE130" s="24"/>
      <c r="AF130" s="24" t="s">
        <v>115</v>
      </c>
      <c r="AG130" s="24"/>
      <c r="AH130" s="24"/>
      <c r="AI130" s="25" t="n">
        <f aca="false">COUNTIF($B$2:$B$740,B130)</f>
        <v>1</v>
      </c>
    </row>
    <row r="131" customFormat="false" ht="76" hidden="false" customHeight="true" outlineLevel="0" collapsed="false">
      <c r="A131" s="21" t="n">
        <v>130</v>
      </c>
      <c r="B131" s="22" t="s">
        <v>1755</v>
      </c>
      <c r="C131" s="23" t="s">
        <v>9</v>
      </c>
      <c r="D131" s="23" t="s">
        <v>96</v>
      </c>
      <c r="E131" s="23" t="s">
        <v>97</v>
      </c>
      <c r="F131" s="24" t="s">
        <v>57</v>
      </c>
      <c r="G131" s="24" t="s">
        <v>57</v>
      </c>
      <c r="H131" s="24" t="s">
        <v>1344</v>
      </c>
      <c r="I131" s="24" t="s">
        <v>1577</v>
      </c>
      <c r="J131" s="24" t="s">
        <v>1756</v>
      </c>
      <c r="K131" s="24" t="s">
        <v>1579</v>
      </c>
      <c r="L131" s="24" t="s">
        <v>103</v>
      </c>
      <c r="M131" s="24" t="s">
        <v>1757</v>
      </c>
      <c r="N131" s="24" t="s">
        <v>1581</v>
      </c>
      <c r="O131" s="24" t="s">
        <v>1645</v>
      </c>
      <c r="P131" s="24" t="s">
        <v>1635</v>
      </c>
      <c r="Q131" s="24" t="s">
        <v>1758</v>
      </c>
      <c r="R131" s="24" t="s">
        <v>1759</v>
      </c>
      <c r="S131" s="24" t="s">
        <v>1760</v>
      </c>
      <c r="T131" s="24" t="s">
        <v>552</v>
      </c>
      <c r="U131" s="24"/>
      <c r="V131" s="24"/>
      <c r="W131" s="24" t="s">
        <v>1761</v>
      </c>
      <c r="X131" s="24"/>
      <c r="Y131" s="24"/>
      <c r="Z131" s="24"/>
      <c r="AA131" s="24"/>
      <c r="AB131" s="25" t="n">
        <v>10</v>
      </c>
      <c r="AC131" s="24" t="s">
        <v>1762</v>
      </c>
      <c r="AD131" s="24"/>
      <c r="AE131" s="24"/>
      <c r="AF131" s="24" t="s">
        <v>115</v>
      </c>
      <c r="AG131" s="24"/>
      <c r="AH131" s="24"/>
      <c r="AI131" s="25" t="n">
        <f aca="false">COUNTIF($B$2:$B$740,B131)</f>
        <v>1</v>
      </c>
    </row>
    <row r="132" customFormat="false" ht="76" hidden="false" customHeight="true" outlineLevel="0" collapsed="false">
      <c r="A132" s="21" t="n">
        <v>131</v>
      </c>
      <c r="B132" s="22" t="s">
        <v>1763</v>
      </c>
      <c r="C132" s="23" t="s">
        <v>9</v>
      </c>
      <c r="D132" s="23" t="s">
        <v>96</v>
      </c>
      <c r="E132" s="23" t="s">
        <v>97</v>
      </c>
      <c r="F132" s="24" t="s">
        <v>57</v>
      </c>
      <c r="G132" s="24" t="s">
        <v>57</v>
      </c>
      <c r="H132" s="24" t="s">
        <v>1344</v>
      </c>
      <c r="I132" s="24" t="s">
        <v>1577</v>
      </c>
      <c r="J132" s="24" t="s">
        <v>1764</v>
      </c>
      <c r="K132" s="24" t="s">
        <v>1765</v>
      </c>
      <c r="L132" s="24" t="s">
        <v>103</v>
      </c>
      <c r="M132" s="24" t="s">
        <v>1766</v>
      </c>
      <c r="N132" s="24" t="s">
        <v>1767</v>
      </c>
      <c r="O132" s="24" t="s">
        <v>1768</v>
      </c>
      <c r="P132" s="24" t="s">
        <v>1769</v>
      </c>
      <c r="Q132" s="24" t="s">
        <v>1770</v>
      </c>
      <c r="R132" s="24" t="s">
        <v>1771</v>
      </c>
      <c r="S132" s="24" t="s">
        <v>1772</v>
      </c>
      <c r="T132" s="24" t="s">
        <v>1773</v>
      </c>
      <c r="U132" s="24"/>
      <c r="V132" s="24"/>
      <c r="W132" s="24"/>
      <c r="X132" s="24"/>
      <c r="Y132" s="24"/>
      <c r="Z132" s="24"/>
      <c r="AA132" s="24"/>
      <c r="AB132" s="25" t="n">
        <v>10</v>
      </c>
      <c r="AC132" s="24" t="s">
        <v>1774</v>
      </c>
      <c r="AD132" s="24"/>
      <c r="AE132" s="24"/>
      <c r="AF132" s="24" t="s">
        <v>115</v>
      </c>
      <c r="AG132" s="24"/>
      <c r="AH132" s="24"/>
      <c r="AI132" s="25" t="n">
        <f aca="false">COUNTIF($B$2:$B$740,B132)</f>
        <v>1</v>
      </c>
    </row>
    <row r="133" customFormat="false" ht="76" hidden="false" customHeight="true" outlineLevel="0" collapsed="false">
      <c r="A133" s="21" t="n">
        <v>132</v>
      </c>
      <c r="B133" s="22" t="s">
        <v>1775</v>
      </c>
      <c r="C133" s="23" t="s">
        <v>9</v>
      </c>
      <c r="D133" s="23" t="s">
        <v>96</v>
      </c>
      <c r="E133" s="23" t="s">
        <v>97</v>
      </c>
      <c r="F133" s="24" t="s">
        <v>57</v>
      </c>
      <c r="G133" s="24" t="s">
        <v>57</v>
      </c>
      <c r="H133" s="24" t="s">
        <v>1344</v>
      </c>
      <c r="I133" s="24" t="s">
        <v>1577</v>
      </c>
      <c r="J133" s="24" t="s">
        <v>1776</v>
      </c>
      <c r="K133" s="24" t="s">
        <v>1777</v>
      </c>
      <c r="L133" s="24" t="s">
        <v>103</v>
      </c>
      <c r="M133" s="24" t="s">
        <v>1778</v>
      </c>
      <c r="N133" s="24"/>
      <c r="O133" s="24" t="s">
        <v>1779</v>
      </c>
      <c r="P133" s="24" t="s">
        <v>1658</v>
      </c>
      <c r="Q133" s="24" t="s">
        <v>1780</v>
      </c>
      <c r="R133" s="24" t="s">
        <v>1781</v>
      </c>
      <c r="S133" s="24" t="s">
        <v>1782</v>
      </c>
      <c r="T133" s="24" t="s">
        <v>552</v>
      </c>
      <c r="U133" s="24"/>
      <c r="V133" s="24"/>
      <c r="W133" s="24" t="s">
        <v>1781</v>
      </c>
      <c r="X133" s="24"/>
      <c r="Y133" s="24"/>
      <c r="Z133" s="24"/>
      <c r="AA133" s="24"/>
      <c r="AB133" s="25" t="n">
        <v>10</v>
      </c>
      <c r="AC133" s="24" t="s">
        <v>1783</v>
      </c>
      <c r="AD133" s="24"/>
      <c r="AE133" s="24"/>
      <c r="AF133" s="24" t="s">
        <v>115</v>
      </c>
      <c r="AG133" s="24"/>
      <c r="AH133" s="24"/>
      <c r="AI133" s="25" t="n">
        <f aca="false">COUNTIF($B$2:$B$740,B133)</f>
        <v>1</v>
      </c>
    </row>
    <row r="134" customFormat="false" ht="76" hidden="false" customHeight="true" outlineLevel="0" collapsed="false">
      <c r="A134" s="21" t="n">
        <v>133</v>
      </c>
      <c r="B134" s="22" t="s">
        <v>1784</v>
      </c>
      <c r="C134" s="23" t="s">
        <v>9</v>
      </c>
      <c r="D134" s="23" t="s">
        <v>96</v>
      </c>
      <c r="E134" s="23" t="s">
        <v>97</v>
      </c>
      <c r="F134" s="24" t="s">
        <v>57</v>
      </c>
      <c r="G134" s="24" t="s">
        <v>57</v>
      </c>
      <c r="H134" s="24" t="s">
        <v>1344</v>
      </c>
      <c r="I134" s="24" t="s">
        <v>1577</v>
      </c>
      <c r="J134" s="24" t="s">
        <v>1785</v>
      </c>
      <c r="K134" s="24" t="s">
        <v>1786</v>
      </c>
      <c r="L134" s="24" t="s">
        <v>103</v>
      </c>
      <c r="M134" s="24" t="s">
        <v>1778</v>
      </c>
      <c r="N134" s="24"/>
      <c r="O134" s="24" t="s">
        <v>1787</v>
      </c>
      <c r="P134" s="24" t="s">
        <v>1788</v>
      </c>
      <c r="Q134" s="24" t="s">
        <v>1789</v>
      </c>
      <c r="R134" s="24" t="s">
        <v>1790</v>
      </c>
      <c r="S134" s="24" t="s">
        <v>1791</v>
      </c>
      <c r="T134" s="24" t="s">
        <v>1792</v>
      </c>
      <c r="U134" s="24"/>
      <c r="V134" s="24" t="s">
        <v>1793</v>
      </c>
      <c r="W134" s="24"/>
      <c r="X134" s="24"/>
      <c r="Y134" s="24"/>
      <c r="Z134" s="24"/>
      <c r="AA134" s="24"/>
      <c r="AB134" s="25" t="n">
        <v>10</v>
      </c>
      <c r="AC134" s="24" t="s">
        <v>1794</v>
      </c>
      <c r="AD134" s="24"/>
      <c r="AE134" s="24"/>
      <c r="AF134" s="24" t="s">
        <v>115</v>
      </c>
      <c r="AG134" s="24"/>
      <c r="AH134" s="24"/>
      <c r="AI134" s="25" t="n">
        <f aca="false">COUNTIF($B$2:$B$740,B134)</f>
        <v>1</v>
      </c>
    </row>
    <row r="135" customFormat="false" ht="76" hidden="false" customHeight="true" outlineLevel="0" collapsed="false">
      <c r="A135" s="21" t="n">
        <v>134</v>
      </c>
      <c r="B135" s="22" t="s">
        <v>1795</v>
      </c>
      <c r="C135" s="23" t="s">
        <v>9</v>
      </c>
      <c r="D135" s="23" t="s">
        <v>96</v>
      </c>
      <c r="E135" s="23" t="s">
        <v>97</v>
      </c>
      <c r="F135" s="24" t="s">
        <v>57</v>
      </c>
      <c r="G135" s="24" t="s">
        <v>57</v>
      </c>
      <c r="H135" s="24" t="s">
        <v>1344</v>
      </c>
      <c r="I135" s="24" t="s">
        <v>1577</v>
      </c>
      <c r="J135" s="24" t="s">
        <v>1796</v>
      </c>
      <c r="K135" s="24" t="s">
        <v>1797</v>
      </c>
      <c r="L135" s="24" t="s">
        <v>103</v>
      </c>
      <c r="M135" s="24" t="s">
        <v>1778</v>
      </c>
      <c r="N135" s="24"/>
      <c r="O135" s="24" t="s">
        <v>1798</v>
      </c>
      <c r="P135" s="24" t="s">
        <v>1658</v>
      </c>
      <c r="Q135" s="24" t="s">
        <v>1799</v>
      </c>
      <c r="R135" s="24" t="s">
        <v>1800</v>
      </c>
      <c r="S135" s="24" t="s">
        <v>1801</v>
      </c>
      <c r="T135" s="24" t="s">
        <v>1802</v>
      </c>
      <c r="U135" s="24"/>
      <c r="V135" s="24"/>
      <c r="W135" s="24"/>
      <c r="X135" s="24"/>
      <c r="Y135" s="24"/>
      <c r="Z135" s="24"/>
      <c r="AA135" s="24"/>
      <c r="AB135" s="25" t="n">
        <v>10</v>
      </c>
      <c r="AC135" s="24" t="s">
        <v>1803</v>
      </c>
      <c r="AD135" s="24"/>
      <c r="AE135" s="24"/>
      <c r="AF135" s="24" t="s">
        <v>115</v>
      </c>
      <c r="AG135" s="24"/>
      <c r="AH135" s="24"/>
      <c r="AI135" s="25" t="n">
        <f aca="false">COUNTIF($B$2:$B$740,B135)</f>
        <v>1</v>
      </c>
    </row>
    <row r="136" customFormat="false" ht="76" hidden="false" customHeight="true" outlineLevel="0" collapsed="false">
      <c r="A136" s="21" t="n">
        <v>135</v>
      </c>
      <c r="B136" s="22" t="s">
        <v>1804</v>
      </c>
      <c r="C136" s="23" t="s">
        <v>9</v>
      </c>
      <c r="D136" s="23" t="s">
        <v>96</v>
      </c>
      <c r="E136" s="23" t="s">
        <v>97</v>
      </c>
      <c r="F136" s="24" t="s">
        <v>56</v>
      </c>
      <c r="G136" s="24" t="s">
        <v>1805</v>
      </c>
      <c r="H136" s="24" t="s">
        <v>1344</v>
      </c>
      <c r="I136" s="24" t="s">
        <v>1577</v>
      </c>
      <c r="J136" s="24" t="s">
        <v>1806</v>
      </c>
      <c r="K136" s="24" t="s">
        <v>1807</v>
      </c>
      <c r="L136" s="24" t="s">
        <v>103</v>
      </c>
      <c r="M136" s="24" t="s">
        <v>1778</v>
      </c>
      <c r="N136" s="24"/>
      <c r="O136" s="24" t="s">
        <v>1808</v>
      </c>
      <c r="P136" s="24" t="s">
        <v>1658</v>
      </c>
      <c r="Q136" s="24" t="s">
        <v>1799</v>
      </c>
      <c r="R136" s="24" t="s">
        <v>1809</v>
      </c>
      <c r="S136" s="24" t="s">
        <v>1810</v>
      </c>
      <c r="T136" s="24" t="s">
        <v>1811</v>
      </c>
      <c r="U136" s="24"/>
      <c r="V136" s="24"/>
      <c r="W136" s="24"/>
      <c r="X136" s="24"/>
      <c r="Y136" s="24"/>
      <c r="Z136" s="24"/>
      <c r="AA136" s="24"/>
      <c r="AB136" s="25" t="n">
        <v>10</v>
      </c>
      <c r="AC136" s="24" t="s">
        <v>1812</v>
      </c>
      <c r="AD136" s="24"/>
      <c r="AE136" s="24"/>
      <c r="AF136" s="24" t="s">
        <v>115</v>
      </c>
      <c r="AG136" s="24"/>
      <c r="AH136" s="24"/>
      <c r="AI136" s="25" t="n">
        <f aca="false">COUNTIF($B$2:$B$740,B136)</f>
        <v>1</v>
      </c>
    </row>
    <row r="137" customFormat="false" ht="76" hidden="false" customHeight="true" outlineLevel="0" collapsed="false">
      <c r="A137" s="21" t="n">
        <v>136</v>
      </c>
      <c r="B137" s="22" t="s">
        <v>1813</v>
      </c>
      <c r="C137" s="23" t="s">
        <v>9</v>
      </c>
      <c r="D137" s="23" t="s">
        <v>96</v>
      </c>
      <c r="E137" s="23" t="s">
        <v>97</v>
      </c>
      <c r="F137" s="24" t="s">
        <v>57</v>
      </c>
      <c r="G137" s="24" t="s">
        <v>57</v>
      </c>
      <c r="H137" s="24" t="s">
        <v>1344</v>
      </c>
      <c r="I137" s="24" t="s">
        <v>1577</v>
      </c>
      <c r="J137" s="24" t="s">
        <v>1814</v>
      </c>
      <c r="K137" s="24" t="s">
        <v>1579</v>
      </c>
      <c r="L137" s="24" t="s">
        <v>103</v>
      </c>
      <c r="M137" s="24" t="s">
        <v>1815</v>
      </c>
      <c r="N137" s="24" t="s">
        <v>1581</v>
      </c>
      <c r="O137" s="24" t="s">
        <v>1645</v>
      </c>
      <c r="P137" s="24" t="s">
        <v>1635</v>
      </c>
      <c r="Q137" s="24" t="s">
        <v>1758</v>
      </c>
      <c r="R137" s="24" t="s">
        <v>1816</v>
      </c>
      <c r="S137" s="24" t="s">
        <v>1760</v>
      </c>
      <c r="T137" s="24" t="s">
        <v>552</v>
      </c>
      <c r="U137" s="24"/>
      <c r="V137" s="24"/>
      <c r="W137" s="24" t="s">
        <v>1817</v>
      </c>
      <c r="X137" s="24"/>
      <c r="Y137" s="24"/>
      <c r="Z137" s="24"/>
      <c r="AA137" s="24"/>
      <c r="AB137" s="25" t="n">
        <v>10</v>
      </c>
      <c r="AC137" s="24" t="s">
        <v>1818</v>
      </c>
      <c r="AD137" s="24"/>
      <c r="AE137" s="24"/>
      <c r="AF137" s="24" t="s">
        <v>115</v>
      </c>
      <c r="AG137" s="24"/>
      <c r="AH137" s="24"/>
      <c r="AI137" s="25" t="n">
        <f aca="false">COUNTIF($B$2:$B$740,B137)</f>
        <v>1</v>
      </c>
    </row>
    <row r="138" customFormat="false" ht="76" hidden="false" customHeight="true" outlineLevel="0" collapsed="false">
      <c r="A138" s="21" t="n">
        <v>137</v>
      </c>
      <c r="B138" s="22" t="s">
        <v>1819</v>
      </c>
      <c r="C138" s="23" t="s">
        <v>9</v>
      </c>
      <c r="D138" s="23" t="s">
        <v>96</v>
      </c>
      <c r="E138" s="23" t="s">
        <v>97</v>
      </c>
      <c r="F138" s="24" t="s">
        <v>57</v>
      </c>
      <c r="G138" s="24" t="s">
        <v>57</v>
      </c>
      <c r="H138" s="24" t="s">
        <v>1344</v>
      </c>
      <c r="I138" s="24" t="s">
        <v>1577</v>
      </c>
      <c r="J138" s="24" t="s">
        <v>1820</v>
      </c>
      <c r="K138" s="24" t="s">
        <v>1821</v>
      </c>
      <c r="L138" s="24" t="s">
        <v>103</v>
      </c>
      <c r="M138" s="24" t="s">
        <v>1822</v>
      </c>
      <c r="N138" s="24" t="s">
        <v>1823</v>
      </c>
      <c r="O138" s="24" t="s">
        <v>1824</v>
      </c>
      <c r="P138" s="24" t="s">
        <v>1825</v>
      </c>
      <c r="Q138" s="24" t="s">
        <v>1826</v>
      </c>
      <c r="R138" s="24" t="s">
        <v>1827</v>
      </c>
      <c r="S138" s="24" t="s">
        <v>1828</v>
      </c>
      <c r="T138" s="24" t="s">
        <v>1829</v>
      </c>
      <c r="U138" s="24"/>
      <c r="V138" s="24"/>
      <c r="W138" s="24"/>
      <c r="X138" s="24"/>
      <c r="Y138" s="24"/>
      <c r="Z138" s="24"/>
      <c r="AA138" s="24"/>
      <c r="AB138" s="25" t="n">
        <v>10</v>
      </c>
      <c r="AC138" s="24" t="s">
        <v>1830</v>
      </c>
      <c r="AD138" s="24"/>
      <c r="AE138" s="24"/>
      <c r="AF138" s="24" t="s">
        <v>115</v>
      </c>
      <c r="AG138" s="24"/>
      <c r="AH138" s="24"/>
      <c r="AI138" s="25" t="n">
        <f aca="false">COUNTIF($B$2:$B$740,B138)</f>
        <v>1</v>
      </c>
    </row>
    <row r="139" customFormat="false" ht="76" hidden="false" customHeight="true" outlineLevel="0" collapsed="false">
      <c r="A139" s="21" t="n">
        <v>138</v>
      </c>
      <c r="B139" s="22" t="s">
        <v>1831</v>
      </c>
      <c r="C139" s="23" t="s">
        <v>9</v>
      </c>
      <c r="D139" s="23" t="s">
        <v>96</v>
      </c>
      <c r="E139" s="23" t="s">
        <v>97</v>
      </c>
      <c r="F139" s="24" t="s">
        <v>57</v>
      </c>
      <c r="G139" s="24" t="s">
        <v>57</v>
      </c>
      <c r="H139" s="24" t="s">
        <v>1344</v>
      </c>
      <c r="I139" s="24" t="s">
        <v>1577</v>
      </c>
      <c r="J139" s="24" t="s">
        <v>1832</v>
      </c>
      <c r="K139" s="24" t="s">
        <v>1579</v>
      </c>
      <c r="L139" s="24" t="s">
        <v>103</v>
      </c>
      <c r="M139" s="24" t="s">
        <v>1833</v>
      </c>
      <c r="N139" s="24" t="s">
        <v>1581</v>
      </c>
      <c r="O139" s="24" t="s">
        <v>1645</v>
      </c>
      <c r="P139" s="24" t="s">
        <v>1834</v>
      </c>
      <c r="Q139" s="24" t="s">
        <v>1646</v>
      </c>
      <c r="R139" s="24" t="s">
        <v>1835</v>
      </c>
      <c r="S139" s="24" t="s">
        <v>1836</v>
      </c>
      <c r="T139" s="24" t="s">
        <v>1837</v>
      </c>
      <c r="U139" s="24"/>
      <c r="V139" s="24"/>
      <c r="W139" s="24" t="s">
        <v>1838</v>
      </c>
      <c r="X139" s="24"/>
      <c r="Y139" s="24"/>
      <c r="Z139" s="24"/>
      <c r="AA139" s="24"/>
      <c r="AB139" s="25" t="n">
        <v>10</v>
      </c>
      <c r="AC139" s="24" t="s">
        <v>1839</v>
      </c>
      <c r="AD139" s="24"/>
      <c r="AE139" s="24" t="s">
        <v>1368</v>
      </c>
      <c r="AF139" s="24" t="s">
        <v>115</v>
      </c>
      <c r="AG139" s="24"/>
      <c r="AH139" s="24"/>
      <c r="AI139" s="25" t="n">
        <f aca="false">COUNTIF($B$2:$B$740,B139)</f>
        <v>1</v>
      </c>
    </row>
    <row r="140" customFormat="false" ht="76" hidden="false" customHeight="true" outlineLevel="0" collapsed="false">
      <c r="A140" s="21" t="n">
        <v>139</v>
      </c>
      <c r="B140" s="22" t="s">
        <v>1840</v>
      </c>
      <c r="C140" s="23" t="s">
        <v>9</v>
      </c>
      <c r="D140" s="23" t="s">
        <v>96</v>
      </c>
      <c r="E140" s="23" t="s">
        <v>97</v>
      </c>
      <c r="F140" s="24" t="s">
        <v>57</v>
      </c>
      <c r="G140" s="24" t="s">
        <v>57</v>
      </c>
      <c r="H140" s="24" t="s">
        <v>1344</v>
      </c>
      <c r="I140" s="24" t="s">
        <v>1577</v>
      </c>
      <c r="J140" s="24" t="s">
        <v>1841</v>
      </c>
      <c r="K140" s="24" t="s">
        <v>1842</v>
      </c>
      <c r="L140" s="24" t="s">
        <v>103</v>
      </c>
      <c r="M140" s="24" t="s">
        <v>1843</v>
      </c>
      <c r="N140" s="24" t="s">
        <v>1844</v>
      </c>
      <c r="O140" s="24" t="s">
        <v>1845</v>
      </c>
      <c r="P140" s="24" t="s">
        <v>1846</v>
      </c>
      <c r="Q140" s="24" t="s">
        <v>1847</v>
      </c>
      <c r="R140" s="24" t="s">
        <v>1848</v>
      </c>
      <c r="S140" s="24" t="s">
        <v>1849</v>
      </c>
      <c r="T140" s="24" t="s">
        <v>1850</v>
      </c>
      <c r="U140" s="24"/>
      <c r="V140" s="24"/>
      <c r="W140" s="24"/>
      <c r="X140" s="24"/>
      <c r="Y140" s="24"/>
      <c r="Z140" s="24"/>
      <c r="AA140" s="24"/>
      <c r="AB140" s="25" t="n">
        <v>10</v>
      </c>
      <c r="AC140" s="24" t="s">
        <v>1851</v>
      </c>
      <c r="AD140" s="24"/>
      <c r="AE140" s="24"/>
      <c r="AF140" s="24" t="s">
        <v>115</v>
      </c>
      <c r="AG140" s="24"/>
      <c r="AH140" s="24"/>
      <c r="AI140" s="25" t="n">
        <f aca="false">COUNTIF($B$2:$B$740,B140)</f>
        <v>1</v>
      </c>
    </row>
    <row r="141" customFormat="false" ht="76" hidden="false" customHeight="true" outlineLevel="0" collapsed="false">
      <c r="A141" s="21" t="n">
        <v>140</v>
      </c>
      <c r="B141" s="22" t="s">
        <v>1852</v>
      </c>
      <c r="C141" s="23" t="s">
        <v>9</v>
      </c>
      <c r="D141" s="23" t="s">
        <v>96</v>
      </c>
      <c r="E141" s="23" t="s">
        <v>97</v>
      </c>
      <c r="F141" s="24" t="s">
        <v>57</v>
      </c>
      <c r="G141" s="24" t="s">
        <v>57</v>
      </c>
      <c r="H141" s="24" t="s">
        <v>1344</v>
      </c>
      <c r="I141" s="24" t="s">
        <v>1577</v>
      </c>
      <c r="J141" s="24" t="s">
        <v>1853</v>
      </c>
      <c r="K141" s="24" t="s">
        <v>1854</v>
      </c>
      <c r="L141" s="24" t="s">
        <v>103</v>
      </c>
      <c r="M141" s="24" t="s">
        <v>1855</v>
      </c>
      <c r="N141" s="24"/>
      <c r="O141" s="24" t="s">
        <v>1856</v>
      </c>
      <c r="P141" s="24" t="s">
        <v>1857</v>
      </c>
      <c r="Q141" s="24" t="s">
        <v>1858</v>
      </c>
      <c r="R141" s="24" t="s">
        <v>1859</v>
      </c>
      <c r="S141" s="24" t="s">
        <v>1860</v>
      </c>
      <c r="T141" s="24" t="s">
        <v>1861</v>
      </c>
      <c r="U141" s="24"/>
      <c r="V141" s="24"/>
      <c r="W141" s="24"/>
      <c r="X141" s="24"/>
      <c r="Y141" s="24"/>
      <c r="Z141" s="24"/>
      <c r="AA141" s="24"/>
      <c r="AB141" s="25" t="n">
        <v>10</v>
      </c>
      <c r="AC141" s="24" t="s">
        <v>1862</v>
      </c>
      <c r="AD141" s="24"/>
      <c r="AE141" s="24" t="s">
        <v>1863</v>
      </c>
      <c r="AF141" s="24" t="s">
        <v>115</v>
      </c>
      <c r="AG141" s="24"/>
      <c r="AH141" s="24"/>
      <c r="AI141" s="25" t="n">
        <f aca="false">COUNTIF($B$2:$B$740,B141)</f>
        <v>1</v>
      </c>
    </row>
    <row r="142" customFormat="false" ht="38.4" hidden="false" customHeight="true" outlineLevel="0" collapsed="false">
      <c r="A142" s="26" t="n">
        <v>141</v>
      </c>
      <c r="B142" s="27" t="s">
        <v>1863</v>
      </c>
      <c r="C142" s="24" t="s">
        <v>9</v>
      </c>
      <c r="D142" s="24" t="s">
        <v>96</v>
      </c>
      <c r="E142" s="24" t="s">
        <v>97</v>
      </c>
      <c r="F142" s="24" t="s">
        <v>57</v>
      </c>
      <c r="G142" s="24" t="s">
        <v>57</v>
      </c>
      <c r="H142" s="24" t="s">
        <v>1344</v>
      </c>
      <c r="I142" s="24" t="s">
        <v>1577</v>
      </c>
      <c r="J142" s="24" t="s">
        <v>1864</v>
      </c>
      <c r="K142" s="24" t="s">
        <v>1865</v>
      </c>
      <c r="L142" s="24" t="s">
        <v>103</v>
      </c>
      <c r="M142" s="24" t="s">
        <v>1855</v>
      </c>
      <c r="N142" s="24"/>
      <c r="O142" s="24" t="s">
        <v>1866</v>
      </c>
      <c r="P142" s="24" t="s">
        <v>1857</v>
      </c>
      <c r="Q142" s="24" t="s">
        <v>1867</v>
      </c>
      <c r="R142" s="24" t="s">
        <v>1868</v>
      </c>
      <c r="S142" s="24" t="s">
        <v>1869</v>
      </c>
      <c r="T142" s="24" t="s">
        <v>1870</v>
      </c>
      <c r="U142" s="24"/>
      <c r="V142" s="24"/>
      <c r="W142" s="24"/>
      <c r="X142" s="24"/>
      <c r="Y142" s="24"/>
      <c r="Z142" s="24"/>
      <c r="AA142" s="24" t="s">
        <v>1871</v>
      </c>
      <c r="AB142" s="25" t="n">
        <v>100</v>
      </c>
      <c r="AC142" s="24" t="s">
        <v>1872</v>
      </c>
      <c r="AD142" s="24" t="s">
        <v>543</v>
      </c>
      <c r="AE142" s="24" t="s">
        <v>1873</v>
      </c>
      <c r="AF142" s="24" t="s">
        <v>168</v>
      </c>
      <c r="AG142" s="24" t="s">
        <v>168</v>
      </c>
      <c r="AH142" s="24" t="s">
        <v>545</v>
      </c>
      <c r="AI142" s="25" t="n">
        <f aca="false">COUNTIF($B$2:$B$740,B142)</f>
        <v>1</v>
      </c>
    </row>
    <row r="143" customFormat="false" ht="76" hidden="false" customHeight="true" outlineLevel="0" collapsed="false">
      <c r="A143" s="21" t="n">
        <v>142</v>
      </c>
      <c r="B143" s="22" t="s">
        <v>1874</v>
      </c>
      <c r="C143" s="23" t="s">
        <v>9</v>
      </c>
      <c r="D143" s="23" t="s">
        <v>96</v>
      </c>
      <c r="E143" s="23" t="s">
        <v>97</v>
      </c>
      <c r="F143" s="24" t="s">
        <v>57</v>
      </c>
      <c r="G143" s="24" t="s">
        <v>57</v>
      </c>
      <c r="H143" s="24" t="s">
        <v>1344</v>
      </c>
      <c r="I143" s="24" t="s">
        <v>1577</v>
      </c>
      <c r="J143" s="24" t="s">
        <v>1875</v>
      </c>
      <c r="K143" s="24" t="s">
        <v>1579</v>
      </c>
      <c r="L143" s="24" t="s">
        <v>103</v>
      </c>
      <c r="M143" s="24" t="s">
        <v>1876</v>
      </c>
      <c r="N143" s="24" t="s">
        <v>1581</v>
      </c>
      <c r="O143" s="24" t="s">
        <v>1645</v>
      </c>
      <c r="P143" s="24" t="s">
        <v>1635</v>
      </c>
      <c r="Q143" s="24" t="s">
        <v>1646</v>
      </c>
      <c r="R143" s="24" t="s">
        <v>1877</v>
      </c>
      <c r="S143" s="24" t="s">
        <v>1878</v>
      </c>
      <c r="T143" s="24" t="s">
        <v>1879</v>
      </c>
      <c r="U143" s="24"/>
      <c r="V143" s="24" t="s">
        <v>1879</v>
      </c>
      <c r="W143" s="24" t="s">
        <v>1880</v>
      </c>
      <c r="X143" s="24"/>
      <c r="Y143" s="24"/>
      <c r="Z143" s="24"/>
      <c r="AA143" s="24"/>
      <c r="AB143" s="25" t="n">
        <v>10</v>
      </c>
      <c r="AC143" s="24" t="s">
        <v>1881</v>
      </c>
      <c r="AD143" s="24"/>
      <c r="AE143" s="24"/>
      <c r="AF143" s="24" t="s">
        <v>115</v>
      </c>
      <c r="AG143" s="24"/>
      <c r="AH143" s="24"/>
      <c r="AI143" s="25" t="n">
        <f aca="false">COUNTIF($B$2:$B$740,B143)</f>
        <v>1</v>
      </c>
    </row>
    <row r="144" customFormat="false" ht="76" hidden="false" customHeight="true" outlineLevel="0" collapsed="false">
      <c r="A144" s="21" t="n">
        <v>143</v>
      </c>
      <c r="B144" s="22" t="s">
        <v>1882</v>
      </c>
      <c r="C144" s="23" t="s">
        <v>9</v>
      </c>
      <c r="D144" s="23" t="s">
        <v>96</v>
      </c>
      <c r="E144" s="23" t="s">
        <v>97</v>
      </c>
      <c r="F144" s="24" t="s">
        <v>57</v>
      </c>
      <c r="G144" s="24" t="s">
        <v>57</v>
      </c>
      <c r="H144" s="24" t="s">
        <v>1344</v>
      </c>
      <c r="I144" s="24" t="s">
        <v>1577</v>
      </c>
      <c r="J144" s="24" t="s">
        <v>1883</v>
      </c>
      <c r="K144" s="24" t="s">
        <v>1884</v>
      </c>
      <c r="L144" s="24" t="s">
        <v>103</v>
      </c>
      <c r="M144" s="24" t="s">
        <v>1876</v>
      </c>
      <c r="N144" s="24" t="s">
        <v>1885</v>
      </c>
      <c r="O144" s="24" t="s">
        <v>1886</v>
      </c>
      <c r="P144" s="24" t="s">
        <v>1887</v>
      </c>
      <c r="Q144" s="24" t="s">
        <v>1888</v>
      </c>
      <c r="R144" s="24" t="s">
        <v>1889</v>
      </c>
      <c r="S144" s="24" t="s">
        <v>1890</v>
      </c>
      <c r="T144" s="24" t="s">
        <v>1891</v>
      </c>
      <c r="U144" s="24"/>
      <c r="V144" s="24" t="s">
        <v>1892</v>
      </c>
      <c r="W144" s="24" t="s">
        <v>1893</v>
      </c>
      <c r="X144" s="24"/>
      <c r="Y144" s="24" t="s">
        <v>1893</v>
      </c>
      <c r="Z144" s="24"/>
      <c r="AA144" s="24"/>
      <c r="AB144" s="25" t="n">
        <v>10</v>
      </c>
      <c r="AC144" s="24" t="s">
        <v>1894</v>
      </c>
      <c r="AD144" s="24"/>
      <c r="AE144" s="24"/>
      <c r="AF144" s="24" t="s">
        <v>115</v>
      </c>
      <c r="AG144" s="24"/>
      <c r="AH144" s="24"/>
      <c r="AI144" s="25" t="n">
        <f aca="false">COUNTIF($B$2:$B$740,B144)</f>
        <v>1</v>
      </c>
    </row>
    <row r="145" customFormat="false" ht="76" hidden="false" customHeight="true" outlineLevel="0" collapsed="false">
      <c r="A145" s="21" t="n">
        <v>144</v>
      </c>
      <c r="B145" s="22" t="s">
        <v>1895</v>
      </c>
      <c r="C145" s="23" t="s">
        <v>9</v>
      </c>
      <c r="D145" s="23" t="s">
        <v>96</v>
      </c>
      <c r="E145" s="23" t="s">
        <v>97</v>
      </c>
      <c r="F145" s="24" t="s">
        <v>50</v>
      </c>
      <c r="G145" s="24" t="s">
        <v>1407</v>
      </c>
      <c r="H145" s="24" t="s">
        <v>1344</v>
      </c>
      <c r="I145" s="24" t="s">
        <v>1577</v>
      </c>
      <c r="J145" s="24" t="s">
        <v>1896</v>
      </c>
      <c r="K145" s="24" t="s">
        <v>1897</v>
      </c>
      <c r="L145" s="24" t="s">
        <v>119</v>
      </c>
      <c r="M145" s="24" t="s">
        <v>1898</v>
      </c>
      <c r="N145" s="24" t="s">
        <v>856</v>
      </c>
      <c r="O145" s="24" t="s">
        <v>1899</v>
      </c>
      <c r="P145" s="24" t="s">
        <v>1900</v>
      </c>
      <c r="Q145" s="24" t="s">
        <v>1901</v>
      </c>
      <c r="R145" s="24" t="s">
        <v>1902</v>
      </c>
      <c r="S145" s="24" t="s">
        <v>1903</v>
      </c>
      <c r="T145" s="24" t="s">
        <v>1904</v>
      </c>
      <c r="U145" s="24" t="s">
        <v>1905</v>
      </c>
      <c r="V145" s="24" t="s">
        <v>1906</v>
      </c>
      <c r="W145" s="24" t="s">
        <v>1907</v>
      </c>
      <c r="X145" s="24"/>
      <c r="Y145" s="24" t="s">
        <v>1902</v>
      </c>
      <c r="Z145" s="24"/>
      <c r="AA145" s="24"/>
      <c r="AB145" s="25" t="n">
        <v>10</v>
      </c>
      <c r="AC145" s="24" t="s">
        <v>1908</v>
      </c>
      <c r="AD145" s="24"/>
      <c r="AE145" s="24"/>
      <c r="AF145" s="24" t="s">
        <v>115</v>
      </c>
      <c r="AG145" s="24"/>
      <c r="AH145" s="24"/>
      <c r="AI145" s="25" t="n">
        <f aca="false">COUNTIF($B$2:$B$740,B145)</f>
        <v>1</v>
      </c>
    </row>
    <row r="146" customFormat="false" ht="76" hidden="false" customHeight="true" outlineLevel="0" collapsed="false">
      <c r="A146" s="21" t="n">
        <v>145</v>
      </c>
      <c r="B146" s="22" t="s">
        <v>1909</v>
      </c>
      <c r="C146" s="23" t="s">
        <v>9</v>
      </c>
      <c r="D146" s="23" t="s">
        <v>96</v>
      </c>
      <c r="E146" s="23" t="s">
        <v>97</v>
      </c>
      <c r="F146" s="24" t="s">
        <v>56</v>
      </c>
      <c r="G146" s="24" t="s">
        <v>1805</v>
      </c>
      <c r="H146" s="24" t="s">
        <v>1344</v>
      </c>
      <c r="I146" s="24" t="s">
        <v>1577</v>
      </c>
      <c r="J146" s="24" t="s">
        <v>1910</v>
      </c>
      <c r="K146" s="24" t="s">
        <v>1911</v>
      </c>
      <c r="L146" s="24" t="s">
        <v>119</v>
      </c>
      <c r="M146" s="24" t="s">
        <v>1912</v>
      </c>
      <c r="N146" s="24"/>
      <c r="O146" s="24" t="s">
        <v>1913</v>
      </c>
      <c r="P146" s="24" t="s">
        <v>1658</v>
      </c>
      <c r="Q146" s="24" t="s">
        <v>1914</v>
      </c>
      <c r="R146" s="24" t="s">
        <v>1915</v>
      </c>
      <c r="S146" s="24" t="s">
        <v>1916</v>
      </c>
      <c r="T146" s="24" t="s">
        <v>1917</v>
      </c>
      <c r="U146" s="24"/>
      <c r="V146" s="24"/>
      <c r="W146" s="24"/>
      <c r="X146" s="24"/>
      <c r="Y146" s="24"/>
      <c r="Z146" s="24"/>
      <c r="AA146" s="24"/>
      <c r="AB146" s="25" t="n">
        <v>10</v>
      </c>
      <c r="AC146" s="24" t="s">
        <v>1918</v>
      </c>
      <c r="AD146" s="24"/>
      <c r="AE146" s="24"/>
      <c r="AF146" s="24" t="s">
        <v>115</v>
      </c>
      <c r="AG146" s="24"/>
      <c r="AH146" s="24"/>
      <c r="AI146" s="25" t="n">
        <f aca="false">COUNTIF($B$2:$B$740,B146)</f>
        <v>1</v>
      </c>
    </row>
    <row r="147" customFormat="false" ht="76" hidden="false" customHeight="true" outlineLevel="0" collapsed="false">
      <c r="A147" s="21" t="n">
        <v>146</v>
      </c>
      <c r="B147" s="22" t="s">
        <v>1919</v>
      </c>
      <c r="C147" s="23" t="s">
        <v>9</v>
      </c>
      <c r="D147" s="23" t="s">
        <v>96</v>
      </c>
      <c r="E147" s="23" t="s">
        <v>97</v>
      </c>
      <c r="F147" s="24" t="s">
        <v>57</v>
      </c>
      <c r="G147" s="24" t="s">
        <v>57</v>
      </c>
      <c r="H147" s="24" t="s">
        <v>1344</v>
      </c>
      <c r="I147" s="24" t="s">
        <v>1577</v>
      </c>
      <c r="J147" s="24" t="s">
        <v>1920</v>
      </c>
      <c r="K147" s="24" t="s">
        <v>1921</v>
      </c>
      <c r="L147" s="24" t="s">
        <v>119</v>
      </c>
      <c r="M147" s="24" t="s">
        <v>1922</v>
      </c>
      <c r="N147" s="24"/>
      <c r="O147" s="24" t="s">
        <v>1923</v>
      </c>
      <c r="P147" s="24" t="s">
        <v>1924</v>
      </c>
      <c r="Q147" s="24" t="s">
        <v>1925</v>
      </c>
      <c r="R147" s="24" t="s">
        <v>1926</v>
      </c>
      <c r="S147" s="24" t="s">
        <v>1927</v>
      </c>
      <c r="T147" s="24" t="s">
        <v>1928</v>
      </c>
      <c r="U147" s="24"/>
      <c r="V147" s="24" t="s">
        <v>1926</v>
      </c>
      <c r="W147" s="24" t="s">
        <v>1926</v>
      </c>
      <c r="X147" s="24"/>
      <c r="Y147" s="24"/>
      <c r="Z147" s="24"/>
      <c r="AA147" s="24"/>
      <c r="AB147" s="25" t="n">
        <v>10</v>
      </c>
      <c r="AC147" s="24" t="s">
        <v>1929</v>
      </c>
      <c r="AD147" s="24"/>
      <c r="AE147" s="24" t="s">
        <v>1930</v>
      </c>
      <c r="AF147" s="24" t="s">
        <v>115</v>
      </c>
      <c r="AG147" s="24"/>
      <c r="AH147" s="24"/>
      <c r="AI147" s="25" t="n">
        <f aca="false">COUNTIF($B$2:$B$740,B147)</f>
        <v>1</v>
      </c>
    </row>
    <row r="148" customFormat="false" ht="76" hidden="false" customHeight="true" outlineLevel="0" collapsed="false">
      <c r="A148" s="21" t="n">
        <v>147</v>
      </c>
      <c r="B148" s="22" t="s">
        <v>1931</v>
      </c>
      <c r="C148" s="23" t="s">
        <v>9</v>
      </c>
      <c r="D148" s="23" t="s">
        <v>96</v>
      </c>
      <c r="E148" s="23" t="s">
        <v>97</v>
      </c>
      <c r="F148" s="24" t="s">
        <v>57</v>
      </c>
      <c r="G148" s="24" t="s">
        <v>57</v>
      </c>
      <c r="H148" s="24" t="s">
        <v>1344</v>
      </c>
      <c r="I148" s="24" t="s">
        <v>1577</v>
      </c>
      <c r="J148" s="24" t="s">
        <v>1932</v>
      </c>
      <c r="K148" s="24" t="s">
        <v>1579</v>
      </c>
      <c r="L148" s="24" t="s">
        <v>103</v>
      </c>
      <c r="M148" s="24" t="s">
        <v>1933</v>
      </c>
      <c r="N148" s="24" t="s">
        <v>1581</v>
      </c>
      <c r="O148" s="24" t="s">
        <v>1645</v>
      </c>
      <c r="P148" s="24" t="s">
        <v>1635</v>
      </c>
      <c r="Q148" s="24" t="s">
        <v>1758</v>
      </c>
      <c r="R148" s="24" t="s">
        <v>1934</v>
      </c>
      <c r="S148" s="24" t="s">
        <v>1760</v>
      </c>
      <c r="T148" s="24" t="s">
        <v>1935</v>
      </c>
      <c r="U148" s="24"/>
      <c r="V148" s="24"/>
      <c r="W148" s="24" t="s">
        <v>1936</v>
      </c>
      <c r="X148" s="24"/>
      <c r="Y148" s="24"/>
      <c r="Z148" s="24"/>
      <c r="AA148" s="24"/>
      <c r="AB148" s="25" t="n">
        <v>10</v>
      </c>
      <c r="AC148" s="24" t="s">
        <v>1937</v>
      </c>
      <c r="AD148" s="24"/>
      <c r="AE148" s="24" t="s">
        <v>1938</v>
      </c>
      <c r="AF148" s="24" t="s">
        <v>115</v>
      </c>
      <c r="AG148" s="24"/>
      <c r="AH148" s="24"/>
      <c r="AI148" s="25" t="n">
        <f aca="false">COUNTIF($B$2:$B$740,B148)</f>
        <v>1</v>
      </c>
    </row>
    <row r="149" customFormat="false" ht="76" hidden="false" customHeight="true" outlineLevel="0" collapsed="false">
      <c r="A149" s="21" t="n">
        <v>148</v>
      </c>
      <c r="B149" s="22" t="s">
        <v>1939</v>
      </c>
      <c r="C149" s="23" t="s">
        <v>9</v>
      </c>
      <c r="D149" s="23" t="s">
        <v>96</v>
      </c>
      <c r="E149" s="23" t="s">
        <v>97</v>
      </c>
      <c r="F149" s="24" t="s">
        <v>57</v>
      </c>
      <c r="G149" s="24" t="s">
        <v>57</v>
      </c>
      <c r="H149" s="24" t="s">
        <v>1344</v>
      </c>
      <c r="I149" s="24" t="s">
        <v>1577</v>
      </c>
      <c r="J149" s="24" t="s">
        <v>1940</v>
      </c>
      <c r="K149" s="24" t="s">
        <v>1941</v>
      </c>
      <c r="L149" s="24" t="s">
        <v>119</v>
      </c>
      <c r="M149" s="24" t="s">
        <v>1942</v>
      </c>
      <c r="N149" s="24"/>
      <c r="O149" s="24" t="s">
        <v>1943</v>
      </c>
      <c r="P149" s="24" t="s">
        <v>1658</v>
      </c>
      <c r="Q149" s="24" t="s">
        <v>1944</v>
      </c>
      <c r="R149" s="24" t="s">
        <v>1945</v>
      </c>
      <c r="S149" s="24" t="s">
        <v>1946</v>
      </c>
      <c r="T149" s="24" t="s">
        <v>1947</v>
      </c>
      <c r="U149" s="24"/>
      <c r="V149" s="24"/>
      <c r="W149" s="24" t="s">
        <v>1945</v>
      </c>
      <c r="X149" s="24"/>
      <c r="Y149" s="24"/>
      <c r="Z149" s="24"/>
      <c r="AA149" s="24"/>
      <c r="AB149" s="25" t="n">
        <v>10</v>
      </c>
      <c r="AC149" s="24" t="s">
        <v>1948</v>
      </c>
      <c r="AD149" s="24"/>
      <c r="AE149" s="24"/>
      <c r="AF149" s="24" t="s">
        <v>115</v>
      </c>
      <c r="AG149" s="24"/>
      <c r="AH149" s="24"/>
      <c r="AI149" s="25" t="n">
        <f aca="false">COUNTIF($B$2:$B$740,B149)</f>
        <v>1</v>
      </c>
    </row>
    <row r="150" customFormat="false" ht="76" hidden="false" customHeight="true" outlineLevel="0" collapsed="false">
      <c r="A150" s="21" t="n">
        <v>149</v>
      </c>
      <c r="B150" s="22" t="s">
        <v>1949</v>
      </c>
      <c r="C150" s="23" t="s">
        <v>9</v>
      </c>
      <c r="D150" s="23" t="s">
        <v>96</v>
      </c>
      <c r="E150" s="23" t="s">
        <v>97</v>
      </c>
      <c r="F150" s="24" t="s">
        <v>57</v>
      </c>
      <c r="G150" s="24" t="s">
        <v>57</v>
      </c>
      <c r="H150" s="24" t="s">
        <v>1344</v>
      </c>
      <c r="I150" s="24" t="s">
        <v>1577</v>
      </c>
      <c r="J150" s="24" t="s">
        <v>1950</v>
      </c>
      <c r="K150" s="24" t="s">
        <v>1951</v>
      </c>
      <c r="L150" s="24" t="s">
        <v>119</v>
      </c>
      <c r="M150" s="24" t="s">
        <v>1933</v>
      </c>
      <c r="N150" s="24" t="s">
        <v>1952</v>
      </c>
      <c r="O150" s="24" t="s">
        <v>1953</v>
      </c>
      <c r="P150" s="24" t="s">
        <v>1954</v>
      </c>
      <c r="Q150" s="24" t="s">
        <v>1955</v>
      </c>
      <c r="R150" s="24" t="s">
        <v>1956</v>
      </c>
      <c r="S150" s="24" t="s">
        <v>1957</v>
      </c>
      <c r="T150" s="24" t="s">
        <v>1958</v>
      </c>
      <c r="U150" s="24"/>
      <c r="V150" s="24"/>
      <c r="W150" s="24"/>
      <c r="X150" s="24"/>
      <c r="Y150" s="24"/>
      <c r="Z150" s="24"/>
      <c r="AA150" s="24"/>
      <c r="AB150" s="25" t="n">
        <v>10</v>
      </c>
      <c r="AC150" s="24" t="s">
        <v>1959</v>
      </c>
      <c r="AD150" s="24"/>
      <c r="AE150" s="24"/>
      <c r="AF150" s="24" t="s">
        <v>115</v>
      </c>
      <c r="AG150" s="24"/>
      <c r="AH150" s="24"/>
      <c r="AI150" s="25" t="n">
        <f aca="false">COUNTIF($B$2:$B$740,B150)</f>
        <v>1</v>
      </c>
    </row>
    <row r="151" customFormat="false" ht="76" hidden="false" customHeight="true" outlineLevel="0" collapsed="false">
      <c r="A151" s="21" t="n">
        <v>150</v>
      </c>
      <c r="B151" s="22" t="s">
        <v>1960</v>
      </c>
      <c r="C151" s="23" t="s">
        <v>9</v>
      </c>
      <c r="D151" s="23" t="s">
        <v>96</v>
      </c>
      <c r="E151" s="23" t="s">
        <v>97</v>
      </c>
      <c r="F151" s="24" t="s">
        <v>50</v>
      </c>
      <c r="G151" s="24" t="s">
        <v>1407</v>
      </c>
      <c r="H151" s="24" t="s">
        <v>1344</v>
      </c>
      <c r="I151" s="24" t="s">
        <v>1577</v>
      </c>
      <c r="J151" s="24" t="s">
        <v>1961</v>
      </c>
      <c r="K151" s="24" t="s">
        <v>1962</v>
      </c>
      <c r="L151" s="24" t="s">
        <v>173</v>
      </c>
      <c r="M151" s="24" t="s">
        <v>1933</v>
      </c>
      <c r="N151" s="24" t="s">
        <v>1963</v>
      </c>
      <c r="O151" s="24" t="s">
        <v>1964</v>
      </c>
      <c r="P151" s="24" t="s">
        <v>1965</v>
      </c>
      <c r="Q151" s="24" t="s">
        <v>1966</v>
      </c>
      <c r="R151" s="24" t="s">
        <v>1967</v>
      </c>
      <c r="S151" s="24" t="s">
        <v>1968</v>
      </c>
      <c r="T151" s="24" t="s">
        <v>1969</v>
      </c>
      <c r="U151" s="24"/>
      <c r="V151" s="24" t="s">
        <v>1967</v>
      </c>
      <c r="W151" s="24"/>
      <c r="X151" s="24"/>
      <c r="Y151" s="24"/>
      <c r="Z151" s="24"/>
      <c r="AA151" s="24"/>
      <c r="AB151" s="25" t="n">
        <v>10</v>
      </c>
      <c r="AC151" s="24" t="s">
        <v>1970</v>
      </c>
      <c r="AD151" s="24"/>
      <c r="AE151" s="24"/>
      <c r="AF151" s="24" t="s">
        <v>115</v>
      </c>
      <c r="AG151" s="24"/>
      <c r="AH151" s="24"/>
      <c r="AI151" s="25" t="n">
        <f aca="false">COUNTIF($B$2:$B$740,B151)</f>
        <v>1</v>
      </c>
    </row>
    <row r="152" customFormat="false" ht="76" hidden="false" customHeight="true" outlineLevel="0" collapsed="false">
      <c r="A152" s="21" t="n">
        <v>151</v>
      </c>
      <c r="B152" s="22" t="s">
        <v>1971</v>
      </c>
      <c r="C152" s="23" t="s">
        <v>9</v>
      </c>
      <c r="D152" s="23" t="s">
        <v>96</v>
      </c>
      <c r="E152" s="23" t="s">
        <v>97</v>
      </c>
      <c r="F152" s="24" t="s">
        <v>57</v>
      </c>
      <c r="G152" s="24" t="s">
        <v>57</v>
      </c>
      <c r="H152" s="24" t="s">
        <v>1344</v>
      </c>
      <c r="I152" s="24" t="s">
        <v>1577</v>
      </c>
      <c r="J152" s="24" t="s">
        <v>1972</v>
      </c>
      <c r="K152" s="24" t="s">
        <v>1579</v>
      </c>
      <c r="L152" s="24" t="s">
        <v>103</v>
      </c>
      <c r="M152" s="24" t="s">
        <v>1973</v>
      </c>
      <c r="N152" s="24" t="s">
        <v>1581</v>
      </c>
      <c r="O152" s="24" t="s">
        <v>1645</v>
      </c>
      <c r="P152" s="24" t="s">
        <v>1635</v>
      </c>
      <c r="Q152" s="24" t="s">
        <v>1758</v>
      </c>
      <c r="R152" s="24" t="s">
        <v>1974</v>
      </c>
      <c r="S152" s="24" t="s">
        <v>1760</v>
      </c>
      <c r="T152" s="24" t="s">
        <v>1975</v>
      </c>
      <c r="U152" s="24"/>
      <c r="V152" s="24"/>
      <c r="W152" s="24" t="s">
        <v>1976</v>
      </c>
      <c r="X152" s="24"/>
      <c r="Y152" s="24"/>
      <c r="Z152" s="24"/>
      <c r="AA152" s="24"/>
      <c r="AB152" s="25" t="n">
        <v>10</v>
      </c>
      <c r="AC152" s="24" t="s">
        <v>1977</v>
      </c>
      <c r="AD152" s="24"/>
      <c r="AE152" s="24"/>
      <c r="AF152" s="24" t="s">
        <v>115</v>
      </c>
      <c r="AG152" s="24"/>
      <c r="AH152" s="24"/>
      <c r="AI152" s="25" t="n">
        <f aca="false">COUNTIF($B$2:$B$740,B152)</f>
        <v>1</v>
      </c>
    </row>
    <row r="153" customFormat="false" ht="76" hidden="false" customHeight="true" outlineLevel="0" collapsed="false">
      <c r="A153" s="21" t="n">
        <v>152</v>
      </c>
      <c r="B153" s="22" t="s">
        <v>1978</v>
      </c>
      <c r="C153" s="23" t="s">
        <v>9</v>
      </c>
      <c r="D153" s="23" t="s">
        <v>96</v>
      </c>
      <c r="E153" s="23" t="s">
        <v>97</v>
      </c>
      <c r="F153" s="24" t="s">
        <v>50</v>
      </c>
      <c r="G153" s="24" t="s">
        <v>1407</v>
      </c>
      <c r="H153" s="24" t="s">
        <v>1344</v>
      </c>
      <c r="I153" s="24" t="s">
        <v>1577</v>
      </c>
      <c r="J153" s="24" t="s">
        <v>1979</v>
      </c>
      <c r="K153" s="24" t="s">
        <v>1980</v>
      </c>
      <c r="L153" s="24" t="s">
        <v>103</v>
      </c>
      <c r="M153" s="24" t="s">
        <v>1981</v>
      </c>
      <c r="N153" s="24" t="s">
        <v>856</v>
      </c>
      <c r="O153" s="24" t="s">
        <v>1594</v>
      </c>
      <c r="P153" s="24" t="s">
        <v>1982</v>
      </c>
      <c r="Q153" s="24" t="s">
        <v>1612</v>
      </c>
      <c r="R153" s="24" t="s">
        <v>1983</v>
      </c>
      <c r="S153" s="24" t="s">
        <v>1984</v>
      </c>
      <c r="T153" s="24" t="s">
        <v>552</v>
      </c>
      <c r="U153" s="24" t="s">
        <v>1985</v>
      </c>
      <c r="V153" s="24" t="s">
        <v>1986</v>
      </c>
      <c r="W153" s="24" t="s">
        <v>1987</v>
      </c>
      <c r="X153" s="24"/>
      <c r="Y153" s="24" t="s">
        <v>1988</v>
      </c>
      <c r="Z153" s="24"/>
      <c r="AA153" s="24"/>
      <c r="AB153" s="25" t="n">
        <v>10</v>
      </c>
      <c r="AC153" s="24" t="s">
        <v>1989</v>
      </c>
      <c r="AD153" s="24"/>
      <c r="AE153" s="24"/>
      <c r="AF153" s="24" t="s">
        <v>115</v>
      </c>
      <c r="AG153" s="24"/>
      <c r="AH153" s="24"/>
      <c r="AI153" s="25" t="n">
        <f aca="false">COUNTIF($B$2:$B$740,B153)</f>
        <v>1</v>
      </c>
    </row>
    <row r="154" customFormat="false" ht="76" hidden="false" customHeight="true" outlineLevel="0" collapsed="false">
      <c r="A154" s="21" t="n">
        <v>153</v>
      </c>
      <c r="B154" s="22" t="s">
        <v>1990</v>
      </c>
      <c r="C154" s="23" t="s">
        <v>9</v>
      </c>
      <c r="D154" s="23" t="s">
        <v>96</v>
      </c>
      <c r="E154" s="23" t="s">
        <v>97</v>
      </c>
      <c r="F154" s="24" t="s">
        <v>57</v>
      </c>
      <c r="G154" s="24" t="s">
        <v>57</v>
      </c>
      <c r="H154" s="24" t="s">
        <v>1344</v>
      </c>
      <c r="I154" s="24" t="s">
        <v>1577</v>
      </c>
      <c r="J154" s="24" t="s">
        <v>1991</v>
      </c>
      <c r="K154" s="24" t="s">
        <v>1777</v>
      </c>
      <c r="L154" s="24" t="s">
        <v>103</v>
      </c>
      <c r="M154" s="24" t="s">
        <v>1992</v>
      </c>
      <c r="N154" s="24"/>
      <c r="O154" s="24" t="s">
        <v>1993</v>
      </c>
      <c r="P154" s="24" t="s">
        <v>1658</v>
      </c>
      <c r="Q154" s="24" t="s">
        <v>1994</v>
      </c>
      <c r="R154" s="24" t="s">
        <v>1995</v>
      </c>
      <c r="S154" s="24" t="s">
        <v>1996</v>
      </c>
      <c r="T154" s="24" t="s">
        <v>552</v>
      </c>
      <c r="U154" s="24"/>
      <c r="V154" s="24"/>
      <c r="W154" s="24" t="s">
        <v>1995</v>
      </c>
      <c r="X154" s="24"/>
      <c r="Y154" s="24"/>
      <c r="Z154" s="24"/>
      <c r="AA154" s="24"/>
      <c r="AB154" s="25" t="n">
        <v>10</v>
      </c>
      <c r="AC154" s="24" t="s">
        <v>1997</v>
      </c>
      <c r="AD154" s="24"/>
      <c r="AE154" s="24"/>
      <c r="AF154" s="24" t="s">
        <v>115</v>
      </c>
      <c r="AG154" s="24"/>
      <c r="AH154" s="24"/>
      <c r="AI154" s="25" t="n">
        <f aca="false">COUNTIF($B$2:$B$740,B154)</f>
        <v>1</v>
      </c>
    </row>
    <row r="155" customFormat="false" ht="76" hidden="false" customHeight="true" outlineLevel="0" collapsed="false">
      <c r="A155" s="21" t="n">
        <v>154</v>
      </c>
      <c r="B155" s="22" t="s">
        <v>1998</v>
      </c>
      <c r="C155" s="23" t="s">
        <v>9</v>
      </c>
      <c r="D155" s="23" t="s">
        <v>96</v>
      </c>
      <c r="E155" s="23" t="s">
        <v>97</v>
      </c>
      <c r="F155" s="24" t="s">
        <v>57</v>
      </c>
      <c r="G155" s="24" t="s">
        <v>57</v>
      </c>
      <c r="H155" s="24" t="s">
        <v>1344</v>
      </c>
      <c r="I155" s="24" t="s">
        <v>1577</v>
      </c>
      <c r="J155" s="24" t="s">
        <v>1999</v>
      </c>
      <c r="K155" s="24" t="s">
        <v>1579</v>
      </c>
      <c r="L155" s="24" t="s">
        <v>103</v>
      </c>
      <c r="M155" s="24" t="s">
        <v>2000</v>
      </c>
      <c r="N155" s="24" t="s">
        <v>1581</v>
      </c>
      <c r="O155" s="24" t="s">
        <v>1645</v>
      </c>
      <c r="P155" s="24" t="s">
        <v>1635</v>
      </c>
      <c r="Q155" s="24" t="s">
        <v>1758</v>
      </c>
      <c r="R155" s="24" t="s">
        <v>2001</v>
      </c>
      <c r="S155" s="24" t="s">
        <v>1760</v>
      </c>
      <c r="T155" s="24" t="s">
        <v>552</v>
      </c>
      <c r="U155" s="24"/>
      <c r="V155" s="24"/>
      <c r="W155" s="24" t="s">
        <v>2002</v>
      </c>
      <c r="X155" s="24"/>
      <c r="Y155" s="24"/>
      <c r="Z155" s="24"/>
      <c r="AA155" s="24"/>
      <c r="AB155" s="25" t="n">
        <v>10</v>
      </c>
      <c r="AC155" s="24" t="s">
        <v>2003</v>
      </c>
      <c r="AD155" s="24"/>
      <c r="AE155" s="24"/>
      <c r="AF155" s="24" t="s">
        <v>115</v>
      </c>
      <c r="AG155" s="24"/>
      <c r="AH155" s="24"/>
      <c r="AI155" s="25" t="n">
        <f aca="false">COUNTIF($B$2:$B$740,B155)</f>
        <v>1</v>
      </c>
    </row>
    <row r="156" customFormat="false" ht="76" hidden="false" customHeight="true" outlineLevel="0" collapsed="false">
      <c r="A156" s="21" t="n">
        <v>155</v>
      </c>
      <c r="B156" s="22" t="s">
        <v>2004</v>
      </c>
      <c r="C156" s="23" t="s">
        <v>9</v>
      </c>
      <c r="D156" s="23" t="s">
        <v>96</v>
      </c>
      <c r="E156" s="23" t="s">
        <v>97</v>
      </c>
      <c r="F156" s="24" t="s">
        <v>57</v>
      </c>
      <c r="G156" s="24" t="s">
        <v>57</v>
      </c>
      <c r="H156" s="24" t="s">
        <v>1344</v>
      </c>
      <c r="I156" s="24" t="s">
        <v>1577</v>
      </c>
      <c r="J156" s="24" t="s">
        <v>2005</v>
      </c>
      <c r="K156" s="24" t="s">
        <v>2006</v>
      </c>
      <c r="L156" s="24" t="s">
        <v>103</v>
      </c>
      <c r="M156" s="24" t="s">
        <v>2007</v>
      </c>
      <c r="N156" s="24"/>
      <c r="O156" s="24" t="s">
        <v>2008</v>
      </c>
      <c r="P156" s="24" t="s">
        <v>1658</v>
      </c>
      <c r="Q156" s="24" t="s">
        <v>2009</v>
      </c>
      <c r="R156" s="24" t="s">
        <v>2010</v>
      </c>
      <c r="S156" s="24" t="s">
        <v>2011</v>
      </c>
      <c r="T156" s="24" t="s">
        <v>2012</v>
      </c>
      <c r="U156" s="24"/>
      <c r="V156" s="24"/>
      <c r="W156" s="24" t="s">
        <v>2013</v>
      </c>
      <c r="X156" s="24"/>
      <c r="Y156" s="24"/>
      <c r="Z156" s="24"/>
      <c r="AA156" s="24"/>
      <c r="AB156" s="25" t="n">
        <v>10</v>
      </c>
      <c r="AC156" s="24" t="s">
        <v>2014</v>
      </c>
      <c r="AD156" s="24"/>
      <c r="AE156" s="24"/>
      <c r="AF156" s="24" t="s">
        <v>115</v>
      </c>
      <c r="AG156" s="24"/>
      <c r="AH156" s="24"/>
      <c r="AI156" s="25" t="n">
        <f aca="false">COUNTIF($B$2:$B$740,B156)</f>
        <v>1</v>
      </c>
    </row>
    <row r="157" customFormat="false" ht="76" hidden="false" customHeight="true" outlineLevel="0" collapsed="false">
      <c r="A157" s="21" t="n">
        <v>156</v>
      </c>
      <c r="B157" s="22" t="s">
        <v>2015</v>
      </c>
      <c r="C157" s="23" t="s">
        <v>9</v>
      </c>
      <c r="D157" s="23" t="s">
        <v>96</v>
      </c>
      <c r="E157" s="23" t="s">
        <v>97</v>
      </c>
      <c r="F157" s="24" t="s">
        <v>50</v>
      </c>
      <c r="G157" s="24" t="s">
        <v>1407</v>
      </c>
      <c r="H157" s="24" t="s">
        <v>1344</v>
      </c>
      <c r="I157" s="24" t="s">
        <v>1577</v>
      </c>
      <c r="J157" s="24" t="s">
        <v>2016</v>
      </c>
      <c r="K157" s="24" t="s">
        <v>2017</v>
      </c>
      <c r="L157" s="24" t="s">
        <v>103</v>
      </c>
      <c r="M157" s="24" t="s">
        <v>2007</v>
      </c>
      <c r="N157" s="24"/>
      <c r="O157" s="24" t="s">
        <v>2018</v>
      </c>
      <c r="P157" s="24" t="s">
        <v>2019</v>
      </c>
      <c r="Q157" s="24" t="s">
        <v>1671</v>
      </c>
      <c r="R157" s="24" t="s">
        <v>2020</v>
      </c>
      <c r="S157" s="24" t="s">
        <v>2021</v>
      </c>
      <c r="T157" s="24" t="s">
        <v>2022</v>
      </c>
      <c r="U157" s="24"/>
      <c r="V157" s="24"/>
      <c r="W157" s="24"/>
      <c r="X157" s="24"/>
      <c r="Y157" s="24"/>
      <c r="Z157" s="24"/>
      <c r="AA157" s="24"/>
      <c r="AB157" s="25" t="n">
        <v>10</v>
      </c>
      <c r="AC157" s="24" t="s">
        <v>2023</v>
      </c>
      <c r="AD157" s="24"/>
      <c r="AE157" s="24"/>
      <c r="AF157" s="24" t="s">
        <v>115</v>
      </c>
      <c r="AG157" s="24"/>
      <c r="AH157" s="24"/>
      <c r="AI157" s="25" t="n">
        <f aca="false">COUNTIF($B$2:$B$740,B157)</f>
        <v>1</v>
      </c>
    </row>
    <row r="158" customFormat="false" ht="76" hidden="false" customHeight="true" outlineLevel="0" collapsed="false">
      <c r="A158" s="21" t="n">
        <v>157</v>
      </c>
      <c r="B158" s="22" t="s">
        <v>2024</v>
      </c>
      <c r="C158" s="23" t="s">
        <v>9</v>
      </c>
      <c r="D158" s="23" t="s">
        <v>96</v>
      </c>
      <c r="E158" s="23" t="s">
        <v>97</v>
      </c>
      <c r="F158" s="24" t="s">
        <v>57</v>
      </c>
      <c r="G158" s="24" t="s">
        <v>57</v>
      </c>
      <c r="H158" s="24" t="s">
        <v>1344</v>
      </c>
      <c r="I158" s="24" t="s">
        <v>1577</v>
      </c>
      <c r="J158" s="24" t="s">
        <v>2025</v>
      </c>
      <c r="K158" s="24" t="s">
        <v>2026</v>
      </c>
      <c r="L158" s="24" t="s">
        <v>103</v>
      </c>
      <c r="M158" s="24" t="s">
        <v>2007</v>
      </c>
      <c r="N158" s="24"/>
      <c r="O158" s="24" t="s">
        <v>1594</v>
      </c>
      <c r="P158" s="24" t="s">
        <v>2027</v>
      </c>
      <c r="Q158" s="24" t="s">
        <v>2028</v>
      </c>
      <c r="R158" s="24" t="s">
        <v>2029</v>
      </c>
      <c r="S158" s="24" t="s">
        <v>2030</v>
      </c>
      <c r="T158" s="24" t="s">
        <v>2031</v>
      </c>
      <c r="U158" s="24" t="s">
        <v>2032</v>
      </c>
      <c r="V158" s="24" t="s">
        <v>1594</v>
      </c>
      <c r="W158" s="24"/>
      <c r="X158" s="24"/>
      <c r="Y158" s="24"/>
      <c r="Z158" s="24"/>
      <c r="AA158" s="24"/>
      <c r="AB158" s="25" t="n">
        <v>10</v>
      </c>
      <c r="AC158" s="24" t="s">
        <v>2033</v>
      </c>
      <c r="AD158" s="24"/>
      <c r="AE158" s="24"/>
      <c r="AF158" s="24" t="s">
        <v>115</v>
      </c>
      <c r="AG158" s="24"/>
      <c r="AH158" s="24"/>
      <c r="AI158" s="25" t="n">
        <f aca="false">COUNTIF($B$2:$B$740,B158)</f>
        <v>1</v>
      </c>
    </row>
    <row r="159" customFormat="false" ht="76" hidden="false" customHeight="true" outlineLevel="0" collapsed="false">
      <c r="A159" s="21" t="n">
        <v>158</v>
      </c>
      <c r="B159" s="22" t="s">
        <v>2034</v>
      </c>
      <c r="C159" s="23" t="s">
        <v>9</v>
      </c>
      <c r="D159" s="23" t="s">
        <v>96</v>
      </c>
      <c r="E159" s="23" t="s">
        <v>97</v>
      </c>
      <c r="F159" s="24" t="s">
        <v>50</v>
      </c>
      <c r="G159" s="24" t="s">
        <v>1407</v>
      </c>
      <c r="H159" s="24" t="s">
        <v>1344</v>
      </c>
      <c r="I159" s="24" t="s">
        <v>1577</v>
      </c>
      <c r="J159" s="24" t="s">
        <v>2035</v>
      </c>
      <c r="K159" s="24" t="s">
        <v>2036</v>
      </c>
      <c r="L159" s="24" t="s">
        <v>103</v>
      </c>
      <c r="M159" s="24" t="s">
        <v>2037</v>
      </c>
      <c r="N159" s="24" t="s">
        <v>2038</v>
      </c>
      <c r="O159" s="24" t="s">
        <v>2039</v>
      </c>
      <c r="P159" s="24" t="s">
        <v>2040</v>
      </c>
      <c r="Q159" s="24" t="s">
        <v>2041</v>
      </c>
      <c r="R159" s="24" t="s">
        <v>2042</v>
      </c>
      <c r="S159" s="24" t="s">
        <v>2043</v>
      </c>
      <c r="T159" s="24" t="s">
        <v>2044</v>
      </c>
      <c r="U159" s="24"/>
      <c r="V159" s="24"/>
      <c r="W159" s="24" t="s">
        <v>2045</v>
      </c>
      <c r="X159" s="24"/>
      <c r="Y159" s="24"/>
      <c r="Z159" s="24"/>
      <c r="AA159" s="24"/>
      <c r="AB159" s="25" t="n">
        <v>10</v>
      </c>
      <c r="AC159" s="24" t="s">
        <v>2046</v>
      </c>
      <c r="AD159" s="24"/>
      <c r="AE159" s="24"/>
      <c r="AF159" s="24" t="s">
        <v>115</v>
      </c>
      <c r="AG159" s="24"/>
      <c r="AH159" s="24"/>
      <c r="AI159" s="25" t="n">
        <f aca="false">COUNTIF($B$2:$B$740,B159)</f>
        <v>1</v>
      </c>
    </row>
    <row r="160" customFormat="false" ht="76" hidden="false" customHeight="true" outlineLevel="0" collapsed="false">
      <c r="A160" s="21" t="n">
        <v>159</v>
      </c>
      <c r="B160" s="22" t="s">
        <v>2047</v>
      </c>
      <c r="C160" s="23" t="s">
        <v>9</v>
      </c>
      <c r="D160" s="23" t="s">
        <v>96</v>
      </c>
      <c r="E160" s="23" t="s">
        <v>97</v>
      </c>
      <c r="F160" s="24" t="s">
        <v>57</v>
      </c>
      <c r="G160" s="24" t="s">
        <v>57</v>
      </c>
      <c r="H160" s="24" t="s">
        <v>1344</v>
      </c>
      <c r="I160" s="24" t="s">
        <v>1577</v>
      </c>
      <c r="J160" s="24" t="s">
        <v>2048</v>
      </c>
      <c r="K160" s="24" t="s">
        <v>1579</v>
      </c>
      <c r="L160" s="24" t="s">
        <v>103</v>
      </c>
      <c r="M160" s="24" t="s">
        <v>2049</v>
      </c>
      <c r="N160" s="24" t="s">
        <v>1581</v>
      </c>
      <c r="O160" s="24" t="s">
        <v>1645</v>
      </c>
      <c r="P160" s="24" t="s">
        <v>2050</v>
      </c>
      <c r="Q160" s="24" t="s">
        <v>1758</v>
      </c>
      <c r="R160" s="24" t="s">
        <v>2051</v>
      </c>
      <c r="S160" s="24" t="s">
        <v>1760</v>
      </c>
      <c r="T160" s="24" t="s">
        <v>552</v>
      </c>
      <c r="U160" s="24"/>
      <c r="V160" s="24"/>
      <c r="W160" s="24" t="s">
        <v>2052</v>
      </c>
      <c r="X160" s="24"/>
      <c r="Y160" s="24"/>
      <c r="Z160" s="24"/>
      <c r="AA160" s="24"/>
      <c r="AB160" s="25" t="n">
        <v>10</v>
      </c>
      <c r="AC160" s="24" t="s">
        <v>2053</v>
      </c>
      <c r="AD160" s="24"/>
      <c r="AE160" s="24"/>
      <c r="AF160" s="24" t="s">
        <v>115</v>
      </c>
      <c r="AG160" s="24"/>
      <c r="AH160" s="24"/>
      <c r="AI160" s="25" t="n">
        <f aca="false">COUNTIF($B$2:$B$740,B160)</f>
        <v>1</v>
      </c>
    </row>
    <row r="161" customFormat="false" ht="76" hidden="false" customHeight="true" outlineLevel="0" collapsed="false">
      <c r="A161" s="21" t="n">
        <v>160</v>
      </c>
      <c r="B161" s="22" t="s">
        <v>2054</v>
      </c>
      <c r="C161" s="23" t="s">
        <v>9</v>
      </c>
      <c r="D161" s="23" t="s">
        <v>96</v>
      </c>
      <c r="E161" s="23" t="s">
        <v>97</v>
      </c>
      <c r="F161" s="24" t="s">
        <v>56</v>
      </c>
      <c r="G161" s="24" t="s">
        <v>1805</v>
      </c>
      <c r="H161" s="24" t="s">
        <v>1344</v>
      </c>
      <c r="I161" s="24" t="s">
        <v>1577</v>
      </c>
      <c r="J161" s="24" t="s">
        <v>2055</v>
      </c>
      <c r="K161" s="24" t="s">
        <v>1911</v>
      </c>
      <c r="L161" s="24" t="s">
        <v>103</v>
      </c>
      <c r="M161" s="24" t="s">
        <v>2056</v>
      </c>
      <c r="N161" s="24" t="s">
        <v>2057</v>
      </c>
      <c r="O161" s="24" t="s">
        <v>2058</v>
      </c>
      <c r="P161" s="24" t="s">
        <v>2059</v>
      </c>
      <c r="Q161" s="24" t="s">
        <v>2060</v>
      </c>
      <c r="R161" s="24" t="s">
        <v>2061</v>
      </c>
      <c r="S161" s="24" t="s">
        <v>2062</v>
      </c>
      <c r="T161" s="24" t="s">
        <v>2063</v>
      </c>
      <c r="U161" s="24"/>
      <c r="V161" s="24"/>
      <c r="W161" s="24"/>
      <c r="X161" s="24"/>
      <c r="Y161" s="24"/>
      <c r="Z161" s="24"/>
      <c r="AA161" s="24"/>
      <c r="AB161" s="25" t="n">
        <v>10</v>
      </c>
      <c r="AC161" s="24" t="s">
        <v>2064</v>
      </c>
      <c r="AD161" s="24"/>
      <c r="AE161" s="24" t="s">
        <v>2065</v>
      </c>
      <c r="AF161" s="24" t="s">
        <v>115</v>
      </c>
      <c r="AG161" s="24"/>
      <c r="AH161" s="24"/>
      <c r="AI161" s="25" t="n">
        <f aca="false">COUNTIF($B$2:$B$740,B161)</f>
        <v>1</v>
      </c>
    </row>
    <row r="162" customFormat="false" ht="76" hidden="false" customHeight="true" outlineLevel="0" collapsed="false">
      <c r="A162" s="21" t="n">
        <v>161</v>
      </c>
      <c r="B162" s="22" t="s">
        <v>2066</v>
      </c>
      <c r="C162" s="23" t="s">
        <v>9</v>
      </c>
      <c r="D162" s="23" t="s">
        <v>96</v>
      </c>
      <c r="E162" s="23" t="s">
        <v>97</v>
      </c>
      <c r="F162" s="24" t="s">
        <v>57</v>
      </c>
      <c r="G162" s="24" t="s">
        <v>57</v>
      </c>
      <c r="H162" s="24" t="s">
        <v>1344</v>
      </c>
      <c r="I162" s="24" t="s">
        <v>1577</v>
      </c>
      <c r="J162" s="24" t="s">
        <v>2067</v>
      </c>
      <c r="K162" s="24" t="s">
        <v>1777</v>
      </c>
      <c r="L162" s="24" t="s">
        <v>103</v>
      </c>
      <c r="M162" s="24" t="s">
        <v>2068</v>
      </c>
      <c r="N162" s="24"/>
      <c r="O162" s="24" t="s">
        <v>1993</v>
      </c>
      <c r="P162" s="24" t="s">
        <v>1658</v>
      </c>
      <c r="Q162" s="24" t="s">
        <v>2069</v>
      </c>
      <c r="R162" s="24" t="s">
        <v>2070</v>
      </c>
      <c r="S162" s="24" t="s">
        <v>2071</v>
      </c>
      <c r="T162" s="24" t="s">
        <v>552</v>
      </c>
      <c r="U162" s="24"/>
      <c r="V162" s="24"/>
      <c r="W162" s="24" t="s">
        <v>2070</v>
      </c>
      <c r="X162" s="24"/>
      <c r="Y162" s="24"/>
      <c r="Z162" s="24"/>
      <c r="AA162" s="24"/>
      <c r="AB162" s="25" t="n">
        <v>10</v>
      </c>
      <c r="AC162" s="24" t="s">
        <v>2072</v>
      </c>
      <c r="AD162" s="24"/>
      <c r="AE162" s="24"/>
      <c r="AF162" s="24" t="s">
        <v>115</v>
      </c>
      <c r="AG162" s="24"/>
      <c r="AH162" s="24"/>
      <c r="AI162" s="25" t="n">
        <f aca="false">COUNTIF($B$2:$B$740,B162)</f>
        <v>1</v>
      </c>
    </row>
    <row r="163" customFormat="false" ht="76" hidden="false" customHeight="true" outlineLevel="0" collapsed="false">
      <c r="A163" s="21" t="n">
        <v>162</v>
      </c>
      <c r="B163" s="22" t="s">
        <v>2073</v>
      </c>
      <c r="C163" s="23" t="s">
        <v>9</v>
      </c>
      <c r="D163" s="23" t="s">
        <v>96</v>
      </c>
      <c r="E163" s="23" t="s">
        <v>97</v>
      </c>
      <c r="F163" s="24" t="s">
        <v>57</v>
      </c>
      <c r="G163" s="24" t="s">
        <v>57</v>
      </c>
      <c r="H163" s="24" t="s">
        <v>1344</v>
      </c>
      <c r="I163" s="24" t="s">
        <v>1577</v>
      </c>
      <c r="J163" s="24" t="s">
        <v>2074</v>
      </c>
      <c r="K163" s="24" t="s">
        <v>1579</v>
      </c>
      <c r="L163" s="24" t="s">
        <v>103</v>
      </c>
      <c r="M163" s="24" t="s">
        <v>2075</v>
      </c>
      <c r="N163" s="24" t="s">
        <v>1581</v>
      </c>
      <c r="O163" s="24" t="s">
        <v>1645</v>
      </c>
      <c r="P163" s="24" t="s">
        <v>1635</v>
      </c>
      <c r="Q163" s="24" t="s">
        <v>1758</v>
      </c>
      <c r="R163" s="24" t="s">
        <v>2076</v>
      </c>
      <c r="S163" s="24" t="s">
        <v>1760</v>
      </c>
      <c r="T163" s="24" t="s">
        <v>2077</v>
      </c>
      <c r="U163" s="24"/>
      <c r="V163" s="24"/>
      <c r="W163" s="24" t="s">
        <v>2078</v>
      </c>
      <c r="X163" s="24"/>
      <c r="Y163" s="24"/>
      <c r="Z163" s="24"/>
      <c r="AA163" s="24"/>
      <c r="AB163" s="25" t="n">
        <v>10</v>
      </c>
      <c r="AC163" s="24" t="s">
        <v>2079</v>
      </c>
      <c r="AD163" s="24"/>
      <c r="AE163" s="24"/>
      <c r="AF163" s="24" t="s">
        <v>115</v>
      </c>
      <c r="AG163" s="24"/>
      <c r="AH163" s="24"/>
      <c r="AI163" s="25" t="n">
        <f aca="false">COUNTIF($B$2:$B$740,B163)</f>
        <v>1</v>
      </c>
    </row>
    <row r="164" customFormat="false" ht="76" hidden="false" customHeight="true" outlineLevel="0" collapsed="false">
      <c r="A164" s="21" t="n">
        <v>163</v>
      </c>
      <c r="B164" s="22" t="s">
        <v>2080</v>
      </c>
      <c r="C164" s="23" t="s">
        <v>9</v>
      </c>
      <c r="D164" s="23" t="s">
        <v>96</v>
      </c>
      <c r="E164" s="23" t="s">
        <v>97</v>
      </c>
      <c r="F164" s="24" t="s">
        <v>57</v>
      </c>
      <c r="G164" s="24" t="s">
        <v>57</v>
      </c>
      <c r="H164" s="24" t="s">
        <v>1344</v>
      </c>
      <c r="I164" s="24" t="s">
        <v>1577</v>
      </c>
      <c r="J164" s="24" t="s">
        <v>2081</v>
      </c>
      <c r="K164" s="24" t="s">
        <v>2082</v>
      </c>
      <c r="L164" s="24" t="s">
        <v>103</v>
      </c>
      <c r="M164" s="24" t="s">
        <v>2083</v>
      </c>
      <c r="N164" s="24" t="s">
        <v>2084</v>
      </c>
      <c r="O164" s="24" t="s">
        <v>1735</v>
      </c>
      <c r="P164" s="24" t="s">
        <v>2085</v>
      </c>
      <c r="Q164" s="24" t="s">
        <v>2086</v>
      </c>
      <c r="R164" s="24" t="s">
        <v>2087</v>
      </c>
      <c r="S164" s="24" t="s">
        <v>2088</v>
      </c>
      <c r="T164" s="24" t="s">
        <v>2089</v>
      </c>
      <c r="U164" s="24" t="s">
        <v>2090</v>
      </c>
      <c r="V164" s="24" t="s">
        <v>1735</v>
      </c>
      <c r="W164" s="24" t="s">
        <v>2091</v>
      </c>
      <c r="X164" s="24"/>
      <c r="Y164" s="24" t="s">
        <v>2092</v>
      </c>
      <c r="Z164" s="24"/>
      <c r="AA164" s="24"/>
      <c r="AB164" s="25" t="n">
        <v>10</v>
      </c>
      <c r="AC164" s="24" t="s">
        <v>2093</v>
      </c>
      <c r="AD164" s="24"/>
      <c r="AE164" s="24"/>
      <c r="AF164" s="24" t="s">
        <v>115</v>
      </c>
      <c r="AG164" s="24"/>
      <c r="AH164" s="24"/>
      <c r="AI164" s="25" t="n">
        <f aca="false">COUNTIF($B$2:$B$740,B164)</f>
        <v>1</v>
      </c>
    </row>
    <row r="165" customFormat="false" ht="76" hidden="false" customHeight="true" outlineLevel="0" collapsed="false">
      <c r="A165" s="21" t="n">
        <v>164</v>
      </c>
      <c r="B165" s="22" t="s">
        <v>2094</v>
      </c>
      <c r="C165" s="23" t="s">
        <v>9</v>
      </c>
      <c r="D165" s="23" t="s">
        <v>96</v>
      </c>
      <c r="E165" s="23" t="s">
        <v>97</v>
      </c>
      <c r="F165" s="24" t="s">
        <v>57</v>
      </c>
      <c r="G165" s="24" t="s">
        <v>57</v>
      </c>
      <c r="H165" s="24" t="s">
        <v>1344</v>
      </c>
      <c r="I165" s="24" t="s">
        <v>1577</v>
      </c>
      <c r="J165" s="24" t="s">
        <v>2095</v>
      </c>
      <c r="K165" s="24" t="s">
        <v>2096</v>
      </c>
      <c r="L165" s="24" t="s">
        <v>119</v>
      </c>
      <c r="M165" s="24" t="s">
        <v>2075</v>
      </c>
      <c r="N165" s="24" t="s">
        <v>2097</v>
      </c>
      <c r="O165" s="24" t="s">
        <v>2098</v>
      </c>
      <c r="P165" s="24" t="s">
        <v>1658</v>
      </c>
      <c r="Q165" s="24" t="s">
        <v>2099</v>
      </c>
      <c r="R165" s="24" t="s">
        <v>2100</v>
      </c>
      <c r="S165" s="24" t="s">
        <v>2101</v>
      </c>
      <c r="T165" s="24" t="s">
        <v>2102</v>
      </c>
      <c r="U165" s="24"/>
      <c r="V165" s="24"/>
      <c r="W165" s="24"/>
      <c r="X165" s="24"/>
      <c r="Y165" s="24"/>
      <c r="Z165" s="24"/>
      <c r="AA165" s="24"/>
      <c r="AB165" s="25" t="n">
        <v>10</v>
      </c>
      <c r="AC165" s="24" t="s">
        <v>2103</v>
      </c>
      <c r="AD165" s="24"/>
      <c r="AE165" s="24"/>
      <c r="AF165" s="24" t="s">
        <v>115</v>
      </c>
      <c r="AG165" s="24"/>
      <c r="AH165" s="24"/>
      <c r="AI165" s="25" t="n">
        <f aca="false">COUNTIF($B$2:$B$740,B165)</f>
        <v>1</v>
      </c>
    </row>
    <row r="166" customFormat="false" ht="76" hidden="false" customHeight="true" outlineLevel="0" collapsed="false">
      <c r="A166" s="21" t="n">
        <v>165</v>
      </c>
      <c r="B166" s="22" t="s">
        <v>2104</v>
      </c>
      <c r="C166" s="23" t="s">
        <v>9</v>
      </c>
      <c r="D166" s="23" t="s">
        <v>96</v>
      </c>
      <c r="E166" s="23" t="s">
        <v>97</v>
      </c>
      <c r="F166" s="24" t="s">
        <v>57</v>
      </c>
      <c r="G166" s="24" t="s">
        <v>57</v>
      </c>
      <c r="H166" s="24" t="s">
        <v>1344</v>
      </c>
      <c r="I166" s="24" t="s">
        <v>1577</v>
      </c>
      <c r="J166" s="24" t="s">
        <v>2105</v>
      </c>
      <c r="K166" s="24" t="s">
        <v>1579</v>
      </c>
      <c r="L166" s="24" t="s">
        <v>103</v>
      </c>
      <c r="M166" s="24" t="s">
        <v>2106</v>
      </c>
      <c r="N166" s="24" t="s">
        <v>1581</v>
      </c>
      <c r="O166" s="24" t="s">
        <v>1645</v>
      </c>
      <c r="P166" s="24" t="s">
        <v>1635</v>
      </c>
      <c r="Q166" s="24" t="s">
        <v>2107</v>
      </c>
      <c r="R166" s="24" t="s">
        <v>2108</v>
      </c>
      <c r="S166" s="24" t="s">
        <v>1760</v>
      </c>
      <c r="T166" s="24" t="s">
        <v>2109</v>
      </c>
      <c r="U166" s="24"/>
      <c r="V166" s="24"/>
      <c r="W166" s="24" t="s">
        <v>2110</v>
      </c>
      <c r="X166" s="24"/>
      <c r="Y166" s="24"/>
      <c r="Z166" s="24"/>
      <c r="AA166" s="24"/>
      <c r="AB166" s="25" t="n">
        <v>100</v>
      </c>
      <c r="AC166" s="24" t="s">
        <v>2111</v>
      </c>
      <c r="AD166" s="24" t="s">
        <v>561</v>
      </c>
      <c r="AE166" s="24" t="s">
        <v>2112</v>
      </c>
      <c r="AF166" s="24" t="s">
        <v>115</v>
      </c>
      <c r="AG166" s="24" t="s">
        <v>168</v>
      </c>
      <c r="AH166" s="24" t="s">
        <v>545</v>
      </c>
      <c r="AI166" s="25" t="n">
        <f aca="false">COUNTIF($B$2:$B$740,B166)</f>
        <v>1</v>
      </c>
    </row>
    <row r="167" customFormat="false" ht="76" hidden="false" customHeight="true" outlineLevel="0" collapsed="false">
      <c r="A167" s="21" t="n">
        <v>166</v>
      </c>
      <c r="B167" s="22" t="s">
        <v>2113</v>
      </c>
      <c r="C167" s="23" t="s">
        <v>9</v>
      </c>
      <c r="D167" s="23" t="s">
        <v>96</v>
      </c>
      <c r="E167" s="23" t="s">
        <v>97</v>
      </c>
      <c r="F167" s="24" t="s">
        <v>57</v>
      </c>
      <c r="G167" s="24" t="s">
        <v>57</v>
      </c>
      <c r="H167" s="24" t="s">
        <v>1344</v>
      </c>
      <c r="I167" s="24" t="s">
        <v>1577</v>
      </c>
      <c r="J167" s="24" t="s">
        <v>2114</v>
      </c>
      <c r="K167" s="24" t="s">
        <v>1579</v>
      </c>
      <c r="L167" s="24" t="s">
        <v>103</v>
      </c>
      <c r="M167" s="24" t="s">
        <v>2115</v>
      </c>
      <c r="N167" s="24" t="s">
        <v>1581</v>
      </c>
      <c r="O167" s="24" t="s">
        <v>1645</v>
      </c>
      <c r="P167" s="24" t="s">
        <v>1635</v>
      </c>
      <c r="Q167" s="24" t="s">
        <v>1758</v>
      </c>
      <c r="R167" s="24" t="s">
        <v>2116</v>
      </c>
      <c r="S167" s="24" t="s">
        <v>1760</v>
      </c>
      <c r="T167" s="24" t="s">
        <v>552</v>
      </c>
      <c r="U167" s="24"/>
      <c r="V167" s="24"/>
      <c r="W167" s="24" t="s">
        <v>2078</v>
      </c>
      <c r="X167" s="24"/>
      <c r="Y167" s="24"/>
      <c r="Z167" s="24"/>
      <c r="AA167" s="24"/>
      <c r="AB167" s="25" t="n">
        <v>10</v>
      </c>
      <c r="AC167" s="24" t="s">
        <v>2117</v>
      </c>
      <c r="AD167" s="24"/>
      <c r="AE167" s="24"/>
      <c r="AF167" s="24" t="s">
        <v>115</v>
      </c>
      <c r="AG167" s="24"/>
      <c r="AH167" s="24"/>
      <c r="AI167" s="25" t="n">
        <f aca="false">COUNTIF($B$2:$B$740,B167)</f>
        <v>1</v>
      </c>
    </row>
    <row r="168" customFormat="false" ht="76" hidden="false" customHeight="true" outlineLevel="0" collapsed="false">
      <c r="A168" s="21" t="n">
        <v>167</v>
      </c>
      <c r="B168" s="22" t="s">
        <v>2118</v>
      </c>
      <c r="C168" s="23" t="s">
        <v>9</v>
      </c>
      <c r="D168" s="23" t="s">
        <v>96</v>
      </c>
      <c r="E168" s="23" t="s">
        <v>97</v>
      </c>
      <c r="F168" s="24" t="s">
        <v>50</v>
      </c>
      <c r="G168" s="24" t="s">
        <v>1407</v>
      </c>
      <c r="H168" s="24" t="s">
        <v>1344</v>
      </c>
      <c r="I168" s="24" t="s">
        <v>1577</v>
      </c>
      <c r="J168" s="24" t="s">
        <v>2119</v>
      </c>
      <c r="K168" s="24" t="s">
        <v>2120</v>
      </c>
      <c r="L168" s="24" t="s">
        <v>103</v>
      </c>
      <c r="M168" s="24" t="s">
        <v>2121</v>
      </c>
      <c r="N168" s="24" t="s">
        <v>2122</v>
      </c>
      <c r="O168" s="24" t="s">
        <v>2123</v>
      </c>
      <c r="P168" s="24" t="s">
        <v>2124</v>
      </c>
      <c r="Q168" s="24" t="s">
        <v>2125</v>
      </c>
      <c r="R168" s="24" t="s">
        <v>2126</v>
      </c>
      <c r="S168" s="24" t="s">
        <v>2127</v>
      </c>
      <c r="T168" s="24" t="s">
        <v>2128</v>
      </c>
      <c r="U168" s="24" t="s">
        <v>2128</v>
      </c>
      <c r="V168" s="24"/>
      <c r="W168" s="24"/>
      <c r="X168" s="24"/>
      <c r="Y168" s="24" t="s">
        <v>2128</v>
      </c>
      <c r="Z168" s="24"/>
      <c r="AA168" s="24"/>
      <c r="AB168" s="25" t="n">
        <v>10</v>
      </c>
      <c r="AC168" s="24" t="s">
        <v>2129</v>
      </c>
      <c r="AD168" s="24"/>
      <c r="AE168" s="24"/>
      <c r="AF168" s="24" t="s">
        <v>115</v>
      </c>
      <c r="AG168" s="24"/>
      <c r="AH168" s="24"/>
      <c r="AI168" s="25" t="n">
        <f aca="false">COUNTIF($B$2:$B$740,B168)</f>
        <v>1</v>
      </c>
    </row>
    <row r="169" customFormat="false" ht="76" hidden="false" customHeight="true" outlineLevel="0" collapsed="false">
      <c r="A169" s="21" t="n">
        <v>168</v>
      </c>
      <c r="B169" s="22" t="s">
        <v>2130</v>
      </c>
      <c r="C169" s="23" t="s">
        <v>9</v>
      </c>
      <c r="D169" s="23" t="s">
        <v>96</v>
      </c>
      <c r="E169" s="23" t="s">
        <v>97</v>
      </c>
      <c r="F169" s="24" t="s">
        <v>50</v>
      </c>
      <c r="G169" s="24" t="s">
        <v>1407</v>
      </c>
      <c r="H169" s="24" t="s">
        <v>1344</v>
      </c>
      <c r="I169" s="24" t="s">
        <v>1577</v>
      </c>
      <c r="J169" s="24" t="s">
        <v>2131</v>
      </c>
      <c r="K169" s="24" t="s">
        <v>2132</v>
      </c>
      <c r="L169" s="24" t="s">
        <v>103</v>
      </c>
      <c r="M169" s="24" t="s">
        <v>2121</v>
      </c>
      <c r="N169" s="24" t="s">
        <v>2133</v>
      </c>
      <c r="O169" s="24" t="s">
        <v>2134</v>
      </c>
      <c r="P169" s="24" t="s">
        <v>2135</v>
      </c>
      <c r="Q169" s="24" t="s">
        <v>2136</v>
      </c>
      <c r="R169" s="24" t="s">
        <v>2137</v>
      </c>
      <c r="S169" s="24" t="s">
        <v>2138</v>
      </c>
      <c r="T169" s="24" t="s">
        <v>2139</v>
      </c>
      <c r="U169" s="24" t="s">
        <v>2140</v>
      </c>
      <c r="V169" s="24" t="s">
        <v>2141</v>
      </c>
      <c r="W169" s="24" t="s">
        <v>2142</v>
      </c>
      <c r="X169" s="24"/>
      <c r="Y169" s="24" t="s">
        <v>2143</v>
      </c>
      <c r="Z169" s="24"/>
      <c r="AA169" s="24"/>
      <c r="AB169" s="25" t="n">
        <v>10</v>
      </c>
      <c r="AC169" s="24" t="s">
        <v>2144</v>
      </c>
      <c r="AD169" s="24"/>
      <c r="AE169" s="24" t="s">
        <v>2145</v>
      </c>
      <c r="AF169" s="24" t="s">
        <v>115</v>
      </c>
      <c r="AG169" s="24"/>
      <c r="AH169" s="24"/>
      <c r="AI169" s="25" t="n">
        <f aca="false">COUNTIF($B$2:$B$740,B169)</f>
        <v>1</v>
      </c>
    </row>
    <row r="170" customFormat="false" ht="76" hidden="false" customHeight="true" outlineLevel="0" collapsed="false">
      <c r="A170" s="21" t="n">
        <v>169</v>
      </c>
      <c r="B170" s="22" t="s">
        <v>2146</v>
      </c>
      <c r="C170" s="23" t="s">
        <v>9</v>
      </c>
      <c r="D170" s="23" t="s">
        <v>96</v>
      </c>
      <c r="E170" s="23" t="s">
        <v>97</v>
      </c>
      <c r="F170" s="24" t="s">
        <v>50</v>
      </c>
      <c r="G170" s="24" t="s">
        <v>1407</v>
      </c>
      <c r="H170" s="24" t="s">
        <v>1344</v>
      </c>
      <c r="I170" s="24" t="s">
        <v>1577</v>
      </c>
      <c r="J170" s="24" t="s">
        <v>2147</v>
      </c>
      <c r="K170" s="24" t="s">
        <v>2148</v>
      </c>
      <c r="L170" s="24" t="s">
        <v>103</v>
      </c>
      <c r="M170" s="24" t="s">
        <v>2121</v>
      </c>
      <c r="N170" s="24" t="s">
        <v>2149</v>
      </c>
      <c r="O170" s="24" t="s">
        <v>2150</v>
      </c>
      <c r="P170" s="24" t="s">
        <v>2151</v>
      </c>
      <c r="Q170" s="24" t="s">
        <v>2152</v>
      </c>
      <c r="R170" s="24" t="s">
        <v>2153</v>
      </c>
      <c r="S170" s="24" t="s">
        <v>2154</v>
      </c>
      <c r="T170" s="24" t="s">
        <v>2155</v>
      </c>
      <c r="U170" s="24" t="s">
        <v>2140</v>
      </c>
      <c r="V170" s="24" t="s">
        <v>2156</v>
      </c>
      <c r="W170" s="24" t="s">
        <v>2157</v>
      </c>
      <c r="X170" s="24"/>
      <c r="Y170" s="24" t="s">
        <v>2158</v>
      </c>
      <c r="Z170" s="24"/>
      <c r="AA170" s="24"/>
      <c r="AB170" s="25" t="n">
        <v>10</v>
      </c>
      <c r="AC170" s="24" t="s">
        <v>2159</v>
      </c>
      <c r="AD170" s="24"/>
      <c r="AE170" s="24"/>
      <c r="AF170" s="24" t="s">
        <v>115</v>
      </c>
      <c r="AG170" s="24"/>
      <c r="AH170" s="24"/>
      <c r="AI170" s="25" t="n">
        <f aca="false">COUNTIF($B$2:$B$740,B170)</f>
        <v>1</v>
      </c>
    </row>
    <row r="171" customFormat="false" ht="76" hidden="false" customHeight="true" outlineLevel="0" collapsed="false">
      <c r="A171" s="21" t="n">
        <v>170</v>
      </c>
      <c r="B171" s="22" t="s">
        <v>2160</v>
      </c>
      <c r="C171" s="23" t="s">
        <v>9</v>
      </c>
      <c r="D171" s="23" t="s">
        <v>96</v>
      </c>
      <c r="E171" s="23" t="s">
        <v>97</v>
      </c>
      <c r="F171" s="24" t="s">
        <v>57</v>
      </c>
      <c r="G171" s="24" t="s">
        <v>57</v>
      </c>
      <c r="H171" s="24" t="s">
        <v>1344</v>
      </c>
      <c r="I171" s="24" t="s">
        <v>1577</v>
      </c>
      <c r="J171" s="24" t="s">
        <v>2161</v>
      </c>
      <c r="K171" s="24" t="s">
        <v>1579</v>
      </c>
      <c r="L171" s="24" t="s">
        <v>119</v>
      </c>
      <c r="M171" s="24" t="s">
        <v>2162</v>
      </c>
      <c r="N171" s="24" t="s">
        <v>2163</v>
      </c>
      <c r="O171" s="24" t="s">
        <v>1645</v>
      </c>
      <c r="P171" s="24" t="s">
        <v>1635</v>
      </c>
      <c r="Q171" s="24" t="s">
        <v>1758</v>
      </c>
      <c r="R171" s="24" t="s">
        <v>2164</v>
      </c>
      <c r="S171" s="24" t="s">
        <v>1760</v>
      </c>
      <c r="T171" s="24" t="s">
        <v>2165</v>
      </c>
      <c r="U171" s="24"/>
      <c r="V171" s="24"/>
      <c r="W171" s="24" t="s">
        <v>2166</v>
      </c>
      <c r="X171" s="24"/>
      <c r="Y171" s="24"/>
      <c r="Z171" s="24"/>
      <c r="AA171" s="24"/>
      <c r="AB171" s="25" t="n">
        <v>10</v>
      </c>
      <c r="AC171" s="24" t="s">
        <v>2167</v>
      </c>
      <c r="AD171" s="24"/>
      <c r="AE171" s="24" t="s">
        <v>1641</v>
      </c>
      <c r="AF171" s="24" t="s">
        <v>115</v>
      </c>
      <c r="AG171" s="24"/>
      <c r="AH171" s="24"/>
      <c r="AI171" s="25" t="n">
        <f aca="false">COUNTIF($B$2:$B$740,B171)</f>
        <v>1</v>
      </c>
    </row>
    <row r="172" customFormat="false" ht="76" hidden="false" customHeight="true" outlineLevel="0" collapsed="false">
      <c r="A172" s="21" t="n">
        <v>171</v>
      </c>
      <c r="B172" s="22" t="s">
        <v>2168</v>
      </c>
      <c r="C172" s="23" t="s">
        <v>9</v>
      </c>
      <c r="D172" s="23" t="s">
        <v>96</v>
      </c>
      <c r="E172" s="23" t="s">
        <v>97</v>
      </c>
      <c r="F172" s="24" t="s">
        <v>50</v>
      </c>
      <c r="G172" s="24" t="s">
        <v>1407</v>
      </c>
      <c r="H172" s="24" t="s">
        <v>1344</v>
      </c>
      <c r="I172" s="24" t="s">
        <v>1577</v>
      </c>
      <c r="J172" s="24" t="s">
        <v>2169</v>
      </c>
      <c r="K172" s="24" t="s">
        <v>2170</v>
      </c>
      <c r="L172" s="24" t="s">
        <v>119</v>
      </c>
      <c r="M172" s="24" t="s">
        <v>2171</v>
      </c>
      <c r="N172" s="24"/>
      <c r="O172" s="24" t="s">
        <v>2172</v>
      </c>
      <c r="P172" s="24" t="s">
        <v>2173</v>
      </c>
      <c r="Q172" s="24" t="s">
        <v>2174</v>
      </c>
      <c r="R172" s="24" t="s">
        <v>2175</v>
      </c>
      <c r="S172" s="24" t="s">
        <v>2176</v>
      </c>
      <c r="T172" s="24" t="s">
        <v>2177</v>
      </c>
      <c r="U172" s="24"/>
      <c r="V172" s="24"/>
      <c r="W172" s="24"/>
      <c r="X172" s="24"/>
      <c r="Y172" s="24"/>
      <c r="Z172" s="24"/>
      <c r="AA172" s="24"/>
      <c r="AB172" s="25" t="n">
        <v>10</v>
      </c>
      <c r="AC172" s="24" t="s">
        <v>2178</v>
      </c>
      <c r="AD172" s="24"/>
      <c r="AE172" s="24"/>
      <c r="AF172" s="24" t="s">
        <v>115</v>
      </c>
      <c r="AG172" s="24"/>
      <c r="AH172" s="24"/>
      <c r="AI172" s="25" t="n">
        <f aca="false">COUNTIF($B$2:$B$740,B172)</f>
        <v>1</v>
      </c>
    </row>
    <row r="173" customFormat="false" ht="76" hidden="false" customHeight="true" outlineLevel="0" collapsed="false">
      <c r="A173" s="21" t="n">
        <v>172</v>
      </c>
      <c r="B173" s="22" t="s">
        <v>2179</v>
      </c>
      <c r="C173" s="23" t="s">
        <v>9</v>
      </c>
      <c r="D173" s="23" t="s">
        <v>96</v>
      </c>
      <c r="E173" s="23" t="s">
        <v>97</v>
      </c>
      <c r="F173" s="24" t="s">
        <v>57</v>
      </c>
      <c r="G173" s="24" t="s">
        <v>57</v>
      </c>
      <c r="H173" s="24" t="s">
        <v>1344</v>
      </c>
      <c r="I173" s="24" t="s">
        <v>1577</v>
      </c>
      <c r="J173" s="24" t="s">
        <v>2180</v>
      </c>
      <c r="K173" s="24" t="s">
        <v>2181</v>
      </c>
      <c r="L173" s="24" t="s">
        <v>119</v>
      </c>
      <c r="M173" s="24" t="s">
        <v>2171</v>
      </c>
      <c r="N173" s="24"/>
      <c r="O173" s="24" t="s">
        <v>2182</v>
      </c>
      <c r="P173" s="24" t="s">
        <v>2183</v>
      </c>
      <c r="Q173" s="24" t="s">
        <v>2184</v>
      </c>
      <c r="R173" s="24" t="s">
        <v>2185</v>
      </c>
      <c r="S173" s="24" t="s">
        <v>2186</v>
      </c>
      <c r="T173" s="24" t="s">
        <v>2187</v>
      </c>
      <c r="U173" s="24" t="s">
        <v>2188</v>
      </c>
      <c r="V173" s="24" t="s">
        <v>2189</v>
      </c>
      <c r="W173" s="24"/>
      <c r="X173" s="24"/>
      <c r="Y173" s="24" t="s">
        <v>2190</v>
      </c>
      <c r="Z173" s="24"/>
      <c r="AA173" s="24" t="s">
        <v>2186</v>
      </c>
      <c r="AB173" s="25" t="n">
        <v>10</v>
      </c>
      <c r="AC173" s="24" t="s">
        <v>2191</v>
      </c>
      <c r="AD173" s="24"/>
      <c r="AE173" s="24" t="s">
        <v>2192</v>
      </c>
      <c r="AF173" s="24" t="s">
        <v>115</v>
      </c>
      <c r="AG173" s="24"/>
      <c r="AH173" s="24"/>
      <c r="AI173" s="25" t="n">
        <f aca="false">COUNTIF($B$2:$B$740,B173)</f>
        <v>1</v>
      </c>
    </row>
    <row r="174" customFormat="false" ht="76" hidden="false" customHeight="true" outlineLevel="0" collapsed="false">
      <c r="A174" s="21" t="n">
        <v>173</v>
      </c>
      <c r="B174" s="22" t="s">
        <v>2193</v>
      </c>
      <c r="C174" s="23" t="s">
        <v>9</v>
      </c>
      <c r="D174" s="23" t="s">
        <v>96</v>
      </c>
      <c r="E174" s="23" t="s">
        <v>97</v>
      </c>
      <c r="F174" s="24" t="s">
        <v>57</v>
      </c>
      <c r="G174" s="24" t="s">
        <v>57</v>
      </c>
      <c r="H174" s="24" t="s">
        <v>1344</v>
      </c>
      <c r="I174" s="24" t="s">
        <v>1577</v>
      </c>
      <c r="J174" s="24" t="s">
        <v>2194</v>
      </c>
      <c r="K174" s="24" t="s">
        <v>2195</v>
      </c>
      <c r="L174" s="24" t="s">
        <v>119</v>
      </c>
      <c r="M174" s="24" t="s">
        <v>2196</v>
      </c>
      <c r="N174" s="24" t="s">
        <v>856</v>
      </c>
      <c r="O174" s="24" t="s">
        <v>2197</v>
      </c>
      <c r="P174" s="24" t="s">
        <v>2198</v>
      </c>
      <c r="Q174" s="24" t="s">
        <v>2199</v>
      </c>
      <c r="R174" s="24" t="s">
        <v>2200</v>
      </c>
      <c r="S174" s="24" t="s">
        <v>2201</v>
      </c>
      <c r="T174" s="24" t="s">
        <v>2202</v>
      </c>
      <c r="U174" s="24" t="s">
        <v>2203</v>
      </c>
      <c r="V174" s="24" t="s">
        <v>2202</v>
      </c>
      <c r="W174" s="24"/>
      <c r="X174" s="24"/>
      <c r="Y174" s="24" t="s">
        <v>2200</v>
      </c>
      <c r="Z174" s="24"/>
      <c r="AA174" s="24"/>
      <c r="AB174" s="25" t="n">
        <v>10</v>
      </c>
      <c r="AC174" s="24" t="s">
        <v>2204</v>
      </c>
      <c r="AD174" s="24"/>
      <c r="AE174" s="24"/>
      <c r="AF174" s="24" t="s">
        <v>115</v>
      </c>
      <c r="AG174" s="24"/>
      <c r="AH174" s="24"/>
      <c r="AI174" s="25" t="n">
        <f aca="false">COUNTIF($B$2:$B$740,B174)</f>
        <v>1</v>
      </c>
    </row>
    <row r="175" customFormat="false" ht="76" hidden="false" customHeight="true" outlineLevel="0" collapsed="false">
      <c r="A175" s="21" t="n">
        <v>174</v>
      </c>
      <c r="B175" s="22" t="s">
        <v>2205</v>
      </c>
      <c r="C175" s="23" t="s">
        <v>9</v>
      </c>
      <c r="D175" s="23" t="s">
        <v>96</v>
      </c>
      <c r="E175" s="23" t="s">
        <v>97</v>
      </c>
      <c r="F175" s="24" t="s">
        <v>57</v>
      </c>
      <c r="G175" s="24" t="s">
        <v>57</v>
      </c>
      <c r="H175" s="24" t="s">
        <v>1344</v>
      </c>
      <c r="I175" s="24" t="s">
        <v>1577</v>
      </c>
      <c r="J175" s="24" t="s">
        <v>2206</v>
      </c>
      <c r="K175" s="24" t="s">
        <v>2207</v>
      </c>
      <c r="L175" s="24" t="s">
        <v>119</v>
      </c>
      <c r="M175" s="24" t="s">
        <v>2171</v>
      </c>
      <c r="N175" s="24"/>
      <c r="O175" s="24" t="s">
        <v>1993</v>
      </c>
      <c r="P175" s="24" t="s">
        <v>1658</v>
      </c>
      <c r="Q175" s="24" t="s">
        <v>2208</v>
      </c>
      <c r="R175" s="24" t="s">
        <v>2209</v>
      </c>
      <c r="S175" s="24" t="s">
        <v>2210</v>
      </c>
      <c r="T175" s="24" t="s">
        <v>552</v>
      </c>
      <c r="U175" s="24"/>
      <c r="V175" s="24" t="s">
        <v>2209</v>
      </c>
      <c r="W175" s="24" t="s">
        <v>2209</v>
      </c>
      <c r="X175" s="24"/>
      <c r="Y175" s="24"/>
      <c r="Z175" s="24"/>
      <c r="AA175" s="24"/>
      <c r="AB175" s="25" t="n">
        <v>10</v>
      </c>
      <c r="AC175" s="24" t="s">
        <v>2211</v>
      </c>
      <c r="AD175" s="24"/>
      <c r="AE175" s="24"/>
      <c r="AF175" s="24" t="s">
        <v>115</v>
      </c>
      <c r="AG175" s="24"/>
      <c r="AH175" s="24"/>
      <c r="AI175" s="25" t="n">
        <f aca="false">COUNTIF($B$2:$B$740,B175)</f>
        <v>1</v>
      </c>
    </row>
    <row r="176" customFormat="false" ht="76" hidden="false" customHeight="true" outlineLevel="0" collapsed="false">
      <c r="A176" s="21" t="n">
        <v>175</v>
      </c>
      <c r="B176" s="22" t="s">
        <v>2212</v>
      </c>
      <c r="C176" s="23" t="s">
        <v>9</v>
      </c>
      <c r="D176" s="23" t="s">
        <v>96</v>
      </c>
      <c r="E176" s="23" t="s">
        <v>97</v>
      </c>
      <c r="F176" s="24" t="s">
        <v>50</v>
      </c>
      <c r="G176" s="24" t="s">
        <v>1407</v>
      </c>
      <c r="H176" s="24" t="s">
        <v>1344</v>
      </c>
      <c r="I176" s="24" t="s">
        <v>1577</v>
      </c>
      <c r="J176" s="24" t="s">
        <v>2213</v>
      </c>
      <c r="K176" s="24" t="s">
        <v>2214</v>
      </c>
      <c r="L176" s="24" t="s">
        <v>119</v>
      </c>
      <c r="M176" s="24" t="s">
        <v>2196</v>
      </c>
      <c r="N176" s="24" t="s">
        <v>2215</v>
      </c>
      <c r="O176" s="24" t="s">
        <v>2216</v>
      </c>
      <c r="P176" s="24" t="s">
        <v>2217</v>
      </c>
      <c r="Q176" s="24" t="s">
        <v>2218</v>
      </c>
      <c r="R176" s="24" t="s">
        <v>2219</v>
      </c>
      <c r="S176" s="24" t="s">
        <v>2220</v>
      </c>
      <c r="T176" s="24" t="s">
        <v>2221</v>
      </c>
      <c r="U176" s="24" t="s">
        <v>2222</v>
      </c>
      <c r="V176" s="24" t="s">
        <v>2223</v>
      </c>
      <c r="W176" s="24" t="s">
        <v>2224</v>
      </c>
      <c r="X176" s="24"/>
      <c r="Y176" s="24" t="s">
        <v>2224</v>
      </c>
      <c r="Z176" s="24"/>
      <c r="AA176" s="24"/>
      <c r="AB176" s="25" t="n">
        <v>10</v>
      </c>
      <c r="AC176" s="24" t="s">
        <v>2225</v>
      </c>
      <c r="AD176" s="24"/>
      <c r="AE176" s="24"/>
      <c r="AF176" s="24" t="s">
        <v>115</v>
      </c>
      <c r="AG176" s="24"/>
      <c r="AH176" s="24"/>
      <c r="AI176" s="25" t="n">
        <f aca="false">COUNTIF($B$2:$B$740,B176)</f>
        <v>1</v>
      </c>
    </row>
    <row r="177" customFormat="false" ht="76" hidden="false" customHeight="true" outlineLevel="0" collapsed="false">
      <c r="A177" s="21" t="n">
        <v>176</v>
      </c>
      <c r="B177" s="22" t="s">
        <v>2226</v>
      </c>
      <c r="C177" s="23" t="s">
        <v>9</v>
      </c>
      <c r="D177" s="23" t="s">
        <v>96</v>
      </c>
      <c r="E177" s="23" t="s">
        <v>97</v>
      </c>
      <c r="F177" s="24" t="s">
        <v>57</v>
      </c>
      <c r="G177" s="24" t="s">
        <v>57</v>
      </c>
      <c r="H177" s="24" t="s">
        <v>1344</v>
      </c>
      <c r="I177" s="24" t="s">
        <v>1577</v>
      </c>
      <c r="J177" s="24" t="s">
        <v>2227</v>
      </c>
      <c r="K177" s="24" t="s">
        <v>1579</v>
      </c>
      <c r="L177" s="24" t="s">
        <v>103</v>
      </c>
      <c r="M177" s="24" t="s">
        <v>2228</v>
      </c>
      <c r="N177" s="24" t="s">
        <v>1581</v>
      </c>
      <c r="O177" s="24" t="s">
        <v>1645</v>
      </c>
      <c r="P177" s="24" t="s">
        <v>1635</v>
      </c>
      <c r="Q177" s="24" t="s">
        <v>1646</v>
      </c>
      <c r="R177" s="24" t="s">
        <v>2229</v>
      </c>
      <c r="S177" s="24" t="s">
        <v>2230</v>
      </c>
      <c r="T177" s="24" t="s">
        <v>552</v>
      </c>
      <c r="U177" s="24"/>
      <c r="V177" s="24"/>
      <c r="W177" s="24" t="s">
        <v>2231</v>
      </c>
      <c r="X177" s="24"/>
      <c r="Y177" s="24"/>
      <c r="Z177" s="24"/>
      <c r="AA177" s="24"/>
      <c r="AB177" s="25" t="n">
        <v>10</v>
      </c>
      <c r="AC177" s="24" t="s">
        <v>2232</v>
      </c>
      <c r="AD177" s="24"/>
      <c r="AE177" s="24"/>
      <c r="AF177" s="24" t="s">
        <v>115</v>
      </c>
      <c r="AG177" s="24"/>
      <c r="AH177" s="24"/>
      <c r="AI177" s="25" t="n">
        <f aca="false">COUNTIF($B$2:$B$740,B177)</f>
        <v>1</v>
      </c>
    </row>
    <row r="178" customFormat="false" ht="76" hidden="false" customHeight="true" outlineLevel="0" collapsed="false">
      <c r="A178" s="21" t="n">
        <v>177</v>
      </c>
      <c r="B178" s="22" t="s">
        <v>2233</v>
      </c>
      <c r="C178" s="23" t="s">
        <v>9</v>
      </c>
      <c r="D178" s="23" t="s">
        <v>96</v>
      </c>
      <c r="E178" s="23" t="s">
        <v>97</v>
      </c>
      <c r="F178" s="24" t="s">
        <v>57</v>
      </c>
      <c r="G178" s="24" t="s">
        <v>57</v>
      </c>
      <c r="H178" s="24" t="s">
        <v>1344</v>
      </c>
      <c r="I178" s="24" t="s">
        <v>1577</v>
      </c>
      <c r="J178" s="24" t="s">
        <v>2234</v>
      </c>
      <c r="K178" s="24" t="s">
        <v>2235</v>
      </c>
      <c r="L178" s="24" t="s">
        <v>103</v>
      </c>
      <c r="M178" s="24" t="s">
        <v>2236</v>
      </c>
      <c r="N178" s="24" t="s">
        <v>1581</v>
      </c>
      <c r="O178" s="24" t="s">
        <v>2237</v>
      </c>
      <c r="P178" s="24" t="s">
        <v>2238</v>
      </c>
      <c r="Q178" s="24" t="s">
        <v>2239</v>
      </c>
      <c r="R178" s="24" t="s">
        <v>2240</v>
      </c>
      <c r="S178" s="24" t="s">
        <v>2241</v>
      </c>
      <c r="T178" s="24" t="s">
        <v>2242</v>
      </c>
      <c r="U178" s="24" t="s">
        <v>2243</v>
      </c>
      <c r="V178" s="24"/>
      <c r="W178" s="24" t="s">
        <v>2244</v>
      </c>
      <c r="X178" s="24"/>
      <c r="Y178" s="24" t="s">
        <v>2243</v>
      </c>
      <c r="Z178" s="24"/>
      <c r="AA178" s="24"/>
      <c r="AB178" s="25" t="n">
        <v>80</v>
      </c>
      <c r="AC178" s="24" t="s">
        <v>2245</v>
      </c>
      <c r="AD178" s="24" t="s">
        <v>2246</v>
      </c>
      <c r="AE178" s="24" t="s">
        <v>2247</v>
      </c>
      <c r="AF178" s="24" t="s">
        <v>168</v>
      </c>
      <c r="AG178" s="24"/>
      <c r="AH178" s="24" t="s">
        <v>941</v>
      </c>
      <c r="AI178" s="25" t="n">
        <f aca="false">COUNTIF($B$2:$B$740,B178)</f>
        <v>1</v>
      </c>
    </row>
    <row r="179" customFormat="false" ht="76" hidden="false" customHeight="true" outlineLevel="0" collapsed="false">
      <c r="A179" s="21" t="n">
        <v>178</v>
      </c>
      <c r="B179" s="22" t="s">
        <v>2248</v>
      </c>
      <c r="C179" s="23" t="s">
        <v>9</v>
      </c>
      <c r="D179" s="23" t="s">
        <v>96</v>
      </c>
      <c r="E179" s="23" t="s">
        <v>97</v>
      </c>
      <c r="F179" s="24" t="s">
        <v>57</v>
      </c>
      <c r="G179" s="24" t="s">
        <v>57</v>
      </c>
      <c r="H179" s="24" t="s">
        <v>1344</v>
      </c>
      <c r="I179" s="24" t="s">
        <v>1577</v>
      </c>
      <c r="J179" s="24" t="s">
        <v>2249</v>
      </c>
      <c r="K179" s="24" t="s">
        <v>2250</v>
      </c>
      <c r="L179" s="24" t="s">
        <v>119</v>
      </c>
      <c r="M179" s="24" t="s">
        <v>2251</v>
      </c>
      <c r="N179" s="24"/>
      <c r="O179" s="24" t="s">
        <v>1943</v>
      </c>
      <c r="P179" s="24" t="s">
        <v>1658</v>
      </c>
      <c r="Q179" s="24" t="s">
        <v>2252</v>
      </c>
      <c r="R179" s="24" t="s">
        <v>2253</v>
      </c>
      <c r="S179" s="24" t="s">
        <v>2254</v>
      </c>
      <c r="T179" s="24" t="s">
        <v>2255</v>
      </c>
      <c r="U179" s="24"/>
      <c r="V179" s="24"/>
      <c r="W179" s="24" t="s">
        <v>2256</v>
      </c>
      <c r="X179" s="24"/>
      <c r="Y179" s="24"/>
      <c r="Z179" s="24"/>
      <c r="AA179" s="24"/>
      <c r="AB179" s="25" t="n">
        <v>80</v>
      </c>
      <c r="AC179" s="24" t="s">
        <v>2257</v>
      </c>
      <c r="AD179" s="24" t="s">
        <v>2246</v>
      </c>
      <c r="AE179" s="24" t="s">
        <v>2247</v>
      </c>
      <c r="AF179" s="24" t="s">
        <v>168</v>
      </c>
      <c r="AG179" s="24"/>
      <c r="AH179" s="24" t="s">
        <v>941</v>
      </c>
      <c r="AI179" s="25" t="n">
        <f aca="false">COUNTIF($B$2:$B$740,B179)</f>
        <v>1</v>
      </c>
    </row>
    <row r="180" customFormat="false" ht="76" hidden="false" customHeight="true" outlineLevel="0" collapsed="false">
      <c r="A180" s="21" t="n">
        <v>179</v>
      </c>
      <c r="B180" s="22" t="s">
        <v>2258</v>
      </c>
      <c r="C180" s="23" t="s">
        <v>9</v>
      </c>
      <c r="D180" s="23" t="s">
        <v>96</v>
      </c>
      <c r="E180" s="23" t="s">
        <v>97</v>
      </c>
      <c r="F180" s="24" t="s">
        <v>50</v>
      </c>
      <c r="G180" s="24" t="s">
        <v>1407</v>
      </c>
      <c r="H180" s="24" t="s">
        <v>1344</v>
      </c>
      <c r="I180" s="24" t="s">
        <v>1577</v>
      </c>
      <c r="J180" s="24" t="s">
        <v>2259</v>
      </c>
      <c r="K180" s="24" t="s">
        <v>2260</v>
      </c>
      <c r="L180" s="24" t="s">
        <v>119</v>
      </c>
      <c r="M180" s="24" t="s">
        <v>2261</v>
      </c>
      <c r="N180" s="24"/>
      <c r="O180" s="24" t="s">
        <v>2262</v>
      </c>
      <c r="P180" s="24" t="s">
        <v>1658</v>
      </c>
      <c r="Q180" s="24" t="s">
        <v>2263</v>
      </c>
      <c r="R180" s="24" t="s">
        <v>2264</v>
      </c>
      <c r="S180" s="24" t="s">
        <v>2127</v>
      </c>
      <c r="T180" s="24" t="s">
        <v>2265</v>
      </c>
      <c r="U180" s="24"/>
      <c r="V180" s="24"/>
      <c r="W180" s="24"/>
      <c r="X180" s="24" t="s">
        <v>2265</v>
      </c>
      <c r="Y180" s="24"/>
      <c r="Z180" s="24"/>
      <c r="AA180" s="24"/>
      <c r="AB180" s="25" t="n">
        <v>10</v>
      </c>
      <c r="AC180" s="24" t="s">
        <v>2266</v>
      </c>
      <c r="AD180" s="24"/>
      <c r="AE180" s="24"/>
      <c r="AF180" s="24" t="s">
        <v>115</v>
      </c>
      <c r="AG180" s="24"/>
      <c r="AH180" s="24"/>
      <c r="AI180" s="25" t="n">
        <f aca="false">COUNTIF($B$2:$B$740,B180)</f>
        <v>1</v>
      </c>
    </row>
    <row r="181" customFormat="false" ht="76" hidden="false" customHeight="true" outlineLevel="0" collapsed="false">
      <c r="A181" s="21" t="n">
        <v>180</v>
      </c>
      <c r="B181" s="22" t="s">
        <v>2267</v>
      </c>
      <c r="C181" s="23" t="s">
        <v>9</v>
      </c>
      <c r="D181" s="23" t="s">
        <v>96</v>
      </c>
      <c r="E181" s="23" t="s">
        <v>97</v>
      </c>
      <c r="F181" s="24" t="s">
        <v>57</v>
      </c>
      <c r="G181" s="24" t="s">
        <v>57</v>
      </c>
      <c r="H181" s="24" t="s">
        <v>1344</v>
      </c>
      <c r="I181" s="24" t="s">
        <v>1577</v>
      </c>
      <c r="J181" s="24" t="s">
        <v>2268</v>
      </c>
      <c r="K181" s="24" t="s">
        <v>2269</v>
      </c>
      <c r="L181" s="24" t="s">
        <v>103</v>
      </c>
      <c r="M181" s="24" t="s">
        <v>2270</v>
      </c>
      <c r="N181" s="24" t="s">
        <v>2271</v>
      </c>
      <c r="O181" s="24" t="s">
        <v>2272</v>
      </c>
      <c r="P181" s="24" t="s">
        <v>1658</v>
      </c>
      <c r="Q181" s="24" t="s">
        <v>2273</v>
      </c>
      <c r="R181" s="24" t="s">
        <v>2274</v>
      </c>
      <c r="S181" s="24" t="s">
        <v>2275</v>
      </c>
      <c r="T181" s="24" t="s">
        <v>2276</v>
      </c>
      <c r="U181" s="24"/>
      <c r="V181" s="24"/>
      <c r="W181" s="24" t="s">
        <v>2277</v>
      </c>
      <c r="X181" s="24"/>
      <c r="Y181" s="24"/>
      <c r="Z181" s="24"/>
      <c r="AA181" s="24"/>
      <c r="AB181" s="25" t="n">
        <v>10</v>
      </c>
      <c r="AC181" s="24" t="s">
        <v>2278</v>
      </c>
      <c r="AD181" s="24"/>
      <c r="AE181" s="24"/>
      <c r="AF181" s="24" t="s">
        <v>115</v>
      </c>
      <c r="AG181" s="24"/>
      <c r="AH181" s="24"/>
      <c r="AI181" s="25" t="n">
        <f aca="false">COUNTIF($B$2:$B$740,B181)</f>
        <v>1</v>
      </c>
    </row>
    <row r="182" customFormat="false" ht="76" hidden="false" customHeight="true" outlineLevel="0" collapsed="false">
      <c r="A182" s="21" t="n">
        <v>181</v>
      </c>
      <c r="B182" s="22" t="s">
        <v>2279</v>
      </c>
      <c r="C182" s="23" t="s">
        <v>9</v>
      </c>
      <c r="D182" s="23" t="s">
        <v>96</v>
      </c>
      <c r="E182" s="23" t="s">
        <v>97</v>
      </c>
      <c r="F182" s="24" t="s">
        <v>57</v>
      </c>
      <c r="G182" s="24" t="s">
        <v>57</v>
      </c>
      <c r="H182" s="24" t="s">
        <v>1344</v>
      </c>
      <c r="I182" s="24" t="s">
        <v>1577</v>
      </c>
      <c r="J182" s="24" t="s">
        <v>2280</v>
      </c>
      <c r="K182" s="24" t="s">
        <v>2281</v>
      </c>
      <c r="L182" s="24" t="s">
        <v>103</v>
      </c>
      <c r="M182" s="24" t="s">
        <v>2270</v>
      </c>
      <c r="N182" s="24" t="s">
        <v>2282</v>
      </c>
      <c r="O182" s="24" t="s">
        <v>2283</v>
      </c>
      <c r="P182" s="24" t="s">
        <v>2284</v>
      </c>
      <c r="Q182" s="24" t="s">
        <v>2285</v>
      </c>
      <c r="R182" s="24" t="s">
        <v>2286</v>
      </c>
      <c r="S182" s="24" t="s">
        <v>2287</v>
      </c>
      <c r="T182" s="24" t="s">
        <v>2288</v>
      </c>
      <c r="U182" s="24" t="s">
        <v>2289</v>
      </c>
      <c r="V182" s="24"/>
      <c r="W182" s="24"/>
      <c r="X182" s="24"/>
      <c r="Y182" s="24" t="s">
        <v>2290</v>
      </c>
      <c r="Z182" s="24"/>
      <c r="AA182" s="24"/>
      <c r="AB182" s="25" t="n">
        <v>80</v>
      </c>
      <c r="AC182" s="24" t="s">
        <v>2291</v>
      </c>
      <c r="AD182" s="24" t="s">
        <v>2246</v>
      </c>
      <c r="AE182" s="24" t="s">
        <v>2292</v>
      </c>
      <c r="AF182" s="24" t="s">
        <v>168</v>
      </c>
      <c r="AG182" s="24"/>
      <c r="AH182" s="24" t="s">
        <v>941</v>
      </c>
      <c r="AI182" s="25" t="n">
        <f aca="false">COUNTIF($B$2:$B$740,B182)</f>
        <v>1</v>
      </c>
    </row>
    <row r="183" customFormat="false" ht="76" hidden="false" customHeight="true" outlineLevel="0" collapsed="false">
      <c r="A183" s="21" t="n">
        <v>182</v>
      </c>
      <c r="B183" s="22" t="s">
        <v>2293</v>
      </c>
      <c r="C183" s="23" t="s">
        <v>9</v>
      </c>
      <c r="D183" s="23" t="s">
        <v>96</v>
      </c>
      <c r="E183" s="23" t="s">
        <v>97</v>
      </c>
      <c r="F183" s="24" t="s">
        <v>57</v>
      </c>
      <c r="G183" s="24" t="s">
        <v>57</v>
      </c>
      <c r="H183" s="24" t="s">
        <v>1344</v>
      </c>
      <c r="I183" s="24" t="s">
        <v>1577</v>
      </c>
      <c r="J183" s="24" t="s">
        <v>2294</v>
      </c>
      <c r="K183" s="24" t="s">
        <v>1579</v>
      </c>
      <c r="L183" s="24" t="s">
        <v>103</v>
      </c>
      <c r="M183" s="24" t="s">
        <v>2295</v>
      </c>
      <c r="N183" s="24" t="s">
        <v>1581</v>
      </c>
      <c r="O183" s="24" t="s">
        <v>1645</v>
      </c>
      <c r="P183" s="24" t="s">
        <v>1635</v>
      </c>
      <c r="Q183" s="24" t="s">
        <v>1758</v>
      </c>
      <c r="R183" s="24" t="s">
        <v>2296</v>
      </c>
      <c r="S183" s="24" t="s">
        <v>2297</v>
      </c>
      <c r="T183" s="24" t="s">
        <v>2298</v>
      </c>
      <c r="U183" s="24"/>
      <c r="V183" s="24"/>
      <c r="W183" s="24" t="s">
        <v>2299</v>
      </c>
      <c r="X183" s="24"/>
      <c r="Y183" s="24"/>
      <c r="Z183" s="24"/>
      <c r="AA183" s="24"/>
      <c r="AB183" s="25" t="n">
        <v>10</v>
      </c>
      <c r="AC183" s="24" t="s">
        <v>2300</v>
      </c>
      <c r="AD183" s="24"/>
      <c r="AE183" s="24"/>
      <c r="AF183" s="24" t="s">
        <v>115</v>
      </c>
      <c r="AG183" s="24"/>
      <c r="AH183" s="24"/>
      <c r="AI183" s="25" t="n">
        <f aca="false">COUNTIF($B$2:$B$740,B183)</f>
        <v>1</v>
      </c>
    </row>
    <row r="184" customFormat="false" ht="76" hidden="false" customHeight="true" outlineLevel="0" collapsed="false">
      <c r="A184" s="21" t="n">
        <v>183</v>
      </c>
      <c r="B184" s="22" t="s">
        <v>2301</v>
      </c>
      <c r="C184" s="23" t="s">
        <v>9</v>
      </c>
      <c r="D184" s="23" t="s">
        <v>96</v>
      </c>
      <c r="E184" s="23" t="s">
        <v>97</v>
      </c>
      <c r="F184" s="24" t="s">
        <v>57</v>
      </c>
      <c r="G184" s="24" t="s">
        <v>57</v>
      </c>
      <c r="H184" s="24" t="s">
        <v>1344</v>
      </c>
      <c r="I184" s="24" t="s">
        <v>1577</v>
      </c>
      <c r="J184" s="24" t="s">
        <v>2302</v>
      </c>
      <c r="K184" s="24" t="s">
        <v>1777</v>
      </c>
      <c r="L184" s="24" t="s">
        <v>103</v>
      </c>
      <c r="M184" s="24" t="s">
        <v>2303</v>
      </c>
      <c r="N184" s="24"/>
      <c r="O184" s="24" t="s">
        <v>1993</v>
      </c>
      <c r="P184" s="24" t="s">
        <v>2304</v>
      </c>
      <c r="Q184" s="24" t="s">
        <v>2305</v>
      </c>
      <c r="R184" s="24" t="s">
        <v>2306</v>
      </c>
      <c r="S184" s="24" t="s">
        <v>2307</v>
      </c>
      <c r="T184" s="24" t="s">
        <v>552</v>
      </c>
      <c r="U184" s="24"/>
      <c r="V184" s="24"/>
      <c r="W184" s="24"/>
      <c r="X184" s="24"/>
      <c r="Y184" s="24"/>
      <c r="Z184" s="24"/>
      <c r="AA184" s="24"/>
      <c r="AB184" s="25" t="n">
        <v>10</v>
      </c>
      <c r="AC184" s="24" t="s">
        <v>2308</v>
      </c>
      <c r="AD184" s="24"/>
      <c r="AE184" s="24"/>
      <c r="AF184" s="24" t="s">
        <v>115</v>
      </c>
      <c r="AG184" s="24"/>
      <c r="AH184" s="24"/>
      <c r="AI184" s="25" t="n">
        <f aca="false">COUNTIF($B$2:$B$740,B184)</f>
        <v>1</v>
      </c>
    </row>
    <row r="185" customFormat="false" ht="76" hidden="false" customHeight="true" outlineLevel="0" collapsed="false">
      <c r="A185" s="21" t="n">
        <v>184</v>
      </c>
      <c r="B185" s="22" t="s">
        <v>2309</v>
      </c>
      <c r="C185" s="23" t="s">
        <v>9</v>
      </c>
      <c r="D185" s="23" t="s">
        <v>96</v>
      </c>
      <c r="E185" s="23" t="s">
        <v>97</v>
      </c>
      <c r="F185" s="24" t="s">
        <v>57</v>
      </c>
      <c r="G185" s="24" t="s">
        <v>57</v>
      </c>
      <c r="H185" s="24" t="s">
        <v>1344</v>
      </c>
      <c r="I185" s="24" t="s">
        <v>1577</v>
      </c>
      <c r="J185" s="24" t="s">
        <v>2310</v>
      </c>
      <c r="K185" s="24" t="s">
        <v>2311</v>
      </c>
      <c r="L185" s="24" t="s">
        <v>103</v>
      </c>
      <c r="M185" s="24" t="s">
        <v>2303</v>
      </c>
      <c r="N185" s="24"/>
      <c r="O185" s="24" t="s">
        <v>2312</v>
      </c>
      <c r="P185" s="24" t="s">
        <v>1658</v>
      </c>
      <c r="Q185" s="24" t="s">
        <v>2313</v>
      </c>
      <c r="R185" s="24" t="s">
        <v>2314</v>
      </c>
      <c r="S185" s="24" t="s">
        <v>2315</v>
      </c>
      <c r="T185" s="24" t="s">
        <v>2316</v>
      </c>
      <c r="U185" s="24" t="s">
        <v>2314</v>
      </c>
      <c r="V185" s="24"/>
      <c r="W185" s="24"/>
      <c r="X185" s="24"/>
      <c r="Y185" s="24" t="s">
        <v>2314</v>
      </c>
      <c r="Z185" s="24"/>
      <c r="AA185" s="24"/>
      <c r="AB185" s="25" t="n">
        <v>10</v>
      </c>
      <c r="AC185" s="24" t="s">
        <v>2317</v>
      </c>
      <c r="AD185" s="24"/>
      <c r="AE185" s="24"/>
      <c r="AF185" s="24" t="s">
        <v>115</v>
      </c>
      <c r="AG185" s="24"/>
      <c r="AH185" s="24"/>
      <c r="AI185" s="25" t="n">
        <f aca="false">COUNTIF($B$2:$B$740,B185)</f>
        <v>1</v>
      </c>
    </row>
    <row r="186" customFormat="false" ht="76" hidden="false" customHeight="true" outlineLevel="0" collapsed="false">
      <c r="A186" s="21" t="n">
        <v>185</v>
      </c>
      <c r="B186" s="22" t="s">
        <v>2318</v>
      </c>
      <c r="C186" s="23" t="s">
        <v>9</v>
      </c>
      <c r="D186" s="23" t="s">
        <v>96</v>
      </c>
      <c r="E186" s="23" t="s">
        <v>97</v>
      </c>
      <c r="F186" s="24" t="s">
        <v>50</v>
      </c>
      <c r="G186" s="24" t="s">
        <v>1407</v>
      </c>
      <c r="H186" s="24" t="s">
        <v>1344</v>
      </c>
      <c r="I186" s="24" t="s">
        <v>1577</v>
      </c>
      <c r="J186" s="24" t="s">
        <v>2319</v>
      </c>
      <c r="K186" s="24" t="s">
        <v>2320</v>
      </c>
      <c r="L186" s="24" t="s">
        <v>103</v>
      </c>
      <c r="M186" s="24" t="s">
        <v>2321</v>
      </c>
      <c r="N186" s="24" t="s">
        <v>2322</v>
      </c>
      <c r="O186" s="24" t="s">
        <v>2323</v>
      </c>
      <c r="P186" s="24" t="s">
        <v>1658</v>
      </c>
      <c r="Q186" s="24" t="s">
        <v>2324</v>
      </c>
      <c r="R186" s="24" t="s">
        <v>2325</v>
      </c>
      <c r="S186" s="24" t="s">
        <v>2326</v>
      </c>
      <c r="T186" s="24" t="s">
        <v>2327</v>
      </c>
      <c r="U186" s="24"/>
      <c r="V186" s="24"/>
      <c r="W186" s="24"/>
      <c r="X186" s="24"/>
      <c r="Y186" s="24"/>
      <c r="Z186" s="24"/>
      <c r="AA186" s="24"/>
      <c r="AB186" s="25" t="n">
        <v>10</v>
      </c>
      <c r="AC186" s="24" t="s">
        <v>2328</v>
      </c>
      <c r="AD186" s="24"/>
      <c r="AE186" s="24"/>
      <c r="AF186" s="24" t="s">
        <v>115</v>
      </c>
      <c r="AG186" s="24"/>
      <c r="AH186" s="24"/>
      <c r="AI186" s="25" t="n">
        <f aca="false">COUNTIF($B$2:$B$740,B186)</f>
        <v>1</v>
      </c>
    </row>
    <row r="187" customFormat="false" ht="76" hidden="false" customHeight="true" outlineLevel="0" collapsed="false">
      <c r="A187" s="21" t="n">
        <v>186</v>
      </c>
      <c r="B187" s="22" t="s">
        <v>2329</v>
      </c>
      <c r="C187" s="23" t="s">
        <v>9</v>
      </c>
      <c r="D187" s="23" t="s">
        <v>96</v>
      </c>
      <c r="E187" s="23" t="s">
        <v>97</v>
      </c>
      <c r="F187" s="24" t="s">
        <v>57</v>
      </c>
      <c r="G187" s="24" t="s">
        <v>57</v>
      </c>
      <c r="H187" s="24" t="s">
        <v>1344</v>
      </c>
      <c r="I187" s="24" t="s">
        <v>1577</v>
      </c>
      <c r="J187" s="24" t="s">
        <v>2330</v>
      </c>
      <c r="K187" s="24" t="s">
        <v>2331</v>
      </c>
      <c r="L187" s="24" t="s">
        <v>103</v>
      </c>
      <c r="M187" s="24" t="s">
        <v>2303</v>
      </c>
      <c r="N187" s="24"/>
      <c r="O187" s="24" t="s">
        <v>2332</v>
      </c>
      <c r="P187" s="24" t="s">
        <v>1658</v>
      </c>
      <c r="Q187" s="24" t="s">
        <v>2333</v>
      </c>
      <c r="R187" s="24" t="s">
        <v>2334</v>
      </c>
      <c r="S187" s="24" t="s">
        <v>2335</v>
      </c>
      <c r="T187" s="24" t="s">
        <v>2336</v>
      </c>
      <c r="U187" s="24"/>
      <c r="V187" s="24"/>
      <c r="W187" s="24"/>
      <c r="X187" s="24"/>
      <c r="Y187" s="24"/>
      <c r="Z187" s="24"/>
      <c r="AA187" s="24"/>
      <c r="AB187" s="25" t="n">
        <v>10</v>
      </c>
      <c r="AC187" s="24" t="s">
        <v>2337</v>
      </c>
      <c r="AD187" s="24"/>
      <c r="AE187" s="24"/>
      <c r="AF187" s="24" t="s">
        <v>115</v>
      </c>
      <c r="AG187" s="24"/>
      <c r="AH187" s="24"/>
      <c r="AI187" s="25" t="n">
        <f aca="false">COUNTIF($B$2:$B$740,B187)</f>
        <v>1</v>
      </c>
    </row>
    <row r="188" customFormat="false" ht="76" hidden="false" customHeight="true" outlineLevel="0" collapsed="false">
      <c r="A188" s="21" t="n">
        <v>187</v>
      </c>
      <c r="B188" s="22" t="s">
        <v>2338</v>
      </c>
      <c r="C188" s="23" t="s">
        <v>9</v>
      </c>
      <c r="D188" s="23" t="s">
        <v>96</v>
      </c>
      <c r="E188" s="23" t="s">
        <v>97</v>
      </c>
      <c r="F188" s="24" t="s">
        <v>57</v>
      </c>
      <c r="G188" s="24" t="s">
        <v>57</v>
      </c>
      <c r="H188" s="24" t="s">
        <v>1344</v>
      </c>
      <c r="I188" s="24" t="s">
        <v>1577</v>
      </c>
      <c r="J188" s="24" t="s">
        <v>2339</v>
      </c>
      <c r="K188" s="24" t="s">
        <v>1579</v>
      </c>
      <c r="L188" s="24" t="s">
        <v>103</v>
      </c>
      <c r="M188" s="24" t="s">
        <v>2340</v>
      </c>
      <c r="N188" s="24" t="s">
        <v>1581</v>
      </c>
      <c r="O188" s="24" t="s">
        <v>1645</v>
      </c>
      <c r="P188" s="24" t="s">
        <v>1635</v>
      </c>
      <c r="Q188" s="24" t="s">
        <v>1758</v>
      </c>
      <c r="R188" s="24" t="s">
        <v>2341</v>
      </c>
      <c r="S188" s="24" t="s">
        <v>1760</v>
      </c>
      <c r="T188" s="24" t="s">
        <v>552</v>
      </c>
      <c r="U188" s="24" t="s">
        <v>2342</v>
      </c>
      <c r="V188" s="24"/>
      <c r="W188" s="24" t="s">
        <v>2343</v>
      </c>
      <c r="X188" s="24"/>
      <c r="Y188" s="24"/>
      <c r="Z188" s="24"/>
      <c r="AA188" s="24"/>
      <c r="AB188" s="25" t="n">
        <v>10</v>
      </c>
      <c r="AC188" s="24" t="s">
        <v>2344</v>
      </c>
      <c r="AD188" s="24"/>
      <c r="AE188" s="24"/>
      <c r="AF188" s="24" t="s">
        <v>115</v>
      </c>
      <c r="AG188" s="24"/>
      <c r="AH188" s="24"/>
      <c r="AI188" s="25" t="n">
        <f aca="false">COUNTIF($B$2:$B$740,B188)</f>
        <v>1</v>
      </c>
    </row>
    <row r="189" customFormat="false" ht="76" hidden="false" customHeight="true" outlineLevel="0" collapsed="false">
      <c r="A189" s="21" t="n">
        <v>188</v>
      </c>
      <c r="B189" s="22" t="s">
        <v>2345</v>
      </c>
      <c r="C189" s="23" t="s">
        <v>9</v>
      </c>
      <c r="D189" s="23" t="s">
        <v>96</v>
      </c>
      <c r="E189" s="23" t="s">
        <v>97</v>
      </c>
      <c r="F189" s="24" t="s">
        <v>50</v>
      </c>
      <c r="G189" s="24" t="s">
        <v>1407</v>
      </c>
      <c r="H189" s="24" t="s">
        <v>1344</v>
      </c>
      <c r="I189" s="24" t="s">
        <v>1577</v>
      </c>
      <c r="J189" s="24" t="s">
        <v>2346</v>
      </c>
      <c r="K189" s="24" t="s">
        <v>2347</v>
      </c>
      <c r="L189" s="24" t="s">
        <v>103</v>
      </c>
      <c r="M189" s="24" t="s">
        <v>2348</v>
      </c>
      <c r="N189" s="24"/>
      <c r="O189" s="24" t="s">
        <v>2349</v>
      </c>
      <c r="P189" s="24" t="s">
        <v>1658</v>
      </c>
      <c r="Q189" s="24" t="s">
        <v>2350</v>
      </c>
      <c r="R189" s="24" t="s">
        <v>2351</v>
      </c>
      <c r="S189" s="24" t="s">
        <v>2352</v>
      </c>
      <c r="T189" s="24" t="s">
        <v>552</v>
      </c>
      <c r="U189" s="24" t="s">
        <v>2353</v>
      </c>
      <c r="V189" s="24"/>
      <c r="W189" s="24"/>
      <c r="X189" s="24"/>
      <c r="Y189" s="24"/>
      <c r="Z189" s="24"/>
      <c r="AA189" s="24"/>
      <c r="AB189" s="25" t="n">
        <v>10</v>
      </c>
      <c r="AC189" s="24" t="s">
        <v>2354</v>
      </c>
      <c r="AD189" s="24"/>
      <c r="AE189" s="24"/>
      <c r="AF189" s="24" t="s">
        <v>115</v>
      </c>
      <c r="AG189" s="24"/>
      <c r="AH189" s="24"/>
      <c r="AI189" s="25" t="n">
        <f aca="false">COUNTIF($B$2:$B$740,B189)</f>
        <v>1</v>
      </c>
    </row>
    <row r="190" customFormat="false" ht="76" hidden="false" customHeight="true" outlineLevel="0" collapsed="false">
      <c r="A190" s="21" t="n">
        <v>189</v>
      </c>
      <c r="B190" s="22" t="s">
        <v>2355</v>
      </c>
      <c r="C190" s="23" t="s">
        <v>9</v>
      </c>
      <c r="D190" s="23" t="s">
        <v>96</v>
      </c>
      <c r="E190" s="23" t="s">
        <v>97</v>
      </c>
      <c r="F190" s="24" t="s">
        <v>57</v>
      </c>
      <c r="G190" s="24" t="s">
        <v>57</v>
      </c>
      <c r="H190" s="24" t="s">
        <v>1344</v>
      </c>
      <c r="I190" s="24" t="s">
        <v>1577</v>
      </c>
      <c r="J190" s="24" t="s">
        <v>2356</v>
      </c>
      <c r="K190" s="24" t="s">
        <v>1579</v>
      </c>
      <c r="L190" s="24" t="s">
        <v>103</v>
      </c>
      <c r="M190" s="24" t="s">
        <v>2357</v>
      </c>
      <c r="N190" s="24" t="s">
        <v>1581</v>
      </c>
      <c r="O190" s="24" t="s">
        <v>2358</v>
      </c>
      <c r="P190" s="24" t="s">
        <v>1635</v>
      </c>
      <c r="Q190" s="24" t="s">
        <v>2359</v>
      </c>
      <c r="R190" s="24" t="s">
        <v>2360</v>
      </c>
      <c r="S190" s="24" t="s">
        <v>2361</v>
      </c>
      <c r="T190" s="24" t="s">
        <v>2362</v>
      </c>
      <c r="U190" s="24"/>
      <c r="V190" s="24"/>
      <c r="W190" s="24" t="s">
        <v>2363</v>
      </c>
      <c r="X190" s="24"/>
      <c r="Y190" s="24"/>
      <c r="Z190" s="24"/>
      <c r="AA190" s="24"/>
      <c r="AB190" s="25" t="n">
        <v>10</v>
      </c>
      <c r="AC190" s="24" t="s">
        <v>2364</v>
      </c>
      <c r="AD190" s="24"/>
      <c r="AE190" s="24"/>
      <c r="AF190" s="24" t="s">
        <v>115</v>
      </c>
      <c r="AG190" s="24"/>
      <c r="AH190" s="24"/>
      <c r="AI190" s="25" t="n">
        <f aca="false">COUNTIF($B$2:$B$740,B190)</f>
        <v>1</v>
      </c>
    </row>
    <row r="191" customFormat="false" ht="76" hidden="false" customHeight="true" outlineLevel="0" collapsed="false">
      <c r="A191" s="21" t="n">
        <v>190</v>
      </c>
      <c r="B191" s="22" t="s">
        <v>2365</v>
      </c>
      <c r="C191" s="23" t="s">
        <v>9</v>
      </c>
      <c r="D191" s="23" t="s">
        <v>96</v>
      </c>
      <c r="E191" s="23" t="s">
        <v>97</v>
      </c>
      <c r="F191" s="24" t="s">
        <v>57</v>
      </c>
      <c r="G191" s="24" t="s">
        <v>57</v>
      </c>
      <c r="H191" s="24" t="s">
        <v>2366</v>
      </c>
      <c r="I191" s="24" t="s">
        <v>2367</v>
      </c>
      <c r="J191" s="24" t="s">
        <v>2368</v>
      </c>
      <c r="K191" s="24" t="s">
        <v>2369</v>
      </c>
      <c r="L191" s="24" t="s">
        <v>103</v>
      </c>
      <c r="M191" s="24" t="s">
        <v>2370</v>
      </c>
      <c r="N191" s="24" t="s">
        <v>2371</v>
      </c>
      <c r="O191" s="24" t="s">
        <v>2372</v>
      </c>
      <c r="P191" s="24" t="s">
        <v>2373</v>
      </c>
      <c r="Q191" s="24" t="s">
        <v>2374</v>
      </c>
      <c r="R191" s="24" t="s">
        <v>2375</v>
      </c>
      <c r="S191" s="24" t="s">
        <v>2376</v>
      </c>
      <c r="T191" s="24" t="s">
        <v>2377</v>
      </c>
      <c r="U191" s="24"/>
      <c r="V191" s="24"/>
      <c r="W191" s="24"/>
      <c r="X191" s="24"/>
      <c r="Y191" s="24"/>
      <c r="Z191" s="24"/>
      <c r="AA191" s="24"/>
      <c r="AB191" s="25" t="n">
        <v>10</v>
      </c>
      <c r="AC191" s="24" t="s">
        <v>2378</v>
      </c>
      <c r="AD191" s="24"/>
      <c r="AE191" s="24"/>
      <c r="AF191" s="24" t="s">
        <v>115</v>
      </c>
      <c r="AG191" s="24"/>
      <c r="AH191" s="24"/>
      <c r="AI191" s="25" t="n">
        <f aca="false">COUNTIF($B$2:$B$740,B191)</f>
        <v>1</v>
      </c>
    </row>
    <row r="192" customFormat="false" ht="76" hidden="false" customHeight="true" outlineLevel="0" collapsed="false">
      <c r="A192" s="21" t="n">
        <v>191</v>
      </c>
      <c r="B192" s="22" t="s">
        <v>2379</v>
      </c>
      <c r="C192" s="23" t="s">
        <v>9</v>
      </c>
      <c r="D192" s="23" t="s">
        <v>96</v>
      </c>
      <c r="E192" s="23" t="s">
        <v>97</v>
      </c>
      <c r="F192" s="24" t="s">
        <v>57</v>
      </c>
      <c r="G192" s="24" t="s">
        <v>57</v>
      </c>
      <c r="H192" s="24" t="s">
        <v>2366</v>
      </c>
      <c r="I192" s="24" t="s">
        <v>2367</v>
      </c>
      <c r="J192" s="24" t="s">
        <v>2380</v>
      </c>
      <c r="K192" s="24" t="s">
        <v>2381</v>
      </c>
      <c r="L192" s="24" t="s">
        <v>103</v>
      </c>
      <c r="M192" s="24" t="s">
        <v>2382</v>
      </c>
      <c r="N192" s="24" t="s">
        <v>1581</v>
      </c>
      <c r="O192" s="24" t="s">
        <v>2383</v>
      </c>
      <c r="P192" s="24" t="s">
        <v>2384</v>
      </c>
      <c r="Q192" s="24" t="s">
        <v>2385</v>
      </c>
      <c r="R192" s="24" t="s">
        <v>2386</v>
      </c>
      <c r="S192" s="24" t="s">
        <v>2387</v>
      </c>
      <c r="T192" s="24" t="s">
        <v>2388</v>
      </c>
      <c r="U192" s="24"/>
      <c r="V192" s="24" t="s">
        <v>2389</v>
      </c>
      <c r="W192" s="24" t="s">
        <v>2386</v>
      </c>
      <c r="X192" s="24"/>
      <c r="Y192" s="24"/>
      <c r="Z192" s="24"/>
      <c r="AA192" s="24"/>
      <c r="AB192" s="25" t="n">
        <v>10</v>
      </c>
      <c r="AC192" s="24" t="s">
        <v>2390</v>
      </c>
      <c r="AD192" s="24"/>
      <c r="AE192" s="24"/>
      <c r="AF192" s="24" t="s">
        <v>115</v>
      </c>
      <c r="AG192" s="24"/>
      <c r="AH192" s="24"/>
      <c r="AI192" s="25" t="n">
        <f aca="false">COUNTIF($B$2:$B$740,B192)</f>
        <v>1</v>
      </c>
    </row>
    <row r="193" customFormat="false" ht="76" hidden="false" customHeight="true" outlineLevel="0" collapsed="false">
      <c r="A193" s="21" t="n">
        <v>192</v>
      </c>
      <c r="B193" s="22" t="s">
        <v>2391</v>
      </c>
      <c r="C193" s="23" t="s">
        <v>9</v>
      </c>
      <c r="D193" s="23" t="s">
        <v>96</v>
      </c>
      <c r="E193" s="23" t="s">
        <v>97</v>
      </c>
      <c r="F193" s="24" t="s">
        <v>57</v>
      </c>
      <c r="G193" s="24" t="s">
        <v>57</v>
      </c>
      <c r="H193" s="24" t="s">
        <v>2366</v>
      </c>
      <c r="I193" s="24" t="s">
        <v>2367</v>
      </c>
      <c r="J193" s="24" t="s">
        <v>2392</v>
      </c>
      <c r="K193" s="24" t="s">
        <v>2393</v>
      </c>
      <c r="L193" s="24" t="s">
        <v>119</v>
      </c>
      <c r="M193" s="24" t="s">
        <v>2382</v>
      </c>
      <c r="N193" s="24" t="s">
        <v>2394</v>
      </c>
      <c r="O193" s="24" t="s">
        <v>2395</v>
      </c>
      <c r="P193" s="24" t="s">
        <v>2396</v>
      </c>
      <c r="Q193" s="24" t="s">
        <v>2397</v>
      </c>
      <c r="R193" s="24" t="s">
        <v>2398</v>
      </c>
      <c r="S193" s="24" t="s">
        <v>2399</v>
      </c>
      <c r="T193" s="24" t="s">
        <v>2400</v>
      </c>
      <c r="U193" s="24"/>
      <c r="V193" s="24" t="s">
        <v>2401</v>
      </c>
      <c r="W193" s="24"/>
      <c r="X193" s="24"/>
      <c r="Y193" s="24"/>
      <c r="Z193" s="24"/>
      <c r="AA193" s="24"/>
      <c r="AB193" s="25" t="n">
        <v>10</v>
      </c>
      <c r="AC193" s="24" t="s">
        <v>2402</v>
      </c>
      <c r="AD193" s="24"/>
      <c r="AE193" s="24"/>
      <c r="AF193" s="24" t="s">
        <v>115</v>
      </c>
      <c r="AG193" s="24"/>
      <c r="AH193" s="24"/>
      <c r="AI193" s="25" t="n">
        <f aca="false">COUNTIF($B$2:$B$740,B193)</f>
        <v>1</v>
      </c>
    </row>
    <row r="194" customFormat="false" ht="76" hidden="false" customHeight="true" outlineLevel="0" collapsed="false">
      <c r="A194" s="21" t="n">
        <v>193</v>
      </c>
      <c r="B194" s="22" t="s">
        <v>2403</v>
      </c>
      <c r="C194" s="23" t="s">
        <v>9</v>
      </c>
      <c r="D194" s="23" t="s">
        <v>96</v>
      </c>
      <c r="E194" s="23" t="s">
        <v>97</v>
      </c>
      <c r="F194" s="24" t="s">
        <v>51</v>
      </c>
      <c r="G194" s="24" t="s">
        <v>2404</v>
      </c>
      <c r="H194" s="24" t="s">
        <v>2366</v>
      </c>
      <c r="I194" s="24" t="s">
        <v>2367</v>
      </c>
      <c r="J194" s="24" t="s">
        <v>2405</v>
      </c>
      <c r="K194" s="24" t="s">
        <v>2406</v>
      </c>
      <c r="L194" s="24" t="s">
        <v>119</v>
      </c>
      <c r="M194" s="24" t="s">
        <v>2382</v>
      </c>
      <c r="N194" s="24" t="s">
        <v>2407</v>
      </c>
      <c r="O194" s="24" t="s">
        <v>2408</v>
      </c>
      <c r="P194" s="24" t="s">
        <v>2409</v>
      </c>
      <c r="Q194" s="24" t="s">
        <v>2410</v>
      </c>
      <c r="R194" s="24" t="s">
        <v>2411</v>
      </c>
      <c r="S194" s="24" t="s">
        <v>2412</v>
      </c>
      <c r="T194" s="24" t="s">
        <v>2413</v>
      </c>
      <c r="U194" s="24" t="s">
        <v>2414</v>
      </c>
      <c r="V194" s="24" t="s">
        <v>2415</v>
      </c>
      <c r="W194" s="24"/>
      <c r="X194" s="24"/>
      <c r="Y194" s="24" t="s">
        <v>2416</v>
      </c>
      <c r="Z194" s="24"/>
      <c r="AA194" s="24"/>
      <c r="AB194" s="25" t="n">
        <v>10</v>
      </c>
      <c r="AC194" s="24" t="s">
        <v>2417</v>
      </c>
      <c r="AD194" s="24"/>
      <c r="AE194" s="24"/>
      <c r="AF194" s="24" t="s">
        <v>115</v>
      </c>
      <c r="AG194" s="24"/>
      <c r="AH194" s="24"/>
      <c r="AI194" s="25" t="n">
        <f aca="false">COUNTIF($B$2:$B$740,B194)</f>
        <v>1</v>
      </c>
    </row>
    <row r="195" customFormat="false" ht="76" hidden="false" customHeight="true" outlineLevel="0" collapsed="false">
      <c r="A195" s="21" t="n">
        <v>194</v>
      </c>
      <c r="B195" s="22" t="s">
        <v>2418</v>
      </c>
      <c r="C195" s="23" t="s">
        <v>9</v>
      </c>
      <c r="D195" s="23" t="s">
        <v>96</v>
      </c>
      <c r="E195" s="23" t="s">
        <v>97</v>
      </c>
      <c r="F195" s="24" t="s">
        <v>50</v>
      </c>
      <c r="G195" s="24" t="s">
        <v>1407</v>
      </c>
      <c r="H195" s="24" t="s">
        <v>2366</v>
      </c>
      <c r="I195" s="24" t="s">
        <v>2367</v>
      </c>
      <c r="J195" s="24" t="s">
        <v>2419</v>
      </c>
      <c r="K195" s="24" t="s">
        <v>2420</v>
      </c>
      <c r="L195" s="24" t="s">
        <v>119</v>
      </c>
      <c r="M195" s="24" t="s">
        <v>232</v>
      </c>
      <c r="N195" s="24" t="s">
        <v>2421</v>
      </c>
      <c r="O195" s="24" t="s">
        <v>2422</v>
      </c>
      <c r="P195" s="24" t="s">
        <v>2423</v>
      </c>
      <c r="Q195" s="24" t="s">
        <v>2424</v>
      </c>
      <c r="R195" s="24" t="s">
        <v>2425</v>
      </c>
      <c r="S195" s="24" t="s">
        <v>2426</v>
      </c>
      <c r="T195" s="24" t="s">
        <v>2427</v>
      </c>
      <c r="U195" s="24"/>
      <c r="V195" s="24" t="s">
        <v>2426</v>
      </c>
      <c r="W195" s="24"/>
      <c r="X195" s="24"/>
      <c r="Y195" s="24"/>
      <c r="Z195" s="24"/>
      <c r="AA195" s="24"/>
      <c r="AB195" s="25" t="n">
        <v>10</v>
      </c>
      <c r="AC195" s="24" t="s">
        <v>2428</v>
      </c>
      <c r="AD195" s="24"/>
      <c r="AE195" s="24"/>
      <c r="AF195" s="24" t="s">
        <v>115</v>
      </c>
      <c r="AG195" s="24"/>
      <c r="AH195" s="24"/>
      <c r="AI195" s="25" t="n">
        <f aca="false">COUNTIF($B$2:$B$740,B195)</f>
        <v>1</v>
      </c>
    </row>
    <row r="196" customFormat="false" ht="76" hidden="false" customHeight="true" outlineLevel="0" collapsed="false">
      <c r="A196" s="21" t="n">
        <v>195</v>
      </c>
      <c r="B196" s="22" t="s">
        <v>2429</v>
      </c>
      <c r="C196" s="23" t="s">
        <v>9</v>
      </c>
      <c r="D196" s="23" t="s">
        <v>96</v>
      </c>
      <c r="E196" s="23" t="s">
        <v>97</v>
      </c>
      <c r="F196" s="24" t="s">
        <v>50</v>
      </c>
      <c r="G196" s="24" t="s">
        <v>1407</v>
      </c>
      <c r="H196" s="24" t="s">
        <v>2366</v>
      </c>
      <c r="I196" s="24" t="s">
        <v>2367</v>
      </c>
      <c r="J196" s="24" t="s">
        <v>2430</v>
      </c>
      <c r="K196" s="24" t="s">
        <v>2431</v>
      </c>
      <c r="L196" s="24" t="s">
        <v>119</v>
      </c>
      <c r="M196" s="24" t="s">
        <v>2382</v>
      </c>
      <c r="N196" s="24" t="s">
        <v>2432</v>
      </c>
      <c r="O196" s="24" t="s">
        <v>2433</v>
      </c>
      <c r="P196" s="24" t="s">
        <v>2434</v>
      </c>
      <c r="Q196" s="24" t="s">
        <v>2435</v>
      </c>
      <c r="R196" s="24" t="s">
        <v>2436</v>
      </c>
      <c r="S196" s="24" t="s">
        <v>2437</v>
      </c>
      <c r="T196" s="24" t="s">
        <v>2438</v>
      </c>
      <c r="U196" s="24"/>
      <c r="V196" s="24" t="s">
        <v>2439</v>
      </c>
      <c r="W196" s="24"/>
      <c r="X196" s="24"/>
      <c r="Y196" s="24"/>
      <c r="Z196" s="24"/>
      <c r="AA196" s="24"/>
      <c r="AB196" s="25" t="n">
        <v>10</v>
      </c>
      <c r="AC196" s="24" t="s">
        <v>2440</v>
      </c>
      <c r="AD196" s="24"/>
      <c r="AE196" s="24"/>
      <c r="AF196" s="24" t="s">
        <v>115</v>
      </c>
      <c r="AG196" s="24"/>
      <c r="AH196" s="24"/>
      <c r="AI196" s="25" t="n">
        <f aca="false">COUNTIF($B$2:$B$740,B196)</f>
        <v>1</v>
      </c>
    </row>
    <row r="197" customFormat="false" ht="76" hidden="false" customHeight="true" outlineLevel="0" collapsed="false">
      <c r="A197" s="21" t="n">
        <v>196</v>
      </c>
      <c r="B197" s="22" t="s">
        <v>2441</v>
      </c>
      <c r="C197" s="23" t="s">
        <v>9</v>
      </c>
      <c r="D197" s="23" t="s">
        <v>96</v>
      </c>
      <c r="E197" s="23" t="s">
        <v>97</v>
      </c>
      <c r="F197" s="24" t="s">
        <v>51</v>
      </c>
      <c r="G197" s="24" t="s">
        <v>2404</v>
      </c>
      <c r="H197" s="24" t="s">
        <v>2366</v>
      </c>
      <c r="I197" s="24" t="s">
        <v>2367</v>
      </c>
      <c r="J197" s="24" t="s">
        <v>2442</v>
      </c>
      <c r="K197" s="24" t="s">
        <v>2443</v>
      </c>
      <c r="L197" s="24" t="s">
        <v>119</v>
      </c>
      <c r="M197" s="24" t="s">
        <v>2444</v>
      </c>
      <c r="N197" s="24"/>
      <c r="O197" s="24" t="s">
        <v>2445</v>
      </c>
      <c r="P197" s="24" t="s">
        <v>1456</v>
      </c>
      <c r="Q197" s="24" t="s">
        <v>2446</v>
      </c>
      <c r="R197" s="24" t="s">
        <v>2447</v>
      </c>
      <c r="S197" s="24" t="s">
        <v>2448</v>
      </c>
      <c r="T197" s="24" t="s">
        <v>2449</v>
      </c>
      <c r="U197" s="24"/>
      <c r="V197" s="24"/>
      <c r="W197" s="24" t="s">
        <v>2450</v>
      </c>
      <c r="X197" s="24"/>
      <c r="Y197" s="24"/>
      <c r="Z197" s="24"/>
      <c r="AA197" s="24"/>
      <c r="AB197" s="25" t="n">
        <v>55</v>
      </c>
      <c r="AC197" s="24" t="s">
        <v>2440</v>
      </c>
      <c r="AD197" s="24"/>
      <c r="AE197" s="24" t="s">
        <v>2451</v>
      </c>
      <c r="AF197" s="24" t="s">
        <v>115</v>
      </c>
      <c r="AG197" s="24"/>
      <c r="AH197" s="24" t="s">
        <v>2452</v>
      </c>
      <c r="AI197" s="25" t="n">
        <f aca="false">COUNTIF($B$2:$B$740,B197)</f>
        <v>1</v>
      </c>
    </row>
    <row r="198" customFormat="false" ht="76" hidden="false" customHeight="true" outlineLevel="0" collapsed="false">
      <c r="A198" s="21" t="n">
        <v>197</v>
      </c>
      <c r="B198" s="22" t="s">
        <v>2453</v>
      </c>
      <c r="C198" s="23" t="s">
        <v>9</v>
      </c>
      <c r="D198" s="23" t="s">
        <v>96</v>
      </c>
      <c r="E198" s="23" t="s">
        <v>97</v>
      </c>
      <c r="F198" s="24" t="s">
        <v>50</v>
      </c>
      <c r="G198" s="24" t="s">
        <v>1407</v>
      </c>
      <c r="H198" s="24" t="s">
        <v>2366</v>
      </c>
      <c r="I198" s="24" t="s">
        <v>2367</v>
      </c>
      <c r="J198" s="24" t="s">
        <v>2454</v>
      </c>
      <c r="K198" s="24" t="s">
        <v>2455</v>
      </c>
      <c r="L198" s="24" t="s">
        <v>119</v>
      </c>
      <c r="M198" s="24" t="s">
        <v>2382</v>
      </c>
      <c r="N198" s="24" t="s">
        <v>2456</v>
      </c>
      <c r="O198" s="24" t="s">
        <v>2457</v>
      </c>
      <c r="P198" s="24" t="s">
        <v>1456</v>
      </c>
      <c r="Q198" s="24" t="s">
        <v>2458</v>
      </c>
      <c r="R198" s="24" t="s">
        <v>1809</v>
      </c>
      <c r="S198" s="24" t="s">
        <v>2459</v>
      </c>
      <c r="T198" s="24" t="s">
        <v>2460</v>
      </c>
      <c r="U198" s="24"/>
      <c r="V198" s="24"/>
      <c r="W198" s="24"/>
      <c r="X198" s="24"/>
      <c r="Y198" s="24"/>
      <c r="Z198" s="24"/>
      <c r="AA198" s="24"/>
      <c r="AB198" s="25" t="n">
        <v>10</v>
      </c>
      <c r="AC198" s="24" t="s">
        <v>2461</v>
      </c>
      <c r="AD198" s="24"/>
      <c r="AE198" s="24"/>
      <c r="AF198" s="24" t="s">
        <v>115</v>
      </c>
      <c r="AG198" s="24"/>
      <c r="AH198" s="24"/>
      <c r="AI198" s="25" t="n">
        <f aca="false">COUNTIF($B$2:$B$740,B198)</f>
        <v>1</v>
      </c>
    </row>
    <row r="199" customFormat="false" ht="76" hidden="false" customHeight="true" outlineLevel="0" collapsed="false">
      <c r="A199" s="21" t="n">
        <v>198</v>
      </c>
      <c r="B199" s="22" t="s">
        <v>2462</v>
      </c>
      <c r="C199" s="23" t="s">
        <v>9</v>
      </c>
      <c r="D199" s="23" t="s">
        <v>96</v>
      </c>
      <c r="E199" s="23" t="s">
        <v>97</v>
      </c>
      <c r="F199" s="24" t="s">
        <v>57</v>
      </c>
      <c r="G199" s="24" t="s">
        <v>57</v>
      </c>
      <c r="H199" s="24" t="s">
        <v>2366</v>
      </c>
      <c r="I199" s="24" t="s">
        <v>2367</v>
      </c>
      <c r="J199" s="24" t="s">
        <v>2463</v>
      </c>
      <c r="K199" s="24" t="s">
        <v>2464</v>
      </c>
      <c r="L199" s="24" t="s">
        <v>119</v>
      </c>
      <c r="M199" s="24" t="s">
        <v>2444</v>
      </c>
      <c r="N199" s="24"/>
      <c r="O199" s="24" t="s">
        <v>2465</v>
      </c>
      <c r="P199" s="24" t="s">
        <v>1658</v>
      </c>
      <c r="Q199" s="24" t="s">
        <v>2466</v>
      </c>
      <c r="R199" s="24" t="s">
        <v>2467</v>
      </c>
      <c r="S199" s="24" t="s">
        <v>2468</v>
      </c>
      <c r="T199" s="24" t="s">
        <v>2469</v>
      </c>
      <c r="U199" s="24"/>
      <c r="V199" s="24" t="s">
        <v>2470</v>
      </c>
      <c r="W199" s="24" t="s">
        <v>2467</v>
      </c>
      <c r="X199" s="24"/>
      <c r="Y199" s="24"/>
      <c r="Z199" s="24"/>
      <c r="AA199" s="24"/>
      <c r="AB199" s="25" t="n">
        <v>10</v>
      </c>
      <c r="AC199" s="24" t="s">
        <v>2471</v>
      </c>
      <c r="AD199" s="24"/>
      <c r="AE199" s="24"/>
      <c r="AF199" s="24" t="s">
        <v>115</v>
      </c>
      <c r="AG199" s="24"/>
      <c r="AH199" s="24"/>
      <c r="AI199" s="25" t="n">
        <f aca="false">COUNTIF($B$2:$B$740,B199)</f>
        <v>1</v>
      </c>
    </row>
    <row r="200" customFormat="false" ht="76" hidden="false" customHeight="true" outlineLevel="0" collapsed="false">
      <c r="A200" s="21" t="n">
        <v>199</v>
      </c>
      <c r="B200" s="22" t="s">
        <v>2472</v>
      </c>
      <c r="C200" s="23" t="s">
        <v>9</v>
      </c>
      <c r="D200" s="23" t="s">
        <v>96</v>
      </c>
      <c r="E200" s="23" t="s">
        <v>97</v>
      </c>
      <c r="F200" s="24" t="s">
        <v>51</v>
      </c>
      <c r="G200" s="24" t="s">
        <v>2404</v>
      </c>
      <c r="H200" s="24" t="s">
        <v>2366</v>
      </c>
      <c r="I200" s="24" t="s">
        <v>2367</v>
      </c>
      <c r="J200" s="24" t="s">
        <v>2473</v>
      </c>
      <c r="K200" s="24" t="s">
        <v>2474</v>
      </c>
      <c r="L200" s="24" t="s">
        <v>119</v>
      </c>
      <c r="M200" s="24" t="s">
        <v>2382</v>
      </c>
      <c r="N200" s="24" t="s">
        <v>2475</v>
      </c>
      <c r="O200" s="24" t="s">
        <v>2476</v>
      </c>
      <c r="P200" s="24" t="s">
        <v>2477</v>
      </c>
      <c r="Q200" s="24" t="s">
        <v>2478</v>
      </c>
      <c r="R200" s="24" t="s">
        <v>2479</v>
      </c>
      <c r="S200" s="24" t="s">
        <v>2480</v>
      </c>
      <c r="T200" s="24" t="s">
        <v>2481</v>
      </c>
      <c r="U200" s="24" t="s">
        <v>2479</v>
      </c>
      <c r="V200" s="24" t="s">
        <v>2478</v>
      </c>
      <c r="W200" s="24" t="s">
        <v>2482</v>
      </c>
      <c r="X200" s="24"/>
      <c r="Y200" s="24" t="s">
        <v>2479</v>
      </c>
      <c r="Z200" s="24"/>
      <c r="AA200" s="24"/>
      <c r="AB200" s="25" t="n">
        <v>10</v>
      </c>
      <c r="AC200" s="24" t="s">
        <v>2483</v>
      </c>
      <c r="AD200" s="24"/>
      <c r="AE200" s="24"/>
      <c r="AF200" s="24" t="s">
        <v>115</v>
      </c>
      <c r="AG200" s="24"/>
      <c r="AH200" s="24"/>
      <c r="AI200" s="25" t="n">
        <f aca="false">COUNTIF($B$2:$B$740,B200)</f>
        <v>1</v>
      </c>
    </row>
    <row r="201" customFormat="false" ht="76" hidden="false" customHeight="true" outlineLevel="0" collapsed="false">
      <c r="A201" s="21" t="n">
        <v>200</v>
      </c>
      <c r="B201" s="22" t="s">
        <v>2484</v>
      </c>
      <c r="C201" s="23" t="s">
        <v>9</v>
      </c>
      <c r="D201" s="23" t="s">
        <v>96</v>
      </c>
      <c r="E201" s="23" t="s">
        <v>97</v>
      </c>
      <c r="F201" s="24" t="s">
        <v>50</v>
      </c>
      <c r="G201" s="24" t="s">
        <v>1407</v>
      </c>
      <c r="H201" s="24" t="s">
        <v>2366</v>
      </c>
      <c r="I201" s="24" t="s">
        <v>2367</v>
      </c>
      <c r="J201" s="24" t="s">
        <v>2485</v>
      </c>
      <c r="K201" s="24" t="s">
        <v>2486</v>
      </c>
      <c r="L201" s="24" t="s">
        <v>119</v>
      </c>
      <c r="M201" s="24" t="s">
        <v>2382</v>
      </c>
      <c r="N201" s="24" t="s">
        <v>2487</v>
      </c>
      <c r="O201" s="24" t="s">
        <v>2488</v>
      </c>
      <c r="P201" s="24" t="s">
        <v>1456</v>
      </c>
      <c r="Q201" s="24" t="s">
        <v>2489</v>
      </c>
      <c r="R201" s="24" t="s">
        <v>2490</v>
      </c>
      <c r="S201" s="24" t="s">
        <v>2491</v>
      </c>
      <c r="T201" s="24" t="s">
        <v>2492</v>
      </c>
      <c r="U201" s="24"/>
      <c r="V201" s="24"/>
      <c r="W201" s="24" t="s">
        <v>2493</v>
      </c>
      <c r="X201" s="24"/>
      <c r="Y201" s="24"/>
      <c r="Z201" s="24"/>
      <c r="AA201" s="24"/>
      <c r="AB201" s="25" t="n">
        <v>10</v>
      </c>
      <c r="AC201" s="24" t="s">
        <v>2494</v>
      </c>
      <c r="AD201" s="24"/>
      <c r="AE201" s="24"/>
      <c r="AF201" s="24" t="s">
        <v>115</v>
      </c>
      <c r="AG201" s="24"/>
      <c r="AH201" s="24"/>
      <c r="AI201" s="25" t="n">
        <f aca="false">COUNTIF($B$2:$B$740,B201)</f>
        <v>1</v>
      </c>
    </row>
    <row r="202" customFormat="false" ht="76" hidden="false" customHeight="true" outlineLevel="0" collapsed="false">
      <c r="A202" s="21" t="n">
        <v>201</v>
      </c>
      <c r="B202" s="22" t="s">
        <v>2495</v>
      </c>
      <c r="C202" s="23" t="s">
        <v>9</v>
      </c>
      <c r="D202" s="23" t="s">
        <v>96</v>
      </c>
      <c r="E202" s="23" t="s">
        <v>97</v>
      </c>
      <c r="F202" s="24" t="s">
        <v>51</v>
      </c>
      <c r="G202" s="24" t="s">
        <v>2404</v>
      </c>
      <c r="H202" s="24" t="s">
        <v>2366</v>
      </c>
      <c r="I202" s="24" t="s">
        <v>2367</v>
      </c>
      <c r="J202" s="24" t="s">
        <v>2496</v>
      </c>
      <c r="K202" s="24" t="s">
        <v>2497</v>
      </c>
      <c r="L202" s="24" t="s">
        <v>119</v>
      </c>
      <c r="M202" s="24" t="s">
        <v>2444</v>
      </c>
      <c r="N202" s="24"/>
      <c r="O202" s="24" t="s">
        <v>2498</v>
      </c>
      <c r="P202" s="24" t="s">
        <v>2499</v>
      </c>
      <c r="Q202" s="24" t="s">
        <v>2500</v>
      </c>
      <c r="R202" s="24" t="s">
        <v>2501</v>
      </c>
      <c r="S202" s="24" t="s">
        <v>2502</v>
      </c>
      <c r="T202" s="24" t="s">
        <v>2503</v>
      </c>
      <c r="U202" s="24"/>
      <c r="V202" s="24"/>
      <c r="W202" s="24" t="s">
        <v>2501</v>
      </c>
      <c r="X202" s="24"/>
      <c r="Y202" s="24"/>
      <c r="Z202" s="24"/>
      <c r="AA202" s="24"/>
      <c r="AB202" s="25" t="n">
        <v>10</v>
      </c>
      <c r="AC202" s="24" t="s">
        <v>2504</v>
      </c>
      <c r="AD202" s="24"/>
      <c r="AE202" s="24"/>
      <c r="AF202" s="24" t="s">
        <v>115</v>
      </c>
      <c r="AG202" s="24"/>
      <c r="AH202" s="24"/>
      <c r="AI202" s="25" t="n">
        <f aca="false">COUNTIF($B$2:$B$740,B202)</f>
        <v>1</v>
      </c>
    </row>
    <row r="203" customFormat="false" ht="76" hidden="false" customHeight="true" outlineLevel="0" collapsed="false">
      <c r="A203" s="21" t="n">
        <v>202</v>
      </c>
      <c r="B203" s="22" t="s">
        <v>2505</v>
      </c>
      <c r="C203" s="23" t="s">
        <v>9</v>
      </c>
      <c r="D203" s="23" t="s">
        <v>96</v>
      </c>
      <c r="E203" s="23" t="s">
        <v>97</v>
      </c>
      <c r="F203" s="24" t="s">
        <v>51</v>
      </c>
      <c r="G203" s="24" t="s">
        <v>2404</v>
      </c>
      <c r="H203" s="24" t="s">
        <v>2366</v>
      </c>
      <c r="I203" s="24" t="s">
        <v>2367</v>
      </c>
      <c r="J203" s="24" t="s">
        <v>2506</v>
      </c>
      <c r="K203" s="24" t="s">
        <v>2507</v>
      </c>
      <c r="L203" s="24" t="s">
        <v>119</v>
      </c>
      <c r="M203" s="24" t="s">
        <v>2382</v>
      </c>
      <c r="N203" s="24" t="s">
        <v>2508</v>
      </c>
      <c r="O203" s="24" t="s">
        <v>2509</v>
      </c>
      <c r="P203" s="24" t="s">
        <v>2510</v>
      </c>
      <c r="Q203" s="24" t="s">
        <v>2511</v>
      </c>
      <c r="R203" s="24" t="s">
        <v>2512</v>
      </c>
      <c r="S203" s="24" t="s">
        <v>2513</v>
      </c>
      <c r="T203" s="24" t="s">
        <v>2514</v>
      </c>
      <c r="U203" s="24"/>
      <c r="V203" s="24"/>
      <c r="W203" s="24"/>
      <c r="X203" s="24"/>
      <c r="Y203" s="24"/>
      <c r="Z203" s="24"/>
      <c r="AA203" s="24"/>
      <c r="AB203" s="25" t="n">
        <v>10</v>
      </c>
      <c r="AC203" s="24" t="s">
        <v>2515</v>
      </c>
      <c r="AD203" s="24"/>
      <c r="AE203" s="24"/>
      <c r="AF203" s="24" t="s">
        <v>115</v>
      </c>
      <c r="AG203" s="24"/>
      <c r="AH203" s="24"/>
      <c r="AI203" s="25" t="n">
        <f aca="false">COUNTIF($B$2:$B$740,B203)</f>
        <v>1</v>
      </c>
    </row>
    <row r="204" customFormat="false" ht="76" hidden="false" customHeight="true" outlineLevel="0" collapsed="false">
      <c r="A204" s="21" t="n">
        <v>203</v>
      </c>
      <c r="B204" s="22" t="s">
        <v>2516</v>
      </c>
      <c r="C204" s="23" t="s">
        <v>9</v>
      </c>
      <c r="D204" s="23" t="s">
        <v>96</v>
      </c>
      <c r="E204" s="23" t="s">
        <v>97</v>
      </c>
      <c r="F204" s="24" t="s">
        <v>50</v>
      </c>
      <c r="G204" s="24" t="s">
        <v>1407</v>
      </c>
      <c r="H204" s="24" t="s">
        <v>2366</v>
      </c>
      <c r="I204" s="24" t="s">
        <v>2367</v>
      </c>
      <c r="J204" s="24" t="s">
        <v>2517</v>
      </c>
      <c r="K204" s="24" t="s">
        <v>2486</v>
      </c>
      <c r="L204" s="24" t="s">
        <v>119</v>
      </c>
      <c r="M204" s="24" t="s">
        <v>2382</v>
      </c>
      <c r="N204" s="24" t="s">
        <v>2518</v>
      </c>
      <c r="O204" s="24" t="s">
        <v>2519</v>
      </c>
      <c r="P204" s="24" t="s">
        <v>1456</v>
      </c>
      <c r="Q204" s="24" t="s">
        <v>2520</v>
      </c>
      <c r="R204" s="24" t="s">
        <v>2521</v>
      </c>
      <c r="S204" s="24" t="s">
        <v>2522</v>
      </c>
      <c r="T204" s="24" t="s">
        <v>2523</v>
      </c>
      <c r="U204" s="24"/>
      <c r="V204" s="24"/>
      <c r="W204" s="24" t="s">
        <v>2524</v>
      </c>
      <c r="X204" s="24"/>
      <c r="Y204" s="24"/>
      <c r="Z204" s="24"/>
      <c r="AA204" s="24"/>
      <c r="AB204" s="25" t="n">
        <v>10</v>
      </c>
      <c r="AC204" s="24" t="s">
        <v>2525</v>
      </c>
      <c r="AD204" s="24"/>
      <c r="AE204" s="24"/>
      <c r="AF204" s="24" t="s">
        <v>115</v>
      </c>
      <c r="AG204" s="24"/>
      <c r="AH204" s="24"/>
      <c r="AI204" s="25" t="n">
        <f aca="false">COUNTIF($B$2:$B$740,B204)</f>
        <v>1</v>
      </c>
    </row>
    <row r="205" customFormat="false" ht="76" hidden="false" customHeight="true" outlineLevel="0" collapsed="false">
      <c r="A205" s="21" t="n">
        <v>204</v>
      </c>
      <c r="B205" s="22" t="s">
        <v>2526</v>
      </c>
      <c r="C205" s="23" t="s">
        <v>9</v>
      </c>
      <c r="D205" s="23" t="s">
        <v>96</v>
      </c>
      <c r="E205" s="23" t="s">
        <v>97</v>
      </c>
      <c r="F205" s="24" t="s">
        <v>56</v>
      </c>
      <c r="G205" s="24" t="s">
        <v>1805</v>
      </c>
      <c r="H205" s="24" t="s">
        <v>2366</v>
      </c>
      <c r="I205" s="24" t="s">
        <v>2367</v>
      </c>
      <c r="J205" s="24" t="s">
        <v>2527</v>
      </c>
      <c r="K205" s="24" t="s">
        <v>2528</v>
      </c>
      <c r="L205" s="24" t="s">
        <v>119</v>
      </c>
      <c r="M205" s="24" t="s">
        <v>2382</v>
      </c>
      <c r="N205" s="24" t="s">
        <v>2508</v>
      </c>
      <c r="O205" s="24" t="s">
        <v>2529</v>
      </c>
      <c r="P205" s="24" t="s">
        <v>2530</v>
      </c>
      <c r="Q205" s="24" t="s">
        <v>2531</v>
      </c>
      <c r="R205" s="24" t="s">
        <v>2532</v>
      </c>
      <c r="S205" s="24" t="s">
        <v>2533</v>
      </c>
      <c r="T205" s="24" t="s">
        <v>2534</v>
      </c>
      <c r="U205" s="24" t="s">
        <v>2535</v>
      </c>
      <c r="V205" s="24" t="s">
        <v>2532</v>
      </c>
      <c r="W205" s="24" t="s">
        <v>2532</v>
      </c>
      <c r="X205" s="24"/>
      <c r="Y205" s="24"/>
      <c r="Z205" s="24"/>
      <c r="AA205" s="24"/>
      <c r="AB205" s="25" t="n">
        <v>10</v>
      </c>
      <c r="AC205" s="24" t="s">
        <v>2536</v>
      </c>
      <c r="AD205" s="24"/>
      <c r="AE205" s="24"/>
      <c r="AF205" s="24" t="s">
        <v>115</v>
      </c>
      <c r="AG205" s="24"/>
      <c r="AH205" s="24"/>
      <c r="AI205" s="25" t="n">
        <f aca="false">COUNTIF($B$2:$B$740,B205)</f>
        <v>1</v>
      </c>
    </row>
    <row r="206" customFormat="false" ht="76" hidden="false" customHeight="true" outlineLevel="0" collapsed="false">
      <c r="A206" s="21" t="n">
        <v>205</v>
      </c>
      <c r="B206" s="22" t="s">
        <v>2537</v>
      </c>
      <c r="C206" s="23" t="s">
        <v>9</v>
      </c>
      <c r="D206" s="23" t="s">
        <v>96</v>
      </c>
      <c r="E206" s="23" t="s">
        <v>97</v>
      </c>
      <c r="F206" s="24" t="s">
        <v>51</v>
      </c>
      <c r="G206" s="24" t="s">
        <v>2404</v>
      </c>
      <c r="H206" s="24" t="s">
        <v>2366</v>
      </c>
      <c r="I206" s="24" t="s">
        <v>2367</v>
      </c>
      <c r="J206" s="24" t="s">
        <v>2538</v>
      </c>
      <c r="K206" s="24" t="s">
        <v>2539</v>
      </c>
      <c r="L206" s="24" t="s">
        <v>119</v>
      </c>
      <c r="M206" s="24" t="s">
        <v>2444</v>
      </c>
      <c r="N206" s="24"/>
      <c r="O206" s="24" t="s">
        <v>2540</v>
      </c>
      <c r="P206" s="24" t="s">
        <v>2541</v>
      </c>
      <c r="Q206" s="24" t="s">
        <v>2542</v>
      </c>
      <c r="R206" s="24" t="s">
        <v>2543</v>
      </c>
      <c r="S206" s="24" t="s">
        <v>2544</v>
      </c>
      <c r="T206" s="24" t="s">
        <v>2545</v>
      </c>
      <c r="U206" s="24"/>
      <c r="V206" s="24" t="s">
        <v>2546</v>
      </c>
      <c r="W206" s="24"/>
      <c r="X206" s="24"/>
      <c r="Y206" s="24" t="s">
        <v>2540</v>
      </c>
      <c r="Z206" s="24"/>
      <c r="AA206" s="24"/>
      <c r="AB206" s="25" t="n">
        <v>10</v>
      </c>
      <c r="AC206" s="24" t="s">
        <v>2547</v>
      </c>
      <c r="AD206" s="24"/>
      <c r="AE206" s="24"/>
      <c r="AF206" s="24" t="s">
        <v>115</v>
      </c>
      <c r="AG206" s="24"/>
      <c r="AH206" s="24"/>
      <c r="AI206" s="25" t="n">
        <f aca="false">COUNTIF($B$2:$B$740,B206)</f>
        <v>1</v>
      </c>
    </row>
    <row r="207" customFormat="false" ht="76" hidden="false" customHeight="true" outlineLevel="0" collapsed="false">
      <c r="A207" s="21" t="n">
        <v>206</v>
      </c>
      <c r="B207" s="22" t="s">
        <v>2548</v>
      </c>
      <c r="C207" s="23" t="s">
        <v>9</v>
      </c>
      <c r="D207" s="23" t="s">
        <v>96</v>
      </c>
      <c r="E207" s="23" t="s">
        <v>97</v>
      </c>
      <c r="F207" s="24" t="s">
        <v>57</v>
      </c>
      <c r="G207" s="24" t="s">
        <v>57</v>
      </c>
      <c r="H207" s="24" t="s">
        <v>2366</v>
      </c>
      <c r="I207" s="24" t="s">
        <v>2549</v>
      </c>
      <c r="J207" s="24" t="s">
        <v>2550</v>
      </c>
      <c r="K207" s="24" t="s">
        <v>2381</v>
      </c>
      <c r="L207" s="24" t="s">
        <v>103</v>
      </c>
      <c r="M207" s="24" t="s">
        <v>2551</v>
      </c>
      <c r="N207" s="24" t="s">
        <v>1581</v>
      </c>
      <c r="O207" s="24" t="s">
        <v>2552</v>
      </c>
      <c r="P207" s="24" t="s">
        <v>2553</v>
      </c>
      <c r="Q207" s="24" t="s">
        <v>1758</v>
      </c>
      <c r="R207" s="24" t="s">
        <v>2554</v>
      </c>
      <c r="S207" s="24" t="s">
        <v>2555</v>
      </c>
      <c r="T207" s="24" t="s">
        <v>2556</v>
      </c>
      <c r="U207" s="24"/>
      <c r="V207" s="24" t="s">
        <v>2557</v>
      </c>
      <c r="W207" s="24" t="s">
        <v>2558</v>
      </c>
      <c r="X207" s="24"/>
      <c r="Y207" s="24"/>
      <c r="Z207" s="24"/>
      <c r="AA207" s="24"/>
      <c r="AB207" s="25" t="n">
        <v>10</v>
      </c>
      <c r="AC207" s="24" t="s">
        <v>2559</v>
      </c>
      <c r="AD207" s="24"/>
      <c r="AE207" s="24"/>
      <c r="AF207" s="24" t="s">
        <v>115</v>
      </c>
      <c r="AG207" s="24"/>
      <c r="AH207" s="24"/>
      <c r="AI207" s="25" t="n">
        <f aca="false">COUNTIF($B$2:$B$740,B207)</f>
        <v>1</v>
      </c>
    </row>
    <row r="208" customFormat="false" ht="76" hidden="false" customHeight="true" outlineLevel="0" collapsed="false">
      <c r="A208" s="21" t="n">
        <v>207</v>
      </c>
      <c r="B208" s="22" t="s">
        <v>2560</v>
      </c>
      <c r="C208" s="23" t="s">
        <v>9</v>
      </c>
      <c r="D208" s="23" t="s">
        <v>96</v>
      </c>
      <c r="E208" s="23" t="s">
        <v>97</v>
      </c>
      <c r="F208" s="24" t="s">
        <v>57</v>
      </c>
      <c r="G208" s="24" t="s">
        <v>57</v>
      </c>
      <c r="H208" s="24" t="s">
        <v>2366</v>
      </c>
      <c r="I208" s="24" t="s">
        <v>2549</v>
      </c>
      <c r="J208" s="24" t="s">
        <v>2561</v>
      </c>
      <c r="K208" s="24" t="s">
        <v>2393</v>
      </c>
      <c r="L208" s="24" t="s">
        <v>119</v>
      </c>
      <c r="M208" s="24" t="s">
        <v>2551</v>
      </c>
      <c r="N208" s="24" t="s">
        <v>2562</v>
      </c>
      <c r="O208" s="24" t="s">
        <v>2563</v>
      </c>
      <c r="P208" s="24" t="s">
        <v>2564</v>
      </c>
      <c r="Q208" s="24" t="s">
        <v>2565</v>
      </c>
      <c r="R208" s="24" t="s">
        <v>2566</v>
      </c>
      <c r="S208" s="24" t="s">
        <v>2567</v>
      </c>
      <c r="T208" s="24" t="s">
        <v>2568</v>
      </c>
      <c r="U208" s="24" t="s">
        <v>2569</v>
      </c>
      <c r="V208" s="24" t="s">
        <v>2564</v>
      </c>
      <c r="W208" s="24" t="s">
        <v>182</v>
      </c>
      <c r="X208" s="24"/>
      <c r="Y208" s="24" t="s">
        <v>183</v>
      </c>
      <c r="Z208" s="24"/>
      <c r="AA208" s="24"/>
      <c r="AB208" s="25" t="n">
        <v>10</v>
      </c>
      <c r="AC208" s="24" t="s">
        <v>2570</v>
      </c>
      <c r="AD208" s="24"/>
      <c r="AE208" s="24"/>
      <c r="AF208" s="24" t="s">
        <v>115</v>
      </c>
      <c r="AG208" s="24"/>
      <c r="AH208" s="24"/>
      <c r="AI208" s="25" t="n">
        <f aca="false">COUNTIF($B$2:$B$740,B208)</f>
        <v>1</v>
      </c>
    </row>
    <row r="209" customFormat="false" ht="76" hidden="false" customHeight="true" outlineLevel="0" collapsed="false">
      <c r="A209" s="21" t="n">
        <v>208</v>
      </c>
      <c r="B209" s="22" t="s">
        <v>2571</v>
      </c>
      <c r="C209" s="23" t="s">
        <v>9</v>
      </c>
      <c r="D209" s="23" t="s">
        <v>96</v>
      </c>
      <c r="E209" s="23" t="s">
        <v>97</v>
      </c>
      <c r="F209" s="24" t="s">
        <v>51</v>
      </c>
      <c r="G209" s="24" t="s">
        <v>2404</v>
      </c>
      <c r="H209" s="24" t="s">
        <v>2366</v>
      </c>
      <c r="I209" s="24" t="s">
        <v>2549</v>
      </c>
      <c r="J209" s="24" t="s">
        <v>2572</v>
      </c>
      <c r="K209" s="24" t="s">
        <v>2573</v>
      </c>
      <c r="L209" s="24" t="s">
        <v>119</v>
      </c>
      <c r="M209" s="24" t="s">
        <v>2551</v>
      </c>
      <c r="N209" s="24" t="s">
        <v>2574</v>
      </c>
      <c r="O209" s="24" t="s">
        <v>2575</v>
      </c>
      <c r="P209" s="24" t="s">
        <v>2576</v>
      </c>
      <c r="Q209" s="24" t="s">
        <v>2577</v>
      </c>
      <c r="R209" s="24" t="s">
        <v>2578</v>
      </c>
      <c r="S209" s="24" t="s">
        <v>2579</v>
      </c>
      <c r="T209" s="24" t="s">
        <v>2580</v>
      </c>
      <c r="U209" s="24" t="s">
        <v>2581</v>
      </c>
      <c r="V209" s="24"/>
      <c r="W209" s="24" t="s">
        <v>2582</v>
      </c>
      <c r="X209" s="24" t="s">
        <v>2581</v>
      </c>
      <c r="Y209" s="24"/>
      <c r="Z209" s="24"/>
      <c r="AA209" s="24"/>
      <c r="AB209" s="25" t="n">
        <v>10</v>
      </c>
      <c r="AC209" s="24" t="s">
        <v>2583</v>
      </c>
      <c r="AD209" s="24" t="s">
        <v>2584</v>
      </c>
      <c r="AE209" s="24"/>
      <c r="AF209" s="24" t="s">
        <v>115</v>
      </c>
      <c r="AG209" s="24"/>
      <c r="AH209" s="24"/>
      <c r="AI209" s="25" t="n">
        <f aca="false">COUNTIF($B$2:$B$740,B209)</f>
        <v>1</v>
      </c>
    </row>
    <row r="210" customFormat="false" ht="76" hidden="false" customHeight="true" outlineLevel="0" collapsed="false">
      <c r="A210" s="21" t="n">
        <v>209</v>
      </c>
      <c r="B210" s="22" t="s">
        <v>2585</v>
      </c>
      <c r="C210" s="23" t="s">
        <v>9</v>
      </c>
      <c r="D210" s="23" t="s">
        <v>96</v>
      </c>
      <c r="E210" s="23" t="s">
        <v>97</v>
      </c>
      <c r="F210" s="24" t="s">
        <v>51</v>
      </c>
      <c r="G210" s="24" t="s">
        <v>2404</v>
      </c>
      <c r="H210" s="24" t="s">
        <v>2366</v>
      </c>
      <c r="I210" s="24" t="s">
        <v>2549</v>
      </c>
      <c r="J210" s="24" t="s">
        <v>2586</v>
      </c>
      <c r="K210" s="24" t="s">
        <v>2497</v>
      </c>
      <c r="L210" s="24" t="s">
        <v>119</v>
      </c>
      <c r="M210" s="24" t="s">
        <v>2587</v>
      </c>
      <c r="N210" s="24"/>
      <c r="O210" s="24" t="s">
        <v>2588</v>
      </c>
      <c r="P210" s="24" t="s">
        <v>2499</v>
      </c>
      <c r="Q210" s="24" t="s">
        <v>1758</v>
      </c>
      <c r="R210" s="24" t="s">
        <v>2589</v>
      </c>
      <c r="S210" s="24" t="s">
        <v>2590</v>
      </c>
      <c r="T210" s="24" t="s">
        <v>2591</v>
      </c>
      <c r="U210" s="24"/>
      <c r="V210" s="24"/>
      <c r="W210" s="24" t="s">
        <v>2589</v>
      </c>
      <c r="X210" s="24"/>
      <c r="Y210" s="24"/>
      <c r="Z210" s="24"/>
      <c r="AA210" s="24"/>
      <c r="AB210" s="25" t="n">
        <v>10</v>
      </c>
      <c r="AC210" s="24" t="s">
        <v>2592</v>
      </c>
      <c r="AD210" s="24"/>
      <c r="AE210" s="24"/>
      <c r="AF210" s="24" t="s">
        <v>115</v>
      </c>
      <c r="AG210" s="24"/>
      <c r="AH210" s="24"/>
      <c r="AI210" s="25" t="n">
        <f aca="false">COUNTIF($B$2:$B$740,B210)</f>
        <v>1</v>
      </c>
    </row>
    <row r="211" customFormat="false" ht="76" hidden="false" customHeight="true" outlineLevel="0" collapsed="false">
      <c r="A211" s="21" t="n">
        <v>210</v>
      </c>
      <c r="B211" s="22" t="s">
        <v>2593</v>
      </c>
      <c r="C211" s="23" t="s">
        <v>9</v>
      </c>
      <c r="D211" s="23" t="s">
        <v>96</v>
      </c>
      <c r="E211" s="23" t="s">
        <v>97</v>
      </c>
      <c r="F211" s="24" t="s">
        <v>51</v>
      </c>
      <c r="G211" s="24" t="s">
        <v>2404</v>
      </c>
      <c r="H211" s="24" t="s">
        <v>2366</v>
      </c>
      <c r="I211" s="24" t="s">
        <v>2549</v>
      </c>
      <c r="J211" s="24" t="s">
        <v>2594</v>
      </c>
      <c r="K211" s="24" t="s">
        <v>2595</v>
      </c>
      <c r="L211" s="24" t="s">
        <v>119</v>
      </c>
      <c r="M211" s="24" t="s">
        <v>2551</v>
      </c>
      <c r="N211" s="24" t="s">
        <v>2596</v>
      </c>
      <c r="O211" s="24" t="s">
        <v>2476</v>
      </c>
      <c r="P211" s="24" t="s">
        <v>2597</v>
      </c>
      <c r="Q211" s="24" t="s">
        <v>2598</v>
      </c>
      <c r="R211" s="24" t="s">
        <v>2599</v>
      </c>
      <c r="S211" s="24" t="s">
        <v>2600</v>
      </c>
      <c r="T211" s="24" t="s">
        <v>2601</v>
      </c>
      <c r="U211" s="24" t="s">
        <v>2599</v>
      </c>
      <c r="V211" s="24" t="s">
        <v>2598</v>
      </c>
      <c r="W211" s="24" t="s">
        <v>2602</v>
      </c>
      <c r="X211" s="24" t="s">
        <v>2601</v>
      </c>
      <c r="Y211" s="24" t="s">
        <v>2599</v>
      </c>
      <c r="Z211" s="24"/>
      <c r="AA211" s="24"/>
      <c r="AB211" s="25" t="n">
        <v>10</v>
      </c>
      <c r="AC211" s="24" t="s">
        <v>2603</v>
      </c>
      <c r="AD211" s="24"/>
      <c r="AE211" s="24" t="s">
        <v>2604</v>
      </c>
      <c r="AF211" s="24" t="s">
        <v>115</v>
      </c>
      <c r="AG211" s="24"/>
      <c r="AH211" s="24"/>
      <c r="AI211" s="25" t="n">
        <f aca="false">COUNTIF($B$2:$B$740,B211)</f>
        <v>1</v>
      </c>
    </row>
    <row r="212" customFormat="false" ht="76" hidden="false" customHeight="true" outlineLevel="0" collapsed="false">
      <c r="A212" s="21" t="n">
        <v>211</v>
      </c>
      <c r="B212" s="22" t="s">
        <v>2605</v>
      </c>
      <c r="C212" s="23" t="s">
        <v>9</v>
      </c>
      <c r="D212" s="23" t="s">
        <v>96</v>
      </c>
      <c r="E212" s="23" t="s">
        <v>97</v>
      </c>
      <c r="F212" s="24" t="s">
        <v>50</v>
      </c>
      <c r="G212" s="24" t="s">
        <v>1407</v>
      </c>
      <c r="H212" s="24" t="s">
        <v>2366</v>
      </c>
      <c r="I212" s="24" t="s">
        <v>2549</v>
      </c>
      <c r="J212" s="24" t="s">
        <v>2606</v>
      </c>
      <c r="K212" s="24" t="s">
        <v>2607</v>
      </c>
      <c r="L212" s="24" t="s">
        <v>119</v>
      </c>
      <c r="M212" s="24" t="s">
        <v>2587</v>
      </c>
      <c r="N212" s="24"/>
      <c r="O212" s="24" t="s">
        <v>2608</v>
      </c>
      <c r="P212" s="24" t="s">
        <v>895</v>
      </c>
      <c r="Q212" s="24" t="s">
        <v>2609</v>
      </c>
      <c r="R212" s="24" t="s">
        <v>2610</v>
      </c>
      <c r="S212" s="24" t="s">
        <v>2611</v>
      </c>
      <c r="T212" s="24" t="s">
        <v>2612</v>
      </c>
      <c r="U212" s="24"/>
      <c r="V212" s="24"/>
      <c r="W212" s="24"/>
      <c r="X212" s="24"/>
      <c r="Y212" s="24"/>
      <c r="Z212" s="24"/>
      <c r="AA212" s="24"/>
      <c r="AB212" s="25" t="n">
        <v>10</v>
      </c>
      <c r="AC212" s="24" t="s">
        <v>2613</v>
      </c>
      <c r="AD212" s="24"/>
      <c r="AE212" s="24"/>
      <c r="AF212" s="24" t="s">
        <v>115</v>
      </c>
      <c r="AG212" s="24"/>
      <c r="AH212" s="24"/>
      <c r="AI212" s="25" t="n">
        <f aca="false">COUNTIF($B$2:$B$740,B212)</f>
        <v>1</v>
      </c>
    </row>
    <row r="213" customFormat="false" ht="76" hidden="false" customHeight="true" outlineLevel="0" collapsed="false">
      <c r="A213" s="21" t="n">
        <v>212</v>
      </c>
      <c r="B213" s="22" t="s">
        <v>2614</v>
      </c>
      <c r="C213" s="23" t="s">
        <v>9</v>
      </c>
      <c r="D213" s="23" t="s">
        <v>96</v>
      </c>
      <c r="E213" s="23" t="s">
        <v>97</v>
      </c>
      <c r="F213" s="24" t="s">
        <v>57</v>
      </c>
      <c r="G213" s="24" t="s">
        <v>57</v>
      </c>
      <c r="H213" s="24" t="s">
        <v>2366</v>
      </c>
      <c r="I213" s="24" t="s">
        <v>2615</v>
      </c>
      <c r="J213" s="24" t="s">
        <v>2616</v>
      </c>
      <c r="K213" s="24" t="s">
        <v>2381</v>
      </c>
      <c r="L213" s="24" t="s">
        <v>103</v>
      </c>
      <c r="M213" s="24" t="s">
        <v>2617</v>
      </c>
      <c r="N213" s="24" t="s">
        <v>1581</v>
      </c>
      <c r="O213" s="24" t="s">
        <v>2618</v>
      </c>
      <c r="P213" s="24" t="s">
        <v>2619</v>
      </c>
      <c r="Q213" s="24" t="s">
        <v>1758</v>
      </c>
      <c r="R213" s="24" t="s">
        <v>2620</v>
      </c>
      <c r="S213" s="24" t="s">
        <v>2621</v>
      </c>
      <c r="T213" s="24" t="s">
        <v>2622</v>
      </c>
      <c r="U213" s="24"/>
      <c r="V213" s="24" t="s">
        <v>2623</v>
      </c>
      <c r="W213" s="24" t="s">
        <v>2620</v>
      </c>
      <c r="X213" s="24"/>
      <c r="Y213" s="24"/>
      <c r="Z213" s="24"/>
      <c r="AA213" s="24"/>
      <c r="AB213" s="25" t="n">
        <v>10</v>
      </c>
      <c r="AC213" s="24" t="s">
        <v>2624</v>
      </c>
      <c r="AD213" s="24"/>
      <c r="AE213" s="24"/>
      <c r="AF213" s="24" t="s">
        <v>115</v>
      </c>
      <c r="AG213" s="24"/>
      <c r="AH213" s="24"/>
      <c r="AI213" s="25" t="n">
        <f aca="false">COUNTIF($B$2:$B$740,B213)</f>
        <v>1</v>
      </c>
    </row>
    <row r="214" customFormat="false" ht="76" hidden="false" customHeight="true" outlineLevel="0" collapsed="false">
      <c r="A214" s="21" t="n">
        <v>213</v>
      </c>
      <c r="B214" s="22" t="s">
        <v>2625</v>
      </c>
      <c r="C214" s="23" t="s">
        <v>9</v>
      </c>
      <c r="D214" s="23" t="s">
        <v>96</v>
      </c>
      <c r="E214" s="23" t="s">
        <v>97</v>
      </c>
      <c r="F214" s="24" t="s">
        <v>57</v>
      </c>
      <c r="G214" s="24" t="s">
        <v>57</v>
      </c>
      <c r="H214" s="24" t="s">
        <v>2366</v>
      </c>
      <c r="I214" s="24" t="s">
        <v>2615</v>
      </c>
      <c r="J214" s="24" t="s">
        <v>2626</v>
      </c>
      <c r="K214" s="24" t="s">
        <v>2393</v>
      </c>
      <c r="L214" s="24" t="s">
        <v>119</v>
      </c>
      <c r="M214" s="24" t="s">
        <v>2617</v>
      </c>
      <c r="N214" s="24" t="s">
        <v>2562</v>
      </c>
      <c r="O214" s="24" t="s">
        <v>2563</v>
      </c>
      <c r="P214" s="24" t="s">
        <v>2627</v>
      </c>
      <c r="Q214" s="24" t="s">
        <v>2565</v>
      </c>
      <c r="R214" s="24" t="s">
        <v>2628</v>
      </c>
      <c r="S214" s="24" t="s">
        <v>2629</v>
      </c>
      <c r="T214" s="24" t="s">
        <v>2630</v>
      </c>
      <c r="U214" s="24" t="s">
        <v>183</v>
      </c>
      <c r="V214" s="24" t="s">
        <v>2627</v>
      </c>
      <c r="W214" s="24" t="s">
        <v>182</v>
      </c>
      <c r="X214" s="24" t="s">
        <v>2631</v>
      </c>
      <c r="Y214" s="24" t="s">
        <v>183</v>
      </c>
      <c r="Z214" s="24"/>
      <c r="AA214" s="24"/>
      <c r="AB214" s="25" t="n">
        <v>10</v>
      </c>
      <c r="AC214" s="24" t="s">
        <v>2632</v>
      </c>
      <c r="AD214" s="24"/>
      <c r="AE214" s="24"/>
      <c r="AF214" s="24" t="s">
        <v>115</v>
      </c>
      <c r="AG214" s="24"/>
      <c r="AH214" s="24"/>
      <c r="AI214" s="25" t="n">
        <f aca="false">COUNTIF($B$2:$B$740,B214)</f>
        <v>1</v>
      </c>
    </row>
    <row r="215" customFormat="false" ht="76" hidden="false" customHeight="true" outlineLevel="0" collapsed="false">
      <c r="A215" s="21" t="n">
        <v>214</v>
      </c>
      <c r="B215" s="22" t="s">
        <v>2633</v>
      </c>
      <c r="C215" s="23" t="s">
        <v>9</v>
      </c>
      <c r="D215" s="23" t="s">
        <v>96</v>
      </c>
      <c r="E215" s="23" t="s">
        <v>97</v>
      </c>
      <c r="F215" s="24" t="s">
        <v>57</v>
      </c>
      <c r="G215" s="24" t="s">
        <v>57</v>
      </c>
      <c r="H215" s="24" t="s">
        <v>2366</v>
      </c>
      <c r="I215" s="24" t="s">
        <v>2615</v>
      </c>
      <c r="J215" s="24" t="s">
        <v>2634</v>
      </c>
      <c r="K215" s="24" t="s">
        <v>1371</v>
      </c>
      <c r="L215" s="24" t="s">
        <v>119</v>
      </c>
      <c r="M215" s="24" t="s">
        <v>2617</v>
      </c>
      <c r="N215" s="24" t="s">
        <v>2635</v>
      </c>
      <c r="O215" s="24" t="s">
        <v>2636</v>
      </c>
      <c r="P215" s="24" t="s">
        <v>2637</v>
      </c>
      <c r="Q215" s="24" t="s">
        <v>2638</v>
      </c>
      <c r="R215" s="24" t="s">
        <v>2639</v>
      </c>
      <c r="S215" s="24" t="s">
        <v>2640</v>
      </c>
      <c r="T215" s="24" t="s">
        <v>2641</v>
      </c>
      <c r="U215" s="24"/>
      <c r="V215" s="24"/>
      <c r="W215" s="24" t="s">
        <v>2638</v>
      </c>
      <c r="X215" s="24" t="s">
        <v>2641</v>
      </c>
      <c r="Y215" s="24"/>
      <c r="Z215" s="24"/>
      <c r="AA215" s="24"/>
      <c r="AB215" s="25" t="n">
        <v>10</v>
      </c>
      <c r="AC215" s="24" t="s">
        <v>2642</v>
      </c>
      <c r="AD215" s="24"/>
      <c r="AE215" s="24" t="s">
        <v>2643</v>
      </c>
      <c r="AF215" s="24" t="s">
        <v>115</v>
      </c>
      <c r="AG215" s="24"/>
      <c r="AH215" s="24"/>
      <c r="AI215" s="25" t="n">
        <f aca="false">COUNTIF($B$2:$B$740,B215)</f>
        <v>1</v>
      </c>
    </row>
    <row r="216" customFormat="false" ht="76" hidden="false" customHeight="true" outlineLevel="0" collapsed="false">
      <c r="A216" s="21" t="n">
        <v>215</v>
      </c>
      <c r="B216" s="22" t="s">
        <v>2644</v>
      </c>
      <c r="C216" s="23" t="s">
        <v>9</v>
      </c>
      <c r="D216" s="23" t="s">
        <v>96</v>
      </c>
      <c r="E216" s="23" t="s">
        <v>97</v>
      </c>
      <c r="F216" s="24" t="s">
        <v>57</v>
      </c>
      <c r="G216" s="24" t="s">
        <v>57</v>
      </c>
      <c r="H216" s="24" t="s">
        <v>2366</v>
      </c>
      <c r="I216" s="24" t="s">
        <v>2615</v>
      </c>
      <c r="J216" s="24" t="s">
        <v>2645</v>
      </c>
      <c r="K216" s="24" t="s">
        <v>2646</v>
      </c>
      <c r="L216" s="24" t="s">
        <v>119</v>
      </c>
      <c r="M216" s="24" t="s">
        <v>2617</v>
      </c>
      <c r="N216" s="24" t="s">
        <v>2647</v>
      </c>
      <c r="O216" s="24" t="s">
        <v>2648</v>
      </c>
      <c r="P216" s="24" t="s">
        <v>2649</v>
      </c>
      <c r="Q216" s="24" t="s">
        <v>2650</v>
      </c>
      <c r="R216" s="24" t="s">
        <v>2651</v>
      </c>
      <c r="S216" s="24" t="s">
        <v>2652</v>
      </c>
      <c r="T216" s="24" t="s">
        <v>2653</v>
      </c>
      <c r="U216" s="24" t="s">
        <v>183</v>
      </c>
      <c r="V216" s="24"/>
      <c r="W216" s="24" t="s">
        <v>2654</v>
      </c>
      <c r="X216" s="24"/>
      <c r="Y216" s="24" t="s">
        <v>183</v>
      </c>
      <c r="Z216" s="24" t="s">
        <v>2655</v>
      </c>
      <c r="AA216" s="24"/>
      <c r="AB216" s="25" t="n">
        <v>10</v>
      </c>
      <c r="AC216" s="24" t="s">
        <v>2642</v>
      </c>
      <c r="AD216" s="24"/>
      <c r="AE216" s="24" t="s">
        <v>2656</v>
      </c>
      <c r="AF216" s="24" t="s">
        <v>115</v>
      </c>
      <c r="AG216" s="24"/>
      <c r="AH216" s="24"/>
      <c r="AI216" s="25" t="n">
        <f aca="false">COUNTIF($B$2:$B$740,B216)</f>
        <v>1</v>
      </c>
    </row>
    <row r="217" customFormat="false" ht="76" hidden="false" customHeight="true" outlineLevel="0" collapsed="false">
      <c r="A217" s="21" t="n">
        <v>216</v>
      </c>
      <c r="B217" s="22" t="s">
        <v>2657</v>
      </c>
      <c r="C217" s="23" t="s">
        <v>9</v>
      </c>
      <c r="D217" s="23" t="s">
        <v>96</v>
      </c>
      <c r="E217" s="23" t="s">
        <v>97</v>
      </c>
      <c r="F217" s="24" t="s">
        <v>51</v>
      </c>
      <c r="G217" s="24" t="s">
        <v>2404</v>
      </c>
      <c r="H217" s="24" t="s">
        <v>2366</v>
      </c>
      <c r="I217" s="24" t="s">
        <v>2615</v>
      </c>
      <c r="J217" s="24" t="s">
        <v>2658</v>
      </c>
      <c r="K217" s="24" t="s">
        <v>2659</v>
      </c>
      <c r="L217" s="24" t="s">
        <v>119</v>
      </c>
      <c r="M217" s="24" t="s">
        <v>2617</v>
      </c>
      <c r="N217" s="24" t="s">
        <v>2660</v>
      </c>
      <c r="O217" s="24" t="s">
        <v>2476</v>
      </c>
      <c r="P217" s="24" t="s">
        <v>2661</v>
      </c>
      <c r="Q217" s="24" t="s">
        <v>2662</v>
      </c>
      <c r="R217" s="24" t="s">
        <v>2663</v>
      </c>
      <c r="S217" s="24" t="s">
        <v>2664</v>
      </c>
      <c r="T217" s="24" t="s">
        <v>2665</v>
      </c>
      <c r="U217" s="24" t="s">
        <v>2663</v>
      </c>
      <c r="V217" s="24" t="s">
        <v>2662</v>
      </c>
      <c r="W217" s="24" t="s">
        <v>2666</v>
      </c>
      <c r="X217" s="24"/>
      <c r="Y217" s="24" t="s">
        <v>2663</v>
      </c>
      <c r="Z217" s="24"/>
      <c r="AA217" s="24"/>
      <c r="AB217" s="25" t="n">
        <v>10</v>
      </c>
      <c r="AC217" s="24" t="s">
        <v>2667</v>
      </c>
      <c r="AD217" s="24"/>
      <c r="AE217" s="24"/>
      <c r="AF217" s="24" t="s">
        <v>115</v>
      </c>
      <c r="AG217" s="24"/>
      <c r="AH217" s="24"/>
      <c r="AI217" s="25" t="n">
        <f aca="false">COUNTIF($B$2:$B$740,B217)</f>
        <v>1</v>
      </c>
    </row>
    <row r="218" customFormat="false" ht="76" hidden="false" customHeight="true" outlineLevel="0" collapsed="false">
      <c r="A218" s="21" t="n">
        <v>217</v>
      </c>
      <c r="B218" s="22" t="s">
        <v>2668</v>
      </c>
      <c r="C218" s="23" t="s">
        <v>9</v>
      </c>
      <c r="D218" s="23" t="s">
        <v>96</v>
      </c>
      <c r="E218" s="23" t="s">
        <v>97</v>
      </c>
      <c r="F218" s="24" t="s">
        <v>50</v>
      </c>
      <c r="G218" s="24" t="s">
        <v>1407</v>
      </c>
      <c r="H218" s="24" t="s">
        <v>2366</v>
      </c>
      <c r="I218" s="24" t="s">
        <v>2615</v>
      </c>
      <c r="J218" s="24" t="s">
        <v>2669</v>
      </c>
      <c r="K218" s="24" t="s">
        <v>2670</v>
      </c>
      <c r="L218" s="24" t="s">
        <v>119</v>
      </c>
      <c r="M218" s="24" t="s">
        <v>2617</v>
      </c>
      <c r="N218" s="24" t="s">
        <v>2671</v>
      </c>
      <c r="O218" s="24" t="s">
        <v>2476</v>
      </c>
      <c r="P218" s="24" t="s">
        <v>2672</v>
      </c>
      <c r="Q218" s="24" t="s">
        <v>2673</v>
      </c>
      <c r="R218" s="24" t="s">
        <v>2674</v>
      </c>
      <c r="S218" s="24" t="s">
        <v>2675</v>
      </c>
      <c r="T218" s="24" t="s">
        <v>2676</v>
      </c>
      <c r="U218" s="24" t="s">
        <v>2674</v>
      </c>
      <c r="V218" s="24" t="s">
        <v>2677</v>
      </c>
      <c r="W218" s="24" t="s">
        <v>2678</v>
      </c>
      <c r="X218" s="24"/>
      <c r="Y218" s="24" t="s">
        <v>2674</v>
      </c>
      <c r="Z218" s="24"/>
      <c r="AA218" s="24"/>
      <c r="AB218" s="25" t="n">
        <v>10</v>
      </c>
      <c r="AC218" s="24" t="s">
        <v>2679</v>
      </c>
      <c r="AD218" s="24"/>
      <c r="AE218" s="24"/>
      <c r="AF218" s="24" t="s">
        <v>115</v>
      </c>
      <c r="AG218" s="24"/>
      <c r="AH218" s="24"/>
      <c r="AI218" s="25" t="n">
        <f aca="false">COUNTIF($B$2:$B$740,B218)</f>
        <v>1</v>
      </c>
    </row>
    <row r="219" customFormat="false" ht="76" hidden="false" customHeight="true" outlineLevel="0" collapsed="false">
      <c r="A219" s="21" t="n">
        <v>218</v>
      </c>
      <c r="B219" s="22" t="s">
        <v>2680</v>
      </c>
      <c r="C219" s="23" t="s">
        <v>9</v>
      </c>
      <c r="D219" s="23" t="s">
        <v>96</v>
      </c>
      <c r="E219" s="23" t="s">
        <v>97</v>
      </c>
      <c r="F219" s="24" t="s">
        <v>50</v>
      </c>
      <c r="G219" s="24" t="s">
        <v>1407</v>
      </c>
      <c r="H219" s="24" t="s">
        <v>2366</v>
      </c>
      <c r="I219" s="24" t="s">
        <v>2615</v>
      </c>
      <c r="J219" s="24" t="s">
        <v>2681</v>
      </c>
      <c r="K219" s="24" t="s">
        <v>2682</v>
      </c>
      <c r="L219" s="24" t="s">
        <v>119</v>
      </c>
      <c r="M219" s="24" t="s">
        <v>2617</v>
      </c>
      <c r="N219" s="24" t="s">
        <v>2671</v>
      </c>
      <c r="O219" s="24" t="s">
        <v>2476</v>
      </c>
      <c r="P219" s="24" t="s">
        <v>2672</v>
      </c>
      <c r="Q219" s="24" t="s">
        <v>2683</v>
      </c>
      <c r="R219" s="24" t="s">
        <v>2684</v>
      </c>
      <c r="S219" s="24" t="s">
        <v>2685</v>
      </c>
      <c r="T219" s="24" t="s">
        <v>2686</v>
      </c>
      <c r="U219" s="24" t="s">
        <v>2684</v>
      </c>
      <c r="V219" s="24" t="s">
        <v>2683</v>
      </c>
      <c r="W219" s="24" t="s">
        <v>2687</v>
      </c>
      <c r="X219" s="24"/>
      <c r="Y219" s="24" t="s">
        <v>2684</v>
      </c>
      <c r="Z219" s="24"/>
      <c r="AA219" s="24"/>
      <c r="AB219" s="25" t="n">
        <v>10</v>
      </c>
      <c r="AC219" s="24" t="s">
        <v>2688</v>
      </c>
      <c r="AD219" s="24"/>
      <c r="AE219" s="24"/>
      <c r="AF219" s="24" t="s">
        <v>115</v>
      </c>
      <c r="AG219" s="24"/>
      <c r="AH219" s="24"/>
      <c r="AI219" s="25" t="n">
        <f aca="false">COUNTIF($B$2:$B$740,B219)</f>
        <v>1</v>
      </c>
    </row>
    <row r="220" customFormat="false" ht="76" hidden="false" customHeight="true" outlineLevel="0" collapsed="false">
      <c r="A220" s="21" t="n">
        <v>219</v>
      </c>
      <c r="B220" s="22" t="s">
        <v>2689</v>
      </c>
      <c r="C220" s="23" t="s">
        <v>9</v>
      </c>
      <c r="D220" s="23" t="s">
        <v>96</v>
      </c>
      <c r="E220" s="23" t="s">
        <v>97</v>
      </c>
      <c r="F220" s="24" t="s">
        <v>50</v>
      </c>
      <c r="G220" s="24" t="s">
        <v>1407</v>
      </c>
      <c r="H220" s="24" t="s">
        <v>2366</v>
      </c>
      <c r="I220" s="24" t="s">
        <v>2615</v>
      </c>
      <c r="J220" s="24" t="s">
        <v>2690</v>
      </c>
      <c r="K220" s="24" t="s">
        <v>2691</v>
      </c>
      <c r="L220" s="24" t="s">
        <v>119</v>
      </c>
      <c r="M220" s="24" t="s">
        <v>2692</v>
      </c>
      <c r="N220" s="24"/>
      <c r="O220" s="24" t="s">
        <v>2693</v>
      </c>
      <c r="P220" s="24" t="s">
        <v>2499</v>
      </c>
      <c r="Q220" s="24" t="s">
        <v>2694</v>
      </c>
      <c r="R220" s="24" t="s">
        <v>2695</v>
      </c>
      <c r="S220" s="24" t="s">
        <v>2696</v>
      </c>
      <c r="T220" s="24" t="s">
        <v>2697</v>
      </c>
      <c r="U220" s="24" t="s">
        <v>183</v>
      </c>
      <c r="V220" s="24"/>
      <c r="W220" s="24"/>
      <c r="X220" s="24"/>
      <c r="Y220" s="24" t="s">
        <v>183</v>
      </c>
      <c r="Z220" s="24"/>
      <c r="AA220" s="24"/>
      <c r="AB220" s="25" t="n">
        <v>10</v>
      </c>
      <c r="AC220" s="24" t="s">
        <v>2698</v>
      </c>
      <c r="AD220" s="24"/>
      <c r="AE220" s="24" t="s">
        <v>2656</v>
      </c>
      <c r="AF220" s="24" t="s">
        <v>115</v>
      </c>
      <c r="AG220" s="24"/>
      <c r="AH220" s="24"/>
      <c r="AI220" s="25" t="n">
        <f aca="false">COUNTIF($B$2:$B$740,B220)</f>
        <v>1</v>
      </c>
    </row>
    <row r="221" customFormat="false" ht="76" hidden="false" customHeight="true" outlineLevel="0" collapsed="false">
      <c r="A221" s="21" t="n">
        <v>220</v>
      </c>
      <c r="B221" s="22" t="s">
        <v>2699</v>
      </c>
      <c r="C221" s="23" t="s">
        <v>9</v>
      </c>
      <c r="D221" s="23" t="s">
        <v>96</v>
      </c>
      <c r="E221" s="23" t="s">
        <v>97</v>
      </c>
      <c r="F221" s="24" t="s">
        <v>57</v>
      </c>
      <c r="G221" s="24" t="s">
        <v>57</v>
      </c>
      <c r="H221" s="24" t="s">
        <v>2366</v>
      </c>
      <c r="I221" s="24" t="s">
        <v>2615</v>
      </c>
      <c r="J221" s="24" t="s">
        <v>2700</v>
      </c>
      <c r="K221" s="24" t="s">
        <v>2701</v>
      </c>
      <c r="L221" s="24" t="s">
        <v>119</v>
      </c>
      <c r="M221" s="24" t="s">
        <v>2617</v>
      </c>
      <c r="N221" s="24" t="s">
        <v>2702</v>
      </c>
      <c r="O221" s="24" t="s">
        <v>2476</v>
      </c>
      <c r="P221" s="24" t="s">
        <v>2703</v>
      </c>
      <c r="Q221" s="24" t="s">
        <v>2704</v>
      </c>
      <c r="R221" s="24" t="s">
        <v>2705</v>
      </c>
      <c r="S221" s="24" t="s">
        <v>2706</v>
      </c>
      <c r="T221" s="24" t="s">
        <v>2707</v>
      </c>
      <c r="U221" s="24" t="s">
        <v>2708</v>
      </c>
      <c r="V221" s="24" t="s">
        <v>2704</v>
      </c>
      <c r="W221" s="24" t="s">
        <v>182</v>
      </c>
      <c r="X221" s="24"/>
      <c r="Y221" s="24" t="s">
        <v>2708</v>
      </c>
      <c r="Z221" s="24"/>
      <c r="AA221" s="24"/>
      <c r="AB221" s="25" t="n">
        <v>10</v>
      </c>
      <c r="AC221" s="24" t="s">
        <v>2709</v>
      </c>
      <c r="AD221" s="24"/>
      <c r="AE221" s="24" t="s">
        <v>2710</v>
      </c>
      <c r="AF221" s="24" t="s">
        <v>115</v>
      </c>
      <c r="AG221" s="24"/>
      <c r="AH221" s="24"/>
      <c r="AI221" s="25" t="n">
        <f aca="false">COUNTIF($B$2:$B$740,B221)</f>
        <v>1</v>
      </c>
    </row>
    <row r="222" customFormat="false" ht="76" hidden="false" customHeight="true" outlineLevel="0" collapsed="false">
      <c r="A222" s="21" t="n">
        <v>221</v>
      </c>
      <c r="B222" s="22" t="s">
        <v>2711</v>
      </c>
      <c r="C222" s="23" t="s">
        <v>9</v>
      </c>
      <c r="D222" s="23" t="s">
        <v>96</v>
      </c>
      <c r="E222" s="23" t="s">
        <v>97</v>
      </c>
      <c r="F222" s="24" t="s">
        <v>51</v>
      </c>
      <c r="G222" s="24" t="s">
        <v>2404</v>
      </c>
      <c r="H222" s="24" t="s">
        <v>2366</v>
      </c>
      <c r="I222" s="24" t="s">
        <v>2615</v>
      </c>
      <c r="J222" s="24" t="s">
        <v>2712</v>
      </c>
      <c r="K222" s="24" t="s">
        <v>2713</v>
      </c>
      <c r="L222" s="24" t="s">
        <v>119</v>
      </c>
      <c r="M222" s="24" t="s">
        <v>2692</v>
      </c>
      <c r="N222" s="24"/>
      <c r="O222" s="24" t="s">
        <v>2714</v>
      </c>
      <c r="P222" s="24" t="s">
        <v>1456</v>
      </c>
      <c r="Q222" s="24" t="s">
        <v>2715</v>
      </c>
      <c r="R222" s="24" t="s">
        <v>2716</v>
      </c>
      <c r="S222" s="24" t="s">
        <v>2717</v>
      </c>
      <c r="T222" s="24" t="s">
        <v>2718</v>
      </c>
      <c r="U222" s="24" t="s">
        <v>2716</v>
      </c>
      <c r="V222" s="24" t="s">
        <v>2716</v>
      </c>
      <c r="W222" s="24"/>
      <c r="X222" s="24" t="s">
        <v>2716</v>
      </c>
      <c r="Y222" s="24" t="s">
        <v>2716</v>
      </c>
      <c r="Z222" s="24"/>
      <c r="AA222" s="24"/>
      <c r="AB222" s="25" t="n">
        <v>10</v>
      </c>
      <c r="AC222" s="24" t="s">
        <v>2709</v>
      </c>
      <c r="AD222" s="24"/>
      <c r="AE222" s="24"/>
      <c r="AF222" s="24" t="s">
        <v>115</v>
      </c>
      <c r="AG222" s="24"/>
      <c r="AH222" s="24"/>
      <c r="AI222" s="25" t="n">
        <f aca="false">COUNTIF($B$2:$B$740,B222)</f>
        <v>1</v>
      </c>
    </row>
    <row r="223" customFormat="false" ht="76" hidden="false" customHeight="true" outlineLevel="0" collapsed="false">
      <c r="A223" s="21" t="n">
        <v>222</v>
      </c>
      <c r="B223" s="22" t="s">
        <v>2719</v>
      </c>
      <c r="C223" s="23" t="s">
        <v>9</v>
      </c>
      <c r="D223" s="23" t="s">
        <v>96</v>
      </c>
      <c r="E223" s="23" t="s">
        <v>97</v>
      </c>
      <c r="F223" s="24" t="s">
        <v>51</v>
      </c>
      <c r="G223" s="24" t="s">
        <v>2404</v>
      </c>
      <c r="H223" s="24" t="s">
        <v>2366</v>
      </c>
      <c r="I223" s="24" t="s">
        <v>2615</v>
      </c>
      <c r="J223" s="24" t="s">
        <v>2720</v>
      </c>
      <c r="K223" s="24" t="s">
        <v>2721</v>
      </c>
      <c r="L223" s="24" t="s">
        <v>119</v>
      </c>
      <c r="M223" s="24" t="s">
        <v>2692</v>
      </c>
      <c r="N223" s="24"/>
      <c r="O223" s="24" t="s">
        <v>2722</v>
      </c>
      <c r="P223" s="24" t="s">
        <v>2723</v>
      </c>
      <c r="Q223" s="24" t="s">
        <v>2724</v>
      </c>
      <c r="R223" s="24" t="s">
        <v>2725</v>
      </c>
      <c r="S223" s="24" t="s">
        <v>2726</v>
      </c>
      <c r="T223" s="24" t="s">
        <v>2727</v>
      </c>
      <c r="U223" s="24" t="s">
        <v>2728</v>
      </c>
      <c r="V223" s="24"/>
      <c r="W223" s="24" t="s">
        <v>2728</v>
      </c>
      <c r="X223" s="24" t="s">
        <v>2727</v>
      </c>
      <c r="Y223" s="24" t="s">
        <v>2728</v>
      </c>
      <c r="Z223" s="24"/>
      <c r="AA223" s="24"/>
      <c r="AB223" s="25" t="n">
        <v>10</v>
      </c>
      <c r="AC223" s="24" t="s">
        <v>2729</v>
      </c>
      <c r="AD223" s="24"/>
      <c r="AE223" s="24"/>
      <c r="AF223" s="24" t="s">
        <v>115</v>
      </c>
      <c r="AG223" s="24"/>
      <c r="AH223" s="24"/>
      <c r="AI223" s="25" t="n">
        <f aca="false">COUNTIF($B$2:$B$740,B223)</f>
        <v>1</v>
      </c>
    </row>
    <row r="224" customFormat="false" ht="76" hidden="false" customHeight="true" outlineLevel="0" collapsed="false">
      <c r="A224" s="21" t="n">
        <v>223</v>
      </c>
      <c r="B224" s="22" t="s">
        <v>2730</v>
      </c>
      <c r="C224" s="23" t="s">
        <v>9</v>
      </c>
      <c r="D224" s="23" t="s">
        <v>96</v>
      </c>
      <c r="E224" s="23" t="s">
        <v>97</v>
      </c>
      <c r="F224" s="24" t="s">
        <v>50</v>
      </c>
      <c r="G224" s="24" t="s">
        <v>1407</v>
      </c>
      <c r="H224" s="24" t="s">
        <v>2366</v>
      </c>
      <c r="I224" s="24" t="s">
        <v>2615</v>
      </c>
      <c r="J224" s="24" t="s">
        <v>2731</v>
      </c>
      <c r="K224" s="24" t="s">
        <v>2732</v>
      </c>
      <c r="L224" s="24" t="s">
        <v>119</v>
      </c>
      <c r="M224" s="24" t="s">
        <v>2617</v>
      </c>
      <c r="N224" s="24" t="s">
        <v>2733</v>
      </c>
      <c r="O224" s="24" t="s">
        <v>2734</v>
      </c>
      <c r="P224" s="24" t="s">
        <v>2735</v>
      </c>
      <c r="Q224" s="24" t="s">
        <v>2736</v>
      </c>
      <c r="R224" s="24" t="s">
        <v>2737</v>
      </c>
      <c r="S224" s="24" t="s">
        <v>2738</v>
      </c>
      <c r="T224" s="24" t="s">
        <v>2739</v>
      </c>
      <c r="U224" s="24" t="s">
        <v>2740</v>
      </c>
      <c r="V224" s="24"/>
      <c r="W224" s="24" t="s">
        <v>2740</v>
      </c>
      <c r="X224" s="24"/>
      <c r="Y224" s="24"/>
      <c r="Z224" s="24"/>
      <c r="AA224" s="24"/>
      <c r="AB224" s="25" t="n">
        <v>10</v>
      </c>
      <c r="AC224" s="24" t="s">
        <v>2741</v>
      </c>
      <c r="AD224" s="24"/>
      <c r="AE224" s="24" t="s">
        <v>2742</v>
      </c>
      <c r="AF224" s="24" t="s">
        <v>115</v>
      </c>
      <c r="AG224" s="24"/>
      <c r="AH224" s="24"/>
      <c r="AI224" s="25" t="n">
        <f aca="false">COUNTIF($B$2:$B$740,B224)</f>
        <v>1</v>
      </c>
    </row>
    <row r="225" customFormat="false" ht="76" hidden="false" customHeight="true" outlineLevel="0" collapsed="false">
      <c r="A225" s="21" t="n">
        <v>224</v>
      </c>
      <c r="B225" s="22" t="s">
        <v>2742</v>
      </c>
      <c r="C225" s="23" t="s">
        <v>9</v>
      </c>
      <c r="D225" s="23" t="s">
        <v>96</v>
      </c>
      <c r="E225" s="23" t="s">
        <v>97</v>
      </c>
      <c r="F225" s="24" t="s">
        <v>50</v>
      </c>
      <c r="G225" s="24" t="s">
        <v>1407</v>
      </c>
      <c r="H225" s="24" t="s">
        <v>2366</v>
      </c>
      <c r="I225" s="24" t="s">
        <v>2615</v>
      </c>
      <c r="J225" s="24" t="s">
        <v>2743</v>
      </c>
      <c r="K225" s="24" t="s">
        <v>2744</v>
      </c>
      <c r="L225" s="24" t="s">
        <v>119</v>
      </c>
      <c r="M225" s="24" t="s">
        <v>2617</v>
      </c>
      <c r="N225" s="24" t="s">
        <v>2745</v>
      </c>
      <c r="O225" s="24" t="s">
        <v>2746</v>
      </c>
      <c r="P225" s="24" t="s">
        <v>2747</v>
      </c>
      <c r="Q225" s="24" t="s">
        <v>2748</v>
      </c>
      <c r="R225" s="24" t="s">
        <v>2749</v>
      </c>
      <c r="S225" s="24" t="s">
        <v>2750</v>
      </c>
      <c r="T225" s="24" t="s">
        <v>2751</v>
      </c>
      <c r="U225" s="24"/>
      <c r="V225" s="24"/>
      <c r="W225" s="24"/>
      <c r="X225" s="24"/>
      <c r="Y225" s="24"/>
      <c r="Z225" s="24"/>
      <c r="AA225" s="24"/>
      <c r="AB225" s="25" t="n">
        <v>10</v>
      </c>
      <c r="AC225" s="24" t="s">
        <v>2741</v>
      </c>
      <c r="AD225" s="24"/>
      <c r="AE225" s="24" t="s">
        <v>2644</v>
      </c>
      <c r="AF225" s="24" t="s">
        <v>115</v>
      </c>
      <c r="AG225" s="24"/>
      <c r="AH225" s="24"/>
      <c r="AI225" s="25" t="n">
        <f aca="false">COUNTIF($B$2:$B$740,B225)</f>
        <v>1</v>
      </c>
    </row>
    <row r="226" customFormat="false" ht="76" hidden="false" customHeight="true" outlineLevel="0" collapsed="false">
      <c r="A226" s="21" t="n">
        <v>225</v>
      </c>
      <c r="B226" s="22" t="s">
        <v>2752</v>
      </c>
      <c r="C226" s="23" t="s">
        <v>12</v>
      </c>
      <c r="D226" s="23" t="s">
        <v>209</v>
      </c>
      <c r="E226" s="23" t="s">
        <v>97</v>
      </c>
      <c r="F226" s="24" t="s">
        <v>59</v>
      </c>
      <c r="G226" s="24" t="s">
        <v>98</v>
      </c>
      <c r="H226" s="24" t="s">
        <v>2366</v>
      </c>
      <c r="I226" s="24" t="s">
        <v>2615</v>
      </c>
      <c r="J226" s="24" t="s">
        <v>2753</v>
      </c>
      <c r="K226" s="24" t="s">
        <v>2754</v>
      </c>
      <c r="L226" s="24" t="s">
        <v>119</v>
      </c>
      <c r="M226" s="24" t="s">
        <v>2617</v>
      </c>
      <c r="N226" s="24" t="s">
        <v>2702</v>
      </c>
      <c r="O226" s="24" t="s">
        <v>2476</v>
      </c>
      <c r="P226" s="24" t="s">
        <v>2755</v>
      </c>
      <c r="Q226" s="24" t="s">
        <v>2756</v>
      </c>
      <c r="R226" s="24" t="s">
        <v>2757</v>
      </c>
      <c r="S226" s="24" t="s">
        <v>2758</v>
      </c>
      <c r="T226" s="24" t="s">
        <v>2759</v>
      </c>
      <c r="U226" s="24" t="s">
        <v>183</v>
      </c>
      <c r="V226" s="24" t="s">
        <v>2760</v>
      </c>
      <c r="W226" s="24" t="s">
        <v>2760</v>
      </c>
      <c r="X226" s="24"/>
      <c r="Y226" s="24" t="s">
        <v>183</v>
      </c>
      <c r="Z226" s="24"/>
      <c r="AA226" s="24"/>
      <c r="AB226" s="25" t="n">
        <v>10</v>
      </c>
      <c r="AC226" s="24" t="s">
        <v>2761</v>
      </c>
      <c r="AD226" s="24" t="s">
        <v>2762</v>
      </c>
      <c r="AE226" s="24" t="s">
        <v>2763</v>
      </c>
      <c r="AF226" s="24" t="s">
        <v>115</v>
      </c>
      <c r="AG226" s="24"/>
      <c r="AH226" s="24"/>
      <c r="AI226" s="25" t="n">
        <f aca="false">COUNTIF($B$2:$B$740,B226)</f>
        <v>1</v>
      </c>
    </row>
    <row r="227" customFormat="false" ht="76" hidden="false" customHeight="true" outlineLevel="0" collapsed="false">
      <c r="A227" s="21" t="n">
        <v>226</v>
      </c>
      <c r="B227" s="22" t="s">
        <v>2764</v>
      </c>
      <c r="C227" s="23" t="s">
        <v>9</v>
      </c>
      <c r="D227" s="23" t="s">
        <v>96</v>
      </c>
      <c r="E227" s="23" t="s">
        <v>97</v>
      </c>
      <c r="F227" s="24" t="s">
        <v>50</v>
      </c>
      <c r="G227" s="24" t="s">
        <v>1407</v>
      </c>
      <c r="H227" s="24" t="s">
        <v>2366</v>
      </c>
      <c r="I227" s="24" t="s">
        <v>2615</v>
      </c>
      <c r="J227" s="24" t="s">
        <v>2765</v>
      </c>
      <c r="K227" s="24" t="s">
        <v>2766</v>
      </c>
      <c r="L227" s="24" t="s">
        <v>119</v>
      </c>
      <c r="M227" s="24" t="s">
        <v>2692</v>
      </c>
      <c r="N227" s="24"/>
      <c r="O227" s="24" t="s">
        <v>2767</v>
      </c>
      <c r="P227" s="24" t="s">
        <v>2768</v>
      </c>
      <c r="Q227" s="24" t="s">
        <v>2769</v>
      </c>
      <c r="R227" s="24" t="s">
        <v>2770</v>
      </c>
      <c r="S227" s="24" t="s">
        <v>2771</v>
      </c>
      <c r="T227" s="24" t="s">
        <v>2772</v>
      </c>
      <c r="U227" s="24"/>
      <c r="V227" s="24"/>
      <c r="W227" s="24"/>
      <c r="X227" s="24"/>
      <c r="Y227" s="24" t="s">
        <v>2772</v>
      </c>
      <c r="Z227" s="24"/>
      <c r="AA227" s="24"/>
      <c r="AB227" s="25" t="n">
        <v>10</v>
      </c>
      <c r="AC227" s="24" t="s">
        <v>2773</v>
      </c>
      <c r="AD227" s="24"/>
      <c r="AE227" s="24"/>
      <c r="AF227" s="24" t="s">
        <v>115</v>
      </c>
      <c r="AG227" s="24"/>
      <c r="AH227" s="24"/>
      <c r="AI227" s="25" t="n">
        <f aca="false">COUNTIF($B$2:$B$740,B227)</f>
        <v>1</v>
      </c>
    </row>
    <row r="228" customFormat="false" ht="76" hidden="false" customHeight="true" outlineLevel="0" collapsed="false">
      <c r="A228" s="21" t="n">
        <v>227</v>
      </c>
      <c r="B228" s="22" t="s">
        <v>2774</v>
      </c>
      <c r="C228" s="23" t="s">
        <v>12</v>
      </c>
      <c r="D228" s="23" t="s">
        <v>209</v>
      </c>
      <c r="E228" s="23" t="s">
        <v>97</v>
      </c>
      <c r="F228" s="24" t="s">
        <v>50</v>
      </c>
      <c r="G228" s="24" t="s">
        <v>1407</v>
      </c>
      <c r="H228" s="24" t="s">
        <v>2366</v>
      </c>
      <c r="I228" s="24" t="s">
        <v>2615</v>
      </c>
      <c r="J228" s="24" t="s">
        <v>2775</v>
      </c>
      <c r="K228" s="24" t="s">
        <v>2776</v>
      </c>
      <c r="L228" s="24" t="s">
        <v>119</v>
      </c>
      <c r="M228" s="24" t="s">
        <v>2777</v>
      </c>
      <c r="N228" s="24" t="s">
        <v>2778</v>
      </c>
      <c r="O228" s="24" t="s">
        <v>2779</v>
      </c>
      <c r="P228" s="24" t="s">
        <v>2780</v>
      </c>
      <c r="Q228" s="24" t="s">
        <v>2781</v>
      </c>
      <c r="R228" s="24" t="s">
        <v>2782</v>
      </c>
      <c r="S228" s="24" t="s">
        <v>2783</v>
      </c>
      <c r="T228" s="24" t="s">
        <v>2784</v>
      </c>
      <c r="U228" s="24" t="s">
        <v>183</v>
      </c>
      <c r="V228" s="24"/>
      <c r="W228" s="24" t="s">
        <v>2785</v>
      </c>
      <c r="X228" s="24" t="s">
        <v>2783</v>
      </c>
      <c r="Y228" s="24" t="s">
        <v>183</v>
      </c>
      <c r="Z228" s="24"/>
      <c r="AA228" s="24"/>
      <c r="AB228" s="25" t="n">
        <v>10</v>
      </c>
      <c r="AC228" s="24" t="s">
        <v>2786</v>
      </c>
      <c r="AD228" s="24" t="s">
        <v>2787</v>
      </c>
      <c r="AE228" s="24"/>
      <c r="AF228" s="24" t="s">
        <v>115</v>
      </c>
      <c r="AG228" s="24"/>
      <c r="AH228" s="24"/>
      <c r="AI228" s="25" t="n">
        <f aca="false">COUNTIF($B$2:$B$740,B228)</f>
        <v>1</v>
      </c>
    </row>
    <row r="229" customFormat="false" ht="76" hidden="false" customHeight="true" outlineLevel="0" collapsed="false">
      <c r="A229" s="21" t="n">
        <v>228</v>
      </c>
      <c r="B229" s="22" t="s">
        <v>2788</v>
      </c>
      <c r="C229" s="23" t="s">
        <v>9</v>
      </c>
      <c r="D229" s="23" t="s">
        <v>96</v>
      </c>
      <c r="E229" s="23" t="s">
        <v>97</v>
      </c>
      <c r="F229" s="24" t="s">
        <v>50</v>
      </c>
      <c r="G229" s="24" t="s">
        <v>1407</v>
      </c>
      <c r="H229" s="24" t="s">
        <v>2366</v>
      </c>
      <c r="I229" s="24" t="s">
        <v>2615</v>
      </c>
      <c r="J229" s="24" t="s">
        <v>2789</v>
      </c>
      <c r="K229" s="24" t="s">
        <v>2790</v>
      </c>
      <c r="L229" s="24" t="s">
        <v>119</v>
      </c>
      <c r="M229" s="24" t="s">
        <v>2692</v>
      </c>
      <c r="N229" s="24"/>
      <c r="O229" s="24" t="s">
        <v>2791</v>
      </c>
      <c r="P229" s="24" t="s">
        <v>1456</v>
      </c>
      <c r="Q229" s="24" t="s">
        <v>2792</v>
      </c>
      <c r="R229" s="24" t="s">
        <v>2793</v>
      </c>
      <c r="S229" s="24" t="s">
        <v>2794</v>
      </c>
      <c r="T229" s="24" t="s">
        <v>2795</v>
      </c>
      <c r="U229" s="24"/>
      <c r="V229" s="24"/>
      <c r="W229" s="24" t="s">
        <v>2796</v>
      </c>
      <c r="X229" s="24"/>
      <c r="Y229" s="24"/>
      <c r="Z229" s="24"/>
      <c r="AA229" s="24"/>
      <c r="AB229" s="25" t="n">
        <v>10</v>
      </c>
      <c r="AC229" s="24" t="s">
        <v>2797</v>
      </c>
      <c r="AD229" s="24"/>
      <c r="AE229" s="24"/>
      <c r="AF229" s="24" t="s">
        <v>115</v>
      </c>
      <c r="AG229" s="24"/>
      <c r="AH229" s="24"/>
      <c r="AI229" s="25" t="n">
        <f aca="false">COUNTIF($B$2:$B$740,B229)</f>
        <v>1</v>
      </c>
    </row>
    <row r="230" customFormat="false" ht="76" hidden="false" customHeight="true" outlineLevel="0" collapsed="false">
      <c r="A230" s="21" t="n">
        <v>229</v>
      </c>
      <c r="B230" s="22" t="s">
        <v>2798</v>
      </c>
      <c r="C230" s="23" t="s">
        <v>9</v>
      </c>
      <c r="D230" s="23" t="s">
        <v>96</v>
      </c>
      <c r="E230" s="23" t="s">
        <v>97</v>
      </c>
      <c r="F230" s="24" t="s">
        <v>51</v>
      </c>
      <c r="G230" s="24" t="s">
        <v>2404</v>
      </c>
      <c r="H230" s="24" t="s">
        <v>2366</v>
      </c>
      <c r="I230" s="24" t="s">
        <v>2799</v>
      </c>
      <c r="J230" s="24" t="s">
        <v>2800</v>
      </c>
      <c r="K230" s="24" t="s">
        <v>2801</v>
      </c>
      <c r="L230" s="24" t="s">
        <v>531</v>
      </c>
      <c r="M230" s="24" t="s">
        <v>2802</v>
      </c>
      <c r="N230" s="24"/>
      <c r="O230" s="24" t="s">
        <v>2803</v>
      </c>
      <c r="P230" s="24" t="s">
        <v>832</v>
      </c>
      <c r="Q230" s="24" t="s">
        <v>2804</v>
      </c>
      <c r="R230" s="24" t="s">
        <v>2805</v>
      </c>
      <c r="S230" s="24" t="s">
        <v>2806</v>
      </c>
      <c r="T230" s="24" t="s">
        <v>2807</v>
      </c>
      <c r="U230" s="24" t="s">
        <v>183</v>
      </c>
      <c r="V230" s="24"/>
      <c r="W230" s="24" t="s">
        <v>182</v>
      </c>
      <c r="X230" s="24"/>
      <c r="Y230" s="24" t="s">
        <v>183</v>
      </c>
      <c r="Z230" s="24"/>
      <c r="AA230" s="24"/>
      <c r="AB230" s="25" t="n">
        <v>10</v>
      </c>
      <c r="AC230" s="24" t="s">
        <v>2808</v>
      </c>
      <c r="AD230" s="24"/>
      <c r="AE230" s="24" t="s">
        <v>2809</v>
      </c>
      <c r="AF230" s="24" t="s">
        <v>115</v>
      </c>
      <c r="AG230" s="24"/>
      <c r="AH230" s="24"/>
      <c r="AI230" s="25" t="n">
        <f aca="false">COUNTIF($B$2:$B$740,B230)</f>
        <v>1</v>
      </c>
    </row>
    <row r="231" customFormat="false" ht="76" hidden="false" customHeight="true" outlineLevel="0" collapsed="false">
      <c r="A231" s="21" t="n">
        <v>230</v>
      </c>
      <c r="B231" s="22" t="s">
        <v>2810</v>
      </c>
      <c r="C231" s="23" t="s">
        <v>9</v>
      </c>
      <c r="D231" s="23" t="s">
        <v>96</v>
      </c>
      <c r="E231" s="23" t="s">
        <v>97</v>
      </c>
      <c r="F231" s="24" t="s">
        <v>51</v>
      </c>
      <c r="G231" s="24" t="s">
        <v>2404</v>
      </c>
      <c r="H231" s="24" t="s">
        <v>2366</v>
      </c>
      <c r="I231" s="24" t="s">
        <v>2799</v>
      </c>
      <c r="J231" s="24" t="s">
        <v>2811</v>
      </c>
      <c r="K231" s="24" t="s">
        <v>2801</v>
      </c>
      <c r="L231" s="24" t="s">
        <v>119</v>
      </c>
      <c r="M231" s="24" t="s">
        <v>2812</v>
      </c>
      <c r="N231" s="24"/>
      <c r="O231" s="24" t="s">
        <v>2813</v>
      </c>
      <c r="P231" s="24" t="s">
        <v>2814</v>
      </c>
      <c r="Q231" s="24" t="s">
        <v>2815</v>
      </c>
      <c r="R231" s="24" t="s">
        <v>2816</v>
      </c>
      <c r="S231" s="24" t="s">
        <v>2817</v>
      </c>
      <c r="T231" s="24" t="s">
        <v>2818</v>
      </c>
      <c r="U231" s="24"/>
      <c r="V231" s="24"/>
      <c r="W231" s="24"/>
      <c r="X231" s="24"/>
      <c r="Y231" s="24"/>
      <c r="Z231" s="24"/>
      <c r="AA231" s="24"/>
      <c r="AB231" s="25" t="n">
        <v>10</v>
      </c>
      <c r="AC231" s="24" t="s">
        <v>2808</v>
      </c>
      <c r="AD231" s="24"/>
      <c r="AE231" s="24"/>
      <c r="AF231" s="24" t="s">
        <v>115</v>
      </c>
      <c r="AG231" s="24"/>
      <c r="AH231" s="24"/>
      <c r="AI231" s="25" t="n">
        <f aca="false">COUNTIF($B$2:$B$740,B231)</f>
        <v>1</v>
      </c>
    </row>
    <row r="232" customFormat="false" ht="76" hidden="false" customHeight="true" outlineLevel="0" collapsed="false">
      <c r="A232" s="21" t="n">
        <v>231</v>
      </c>
      <c r="B232" s="22" t="s">
        <v>2819</v>
      </c>
      <c r="C232" s="23" t="s">
        <v>9</v>
      </c>
      <c r="D232" s="23" t="s">
        <v>96</v>
      </c>
      <c r="E232" s="23" t="s">
        <v>97</v>
      </c>
      <c r="F232" s="24" t="s">
        <v>51</v>
      </c>
      <c r="G232" s="24" t="s">
        <v>2404</v>
      </c>
      <c r="H232" s="24" t="s">
        <v>2366</v>
      </c>
      <c r="I232" s="24" t="s">
        <v>2799</v>
      </c>
      <c r="J232" s="24" t="s">
        <v>2820</v>
      </c>
      <c r="K232" s="24" t="s">
        <v>2801</v>
      </c>
      <c r="L232" s="24" t="s">
        <v>119</v>
      </c>
      <c r="M232" s="24" t="s">
        <v>2812</v>
      </c>
      <c r="N232" s="24"/>
      <c r="O232" s="24" t="s">
        <v>2821</v>
      </c>
      <c r="P232" s="24" t="s">
        <v>2814</v>
      </c>
      <c r="Q232" s="24" t="s">
        <v>2815</v>
      </c>
      <c r="R232" s="24" t="s">
        <v>2822</v>
      </c>
      <c r="S232" s="24" t="s">
        <v>2817</v>
      </c>
      <c r="T232" s="24" t="s">
        <v>2818</v>
      </c>
      <c r="U232" s="24"/>
      <c r="V232" s="24"/>
      <c r="W232" s="24"/>
      <c r="X232" s="24"/>
      <c r="Y232" s="24"/>
      <c r="Z232" s="24"/>
      <c r="AA232" s="24"/>
      <c r="AB232" s="25" t="n">
        <v>10</v>
      </c>
      <c r="AC232" s="24" t="s">
        <v>2808</v>
      </c>
      <c r="AD232" s="24"/>
      <c r="AE232" s="24"/>
      <c r="AF232" s="24" t="s">
        <v>115</v>
      </c>
      <c r="AG232" s="24"/>
      <c r="AH232" s="24"/>
      <c r="AI232" s="25" t="n">
        <f aca="false">COUNTIF($B$2:$B$740,B232)</f>
        <v>1</v>
      </c>
    </row>
    <row r="233" customFormat="false" ht="76" hidden="false" customHeight="true" outlineLevel="0" collapsed="false">
      <c r="A233" s="21" t="n">
        <v>232</v>
      </c>
      <c r="B233" s="22" t="s">
        <v>2823</v>
      </c>
      <c r="C233" s="23" t="s">
        <v>9</v>
      </c>
      <c r="D233" s="23" t="s">
        <v>96</v>
      </c>
      <c r="E233" s="23" t="s">
        <v>97</v>
      </c>
      <c r="F233" s="24" t="s">
        <v>51</v>
      </c>
      <c r="G233" s="24" t="s">
        <v>2404</v>
      </c>
      <c r="H233" s="24" t="s">
        <v>2366</v>
      </c>
      <c r="I233" s="24" t="s">
        <v>2799</v>
      </c>
      <c r="J233" s="24" t="s">
        <v>2824</v>
      </c>
      <c r="K233" s="24" t="s">
        <v>2801</v>
      </c>
      <c r="L233" s="24" t="s">
        <v>119</v>
      </c>
      <c r="M233" s="24" t="s">
        <v>2812</v>
      </c>
      <c r="N233" s="24"/>
      <c r="O233" s="24" t="s">
        <v>2825</v>
      </c>
      <c r="P233" s="24" t="s">
        <v>2826</v>
      </c>
      <c r="Q233" s="24" t="s">
        <v>2827</v>
      </c>
      <c r="R233" s="24" t="s">
        <v>2828</v>
      </c>
      <c r="S233" s="24" t="s">
        <v>2829</v>
      </c>
      <c r="T233" s="24" t="s">
        <v>2818</v>
      </c>
      <c r="U233" s="24"/>
      <c r="V233" s="24"/>
      <c r="W233" s="24"/>
      <c r="X233" s="24"/>
      <c r="Y233" s="24"/>
      <c r="Z233" s="24"/>
      <c r="AA233" s="24"/>
      <c r="AB233" s="25" t="n">
        <v>10</v>
      </c>
      <c r="AC233" s="24" t="s">
        <v>2808</v>
      </c>
      <c r="AD233" s="24"/>
      <c r="AE233" s="24"/>
      <c r="AF233" s="24" t="s">
        <v>115</v>
      </c>
      <c r="AG233" s="24"/>
      <c r="AH233" s="24"/>
      <c r="AI233" s="25" t="n">
        <f aca="false">COUNTIF($B$2:$B$740,B233)</f>
        <v>1</v>
      </c>
    </row>
    <row r="234" customFormat="false" ht="76" hidden="false" customHeight="true" outlineLevel="0" collapsed="false">
      <c r="A234" s="21" t="n">
        <v>233</v>
      </c>
      <c r="B234" s="22" t="s">
        <v>2830</v>
      </c>
      <c r="C234" s="23" t="s">
        <v>9</v>
      </c>
      <c r="D234" s="23" t="s">
        <v>96</v>
      </c>
      <c r="E234" s="23" t="s">
        <v>97</v>
      </c>
      <c r="F234" s="24" t="s">
        <v>50</v>
      </c>
      <c r="G234" s="24" t="s">
        <v>1407</v>
      </c>
      <c r="H234" s="24" t="s">
        <v>2366</v>
      </c>
      <c r="I234" s="24" t="s">
        <v>2799</v>
      </c>
      <c r="J234" s="24" t="s">
        <v>2831</v>
      </c>
      <c r="K234" s="24" t="s">
        <v>2832</v>
      </c>
      <c r="L234" s="24" t="s">
        <v>119</v>
      </c>
      <c r="M234" s="24" t="s">
        <v>2812</v>
      </c>
      <c r="N234" s="24"/>
      <c r="O234" s="24" t="s">
        <v>2833</v>
      </c>
      <c r="P234" s="24" t="s">
        <v>2834</v>
      </c>
      <c r="Q234" s="24" t="s">
        <v>2835</v>
      </c>
      <c r="R234" s="24" t="s">
        <v>2836</v>
      </c>
      <c r="S234" s="24" t="s">
        <v>2837</v>
      </c>
      <c r="T234" s="24" t="s">
        <v>2838</v>
      </c>
      <c r="U234" s="24"/>
      <c r="V234" s="24" t="s">
        <v>2839</v>
      </c>
      <c r="W234" s="24"/>
      <c r="X234" s="24"/>
      <c r="Y234" s="24" t="s">
        <v>2840</v>
      </c>
      <c r="Z234" s="24"/>
      <c r="AA234" s="24"/>
      <c r="AB234" s="25" t="n">
        <v>10</v>
      </c>
      <c r="AC234" s="24" t="s">
        <v>2808</v>
      </c>
      <c r="AD234" s="24"/>
      <c r="AE234" s="24"/>
      <c r="AF234" s="24" t="s">
        <v>115</v>
      </c>
      <c r="AG234" s="24"/>
      <c r="AH234" s="24"/>
      <c r="AI234" s="25" t="n">
        <f aca="false">COUNTIF($B$2:$B$740,B234)</f>
        <v>1</v>
      </c>
    </row>
    <row r="235" customFormat="false" ht="76" hidden="false" customHeight="true" outlineLevel="0" collapsed="false">
      <c r="A235" s="21" t="n">
        <v>234</v>
      </c>
      <c r="B235" s="22" t="s">
        <v>2841</v>
      </c>
      <c r="C235" s="23" t="s">
        <v>9</v>
      </c>
      <c r="D235" s="23" t="s">
        <v>96</v>
      </c>
      <c r="E235" s="23" t="s">
        <v>97</v>
      </c>
      <c r="F235" s="24" t="s">
        <v>51</v>
      </c>
      <c r="G235" s="24" t="s">
        <v>2404</v>
      </c>
      <c r="H235" s="24" t="s">
        <v>2366</v>
      </c>
      <c r="I235" s="24" t="s">
        <v>2799</v>
      </c>
      <c r="J235" s="24" t="s">
        <v>2842</v>
      </c>
      <c r="K235" s="24" t="s">
        <v>2801</v>
      </c>
      <c r="L235" s="24" t="s">
        <v>119</v>
      </c>
      <c r="M235" s="24" t="s">
        <v>2812</v>
      </c>
      <c r="N235" s="24"/>
      <c r="O235" s="24" t="s">
        <v>2843</v>
      </c>
      <c r="P235" s="24" t="s">
        <v>2826</v>
      </c>
      <c r="Q235" s="24" t="s">
        <v>2844</v>
      </c>
      <c r="R235" s="24" t="s">
        <v>2845</v>
      </c>
      <c r="S235" s="24" t="s">
        <v>2829</v>
      </c>
      <c r="T235" s="24" t="s">
        <v>2818</v>
      </c>
      <c r="U235" s="24"/>
      <c r="V235" s="24"/>
      <c r="W235" s="24"/>
      <c r="X235" s="24"/>
      <c r="Y235" s="24"/>
      <c r="Z235" s="24"/>
      <c r="AA235" s="24"/>
      <c r="AB235" s="25" t="n">
        <v>10</v>
      </c>
      <c r="AC235" s="24" t="s">
        <v>2808</v>
      </c>
      <c r="AD235" s="24"/>
      <c r="AE235" s="24"/>
      <c r="AF235" s="24" t="s">
        <v>115</v>
      </c>
      <c r="AG235" s="24"/>
      <c r="AH235" s="24"/>
      <c r="AI235" s="25" t="n">
        <f aca="false">COUNTIF($B$2:$B$740,B235)</f>
        <v>1</v>
      </c>
    </row>
    <row r="236" customFormat="false" ht="76" hidden="false" customHeight="true" outlineLevel="0" collapsed="false">
      <c r="A236" s="21" t="n">
        <v>235</v>
      </c>
      <c r="B236" s="22" t="s">
        <v>2846</v>
      </c>
      <c r="C236" s="23" t="s">
        <v>9</v>
      </c>
      <c r="D236" s="23" t="s">
        <v>96</v>
      </c>
      <c r="E236" s="23" t="s">
        <v>97</v>
      </c>
      <c r="F236" s="24" t="s">
        <v>51</v>
      </c>
      <c r="G236" s="24" t="s">
        <v>2404</v>
      </c>
      <c r="H236" s="24" t="s">
        <v>2366</v>
      </c>
      <c r="I236" s="24" t="s">
        <v>2799</v>
      </c>
      <c r="J236" s="24" t="s">
        <v>2847</v>
      </c>
      <c r="K236" s="24" t="s">
        <v>2801</v>
      </c>
      <c r="L236" s="24" t="s">
        <v>119</v>
      </c>
      <c r="M236" s="24" t="s">
        <v>2812</v>
      </c>
      <c r="N236" s="24"/>
      <c r="O236" s="24" t="s">
        <v>2848</v>
      </c>
      <c r="P236" s="24" t="s">
        <v>2814</v>
      </c>
      <c r="Q236" s="24" t="s">
        <v>2849</v>
      </c>
      <c r="R236" s="24" t="s">
        <v>2850</v>
      </c>
      <c r="S236" s="24" t="s">
        <v>2829</v>
      </c>
      <c r="T236" s="24" t="s">
        <v>2818</v>
      </c>
      <c r="U236" s="24"/>
      <c r="V236" s="24"/>
      <c r="W236" s="24"/>
      <c r="X236" s="24"/>
      <c r="Y236" s="24"/>
      <c r="Z236" s="24"/>
      <c r="AA236" s="24"/>
      <c r="AB236" s="25" t="n">
        <v>10</v>
      </c>
      <c r="AC236" s="24" t="s">
        <v>2808</v>
      </c>
      <c r="AD236" s="24"/>
      <c r="AE236" s="24"/>
      <c r="AF236" s="24" t="s">
        <v>115</v>
      </c>
      <c r="AG236" s="24"/>
      <c r="AH236" s="24"/>
      <c r="AI236" s="25" t="n">
        <f aca="false">COUNTIF($B$2:$B$740,B236)</f>
        <v>1</v>
      </c>
    </row>
    <row r="237" customFormat="false" ht="76" hidden="false" customHeight="true" outlineLevel="0" collapsed="false">
      <c r="A237" s="21" t="n">
        <v>236</v>
      </c>
      <c r="B237" s="22" t="s">
        <v>2851</v>
      </c>
      <c r="C237" s="23" t="s">
        <v>9</v>
      </c>
      <c r="D237" s="23" t="s">
        <v>96</v>
      </c>
      <c r="E237" s="23" t="s">
        <v>97</v>
      </c>
      <c r="F237" s="24" t="s">
        <v>51</v>
      </c>
      <c r="G237" s="24" t="s">
        <v>2404</v>
      </c>
      <c r="H237" s="24" t="s">
        <v>2366</v>
      </c>
      <c r="I237" s="24" t="s">
        <v>2799</v>
      </c>
      <c r="J237" s="24" t="s">
        <v>2852</v>
      </c>
      <c r="K237" s="24" t="s">
        <v>2801</v>
      </c>
      <c r="L237" s="24" t="s">
        <v>119</v>
      </c>
      <c r="M237" s="24" t="s">
        <v>2812</v>
      </c>
      <c r="N237" s="24"/>
      <c r="O237" s="24" t="s">
        <v>2853</v>
      </c>
      <c r="P237" s="24" t="s">
        <v>2814</v>
      </c>
      <c r="Q237" s="24" t="s">
        <v>2854</v>
      </c>
      <c r="R237" s="24" t="s">
        <v>2855</v>
      </c>
      <c r="S237" s="24" t="s">
        <v>2817</v>
      </c>
      <c r="T237" s="24" t="s">
        <v>2818</v>
      </c>
      <c r="U237" s="24"/>
      <c r="V237" s="24"/>
      <c r="W237" s="24"/>
      <c r="X237" s="24"/>
      <c r="Y237" s="24"/>
      <c r="Z237" s="24"/>
      <c r="AA237" s="24"/>
      <c r="AB237" s="25" t="n">
        <v>10</v>
      </c>
      <c r="AC237" s="24" t="s">
        <v>2808</v>
      </c>
      <c r="AD237" s="24"/>
      <c r="AE237" s="24"/>
      <c r="AF237" s="24" t="s">
        <v>115</v>
      </c>
      <c r="AG237" s="24"/>
      <c r="AH237" s="24"/>
      <c r="AI237" s="25" t="n">
        <f aca="false">COUNTIF($B$2:$B$740,B237)</f>
        <v>1</v>
      </c>
    </row>
    <row r="238" customFormat="false" ht="76" hidden="false" customHeight="true" outlineLevel="0" collapsed="false">
      <c r="A238" s="21" t="n">
        <v>237</v>
      </c>
      <c r="B238" s="22" t="s">
        <v>2856</v>
      </c>
      <c r="C238" s="23" t="s">
        <v>9</v>
      </c>
      <c r="D238" s="23" t="s">
        <v>96</v>
      </c>
      <c r="E238" s="23" t="s">
        <v>97</v>
      </c>
      <c r="F238" s="24" t="s">
        <v>51</v>
      </c>
      <c r="G238" s="24" t="s">
        <v>2404</v>
      </c>
      <c r="H238" s="24" t="s">
        <v>2366</v>
      </c>
      <c r="I238" s="24" t="s">
        <v>2799</v>
      </c>
      <c r="J238" s="24" t="s">
        <v>2857</v>
      </c>
      <c r="K238" s="24" t="s">
        <v>2801</v>
      </c>
      <c r="L238" s="24" t="s">
        <v>119</v>
      </c>
      <c r="M238" s="24" t="s">
        <v>2812</v>
      </c>
      <c r="N238" s="24"/>
      <c r="O238" s="24" t="s">
        <v>2853</v>
      </c>
      <c r="P238" s="24" t="s">
        <v>2814</v>
      </c>
      <c r="Q238" s="24" t="s">
        <v>2858</v>
      </c>
      <c r="R238" s="24" t="s">
        <v>2859</v>
      </c>
      <c r="S238" s="24" t="s">
        <v>2829</v>
      </c>
      <c r="T238" s="24" t="s">
        <v>2818</v>
      </c>
      <c r="U238" s="24"/>
      <c r="V238" s="24"/>
      <c r="W238" s="24"/>
      <c r="X238" s="24"/>
      <c r="Y238" s="24"/>
      <c r="Z238" s="24"/>
      <c r="AA238" s="24"/>
      <c r="AB238" s="25" t="n">
        <v>10</v>
      </c>
      <c r="AC238" s="24" t="s">
        <v>2808</v>
      </c>
      <c r="AD238" s="24"/>
      <c r="AE238" s="24"/>
      <c r="AF238" s="24" t="s">
        <v>115</v>
      </c>
      <c r="AG238" s="24"/>
      <c r="AH238" s="24"/>
      <c r="AI238" s="25" t="n">
        <f aca="false">COUNTIF($B$2:$B$740,B238)</f>
        <v>1</v>
      </c>
    </row>
    <row r="239" customFormat="false" ht="76" hidden="false" customHeight="true" outlineLevel="0" collapsed="false">
      <c r="A239" s="21" t="n">
        <v>238</v>
      </c>
      <c r="B239" s="22" t="s">
        <v>2860</v>
      </c>
      <c r="C239" s="23" t="s">
        <v>9</v>
      </c>
      <c r="D239" s="23" t="s">
        <v>96</v>
      </c>
      <c r="E239" s="23" t="s">
        <v>97</v>
      </c>
      <c r="F239" s="24" t="s">
        <v>50</v>
      </c>
      <c r="G239" s="24" t="s">
        <v>1407</v>
      </c>
      <c r="H239" s="24" t="s">
        <v>2366</v>
      </c>
      <c r="I239" s="24" t="s">
        <v>2799</v>
      </c>
      <c r="J239" s="24" t="s">
        <v>2861</v>
      </c>
      <c r="K239" s="24" t="s">
        <v>2862</v>
      </c>
      <c r="L239" s="24" t="s">
        <v>119</v>
      </c>
      <c r="M239" s="24" t="s">
        <v>2863</v>
      </c>
      <c r="N239" s="24"/>
      <c r="O239" s="24" t="s">
        <v>2864</v>
      </c>
      <c r="P239" s="24" t="s">
        <v>2865</v>
      </c>
      <c r="Q239" s="24" t="s">
        <v>2866</v>
      </c>
      <c r="R239" s="24" t="s">
        <v>2867</v>
      </c>
      <c r="S239" s="24" t="s">
        <v>2868</v>
      </c>
      <c r="T239" s="24" t="s">
        <v>2869</v>
      </c>
      <c r="U239" s="24" t="s">
        <v>183</v>
      </c>
      <c r="V239" s="24"/>
      <c r="W239" s="24" t="s">
        <v>182</v>
      </c>
      <c r="X239" s="24" t="s">
        <v>2870</v>
      </c>
      <c r="Y239" s="24" t="s">
        <v>183</v>
      </c>
      <c r="Z239" s="24"/>
      <c r="AA239" s="24"/>
      <c r="AB239" s="25" t="n">
        <v>10</v>
      </c>
      <c r="AC239" s="24" t="s">
        <v>2871</v>
      </c>
      <c r="AD239" s="24"/>
      <c r="AE239" s="24"/>
      <c r="AF239" s="24" t="s">
        <v>115</v>
      </c>
      <c r="AG239" s="24"/>
      <c r="AH239" s="24"/>
      <c r="AI239" s="25" t="n">
        <f aca="false">COUNTIF($B$2:$B$740,B239)</f>
        <v>1</v>
      </c>
    </row>
    <row r="240" customFormat="false" ht="57.6" hidden="false" customHeight="true" outlineLevel="0" collapsed="false">
      <c r="A240" s="26" t="n">
        <v>239</v>
      </c>
      <c r="B240" s="27" t="s">
        <v>2872</v>
      </c>
      <c r="C240" s="24" t="s">
        <v>9</v>
      </c>
      <c r="D240" s="24" t="s">
        <v>96</v>
      </c>
      <c r="E240" s="24" t="s">
        <v>97</v>
      </c>
      <c r="F240" s="24" t="s">
        <v>50</v>
      </c>
      <c r="G240" s="24" t="s">
        <v>1407</v>
      </c>
      <c r="H240" s="24" t="s">
        <v>2366</v>
      </c>
      <c r="I240" s="24" t="s">
        <v>2873</v>
      </c>
      <c r="J240" s="24" t="s">
        <v>2874</v>
      </c>
      <c r="K240" s="24" t="s">
        <v>2875</v>
      </c>
      <c r="L240" s="24" t="s">
        <v>119</v>
      </c>
      <c r="M240" s="24" t="s">
        <v>2876</v>
      </c>
      <c r="N240" s="24"/>
      <c r="O240" s="24" t="s">
        <v>2877</v>
      </c>
      <c r="P240" s="24" t="s">
        <v>2878</v>
      </c>
      <c r="Q240" s="24" t="s">
        <v>2879</v>
      </c>
      <c r="R240" s="24" t="s">
        <v>2880</v>
      </c>
      <c r="S240" s="24" t="s">
        <v>2881</v>
      </c>
      <c r="T240" s="24" t="s">
        <v>2882</v>
      </c>
      <c r="U240" s="24" t="s">
        <v>2883</v>
      </c>
      <c r="V240" s="24" t="s">
        <v>2884</v>
      </c>
      <c r="W240" s="24" t="s">
        <v>182</v>
      </c>
      <c r="X240" s="24"/>
      <c r="Y240" s="24" t="s">
        <v>2885</v>
      </c>
      <c r="Z240" s="24"/>
      <c r="AA240" s="24"/>
      <c r="AB240" s="25" t="n">
        <v>70</v>
      </c>
      <c r="AC240" s="24" t="s">
        <v>2886</v>
      </c>
      <c r="AD240" s="24" t="s">
        <v>2887</v>
      </c>
      <c r="AE240" s="24" t="s">
        <v>2888</v>
      </c>
      <c r="AF240" s="24" t="s">
        <v>168</v>
      </c>
      <c r="AG240" s="24"/>
      <c r="AH240" s="24" t="s">
        <v>1050</v>
      </c>
      <c r="AI240" s="25" t="n">
        <f aca="false">COUNTIF($B$2:$B$740,B240)</f>
        <v>1</v>
      </c>
    </row>
    <row r="241" customFormat="false" ht="28.8" hidden="false" customHeight="true" outlineLevel="0" collapsed="false">
      <c r="A241" s="26" t="n">
        <v>240</v>
      </c>
      <c r="B241" s="27" t="s">
        <v>2889</v>
      </c>
      <c r="C241" s="24" t="s">
        <v>9</v>
      </c>
      <c r="D241" s="24" t="s">
        <v>96</v>
      </c>
      <c r="E241" s="24" t="s">
        <v>97</v>
      </c>
      <c r="F241" s="24" t="s">
        <v>50</v>
      </c>
      <c r="G241" s="24" t="s">
        <v>1407</v>
      </c>
      <c r="H241" s="24" t="s">
        <v>2366</v>
      </c>
      <c r="I241" s="24" t="s">
        <v>2873</v>
      </c>
      <c r="J241" s="24" t="s">
        <v>2890</v>
      </c>
      <c r="K241" s="24" t="s">
        <v>2891</v>
      </c>
      <c r="L241" s="24" t="s">
        <v>119</v>
      </c>
      <c r="M241" s="24" t="s">
        <v>2892</v>
      </c>
      <c r="N241" s="24"/>
      <c r="O241" s="24" t="s">
        <v>2893</v>
      </c>
      <c r="P241" s="24" t="s">
        <v>2894</v>
      </c>
      <c r="Q241" s="24" t="s">
        <v>2895</v>
      </c>
      <c r="R241" s="24" t="s">
        <v>2896</v>
      </c>
      <c r="S241" s="24" t="s">
        <v>2897</v>
      </c>
      <c r="T241" s="24" t="s">
        <v>2898</v>
      </c>
      <c r="U241" s="24"/>
      <c r="V241" s="24"/>
      <c r="W241" s="24" t="s">
        <v>2899</v>
      </c>
      <c r="X241" s="24"/>
      <c r="Y241" s="24"/>
      <c r="Z241" s="24"/>
      <c r="AA241" s="24"/>
      <c r="AB241" s="25" t="n">
        <v>80</v>
      </c>
      <c r="AC241" s="24" t="s">
        <v>2900</v>
      </c>
      <c r="AD241" s="24" t="s">
        <v>2901</v>
      </c>
      <c r="AE241" s="24" t="s">
        <v>2902</v>
      </c>
      <c r="AF241" s="24" t="s">
        <v>168</v>
      </c>
      <c r="AG241" s="24"/>
      <c r="AH241" s="24" t="s">
        <v>941</v>
      </c>
      <c r="AI241" s="25" t="n">
        <f aca="false">COUNTIF($B$2:$B$740,B241)</f>
        <v>1</v>
      </c>
    </row>
    <row r="242" customFormat="false" ht="38.4" hidden="false" customHeight="true" outlineLevel="0" collapsed="false">
      <c r="A242" s="26" t="n">
        <v>241</v>
      </c>
      <c r="B242" s="27" t="s">
        <v>2903</v>
      </c>
      <c r="C242" s="24" t="s">
        <v>9</v>
      </c>
      <c r="D242" s="24" t="s">
        <v>96</v>
      </c>
      <c r="E242" s="24" t="s">
        <v>97</v>
      </c>
      <c r="F242" s="24" t="s">
        <v>50</v>
      </c>
      <c r="G242" s="24" t="s">
        <v>1407</v>
      </c>
      <c r="H242" s="24" t="s">
        <v>2366</v>
      </c>
      <c r="I242" s="24" t="s">
        <v>2873</v>
      </c>
      <c r="J242" s="24" t="s">
        <v>2904</v>
      </c>
      <c r="K242" s="24" t="s">
        <v>2905</v>
      </c>
      <c r="L242" s="24" t="s">
        <v>119</v>
      </c>
      <c r="M242" s="24" t="s">
        <v>2906</v>
      </c>
      <c r="N242" s="24" t="s">
        <v>856</v>
      </c>
      <c r="O242" s="24" t="s">
        <v>2907</v>
      </c>
      <c r="P242" s="24" t="s">
        <v>2908</v>
      </c>
      <c r="Q242" s="24" t="s">
        <v>2909</v>
      </c>
      <c r="R242" s="24" t="s">
        <v>2910</v>
      </c>
      <c r="S242" s="24" t="s">
        <v>2911</v>
      </c>
      <c r="T242" s="24" t="s">
        <v>2912</v>
      </c>
      <c r="U242" s="24"/>
      <c r="V242" s="24"/>
      <c r="W242" s="24"/>
      <c r="X242" s="24" t="s">
        <v>2913</v>
      </c>
      <c r="Y242" s="24"/>
      <c r="Z242" s="24"/>
      <c r="AA242" s="24"/>
      <c r="AB242" s="25" t="n">
        <v>70</v>
      </c>
      <c r="AC242" s="24" t="s">
        <v>2886</v>
      </c>
      <c r="AD242" s="24" t="s">
        <v>2914</v>
      </c>
      <c r="AE242" s="24" t="s">
        <v>2915</v>
      </c>
      <c r="AF242" s="24" t="s">
        <v>168</v>
      </c>
      <c r="AG242" s="24"/>
      <c r="AH242" s="24" t="s">
        <v>1050</v>
      </c>
      <c r="AI242" s="25" t="n">
        <f aca="false">COUNTIF($B$2:$B$740,B242)</f>
        <v>1</v>
      </c>
    </row>
    <row r="243" customFormat="false" ht="38.4" hidden="false" customHeight="true" outlineLevel="0" collapsed="false">
      <c r="A243" s="26" t="n">
        <v>242</v>
      </c>
      <c r="B243" s="27" t="s">
        <v>2916</v>
      </c>
      <c r="C243" s="24" t="s">
        <v>9</v>
      </c>
      <c r="D243" s="24" t="s">
        <v>96</v>
      </c>
      <c r="E243" s="24" t="s">
        <v>97</v>
      </c>
      <c r="F243" s="24" t="s">
        <v>59</v>
      </c>
      <c r="G243" s="24" t="s">
        <v>98</v>
      </c>
      <c r="H243" s="24" t="s">
        <v>2366</v>
      </c>
      <c r="I243" s="24" t="s">
        <v>2917</v>
      </c>
      <c r="J243" s="24" t="s">
        <v>2918</v>
      </c>
      <c r="K243" s="24" t="s">
        <v>2919</v>
      </c>
      <c r="L243" s="24" t="s">
        <v>119</v>
      </c>
      <c r="M243" s="24" t="s">
        <v>2920</v>
      </c>
      <c r="N243" s="24"/>
      <c r="O243" s="24" t="s">
        <v>2921</v>
      </c>
      <c r="P243" s="24" t="s">
        <v>2922</v>
      </c>
      <c r="Q243" s="24" t="s">
        <v>2923</v>
      </c>
      <c r="R243" s="24" t="s">
        <v>2924</v>
      </c>
      <c r="S243" s="24" t="s">
        <v>2925</v>
      </c>
      <c r="T243" s="24" t="s">
        <v>2926</v>
      </c>
      <c r="U243" s="24"/>
      <c r="V243" s="24"/>
      <c r="W243" s="24" t="s">
        <v>2927</v>
      </c>
      <c r="X243" s="24"/>
      <c r="Y243" s="24"/>
      <c r="Z243" s="24"/>
      <c r="AA243" s="24"/>
      <c r="AB243" s="25" t="n">
        <v>70</v>
      </c>
      <c r="AC243" s="24" t="s">
        <v>2928</v>
      </c>
      <c r="AD243" s="24" t="s">
        <v>2929</v>
      </c>
      <c r="AE243" s="24" t="s">
        <v>2930</v>
      </c>
      <c r="AF243" s="24" t="s">
        <v>168</v>
      </c>
      <c r="AG243" s="24"/>
      <c r="AH243" s="24" t="s">
        <v>1050</v>
      </c>
      <c r="AI243" s="25" t="n">
        <f aca="false">COUNTIF($B$2:$B$740,B243)</f>
        <v>1</v>
      </c>
    </row>
    <row r="244" customFormat="false" ht="76" hidden="false" customHeight="true" outlineLevel="0" collapsed="false">
      <c r="A244" s="21" t="n">
        <v>243</v>
      </c>
      <c r="B244" s="22" t="s">
        <v>2931</v>
      </c>
      <c r="C244" s="23" t="s">
        <v>9</v>
      </c>
      <c r="D244" s="23" t="s">
        <v>96</v>
      </c>
      <c r="E244" s="23" t="s">
        <v>97</v>
      </c>
      <c r="F244" s="24" t="s">
        <v>59</v>
      </c>
      <c r="G244" s="24" t="s">
        <v>98</v>
      </c>
      <c r="H244" s="24" t="s">
        <v>2366</v>
      </c>
      <c r="I244" s="24" t="s">
        <v>2917</v>
      </c>
      <c r="J244" s="24" t="s">
        <v>2932</v>
      </c>
      <c r="K244" s="24" t="s">
        <v>2919</v>
      </c>
      <c r="L244" s="24" t="s">
        <v>119</v>
      </c>
      <c r="M244" s="24" t="s">
        <v>2933</v>
      </c>
      <c r="N244" s="24"/>
      <c r="O244" s="24" t="s">
        <v>2921</v>
      </c>
      <c r="P244" s="24" t="s">
        <v>2934</v>
      </c>
      <c r="Q244" s="24" t="s">
        <v>2935</v>
      </c>
      <c r="R244" s="24" t="s">
        <v>2936</v>
      </c>
      <c r="S244" s="24" t="s">
        <v>2925</v>
      </c>
      <c r="T244" s="24" t="s">
        <v>2937</v>
      </c>
      <c r="U244" s="24"/>
      <c r="V244" s="24"/>
      <c r="W244" s="24" t="s">
        <v>2938</v>
      </c>
      <c r="X244" s="24"/>
      <c r="Y244" s="24"/>
      <c r="Z244" s="24"/>
      <c r="AA244" s="24"/>
      <c r="AB244" s="25" t="n">
        <v>10</v>
      </c>
      <c r="AC244" s="24" t="s">
        <v>2939</v>
      </c>
      <c r="AD244" s="24"/>
      <c r="AE244" s="24" t="s">
        <v>2940</v>
      </c>
      <c r="AF244" s="24" t="s">
        <v>115</v>
      </c>
      <c r="AG244" s="24"/>
      <c r="AH244" s="24"/>
      <c r="AI244" s="25" t="n">
        <f aca="false">COUNTIF($B$2:$B$740,B244)</f>
        <v>1</v>
      </c>
    </row>
    <row r="245" customFormat="false" ht="76" hidden="false" customHeight="true" outlineLevel="0" collapsed="false">
      <c r="A245" s="21" t="n">
        <v>244</v>
      </c>
      <c r="B245" s="22" t="s">
        <v>2941</v>
      </c>
      <c r="C245" s="23" t="s">
        <v>9</v>
      </c>
      <c r="D245" s="23" t="s">
        <v>96</v>
      </c>
      <c r="E245" s="23" t="s">
        <v>97</v>
      </c>
      <c r="F245" s="24" t="s">
        <v>51</v>
      </c>
      <c r="G245" s="24" t="s">
        <v>2404</v>
      </c>
      <c r="H245" s="24" t="s">
        <v>2366</v>
      </c>
      <c r="I245" s="24" t="s">
        <v>2917</v>
      </c>
      <c r="J245" s="24" t="s">
        <v>2942</v>
      </c>
      <c r="K245" s="24" t="s">
        <v>2943</v>
      </c>
      <c r="L245" s="24" t="s">
        <v>119</v>
      </c>
      <c r="M245" s="24" t="s">
        <v>2944</v>
      </c>
      <c r="N245" s="24"/>
      <c r="O245" s="24" t="s">
        <v>2945</v>
      </c>
      <c r="P245" s="24" t="s">
        <v>2946</v>
      </c>
      <c r="Q245" s="24" t="s">
        <v>2947</v>
      </c>
      <c r="R245" s="24" t="s">
        <v>2948</v>
      </c>
      <c r="S245" s="24" t="s">
        <v>2949</v>
      </c>
      <c r="T245" s="24" t="s">
        <v>2950</v>
      </c>
      <c r="U245" s="24"/>
      <c r="V245" s="24"/>
      <c r="W245" s="24"/>
      <c r="X245" s="24"/>
      <c r="Y245" s="24"/>
      <c r="Z245" s="24"/>
      <c r="AA245" s="24"/>
      <c r="AB245" s="25" t="n">
        <v>10</v>
      </c>
      <c r="AC245" s="24" t="s">
        <v>2951</v>
      </c>
      <c r="AD245" s="24"/>
      <c r="AE245" s="24"/>
      <c r="AF245" s="24" t="s">
        <v>115</v>
      </c>
      <c r="AG245" s="24"/>
      <c r="AH245" s="24"/>
      <c r="AI245" s="25" t="n">
        <f aca="false">COUNTIF($B$2:$B$740,B245)</f>
        <v>1</v>
      </c>
    </row>
    <row r="246" customFormat="false" ht="28.8" hidden="false" customHeight="true" outlineLevel="0" collapsed="false">
      <c r="A246" s="26" t="n">
        <v>245</v>
      </c>
      <c r="B246" s="27" t="s">
        <v>2952</v>
      </c>
      <c r="C246" s="24" t="s">
        <v>9</v>
      </c>
      <c r="D246" s="24" t="s">
        <v>96</v>
      </c>
      <c r="E246" s="24" t="s">
        <v>97</v>
      </c>
      <c r="F246" s="24" t="s">
        <v>50</v>
      </c>
      <c r="G246" s="24" t="s">
        <v>1407</v>
      </c>
      <c r="H246" s="24" t="s">
        <v>2366</v>
      </c>
      <c r="I246" s="24" t="s">
        <v>2917</v>
      </c>
      <c r="J246" s="24" t="s">
        <v>2953</v>
      </c>
      <c r="K246" s="24" t="s">
        <v>2954</v>
      </c>
      <c r="L246" s="24" t="s">
        <v>119</v>
      </c>
      <c r="M246" s="24" t="s">
        <v>2955</v>
      </c>
      <c r="N246" s="24" t="s">
        <v>2956</v>
      </c>
      <c r="O246" s="24" t="s">
        <v>2957</v>
      </c>
      <c r="P246" s="24" t="s">
        <v>2958</v>
      </c>
      <c r="Q246" s="24" t="s">
        <v>2959</v>
      </c>
      <c r="R246" s="24" t="s">
        <v>2960</v>
      </c>
      <c r="S246" s="24" t="s">
        <v>2961</v>
      </c>
      <c r="T246" s="24" t="s">
        <v>2962</v>
      </c>
      <c r="U246" s="24"/>
      <c r="V246" s="24"/>
      <c r="W246" s="24"/>
      <c r="X246" s="24"/>
      <c r="Y246" s="24"/>
      <c r="Z246" s="24"/>
      <c r="AA246" s="24"/>
      <c r="AB246" s="25" t="n">
        <v>70</v>
      </c>
      <c r="AC246" s="24" t="s">
        <v>2963</v>
      </c>
      <c r="AD246" s="24" t="s">
        <v>2964</v>
      </c>
      <c r="AE246" s="24" t="s">
        <v>2965</v>
      </c>
      <c r="AF246" s="24" t="s">
        <v>168</v>
      </c>
      <c r="AG246" s="24"/>
      <c r="AH246" s="24" t="s">
        <v>1050</v>
      </c>
      <c r="AI246" s="25" t="n">
        <f aca="false">COUNTIF($B$2:$B$740,B246)</f>
        <v>1</v>
      </c>
    </row>
    <row r="247" customFormat="false" ht="76" hidden="false" customHeight="true" outlineLevel="0" collapsed="false">
      <c r="A247" s="21" t="n">
        <v>246</v>
      </c>
      <c r="B247" s="22" t="s">
        <v>2966</v>
      </c>
      <c r="C247" s="23" t="s">
        <v>9</v>
      </c>
      <c r="D247" s="23" t="s">
        <v>96</v>
      </c>
      <c r="E247" s="23" t="s">
        <v>97</v>
      </c>
      <c r="F247" s="24" t="s">
        <v>59</v>
      </c>
      <c r="G247" s="24" t="s">
        <v>98</v>
      </c>
      <c r="H247" s="24" t="s">
        <v>2366</v>
      </c>
      <c r="I247" s="24" t="s">
        <v>2967</v>
      </c>
      <c r="J247" s="24" t="s">
        <v>2968</v>
      </c>
      <c r="K247" s="24" t="s">
        <v>2919</v>
      </c>
      <c r="L247" s="24" t="s">
        <v>119</v>
      </c>
      <c r="M247" s="24" t="s">
        <v>2969</v>
      </c>
      <c r="N247" s="24"/>
      <c r="O247" s="24" t="s">
        <v>2921</v>
      </c>
      <c r="P247" s="24" t="s">
        <v>2970</v>
      </c>
      <c r="Q247" s="24" t="s">
        <v>2935</v>
      </c>
      <c r="R247" s="24" t="s">
        <v>2971</v>
      </c>
      <c r="S247" s="24" t="s">
        <v>2925</v>
      </c>
      <c r="T247" s="24" t="s">
        <v>2972</v>
      </c>
      <c r="U247" s="24"/>
      <c r="V247" s="24"/>
      <c r="W247" s="24" t="s">
        <v>2973</v>
      </c>
      <c r="X247" s="24"/>
      <c r="Y247" s="24"/>
      <c r="Z247" s="24"/>
      <c r="AA247" s="24"/>
      <c r="AB247" s="25" t="n">
        <v>10</v>
      </c>
      <c r="AC247" s="24" t="s">
        <v>2974</v>
      </c>
      <c r="AD247" s="24"/>
      <c r="AE247" s="24" t="s">
        <v>2975</v>
      </c>
      <c r="AF247" s="24" t="s">
        <v>115</v>
      </c>
      <c r="AG247" s="24"/>
      <c r="AH247" s="24"/>
      <c r="AI247" s="25" t="n">
        <f aca="false">COUNTIF($B$2:$B$740,B247)</f>
        <v>1</v>
      </c>
    </row>
    <row r="248" customFormat="false" ht="76" hidden="false" customHeight="true" outlineLevel="0" collapsed="false">
      <c r="A248" s="21" t="n">
        <v>247</v>
      </c>
      <c r="B248" s="22" t="s">
        <v>2976</v>
      </c>
      <c r="C248" s="23" t="s">
        <v>9</v>
      </c>
      <c r="D248" s="23" t="s">
        <v>96</v>
      </c>
      <c r="E248" s="23" t="s">
        <v>97</v>
      </c>
      <c r="F248" s="24" t="s">
        <v>59</v>
      </c>
      <c r="G248" s="24" t="s">
        <v>98</v>
      </c>
      <c r="H248" s="24" t="s">
        <v>2366</v>
      </c>
      <c r="I248" s="24" t="s">
        <v>2967</v>
      </c>
      <c r="J248" s="24" t="s">
        <v>2977</v>
      </c>
      <c r="K248" s="24" t="s">
        <v>2919</v>
      </c>
      <c r="L248" s="24" t="s">
        <v>119</v>
      </c>
      <c r="M248" s="24" t="s">
        <v>2978</v>
      </c>
      <c r="N248" s="24"/>
      <c r="O248" s="24" t="s">
        <v>2979</v>
      </c>
      <c r="P248" s="24" t="s">
        <v>2970</v>
      </c>
      <c r="Q248" s="24" t="s">
        <v>2935</v>
      </c>
      <c r="R248" s="24" t="s">
        <v>2980</v>
      </c>
      <c r="S248" s="24" t="s">
        <v>2925</v>
      </c>
      <c r="T248" s="24" t="s">
        <v>2970</v>
      </c>
      <c r="U248" s="24"/>
      <c r="V248" s="24"/>
      <c r="W248" s="24" t="s">
        <v>2981</v>
      </c>
      <c r="X248" s="24"/>
      <c r="Y248" s="24"/>
      <c r="Z248" s="24"/>
      <c r="AA248" s="24"/>
      <c r="AB248" s="25" t="n">
        <v>10</v>
      </c>
      <c r="AC248" s="24" t="s">
        <v>2982</v>
      </c>
      <c r="AD248" s="24"/>
      <c r="AE248" s="24" t="s">
        <v>2983</v>
      </c>
      <c r="AF248" s="24" t="s">
        <v>115</v>
      </c>
      <c r="AG248" s="24"/>
      <c r="AH248" s="24"/>
      <c r="AI248" s="25" t="n">
        <f aca="false">COUNTIF($B$2:$B$740,B248)</f>
        <v>1</v>
      </c>
    </row>
    <row r="249" customFormat="false" ht="76" hidden="false" customHeight="true" outlineLevel="0" collapsed="false">
      <c r="A249" s="21" t="n">
        <v>248</v>
      </c>
      <c r="B249" s="22" t="s">
        <v>2984</v>
      </c>
      <c r="C249" s="23" t="s">
        <v>9</v>
      </c>
      <c r="D249" s="23" t="s">
        <v>96</v>
      </c>
      <c r="E249" s="23" t="s">
        <v>97</v>
      </c>
      <c r="F249" s="24" t="s">
        <v>50</v>
      </c>
      <c r="G249" s="24" t="s">
        <v>1407</v>
      </c>
      <c r="H249" s="24" t="s">
        <v>2366</v>
      </c>
      <c r="I249" s="24" t="s">
        <v>2967</v>
      </c>
      <c r="J249" s="24" t="s">
        <v>2985</v>
      </c>
      <c r="K249" s="24" t="s">
        <v>1118</v>
      </c>
      <c r="L249" s="24" t="s">
        <v>119</v>
      </c>
      <c r="M249" s="24" t="s">
        <v>2986</v>
      </c>
      <c r="N249" s="24" t="s">
        <v>856</v>
      </c>
      <c r="O249" s="24" t="s">
        <v>2987</v>
      </c>
      <c r="P249" s="24" t="s">
        <v>2988</v>
      </c>
      <c r="Q249" s="24" t="s">
        <v>2989</v>
      </c>
      <c r="R249" s="24" t="s">
        <v>2990</v>
      </c>
      <c r="S249" s="24" t="s">
        <v>2991</v>
      </c>
      <c r="T249" s="24" t="s">
        <v>2992</v>
      </c>
      <c r="U249" s="24" t="s">
        <v>2992</v>
      </c>
      <c r="V249" s="24"/>
      <c r="W249" s="24" t="s">
        <v>2993</v>
      </c>
      <c r="X249" s="24"/>
      <c r="Y249" s="24"/>
      <c r="Z249" s="24"/>
      <c r="AA249" s="24"/>
      <c r="AB249" s="25" t="n">
        <v>10</v>
      </c>
      <c r="AC249" s="24" t="s">
        <v>2982</v>
      </c>
      <c r="AD249" s="24"/>
      <c r="AE249" s="24" t="s">
        <v>2872</v>
      </c>
      <c r="AF249" s="24" t="s">
        <v>115</v>
      </c>
      <c r="AG249" s="24"/>
      <c r="AH249" s="24"/>
      <c r="AI249" s="25" t="n">
        <f aca="false">COUNTIF($B$2:$B$740,B249)</f>
        <v>1</v>
      </c>
    </row>
    <row r="250" customFormat="false" ht="76" hidden="false" customHeight="true" outlineLevel="0" collapsed="false">
      <c r="A250" s="21" t="n">
        <v>249</v>
      </c>
      <c r="B250" s="22" t="s">
        <v>2994</v>
      </c>
      <c r="C250" s="23" t="s">
        <v>9</v>
      </c>
      <c r="D250" s="23" t="s">
        <v>96</v>
      </c>
      <c r="E250" s="23" t="s">
        <v>97</v>
      </c>
      <c r="F250" s="24" t="s">
        <v>51</v>
      </c>
      <c r="G250" s="24" t="s">
        <v>2404</v>
      </c>
      <c r="H250" s="24" t="s">
        <v>2366</v>
      </c>
      <c r="I250" s="24" t="s">
        <v>2967</v>
      </c>
      <c r="J250" s="24" t="s">
        <v>2995</v>
      </c>
      <c r="K250" s="24" t="s">
        <v>2996</v>
      </c>
      <c r="L250" s="24" t="s">
        <v>119</v>
      </c>
      <c r="M250" s="24" t="s">
        <v>2997</v>
      </c>
      <c r="N250" s="24"/>
      <c r="O250" s="24" t="s">
        <v>2998</v>
      </c>
      <c r="P250" s="24" t="s">
        <v>2970</v>
      </c>
      <c r="Q250" s="24" t="s">
        <v>2999</v>
      </c>
      <c r="R250" s="24" t="s">
        <v>3000</v>
      </c>
      <c r="S250" s="24" t="s">
        <v>3001</v>
      </c>
      <c r="T250" s="24" t="s">
        <v>3002</v>
      </c>
      <c r="U250" s="24"/>
      <c r="V250" s="24"/>
      <c r="W250" s="24"/>
      <c r="X250" s="24" t="s">
        <v>3003</v>
      </c>
      <c r="Y250" s="24"/>
      <c r="Z250" s="24"/>
      <c r="AA250" s="24"/>
      <c r="AB250" s="25" t="n">
        <v>80</v>
      </c>
      <c r="AC250" s="24" t="s">
        <v>3004</v>
      </c>
      <c r="AD250" s="24" t="s">
        <v>3005</v>
      </c>
      <c r="AE250" s="24" t="s">
        <v>3006</v>
      </c>
      <c r="AF250" s="24" t="s">
        <v>168</v>
      </c>
      <c r="AG250" s="24"/>
      <c r="AH250" s="24" t="s">
        <v>941</v>
      </c>
      <c r="AI250" s="25" t="n">
        <f aca="false">COUNTIF($B$2:$B$740,B250)</f>
        <v>1</v>
      </c>
    </row>
    <row r="251" customFormat="false" ht="76" hidden="false" customHeight="true" outlineLevel="0" collapsed="false">
      <c r="A251" s="21" t="n">
        <v>250</v>
      </c>
      <c r="B251" s="22" t="s">
        <v>3007</v>
      </c>
      <c r="C251" s="23" t="s">
        <v>9</v>
      </c>
      <c r="D251" s="23" t="s">
        <v>96</v>
      </c>
      <c r="E251" s="23" t="s">
        <v>97</v>
      </c>
      <c r="F251" s="24" t="s">
        <v>51</v>
      </c>
      <c r="G251" s="24" t="s">
        <v>2404</v>
      </c>
      <c r="H251" s="24" t="s">
        <v>2366</v>
      </c>
      <c r="I251" s="24" t="s">
        <v>2967</v>
      </c>
      <c r="J251" s="24" t="s">
        <v>3008</v>
      </c>
      <c r="K251" s="24" t="s">
        <v>3009</v>
      </c>
      <c r="L251" s="24" t="s">
        <v>119</v>
      </c>
      <c r="M251" s="24" t="s">
        <v>2986</v>
      </c>
      <c r="N251" s="24" t="s">
        <v>2778</v>
      </c>
      <c r="O251" s="24" t="s">
        <v>3010</v>
      </c>
      <c r="P251" s="24" t="s">
        <v>3011</v>
      </c>
      <c r="Q251" s="24" t="s">
        <v>3012</v>
      </c>
      <c r="R251" s="24" t="s">
        <v>3013</v>
      </c>
      <c r="S251" s="24" t="s">
        <v>3014</v>
      </c>
      <c r="T251" s="24" t="s">
        <v>3015</v>
      </c>
      <c r="U251" s="24"/>
      <c r="V251" s="24" t="s">
        <v>3016</v>
      </c>
      <c r="W251" s="24"/>
      <c r="X251" s="24"/>
      <c r="Y251" s="24"/>
      <c r="Z251" s="24"/>
      <c r="AA251" s="24"/>
      <c r="AB251" s="25" t="n">
        <v>10</v>
      </c>
      <c r="AC251" s="24" t="s">
        <v>2982</v>
      </c>
      <c r="AD251" s="24"/>
      <c r="AE251" s="24"/>
      <c r="AF251" s="24" t="s">
        <v>115</v>
      </c>
      <c r="AG251" s="24"/>
      <c r="AH251" s="24"/>
      <c r="AI251" s="25" t="n">
        <f aca="false">COUNTIF($B$2:$B$740,B251)</f>
        <v>1</v>
      </c>
    </row>
    <row r="252" customFormat="false" ht="76" hidden="false" customHeight="true" outlineLevel="0" collapsed="false">
      <c r="A252" s="21" t="n">
        <v>251</v>
      </c>
      <c r="B252" s="22" t="s">
        <v>3017</v>
      </c>
      <c r="C252" s="23" t="s">
        <v>9</v>
      </c>
      <c r="D252" s="23" t="s">
        <v>96</v>
      </c>
      <c r="E252" s="23" t="s">
        <v>97</v>
      </c>
      <c r="F252" s="24" t="s">
        <v>50</v>
      </c>
      <c r="G252" s="24" t="s">
        <v>1407</v>
      </c>
      <c r="H252" s="24" t="s">
        <v>2366</v>
      </c>
      <c r="I252" s="24" t="s">
        <v>2967</v>
      </c>
      <c r="J252" s="24" t="s">
        <v>3018</v>
      </c>
      <c r="K252" s="24" t="s">
        <v>3019</v>
      </c>
      <c r="L252" s="24" t="s">
        <v>119</v>
      </c>
      <c r="M252" s="24" t="s">
        <v>3020</v>
      </c>
      <c r="N252" s="24" t="s">
        <v>3021</v>
      </c>
      <c r="O252" s="24" t="s">
        <v>3022</v>
      </c>
      <c r="P252" s="24" t="s">
        <v>3023</v>
      </c>
      <c r="Q252" s="24" t="s">
        <v>3024</v>
      </c>
      <c r="R252" s="24" t="s">
        <v>3025</v>
      </c>
      <c r="S252" s="24" t="s">
        <v>3026</v>
      </c>
      <c r="T252" s="24" t="s">
        <v>3027</v>
      </c>
      <c r="U252" s="24"/>
      <c r="V252" s="24"/>
      <c r="W252" s="24"/>
      <c r="X252" s="24"/>
      <c r="Y252" s="24" t="s">
        <v>3028</v>
      </c>
      <c r="Z252" s="24"/>
      <c r="AA252" s="24"/>
      <c r="AB252" s="25" t="n">
        <v>10</v>
      </c>
      <c r="AC252" s="24" t="s">
        <v>2982</v>
      </c>
      <c r="AD252" s="24"/>
      <c r="AE252" s="24"/>
      <c r="AF252" s="24" t="s">
        <v>115</v>
      </c>
      <c r="AG252" s="24"/>
      <c r="AH252" s="24"/>
      <c r="AI252" s="25" t="n">
        <f aca="false">COUNTIF($B$2:$B$740,B252)</f>
        <v>1</v>
      </c>
    </row>
    <row r="253" customFormat="false" ht="76" hidden="false" customHeight="true" outlineLevel="0" collapsed="false">
      <c r="A253" s="21" t="n">
        <v>252</v>
      </c>
      <c r="B253" s="22" t="s">
        <v>3029</v>
      </c>
      <c r="C253" s="23" t="s">
        <v>9</v>
      </c>
      <c r="D253" s="23" t="s">
        <v>96</v>
      </c>
      <c r="E253" s="23" t="s">
        <v>97</v>
      </c>
      <c r="F253" s="24" t="s">
        <v>59</v>
      </c>
      <c r="G253" s="24" t="s">
        <v>98</v>
      </c>
      <c r="H253" s="24" t="s">
        <v>2366</v>
      </c>
      <c r="I253" s="24" t="s">
        <v>2967</v>
      </c>
      <c r="J253" s="24" t="s">
        <v>3030</v>
      </c>
      <c r="K253" s="24" t="s">
        <v>2919</v>
      </c>
      <c r="L253" s="24" t="s">
        <v>1183</v>
      </c>
      <c r="M253" s="24" t="s">
        <v>3031</v>
      </c>
      <c r="N253" s="24"/>
      <c r="O253" s="24" t="s">
        <v>2979</v>
      </c>
      <c r="P253" s="24" t="s">
        <v>2970</v>
      </c>
      <c r="Q253" s="24" t="s">
        <v>2935</v>
      </c>
      <c r="R253" s="24" t="s">
        <v>3032</v>
      </c>
      <c r="S253" s="24" t="s">
        <v>2925</v>
      </c>
      <c r="T253" s="24" t="s">
        <v>3033</v>
      </c>
      <c r="U253" s="24" t="s">
        <v>183</v>
      </c>
      <c r="V253" s="24"/>
      <c r="W253" s="24" t="s">
        <v>3034</v>
      </c>
      <c r="X253" s="24"/>
      <c r="Y253" s="24" t="s">
        <v>183</v>
      </c>
      <c r="Z253" s="24"/>
      <c r="AA253" s="24"/>
      <c r="AB253" s="25" t="n">
        <v>10</v>
      </c>
      <c r="AC253" s="24" t="s">
        <v>3035</v>
      </c>
      <c r="AD253" s="24"/>
      <c r="AE253" s="24" t="s">
        <v>2983</v>
      </c>
      <c r="AF253" s="24" t="s">
        <v>115</v>
      </c>
      <c r="AG253" s="24"/>
      <c r="AH253" s="24"/>
      <c r="AI253" s="25" t="n">
        <f aca="false">COUNTIF($B$2:$B$740,B253)</f>
        <v>1</v>
      </c>
    </row>
    <row r="254" customFormat="false" ht="76" hidden="false" customHeight="true" outlineLevel="0" collapsed="false">
      <c r="A254" s="21" t="n">
        <v>253</v>
      </c>
      <c r="B254" s="22" t="s">
        <v>3036</v>
      </c>
      <c r="C254" s="23" t="s">
        <v>9</v>
      </c>
      <c r="D254" s="23" t="s">
        <v>96</v>
      </c>
      <c r="E254" s="23" t="s">
        <v>97</v>
      </c>
      <c r="F254" s="24" t="s">
        <v>50</v>
      </c>
      <c r="G254" s="24" t="s">
        <v>1407</v>
      </c>
      <c r="H254" s="24" t="s">
        <v>2366</v>
      </c>
      <c r="I254" s="24" t="s">
        <v>2967</v>
      </c>
      <c r="J254" s="24" t="s">
        <v>3037</v>
      </c>
      <c r="K254" s="24" t="s">
        <v>1118</v>
      </c>
      <c r="L254" s="24" t="s">
        <v>119</v>
      </c>
      <c r="M254" s="24" t="s">
        <v>3038</v>
      </c>
      <c r="N254" s="24" t="s">
        <v>856</v>
      </c>
      <c r="O254" s="24" t="s">
        <v>3039</v>
      </c>
      <c r="P254" s="24" t="s">
        <v>2988</v>
      </c>
      <c r="Q254" s="24" t="s">
        <v>3040</v>
      </c>
      <c r="R254" s="24" t="s">
        <v>3041</v>
      </c>
      <c r="S254" s="24" t="s">
        <v>3042</v>
      </c>
      <c r="T254" s="24" t="s">
        <v>2970</v>
      </c>
      <c r="U254" s="24"/>
      <c r="V254" s="24"/>
      <c r="W254" s="24" t="s">
        <v>3040</v>
      </c>
      <c r="X254" s="24"/>
      <c r="Y254" s="24"/>
      <c r="Z254" s="24"/>
      <c r="AA254" s="24"/>
      <c r="AB254" s="25" t="n">
        <v>10</v>
      </c>
      <c r="AC254" s="24" t="s">
        <v>3035</v>
      </c>
      <c r="AD254" s="24"/>
      <c r="AE254" s="24"/>
      <c r="AF254" s="24" t="s">
        <v>115</v>
      </c>
      <c r="AG254" s="24"/>
      <c r="AH254" s="24"/>
      <c r="AI254" s="25" t="n">
        <f aca="false">COUNTIF($B$2:$B$740,B254)</f>
        <v>1</v>
      </c>
    </row>
    <row r="255" customFormat="false" ht="76" hidden="false" customHeight="true" outlineLevel="0" collapsed="false">
      <c r="A255" s="21" t="n">
        <v>254</v>
      </c>
      <c r="B255" s="22" t="s">
        <v>3043</v>
      </c>
      <c r="C255" s="23" t="s">
        <v>9</v>
      </c>
      <c r="D255" s="23" t="s">
        <v>96</v>
      </c>
      <c r="E255" s="23" t="s">
        <v>97</v>
      </c>
      <c r="F255" s="24" t="s">
        <v>50</v>
      </c>
      <c r="G255" s="24" t="s">
        <v>1407</v>
      </c>
      <c r="H255" s="24" t="s">
        <v>2366</v>
      </c>
      <c r="I255" s="24" t="s">
        <v>2967</v>
      </c>
      <c r="J255" s="24" t="s">
        <v>3044</v>
      </c>
      <c r="K255" s="24" t="s">
        <v>3045</v>
      </c>
      <c r="L255" s="24" t="s">
        <v>119</v>
      </c>
      <c r="M255" s="24" t="s">
        <v>3046</v>
      </c>
      <c r="N255" s="24"/>
      <c r="O255" s="24" t="s">
        <v>3047</v>
      </c>
      <c r="P255" s="24" t="s">
        <v>2970</v>
      </c>
      <c r="Q255" s="24" t="s">
        <v>1671</v>
      </c>
      <c r="R255" s="24" t="s">
        <v>3048</v>
      </c>
      <c r="S255" s="24" t="s">
        <v>3049</v>
      </c>
      <c r="T255" s="24" t="s">
        <v>3050</v>
      </c>
      <c r="U255" s="24" t="s">
        <v>3050</v>
      </c>
      <c r="V255" s="24"/>
      <c r="W255" s="24"/>
      <c r="X255" s="24"/>
      <c r="Y255" s="24"/>
      <c r="Z255" s="24"/>
      <c r="AA255" s="24"/>
      <c r="AB255" s="25" t="n">
        <v>10</v>
      </c>
      <c r="AC255" s="24" t="s">
        <v>3035</v>
      </c>
      <c r="AD255" s="24"/>
      <c r="AE255" s="24"/>
      <c r="AF255" s="24" t="s">
        <v>115</v>
      </c>
      <c r="AG255" s="24"/>
      <c r="AH255" s="24"/>
      <c r="AI255" s="25" t="n">
        <f aca="false">COUNTIF($B$2:$B$740,B255)</f>
        <v>1</v>
      </c>
    </row>
    <row r="256" customFormat="false" ht="76" hidden="false" customHeight="true" outlineLevel="0" collapsed="false">
      <c r="A256" s="21" t="n">
        <v>255</v>
      </c>
      <c r="B256" s="22" t="s">
        <v>3051</v>
      </c>
      <c r="C256" s="23" t="s">
        <v>9</v>
      </c>
      <c r="D256" s="23" t="s">
        <v>96</v>
      </c>
      <c r="E256" s="23" t="s">
        <v>97</v>
      </c>
      <c r="F256" s="24" t="s">
        <v>59</v>
      </c>
      <c r="G256" s="24" t="s">
        <v>98</v>
      </c>
      <c r="H256" s="24" t="s">
        <v>2366</v>
      </c>
      <c r="I256" s="24" t="s">
        <v>3052</v>
      </c>
      <c r="J256" s="24" t="s">
        <v>3053</v>
      </c>
      <c r="K256" s="24" t="s">
        <v>2919</v>
      </c>
      <c r="L256" s="24" t="s">
        <v>119</v>
      </c>
      <c r="M256" s="24" t="s">
        <v>3054</v>
      </c>
      <c r="N256" s="24"/>
      <c r="O256" s="24" t="s">
        <v>2979</v>
      </c>
      <c r="P256" s="24" t="s">
        <v>2970</v>
      </c>
      <c r="Q256" s="24" t="s">
        <v>2935</v>
      </c>
      <c r="R256" s="24" t="s">
        <v>3055</v>
      </c>
      <c r="S256" s="24" t="s">
        <v>2925</v>
      </c>
      <c r="T256" s="24" t="s">
        <v>2970</v>
      </c>
      <c r="U256" s="24"/>
      <c r="V256" s="24"/>
      <c r="W256" s="24" t="s">
        <v>3056</v>
      </c>
      <c r="X256" s="24"/>
      <c r="Y256" s="24"/>
      <c r="Z256" s="24"/>
      <c r="AA256" s="24"/>
      <c r="AB256" s="25" t="n">
        <v>10</v>
      </c>
      <c r="AC256" s="24" t="s">
        <v>3057</v>
      </c>
      <c r="AD256" s="24"/>
      <c r="AE256" s="24" t="s">
        <v>2983</v>
      </c>
      <c r="AF256" s="24" t="s">
        <v>115</v>
      </c>
      <c r="AG256" s="24"/>
      <c r="AH256" s="24"/>
      <c r="AI256" s="25" t="n">
        <f aca="false">COUNTIF($B$2:$B$740,B256)</f>
        <v>1</v>
      </c>
    </row>
    <row r="257" customFormat="false" ht="76" hidden="false" customHeight="true" outlineLevel="0" collapsed="false">
      <c r="A257" s="21" t="n">
        <v>256</v>
      </c>
      <c r="B257" s="22" t="s">
        <v>3058</v>
      </c>
      <c r="C257" s="23" t="s">
        <v>9</v>
      </c>
      <c r="D257" s="23" t="s">
        <v>96</v>
      </c>
      <c r="E257" s="23" t="s">
        <v>97</v>
      </c>
      <c r="F257" s="24" t="s">
        <v>50</v>
      </c>
      <c r="G257" s="24" t="s">
        <v>1407</v>
      </c>
      <c r="H257" s="24" t="s">
        <v>2366</v>
      </c>
      <c r="I257" s="24" t="s">
        <v>3052</v>
      </c>
      <c r="J257" s="24" t="s">
        <v>3059</v>
      </c>
      <c r="K257" s="24" t="s">
        <v>1118</v>
      </c>
      <c r="L257" s="24" t="s">
        <v>119</v>
      </c>
      <c r="M257" s="24" t="s">
        <v>3060</v>
      </c>
      <c r="N257" s="24" t="s">
        <v>856</v>
      </c>
      <c r="O257" s="24" t="s">
        <v>2987</v>
      </c>
      <c r="P257" s="24" t="s">
        <v>2988</v>
      </c>
      <c r="Q257" s="24" t="s">
        <v>3061</v>
      </c>
      <c r="R257" s="24" t="s">
        <v>3062</v>
      </c>
      <c r="S257" s="24" t="s">
        <v>3063</v>
      </c>
      <c r="T257" s="24" t="s">
        <v>2970</v>
      </c>
      <c r="U257" s="24"/>
      <c r="V257" s="24"/>
      <c r="W257" s="24" t="s">
        <v>3061</v>
      </c>
      <c r="X257" s="24"/>
      <c r="Y257" s="24"/>
      <c r="Z257" s="24"/>
      <c r="AA257" s="24"/>
      <c r="AB257" s="25" t="n">
        <v>10</v>
      </c>
      <c r="AC257" s="24" t="s">
        <v>3057</v>
      </c>
      <c r="AD257" s="24"/>
      <c r="AE257" s="24"/>
      <c r="AF257" s="24" t="s">
        <v>115</v>
      </c>
      <c r="AG257" s="24"/>
      <c r="AH257" s="24"/>
      <c r="AI257" s="25" t="n">
        <f aca="false">COUNTIF($B$2:$B$740,B257)</f>
        <v>1</v>
      </c>
    </row>
    <row r="258" customFormat="false" ht="76" hidden="false" customHeight="true" outlineLevel="0" collapsed="false">
      <c r="A258" s="21" t="n">
        <v>257</v>
      </c>
      <c r="B258" s="22" t="s">
        <v>3064</v>
      </c>
      <c r="C258" s="23" t="s">
        <v>9</v>
      </c>
      <c r="D258" s="23" t="s">
        <v>96</v>
      </c>
      <c r="E258" s="23" t="s">
        <v>97</v>
      </c>
      <c r="F258" s="24" t="s">
        <v>59</v>
      </c>
      <c r="G258" s="24" t="s">
        <v>98</v>
      </c>
      <c r="H258" s="24" t="s">
        <v>2366</v>
      </c>
      <c r="I258" s="24" t="s">
        <v>3052</v>
      </c>
      <c r="J258" s="24" t="s">
        <v>3065</v>
      </c>
      <c r="K258" s="24" t="s">
        <v>2919</v>
      </c>
      <c r="L258" s="24" t="s">
        <v>119</v>
      </c>
      <c r="M258" s="24" t="s">
        <v>3066</v>
      </c>
      <c r="N258" s="24"/>
      <c r="O258" s="24" t="s">
        <v>2979</v>
      </c>
      <c r="P258" s="24" t="s">
        <v>2970</v>
      </c>
      <c r="Q258" s="24" t="s">
        <v>2935</v>
      </c>
      <c r="R258" s="24" t="s">
        <v>3067</v>
      </c>
      <c r="S258" s="24" t="s">
        <v>2925</v>
      </c>
      <c r="T258" s="24" t="s">
        <v>3068</v>
      </c>
      <c r="U258" s="24"/>
      <c r="V258" s="24"/>
      <c r="W258" s="24" t="s">
        <v>3069</v>
      </c>
      <c r="X258" s="24"/>
      <c r="Y258" s="24"/>
      <c r="Z258" s="24"/>
      <c r="AA258" s="24"/>
      <c r="AB258" s="25" t="n">
        <v>10</v>
      </c>
      <c r="AC258" s="24" t="s">
        <v>3070</v>
      </c>
      <c r="AD258" s="24"/>
      <c r="AE258" s="24" t="s">
        <v>3071</v>
      </c>
      <c r="AF258" s="24" t="s">
        <v>115</v>
      </c>
      <c r="AG258" s="24"/>
      <c r="AH258" s="24"/>
      <c r="AI258" s="25" t="n">
        <f aca="false">COUNTIF($B$2:$B$740,B258)</f>
        <v>1</v>
      </c>
    </row>
    <row r="259" customFormat="false" ht="76" hidden="false" customHeight="true" outlineLevel="0" collapsed="false">
      <c r="A259" s="21" t="n">
        <v>258</v>
      </c>
      <c r="B259" s="22" t="s">
        <v>3072</v>
      </c>
      <c r="C259" s="23" t="s">
        <v>9</v>
      </c>
      <c r="D259" s="23" t="s">
        <v>96</v>
      </c>
      <c r="E259" s="23" t="s">
        <v>97</v>
      </c>
      <c r="F259" s="24" t="s">
        <v>50</v>
      </c>
      <c r="G259" s="24" t="s">
        <v>1407</v>
      </c>
      <c r="H259" s="24" t="s">
        <v>2366</v>
      </c>
      <c r="I259" s="24" t="s">
        <v>3052</v>
      </c>
      <c r="J259" s="24" t="s">
        <v>3073</v>
      </c>
      <c r="K259" s="24" t="s">
        <v>3074</v>
      </c>
      <c r="L259" s="24" t="s">
        <v>119</v>
      </c>
      <c r="M259" s="24" t="s">
        <v>3075</v>
      </c>
      <c r="N259" s="24" t="s">
        <v>3076</v>
      </c>
      <c r="O259" s="24" t="s">
        <v>2987</v>
      </c>
      <c r="P259" s="24" t="s">
        <v>3077</v>
      </c>
      <c r="Q259" s="24" t="s">
        <v>3078</v>
      </c>
      <c r="R259" s="24" t="s">
        <v>3079</v>
      </c>
      <c r="S259" s="24" t="s">
        <v>3042</v>
      </c>
      <c r="T259" s="24" t="s">
        <v>3080</v>
      </c>
      <c r="U259" s="24"/>
      <c r="V259" s="24"/>
      <c r="W259" s="24" t="s">
        <v>3081</v>
      </c>
      <c r="X259" s="24"/>
      <c r="Y259" s="24"/>
      <c r="Z259" s="24"/>
      <c r="AA259" s="24"/>
      <c r="AB259" s="25" t="n">
        <v>80</v>
      </c>
      <c r="AC259" s="24" t="s">
        <v>3082</v>
      </c>
      <c r="AD259" s="24" t="s">
        <v>3083</v>
      </c>
      <c r="AE259" s="24" t="s">
        <v>3084</v>
      </c>
      <c r="AF259" s="24" t="s">
        <v>168</v>
      </c>
      <c r="AG259" s="24"/>
      <c r="AH259" s="24" t="s">
        <v>941</v>
      </c>
      <c r="AI259" s="25" t="n">
        <f aca="false">COUNTIF($B$2:$B$740,B259)</f>
        <v>1</v>
      </c>
    </row>
    <row r="260" customFormat="false" ht="76" hidden="false" customHeight="true" outlineLevel="0" collapsed="false">
      <c r="A260" s="21" t="n">
        <v>259</v>
      </c>
      <c r="B260" s="22" t="s">
        <v>3085</v>
      </c>
      <c r="C260" s="23" t="s">
        <v>9</v>
      </c>
      <c r="D260" s="23" t="s">
        <v>96</v>
      </c>
      <c r="E260" s="23" t="s">
        <v>97</v>
      </c>
      <c r="F260" s="24" t="s">
        <v>51</v>
      </c>
      <c r="G260" s="24" t="s">
        <v>2404</v>
      </c>
      <c r="H260" s="24" t="s">
        <v>2366</v>
      </c>
      <c r="I260" s="24" t="s">
        <v>3052</v>
      </c>
      <c r="J260" s="24" t="s">
        <v>3086</v>
      </c>
      <c r="K260" s="24" t="s">
        <v>3087</v>
      </c>
      <c r="L260" s="24" t="s">
        <v>119</v>
      </c>
      <c r="M260" s="24" t="s">
        <v>3088</v>
      </c>
      <c r="N260" s="24"/>
      <c r="O260" s="24" t="s">
        <v>3089</v>
      </c>
      <c r="P260" s="24" t="s">
        <v>3090</v>
      </c>
      <c r="Q260" s="24" t="s">
        <v>3091</v>
      </c>
      <c r="R260" s="24" t="s">
        <v>3092</v>
      </c>
      <c r="S260" s="24" t="s">
        <v>3093</v>
      </c>
      <c r="T260" s="24" t="s">
        <v>3094</v>
      </c>
      <c r="U260" s="24"/>
      <c r="V260" s="24"/>
      <c r="W260" s="24" t="s">
        <v>3095</v>
      </c>
      <c r="X260" s="24"/>
      <c r="Y260" s="24"/>
      <c r="Z260" s="24"/>
      <c r="AA260" s="24"/>
      <c r="AB260" s="25" t="n">
        <v>10</v>
      </c>
      <c r="AC260" s="24" t="s">
        <v>3070</v>
      </c>
      <c r="AD260" s="24"/>
      <c r="AE260" s="24"/>
      <c r="AF260" s="24" t="s">
        <v>115</v>
      </c>
      <c r="AG260" s="24"/>
      <c r="AH260" s="24"/>
      <c r="AI260" s="25" t="n">
        <f aca="false">COUNTIF($B$2:$B$740,B260)</f>
        <v>1</v>
      </c>
    </row>
    <row r="261" customFormat="false" ht="76" hidden="false" customHeight="true" outlineLevel="0" collapsed="false">
      <c r="A261" s="21" t="n">
        <v>260</v>
      </c>
      <c r="B261" s="22" t="s">
        <v>3096</v>
      </c>
      <c r="C261" s="23" t="s">
        <v>9</v>
      </c>
      <c r="D261" s="23" t="s">
        <v>96</v>
      </c>
      <c r="E261" s="23" t="s">
        <v>97</v>
      </c>
      <c r="F261" s="24" t="s">
        <v>59</v>
      </c>
      <c r="G261" s="24" t="s">
        <v>98</v>
      </c>
      <c r="H261" s="24" t="s">
        <v>2366</v>
      </c>
      <c r="I261" s="24" t="s">
        <v>3052</v>
      </c>
      <c r="J261" s="24" t="s">
        <v>3097</v>
      </c>
      <c r="K261" s="24" t="s">
        <v>2919</v>
      </c>
      <c r="L261" s="24" t="s">
        <v>119</v>
      </c>
      <c r="M261" s="24" t="s">
        <v>3098</v>
      </c>
      <c r="N261" s="24"/>
      <c r="O261" s="24" t="s">
        <v>2979</v>
      </c>
      <c r="P261" s="24" t="s">
        <v>2970</v>
      </c>
      <c r="Q261" s="24" t="s">
        <v>2935</v>
      </c>
      <c r="R261" s="24" t="s">
        <v>3099</v>
      </c>
      <c r="S261" s="24" t="s">
        <v>2925</v>
      </c>
      <c r="T261" s="24" t="s">
        <v>2970</v>
      </c>
      <c r="U261" s="24"/>
      <c r="V261" s="24"/>
      <c r="W261" s="24" t="s">
        <v>3100</v>
      </c>
      <c r="X261" s="24"/>
      <c r="Y261" s="24"/>
      <c r="Z261" s="24"/>
      <c r="AA261" s="24"/>
      <c r="AB261" s="25" t="n">
        <v>10</v>
      </c>
      <c r="AC261" s="24" t="s">
        <v>3101</v>
      </c>
      <c r="AD261" s="24"/>
      <c r="AE261" s="24" t="s">
        <v>2983</v>
      </c>
      <c r="AF261" s="24" t="s">
        <v>115</v>
      </c>
      <c r="AG261" s="24"/>
      <c r="AH261" s="24"/>
      <c r="AI261" s="25" t="n">
        <f aca="false">COUNTIF($B$2:$B$740,B261)</f>
        <v>1</v>
      </c>
    </row>
    <row r="262" customFormat="false" ht="76" hidden="false" customHeight="true" outlineLevel="0" collapsed="false">
      <c r="A262" s="21" t="n">
        <v>261</v>
      </c>
      <c r="B262" s="22" t="s">
        <v>3102</v>
      </c>
      <c r="C262" s="23" t="s">
        <v>9</v>
      </c>
      <c r="D262" s="23" t="s">
        <v>96</v>
      </c>
      <c r="E262" s="23" t="s">
        <v>97</v>
      </c>
      <c r="F262" s="24" t="s">
        <v>50</v>
      </c>
      <c r="G262" s="24" t="s">
        <v>1407</v>
      </c>
      <c r="H262" s="24" t="s">
        <v>2366</v>
      </c>
      <c r="I262" s="24" t="s">
        <v>3052</v>
      </c>
      <c r="J262" s="24" t="s">
        <v>3103</v>
      </c>
      <c r="K262" s="24" t="s">
        <v>1118</v>
      </c>
      <c r="L262" s="24" t="s">
        <v>119</v>
      </c>
      <c r="M262" s="24" t="s">
        <v>3104</v>
      </c>
      <c r="N262" s="24" t="s">
        <v>856</v>
      </c>
      <c r="O262" s="24" t="s">
        <v>3105</v>
      </c>
      <c r="P262" s="24" t="s">
        <v>2988</v>
      </c>
      <c r="Q262" s="24" t="s">
        <v>3106</v>
      </c>
      <c r="R262" s="24" t="s">
        <v>3107</v>
      </c>
      <c r="S262" s="24" t="s">
        <v>2991</v>
      </c>
      <c r="T262" s="24" t="s">
        <v>2970</v>
      </c>
      <c r="U262" s="24"/>
      <c r="V262" s="24"/>
      <c r="W262" s="24" t="s">
        <v>3106</v>
      </c>
      <c r="X262" s="24"/>
      <c r="Y262" s="24"/>
      <c r="Z262" s="24"/>
      <c r="AA262" s="24"/>
      <c r="AB262" s="25" t="n">
        <v>10</v>
      </c>
      <c r="AC262" s="24" t="s">
        <v>3101</v>
      </c>
      <c r="AD262" s="24"/>
      <c r="AE262" s="24"/>
      <c r="AF262" s="24" t="s">
        <v>115</v>
      </c>
      <c r="AG262" s="24"/>
      <c r="AH262" s="24"/>
      <c r="AI262" s="25" t="n">
        <f aca="false">COUNTIF($B$2:$B$740,B262)</f>
        <v>1</v>
      </c>
    </row>
    <row r="263" customFormat="false" ht="76" hidden="false" customHeight="true" outlineLevel="0" collapsed="false">
      <c r="A263" s="21" t="n">
        <v>262</v>
      </c>
      <c r="B263" s="22" t="s">
        <v>3108</v>
      </c>
      <c r="C263" s="23" t="s">
        <v>9</v>
      </c>
      <c r="D263" s="23" t="s">
        <v>96</v>
      </c>
      <c r="E263" s="23" t="s">
        <v>97</v>
      </c>
      <c r="F263" s="24" t="s">
        <v>51</v>
      </c>
      <c r="G263" s="24" t="s">
        <v>2404</v>
      </c>
      <c r="H263" s="24" t="s">
        <v>2366</v>
      </c>
      <c r="I263" s="24" t="s">
        <v>3052</v>
      </c>
      <c r="J263" s="24" t="s">
        <v>3109</v>
      </c>
      <c r="K263" s="24" t="s">
        <v>3110</v>
      </c>
      <c r="L263" s="24" t="s">
        <v>119</v>
      </c>
      <c r="M263" s="24" t="s">
        <v>3111</v>
      </c>
      <c r="N263" s="24" t="s">
        <v>3112</v>
      </c>
      <c r="O263" s="24" t="s">
        <v>3113</v>
      </c>
      <c r="P263" s="24" t="s">
        <v>3114</v>
      </c>
      <c r="Q263" s="24" t="s">
        <v>3115</v>
      </c>
      <c r="R263" s="24" t="s">
        <v>3116</v>
      </c>
      <c r="S263" s="24" t="s">
        <v>3117</v>
      </c>
      <c r="T263" s="24" t="s">
        <v>3118</v>
      </c>
      <c r="U263" s="24"/>
      <c r="V263" s="24"/>
      <c r="W263" s="24" t="s">
        <v>3119</v>
      </c>
      <c r="X263" s="24"/>
      <c r="Y263" s="24"/>
      <c r="Z263" s="24"/>
      <c r="AA263" s="24"/>
      <c r="AB263" s="25" t="n">
        <v>10</v>
      </c>
      <c r="AC263" s="24" t="s">
        <v>3101</v>
      </c>
      <c r="AD263" s="24"/>
      <c r="AE263" s="24"/>
      <c r="AF263" s="24" t="s">
        <v>115</v>
      </c>
      <c r="AG263" s="24"/>
      <c r="AH263" s="24"/>
      <c r="AI263" s="25" t="n">
        <f aca="false">COUNTIF($B$2:$B$740,B263)</f>
        <v>1</v>
      </c>
    </row>
    <row r="264" customFormat="false" ht="76" hidden="false" customHeight="true" outlineLevel="0" collapsed="false">
      <c r="A264" s="21" t="n">
        <v>263</v>
      </c>
      <c r="B264" s="22" t="s">
        <v>3120</v>
      </c>
      <c r="C264" s="23" t="s">
        <v>9</v>
      </c>
      <c r="D264" s="23" t="s">
        <v>96</v>
      </c>
      <c r="E264" s="23" t="s">
        <v>97</v>
      </c>
      <c r="F264" s="24" t="s">
        <v>51</v>
      </c>
      <c r="G264" s="24" t="s">
        <v>2404</v>
      </c>
      <c r="H264" s="24" t="s">
        <v>2366</v>
      </c>
      <c r="I264" s="24" t="s">
        <v>3052</v>
      </c>
      <c r="J264" s="24" t="s">
        <v>3121</v>
      </c>
      <c r="K264" s="24" t="s">
        <v>3122</v>
      </c>
      <c r="L264" s="24" t="s">
        <v>119</v>
      </c>
      <c r="M264" s="24" t="s">
        <v>3104</v>
      </c>
      <c r="N264" s="24" t="s">
        <v>3123</v>
      </c>
      <c r="O264" s="24" t="s">
        <v>3124</v>
      </c>
      <c r="P264" s="24" t="s">
        <v>3125</v>
      </c>
      <c r="Q264" s="24" t="s">
        <v>3126</v>
      </c>
      <c r="R264" s="24" t="s">
        <v>3127</v>
      </c>
      <c r="S264" s="24" t="s">
        <v>3128</v>
      </c>
      <c r="T264" s="24" t="s">
        <v>3129</v>
      </c>
      <c r="U264" s="24"/>
      <c r="V264" s="24"/>
      <c r="W264" s="24" t="s">
        <v>3126</v>
      </c>
      <c r="X264" s="24"/>
      <c r="Y264" s="24" t="s">
        <v>3130</v>
      </c>
      <c r="Z264" s="24"/>
      <c r="AA264" s="24"/>
      <c r="AB264" s="25" t="n">
        <v>10</v>
      </c>
      <c r="AC264" s="24" t="s">
        <v>3101</v>
      </c>
      <c r="AD264" s="24"/>
      <c r="AE264" s="24"/>
      <c r="AF264" s="24" t="s">
        <v>115</v>
      </c>
      <c r="AG264" s="24"/>
      <c r="AH264" s="24"/>
      <c r="AI264" s="25" t="n">
        <f aca="false">COUNTIF($B$2:$B$740,B264)</f>
        <v>1</v>
      </c>
    </row>
    <row r="265" customFormat="false" ht="76" hidden="false" customHeight="true" outlineLevel="0" collapsed="false">
      <c r="A265" s="21" t="n">
        <v>264</v>
      </c>
      <c r="B265" s="22" t="s">
        <v>3131</v>
      </c>
      <c r="C265" s="23" t="s">
        <v>9</v>
      </c>
      <c r="D265" s="23" t="s">
        <v>96</v>
      </c>
      <c r="E265" s="23" t="s">
        <v>97</v>
      </c>
      <c r="F265" s="24" t="s">
        <v>59</v>
      </c>
      <c r="G265" s="24" t="s">
        <v>98</v>
      </c>
      <c r="H265" s="24" t="s">
        <v>2366</v>
      </c>
      <c r="I265" s="24" t="s">
        <v>3132</v>
      </c>
      <c r="J265" s="24" t="s">
        <v>3133</v>
      </c>
      <c r="K265" s="24" t="s">
        <v>2919</v>
      </c>
      <c r="L265" s="24" t="s">
        <v>119</v>
      </c>
      <c r="M265" s="24" t="s">
        <v>3134</v>
      </c>
      <c r="N265" s="24"/>
      <c r="O265" s="24" t="s">
        <v>3135</v>
      </c>
      <c r="P265" s="24" t="s">
        <v>2970</v>
      </c>
      <c r="Q265" s="24" t="s">
        <v>3136</v>
      </c>
      <c r="R265" s="24" t="s">
        <v>3137</v>
      </c>
      <c r="S265" s="24" t="s">
        <v>3138</v>
      </c>
      <c r="T265" s="24" t="s">
        <v>3139</v>
      </c>
      <c r="U265" s="24"/>
      <c r="V265" s="24"/>
      <c r="W265" s="24" t="s">
        <v>3140</v>
      </c>
      <c r="X265" s="24"/>
      <c r="Y265" s="24"/>
      <c r="Z265" s="24"/>
      <c r="AA265" s="24"/>
      <c r="AB265" s="25" t="n">
        <v>80</v>
      </c>
      <c r="AC265" s="24" t="s">
        <v>3141</v>
      </c>
      <c r="AD265" s="24" t="s">
        <v>955</v>
      </c>
      <c r="AE265" s="24" t="s">
        <v>3142</v>
      </c>
      <c r="AF265" s="24" t="s">
        <v>168</v>
      </c>
      <c r="AG265" s="24"/>
      <c r="AH265" s="24" t="s">
        <v>941</v>
      </c>
      <c r="AI265" s="25" t="n">
        <f aca="false">COUNTIF($B$2:$B$740,B265)</f>
        <v>1</v>
      </c>
    </row>
    <row r="266" customFormat="false" ht="76" hidden="false" customHeight="true" outlineLevel="0" collapsed="false">
      <c r="A266" s="21" t="n">
        <v>265</v>
      </c>
      <c r="B266" s="22" t="s">
        <v>3143</v>
      </c>
      <c r="C266" s="23" t="s">
        <v>9</v>
      </c>
      <c r="D266" s="23" t="s">
        <v>96</v>
      </c>
      <c r="E266" s="23" t="s">
        <v>97</v>
      </c>
      <c r="F266" s="24" t="s">
        <v>50</v>
      </c>
      <c r="G266" s="24" t="s">
        <v>1407</v>
      </c>
      <c r="H266" s="24" t="s">
        <v>2366</v>
      </c>
      <c r="I266" s="24" t="s">
        <v>3132</v>
      </c>
      <c r="J266" s="24" t="s">
        <v>3144</v>
      </c>
      <c r="K266" s="24" t="s">
        <v>3145</v>
      </c>
      <c r="L266" s="24" t="s">
        <v>119</v>
      </c>
      <c r="M266" s="24" t="s">
        <v>3146</v>
      </c>
      <c r="N266" s="24" t="s">
        <v>856</v>
      </c>
      <c r="O266" s="24" t="s">
        <v>3147</v>
      </c>
      <c r="P266" s="24" t="s">
        <v>3148</v>
      </c>
      <c r="Q266" s="24" t="s">
        <v>3149</v>
      </c>
      <c r="R266" s="24" t="s">
        <v>3107</v>
      </c>
      <c r="S266" s="24" t="s">
        <v>3150</v>
      </c>
      <c r="T266" s="24" t="s">
        <v>3151</v>
      </c>
      <c r="U266" s="24"/>
      <c r="V266" s="24"/>
      <c r="W266" s="24" t="s">
        <v>3149</v>
      </c>
      <c r="X266" s="24"/>
      <c r="Y266" s="24"/>
      <c r="Z266" s="24"/>
      <c r="AA266" s="24"/>
      <c r="AB266" s="25" t="n">
        <v>10</v>
      </c>
      <c r="AC266" s="24" t="s">
        <v>3152</v>
      </c>
      <c r="AD266" s="24"/>
      <c r="AE266" s="24" t="s">
        <v>3153</v>
      </c>
      <c r="AF266" s="24" t="s">
        <v>115</v>
      </c>
      <c r="AG266" s="24"/>
      <c r="AH266" s="24"/>
      <c r="AI266" s="25" t="n">
        <f aca="false">COUNTIF($B$2:$B$740,B266)</f>
        <v>1</v>
      </c>
    </row>
    <row r="267" customFormat="false" ht="76" hidden="false" customHeight="true" outlineLevel="0" collapsed="false">
      <c r="A267" s="21" t="n">
        <v>266</v>
      </c>
      <c r="B267" s="22" t="s">
        <v>3153</v>
      </c>
      <c r="C267" s="23" t="s">
        <v>9</v>
      </c>
      <c r="D267" s="23" t="s">
        <v>96</v>
      </c>
      <c r="E267" s="23" t="s">
        <v>97</v>
      </c>
      <c r="F267" s="24" t="s">
        <v>50</v>
      </c>
      <c r="G267" s="24" t="s">
        <v>1407</v>
      </c>
      <c r="H267" s="24" t="s">
        <v>2366</v>
      </c>
      <c r="I267" s="24" t="s">
        <v>3132</v>
      </c>
      <c r="J267" s="24" t="s">
        <v>3154</v>
      </c>
      <c r="K267" s="24" t="s">
        <v>3155</v>
      </c>
      <c r="L267" s="24" t="s">
        <v>119</v>
      </c>
      <c r="M267" s="24" t="s">
        <v>3146</v>
      </c>
      <c r="N267" s="24" t="s">
        <v>3156</v>
      </c>
      <c r="O267" s="24" t="s">
        <v>3157</v>
      </c>
      <c r="P267" s="24" t="s">
        <v>3158</v>
      </c>
      <c r="Q267" s="24" t="s">
        <v>3159</v>
      </c>
      <c r="R267" s="24" t="s">
        <v>3160</v>
      </c>
      <c r="S267" s="24" t="s">
        <v>3161</v>
      </c>
      <c r="T267" s="24" t="s">
        <v>3162</v>
      </c>
      <c r="U267" s="24"/>
      <c r="V267" s="24"/>
      <c r="W267" s="24"/>
      <c r="X267" s="24"/>
      <c r="Y267" s="24"/>
      <c r="Z267" s="24"/>
      <c r="AA267" s="24"/>
      <c r="AB267" s="25" t="n">
        <v>10</v>
      </c>
      <c r="AC267" s="24" t="s">
        <v>3152</v>
      </c>
      <c r="AD267" s="24"/>
      <c r="AE267" s="24"/>
      <c r="AF267" s="24" t="s">
        <v>115</v>
      </c>
      <c r="AG267" s="24"/>
      <c r="AH267" s="24"/>
      <c r="AI267" s="25" t="n">
        <f aca="false">COUNTIF($B$2:$B$740,B267)</f>
        <v>1</v>
      </c>
    </row>
    <row r="268" customFormat="false" ht="76" hidden="false" customHeight="true" outlineLevel="0" collapsed="false">
      <c r="A268" s="21" t="n">
        <v>267</v>
      </c>
      <c r="B268" s="22" t="s">
        <v>3163</v>
      </c>
      <c r="C268" s="23" t="s">
        <v>9</v>
      </c>
      <c r="D268" s="23" t="s">
        <v>96</v>
      </c>
      <c r="E268" s="23" t="s">
        <v>97</v>
      </c>
      <c r="F268" s="24" t="s">
        <v>51</v>
      </c>
      <c r="G268" s="24" t="s">
        <v>2404</v>
      </c>
      <c r="H268" s="24" t="s">
        <v>2366</v>
      </c>
      <c r="I268" s="24" t="s">
        <v>3132</v>
      </c>
      <c r="J268" s="24" t="s">
        <v>3164</v>
      </c>
      <c r="K268" s="24" t="s">
        <v>3165</v>
      </c>
      <c r="L268" s="24" t="s">
        <v>119</v>
      </c>
      <c r="M268" s="24" t="s">
        <v>232</v>
      </c>
      <c r="N268" s="24" t="s">
        <v>3166</v>
      </c>
      <c r="O268" s="24" t="s">
        <v>3167</v>
      </c>
      <c r="P268" s="24" t="s">
        <v>3168</v>
      </c>
      <c r="Q268" s="24" t="s">
        <v>3169</v>
      </c>
      <c r="R268" s="24" t="s">
        <v>3170</v>
      </c>
      <c r="S268" s="24" t="s">
        <v>3171</v>
      </c>
      <c r="T268" s="24" t="s">
        <v>3172</v>
      </c>
      <c r="U268" s="24"/>
      <c r="V268" s="24" t="s">
        <v>3171</v>
      </c>
      <c r="W268" s="24" t="s">
        <v>3169</v>
      </c>
      <c r="X268" s="24"/>
      <c r="Y268" s="24"/>
      <c r="Z268" s="24"/>
      <c r="AA268" s="24"/>
      <c r="AB268" s="25" t="n">
        <v>80</v>
      </c>
      <c r="AC268" s="24" t="s">
        <v>3141</v>
      </c>
      <c r="AD268" s="24" t="s">
        <v>955</v>
      </c>
      <c r="AE268" s="24" t="s">
        <v>3173</v>
      </c>
      <c r="AF268" s="24" t="s">
        <v>168</v>
      </c>
      <c r="AG268" s="24"/>
      <c r="AH268" s="24" t="s">
        <v>941</v>
      </c>
      <c r="AI268" s="25" t="n">
        <f aca="false">COUNTIF($B$2:$B$740,B268)</f>
        <v>1</v>
      </c>
    </row>
    <row r="269" customFormat="false" ht="76" hidden="false" customHeight="true" outlineLevel="0" collapsed="false">
      <c r="A269" s="21" t="n">
        <v>268</v>
      </c>
      <c r="B269" s="22" t="s">
        <v>3174</v>
      </c>
      <c r="C269" s="23" t="s">
        <v>9</v>
      </c>
      <c r="D269" s="23" t="s">
        <v>96</v>
      </c>
      <c r="E269" s="23" t="s">
        <v>97</v>
      </c>
      <c r="F269" s="24" t="s">
        <v>50</v>
      </c>
      <c r="G269" s="24" t="s">
        <v>1407</v>
      </c>
      <c r="H269" s="24" t="s">
        <v>2366</v>
      </c>
      <c r="I269" s="24" t="s">
        <v>3132</v>
      </c>
      <c r="J269" s="24" t="s">
        <v>3175</v>
      </c>
      <c r="K269" s="24" t="s">
        <v>3176</v>
      </c>
      <c r="L269" s="24" t="s">
        <v>119</v>
      </c>
      <c r="M269" s="24" t="s">
        <v>3177</v>
      </c>
      <c r="N269" s="24" t="s">
        <v>3178</v>
      </c>
      <c r="O269" s="24" t="s">
        <v>3179</v>
      </c>
      <c r="P269" s="24" t="s">
        <v>3180</v>
      </c>
      <c r="Q269" s="24" t="s">
        <v>3181</v>
      </c>
      <c r="R269" s="24" t="s">
        <v>3182</v>
      </c>
      <c r="S269" s="24" t="s">
        <v>3183</v>
      </c>
      <c r="T269" s="24" t="s">
        <v>3184</v>
      </c>
      <c r="U269" s="24" t="s">
        <v>3185</v>
      </c>
      <c r="V269" s="24"/>
      <c r="W269" s="24" t="s">
        <v>3186</v>
      </c>
      <c r="X269" s="24"/>
      <c r="Y269" s="24"/>
      <c r="Z269" s="24"/>
      <c r="AA269" s="24"/>
      <c r="AB269" s="25" t="n">
        <v>10</v>
      </c>
      <c r="AC269" s="24" t="s">
        <v>3152</v>
      </c>
      <c r="AD269" s="24"/>
      <c r="AE269" s="24"/>
      <c r="AF269" s="24" t="s">
        <v>115</v>
      </c>
      <c r="AG269" s="24"/>
      <c r="AH269" s="24"/>
      <c r="AI269" s="25" t="n">
        <f aca="false">COUNTIF($B$2:$B$740,B269)</f>
        <v>1</v>
      </c>
    </row>
    <row r="270" customFormat="false" ht="76" hidden="false" customHeight="true" outlineLevel="0" collapsed="false">
      <c r="A270" s="21" t="n">
        <v>269</v>
      </c>
      <c r="B270" s="22" t="s">
        <v>3187</v>
      </c>
      <c r="C270" s="23" t="s">
        <v>9</v>
      </c>
      <c r="D270" s="23" t="s">
        <v>96</v>
      </c>
      <c r="E270" s="23" t="s">
        <v>97</v>
      </c>
      <c r="F270" s="24" t="s">
        <v>59</v>
      </c>
      <c r="G270" s="24" t="s">
        <v>98</v>
      </c>
      <c r="H270" s="24" t="s">
        <v>2366</v>
      </c>
      <c r="I270" s="24" t="s">
        <v>3132</v>
      </c>
      <c r="J270" s="24" t="s">
        <v>3188</v>
      </c>
      <c r="K270" s="24" t="s">
        <v>2919</v>
      </c>
      <c r="L270" s="24" t="s">
        <v>119</v>
      </c>
      <c r="M270" s="24" t="s">
        <v>3189</v>
      </c>
      <c r="N270" s="24"/>
      <c r="O270" s="24" t="s">
        <v>2979</v>
      </c>
      <c r="P270" s="24" t="s">
        <v>2970</v>
      </c>
      <c r="Q270" s="24" t="s">
        <v>2935</v>
      </c>
      <c r="R270" s="24" t="s">
        <v>3190</v>
      </c>
      <c r="S270" s="24" t="s">
        <v>2925</v>
      </c>
      <c r="T270" s="24" t="s">
        <v>2970</v>
      </c>
      <c r="U270" s="24"/>
      <c r="V270" s="24"/>
      <c r="W270" s="24" t="s">
        <v>3191</v>
      </c>
      <c r="X270" s="24"/>
      <c r="Y270" s="24"/>
      <c r="Z270" s="24"/>
      <c r="AA270" s="24"/>
      <c r="AB270" s="25" t="n">
        <v>10</v>
      </c>
      <c r="AC270" s="24" t="s">
        <v>3192</v>
      </c>
      <c r="AD270" s="24"/>
      <c r="AE270" s="24" t="s">
        <v>2983</v>
      </c>
      <c r="AF270" s="24" t="s">
        <v>115</v>
      </c>
      <c r="AG270" s="24"/>
      <c r="AH270" s="24"/>
      <c r="AI270" s="25" t="n">
        <f aca="false">COUNTIF($B$2:$B$740,B270)</f>
        <v>1</v>
      </c>
    </row>
    <row r="271" customFormat="false" ht="76" hidden="false" customHeight="true" outlineLevel="0" collapsed="false">
      <c r="A271" s="21" t="n">
        <v>270</v>
      </c>
      <c r="B271" s="22" t="s">
        <v>3193</v>
      </c>
      <c r="C271" s="23" t="s">
        <v>9</v>
      </c>
      <c r="D271" s="23" t="s">
        <v>96</v>
      </c>
      <c r="E271" s="23" t="s">
        <v>97</v>
      </c>
      <c r="F271" s="24" t="s">
        <v>50</v>
      </c>
      <c r="G271" s="24" t="s">
        <v>1407</v>
      </c>
      <c r="H271" s="24" t="s">
        <v>2366</v>
      </c>
      <c r="I271" s="24" t="s">
        <v>3132</v>
      </c>
      <c r="J271" s="24" t="s">
        <v>3194</v>
      </c>
      <c r="K271" s="24" t="s">
        <v>1118</v>
      </c>
      <c r="L271" s="24" t="s">
        <v>119</v>
      </c>
      <c r="M271" s="24" t="s">
        <v>3195</v>
      </c>
      <c r="N271" s="24" t="s">
        <v>856</v>
      </c>
      <c r="O271" s="24" t="s">
        <v>3196</v>
      </c>
      <c r="P271" s="24" t="s">
        <v>2988</v>
      </c>
      <c r="Q271" s="24" t="s">
        <v>3197</v>
      </c>
      <c r="R271" s="24" t="s">
        <v>3107</v>
      </c>
      <c r="S271" s="24" t="s">
        <v>2991</v>
      </c>
      <c r="T271" s="24" t="s">
        <v>2970</v>
      </c>
      <c r="U271" s="24"/>
      <c r="V271" s="24"/>
      <c r="W271" s="24" t="s">
        <v>3197</v>
      </c>
      <c r="X271" s="24"/>
      <c r="Y271" s="24"/>
      <c r="Z271" s="24"/>
      <c r="AA271" s="24"/>
      <c r="AB271" s="25" t="n">
        <v>10</v>
      </c>
      <c r="AC271" s="24" t="s">
        <v>3192</v>
      </c>
      <c r="AD271" s="24"/>
      <c r="AE271" s="24"/>
      <c r="AF271" s="24" t="s">
        <v>115</v>
      </c>
      <c r="AG271" s="24"/>
      <c r="AH271" s="24"/>
      <c r="AI271" s="25" t="n">
        <f aca="false">COUNTIF($B$2:$B$740,B271)</f>
        <v>1</v>
      </c>
    </row>
    <row r="272" customFormat="false" ht="76" hidden="false" customHeight="true" outlineLevel="0" collapsed="false">
      <c r="A272" s="21" t="n">
        <v>271</v>
      </c>
      <c r="B272" s="22" t="s">
        <v>3198</v>
      </c>
      <c r="C272" s="23" t="s">
        <v>9</v>
      </c>
      <c r="D272" s="23" t="s">
        <v>96</v>
      </c>
      <c r="E272" s="23" t="s">
        <v>97</v>
      </c>
      <c r="F272" s="24" t="s">
        <v>50</v>
      </c>
      <c r="G272" s="24" t="s">
        <v>1407</v>
      </c>
      <c r="H272" s="24" t="s">
        <v>2366</v>
      </c>
      <c r="I272" s="24" t="s">
        <v>3132</v>
      </c>
      <c r="J272" s="24" t="s">
        <v>3199</v>
      </c>
      <c r="K272" s="24" t="s">
        <v>3200</v>
      </c>
      <c r="L272" s="24" t="s">
        <v>119</v>
      </c>
      <c r="M272" s="24" t="s">
        <v>3195</v>
      </c>
      <c r="N272" s="24" t="s">
        <v>3201</v>
      </c>
      <c r="O272" s="24" t="s">
        <v>3202</v>
      </c>
      <c r="P272" s="24" t="s">
        <v>3203</v>
      </c>
      <c r="Q272" s="24" t="s">
        <v>3204</v>
      </c>
      <c r="R272" s="24" t="s">
        <v>3205</v>
      </c>
      <c r="S272" s="24" t="s">
        <v>3206</v>
      </c>
      <c r="T272" s="24" t="s">
        <v>3207</v>
      </c>
      <c r="U272" s="24"/>
      <c r="V272" s="24"/>
      <c r="W272" s="24"/>
      <c r="X272" s="24"/>
      <c r="Y272" s="24"/>
      <c r="Z272" s="24"/>
      <c r="AA272" s="24"/>
      <c r="AB272" s="25" t="n">
        <v>10</v>
      </c>
      <c r="AC272" s="24" t="s">
        <v>3192</v>
      </c>
      <c r="AD272" s="24"/>
      <c r="AE272" s="24"/>
      <c r="AF272" s="24" t="s">
        <v>115</v>
      </c>
      <c r="AG272" s="24"/>
      <c r="AH272" s="24"/>
      <c r="AI272" s="25" t="n">
        <f aca="false">COUNTIF($B$2:$B$740,B272)</f>
        <v>1</v>
      </c>
    </row>
    <row r="273" customFormat="false" ht="76" hidden="false" customHeight="true" outlineLevel="0" collapsed="false">
      <c r="A273" s="21" t="n">
        <v>272</v>
      </c>
      <c r="B273" s="22" t="s">
        <v>3208</v>
      </c>
      <c r="C273" s="23" t="s">
        <v>9</v>
      </c>
      <c r="D273" s="23" t="s">
        <v>96</v>
      </c>
      <c r="E273" s="23" t="s">
        <v>97</v>
      </c>
      <c r="F273" s="24" t="s">
        <v>50</v>
      </c>
      <c r="G273" s="24" t="s">
        <v>1407</v>
      </c>
      <c r="H273" s="24" t="s">
        <v>2366</v>
      </c>
      <c r="I273" s="24" t="s">
        <v>3132</v>
      </c>
      <c r="J273" s="24" t="s">
        <v>3209</v>
      </c>
      <c r="K273" s="24" t="s">
        <v>3210</v>
      </c>
      <c r="L273" s="24" t="s">
        <v>119</v>
      </c>
      <c r="M273" s="24" t="s">
        <v>3195</v>
      </c>
      <c r="N273" s="24" t="s">
        <v>3211</v>
      </c>
      <c r="O273" s="24" t="s">
        <v>3212</v>
      </c>
      <c r="P273" s="24" t="s">
        <v>3213</v>
      </c>
      <c r="Q273" s="24" t="s">
        <v>3214</v>
      </c>
      <c r="R273" s="24" t="s">
        <v>3215</v>
      </c>
      <c r="S273" s="24" t="s">
        <v>3216</v>
      </c>
      <c r="T273" s="24" t="s">
        <v>3217</v>
      </c>
      <c r="U273" s="24"/>
      <c r="V273" s="24"/>
      <c r="W273" s="24" t="s">
        <v>3214</v>
      </c>
      <c r="X273" s="24"/>
      <c r="Y273" s="24"/>
      <c r="Z273" s="24"/>
      <c r="AA273" s="24"/>
      <c r="AB273" s="25" t="n">
        <v>10</v>
      </c>
      <c r="AC273" s="24" t="s">
        <v>3192</v>
      </c>
      <c r="AD273" s="24"/>
      <c r="AE273" s="24"/>
      <c r="AF273" s="24" t="s">
        <v>115</v>
      </c>
      <c r="AG273" s="24"/>
      <c r="AH273" s="24"/>
      <c r="AI273" s="25" t="n">
        <f aca="false">COUNTIF($B$2:$B$740,B273)</f>
        <v>1</v>
      </c>
    </row>
    <row r="274" customFormat="false" ht="76" hidden="false" customHeight="true" outlineLevel="0" collapsed="false">
      <c r="A274" s="21" t="n">
        <v>273</v>
      </c>
      <c r="B274" s="22" t="s">
        <v>3218</v>
      </c>
      <c r="C274" s="23" t="s">
        <v>9</v>
      </c>
      <c r="D274" s="23" t="s">
        <v>96</v>
      </c>
      <c r="E274" s="23" t="s">
        <v>97</v>
      </c>
      <c r="F274" s="24" t="s">
        <v>59</v>
      </c>
      <c r="G274" s="24" t="s">
        <v>98</v>
      </c>
      <c r="H274" s="24" t="s">
        <v>2366</v>
      </c>
      <c r="I274" s="24" t="s">
        <v>3132</v>
      </c>
      <c r="J274" s="24" t="s">
        <v>3219</v>
      </c>
      <c r="K274" s="24" t="s">
        <v>2919</v>
      </c>
      <c r="L274" s="24" t="s">
        <v>119</v>
      </c>
      <c r="M274" s="24" t="s">
        <v>3220</v>
      </c>
      <c r="N274" s="24"/>
      <c r="O274" s="24" t="s">
        <v>2979</v>
      </c>
      <c r="P274" s="24" t="s">
        <v>2970</v>
      </c>
      <c r="Q274" s="24" t="s">
        <v>2935</v>
      </c>
      <c r="R274" s="24" t="s">
        <v>3221</v>
      </c>
      <c r="S274" s="24" t="s">
        <v>2925</v>
      </c>
      <c r="T274" s="24" t="s">
        <v>2970</v>
      </c>
      <c r="U274" s="24"/>
      <c r="V274" s="24"/>
      <c r="W274" s="24" t="s">
        <v>3222</v>
      </c>
      <c r="X274" s="24"/>
      <c r="Y274" s="24"/>
      <c r="Z274" s="24"/>
      <c r="AA274" s="24"/>
      <c r="AB274" s="25" t="n">
        <v>10</v>
      </c>
      <c r="AC274" s="24" t="s">
        <v>3223</v>
      </c>
      <c r="AD274" s="24"/>
      <c r="AE274" s="24" t="s">
        <v>2983</v>
      </c>
      <c r="AF274" s="24" t="s">
        <v>115</v>
      </c>
      <c r="AG274" s="24"/>
      <c r="AH274" s="24"/>
      <c r="AI274" s="25" t="n">
        <f aca="false">COUNTIF($B$2:$B$740,B274)</f>
        <v>1</v>
      </c>
    </row>
    <row r="275" customFormat="false" ht="76" hidden="false" customHeight="true" outlineLevel="0" collapsed="false">
      <c r="A275" s="21" t="n">
        <v>274</v>
      </c>
      <c r="B275" s="22" t="s">
        <v>3224</v>
      </c>
      <c r="C275" s="23" t="s">
        <v>9</v>
      </c>
      <c r="D275" s="23" t="s">
        <v>96</v>
      </c>
      <c r="E275" s="23" t="s">
        <v>97</v>
      </c>
      <c r="F275" s="24" t="s">
        <v>50</v>
      </c>
      <c r="G275" s="24" t="s">
        <v>1407</v>
      </c>
      <c r="H275" s="24" t="s">
        <v>2366</v>
      </c>
      <c r="I275" s="24" t="s">
        <v>3132</v>
      </c>
      <c r="J275" s="24" t="s">
        <v>3225</v>
      </c>
      <c r="K275" s="24" t="s">
        <v>1118</v>
      </c>
      <c r="L275" s="24" t="s">
        <v>119</v>
      </c>
      <c r="M275" s="24" t="s">
        <v>3226</v>
      </c>
      <c r="N275" s="24" t="s">
        <v>856</v>
      </c>
      <c r="O275" s="24" t="s">
        <v>3039</v>
      </c>
      <c r="P275" s="24" t="s">
        <v>2988</v>
      </c>
      <c r="Q275" s="24" t="s">
        <v>3227</v>
      </c>
      <c r="R275" s="24" t="s">
        <v>3107</v>
      </c>
      <c r="S275" s="24" t="s">
        <v>3228</v>
      </c>
      <c r="T275" s="24" t="s">
        <v>2970</v>
      </c>
      <c r="U275" s="24"/>
      <c r="V275" s="24"/>
      <c r="W275" s="24" t="s">
        <v>3227</v>
      </c>
      <c r="X275" s="24"/>
      <c r="Y275" s="24"/>
      <c r="Z275" s="24"/>
      <c r="AA275" s="24"/>
      <c r="AB275" s="25" t="n">
        <v>10</v>
      </c>
      <c r="AC275" s="24" t="s">
        <v>3223</v>
      </c>
      <c r="AD275" s="24"/>
      <c r="AE275" s="24"/>
      <c r="AF275" s="24" t="s">
        <v>115</v>
      </c>
      <c r="AG275" s="24"/>
      <c r="AH275" s="24"/>
      <c r="AI275" s="25" t="n">
        <f aca="false">COUNTIF($B$2:$B$740,B275)</f>
        <v>1</v>
      </c>
    </row>
    <row r="276" customFormat="false" ht="76" hidden="false" customHeight="true" outlineLevel="0" collapsed="false">
      <c r="A276" s="21" t="n">
        <v>275</v>
      </c>
      <c r="B276" s="22" t="s">
        <v>3229</v>
      </c>
      <c r="C276" s="23" t="s">
        <v>9</v>
      </c>
      <c r="D276" s="23" t="s">
        <v>96</v>
      </c>
      <c r="E276" s="23" t="s">
        <v>97</v>
      </c>
      <c r="F276" s="24" t="s">
        <v>51</v>
      </c>
      <c r="G276" s="24" t="s">
        <v>2404</v>
      </c>
      <c r="H276" s="24" t="s">
        <v>2366</v>
      </c>
      <c r="I276" s="24" t="s">
        <v>3132</v>
      </c>
      <c r="J276" s="24" t="s">
        <v>3230</v>
      </c>
      <c r="K276" s="24" t="s">
        <v>3231</v>
      </c>
      <c r="L276" s="24" t="s">
        <v>119</v>
      </c>
      <c r="M276" s="24" t="s">
        <v>3232</v>
      </c>
      <c r="N276" s="24" t="s">
        <v>3233</v>
      </c>
      <c r="O276" s="24" t="s">
        <v>3234</v>
      </c>
      <c r="P276" s="24" t="s">
        <v>3235</v>
      </c>
      <c r="Q276" s="24" t="s">
        <v>3236</v>
      </c>
      <c r="R276" s="24" t="s">
        <v>3237</v>
      </c>
      <c r="S276" s="24" t="s">
        <v>3238</v>
      </c>
      <c r="T276" s="24" t="s">
        <v>3239</v>
      </c>
      <c r="U276" s="24" t="s">
        <v>3240</v>
      </c>
      <c r="V276" s="24"/>
      <c r="W276" s="24" t="s">
        <v>3236</v>
      </c>
      <c r="X276" s="24"/>
      <c r="Y276" s="24"/>
      <c r="Z276" s="24"/>
      <c r="AA276" s="24"/>
      <c r="AB276" s="25" t="n">
        <v>10</v>
      </c>
      <c r="AC276" s="24" t="s">
        <v>3223</v>
      </c>
      <c r="AD276" s="24"/>
      <c r="AE276" s="24"/>
      <c r="AF276" s="24" t="s">
        <v>115</v>
      </c>
      <c r="AG276" s="24"/>
      <c r="AH276" s="24"/>
      <c r="AI276" s="25" t="n">
        <f aca="false">COUNTIF($B$2:$B$740,B276)</f>
        <v>1</v>
      </c>
    </row>
    <row r="277" customFormat="false" ht="76" hidden="false" customHeight="true" outlineLevel="0" collapsed="false">
      <c r="A277" s="21" t="n">
        <v>276</v>
      </c>
      <c r="B277" s="22" t="s">
        <v>3241</v>
      </c>
      <c r="C277" s="23" t="s">
        <v>9</v>
      </c>
      <c r="D277" s="23" t="s">
        <v>96</v>
      </c>
      <c r="E277" s="23" t="s">
        <v>97</v>
      </c>
      <c r="F277" s="24" t="s">
        <v>56</v>
      </c>
      <c r="G277" s="24" t="s">
        <v>1805</v>
      </c>
      <c r="H277" s="24" t="s">
        <v>2366</v>
      </c>
      <c r="I277" s="24" t="s">
        <v>3132</v>
      </c>
      <c r="J277" s="24" t="s">
        <v>3242</v>
      </c>
      <c r="K277" s="24" t="s">
        <v>3243</v>
      </c>
      <c r="L277" s="24" t="s">
        <v>119</v>
      </c>
      <c r="M277" s="24" t="s">
        <v>3244</v>
      </c>
      <c r="N277" s="24"/>
      <c r="O277" s="24" t="s">
        <v>3245</v>
      </c>
      <c r="P277" s="24" t="s">
        <v>3246</v>
      </c>
      <c r="Q277" s="24" t="s">
        <v>3247</v>
      </c>
      <c r="R277" s="24" t="s">
        <v>3248</v>
      </c>
      <c r="S277" s="24" t="s">
        <v>3249</v>
      </c>
      <c r="T277" s="24" t="s">
        <v>3250</v>
      </c>
      <c r="U277" s="24"/>
      <c r="V277" s="24"/>
      <c r="W277" s="24"/>
      <c r="X277" s="24"/>
      <c r="Y277" s="24"/>
      <c r="Z277" s="24"/>
      <c r="AA277" s="24"/>
      <c r="AB277" s="25" t="n">
        <v>10</v>
      </c>
      <c r="AC277" s="24" t="s">
        <v>3223</v>
      </c>
      <c r="AD277" s="24"/>
      <c r="AE277" s="24"/>
      <c r="AF277" s="24" t="s">
        <v>115</v>
      </c>
      <c r="AG277" s="24"/>
      <c r="AH277" s="24"/>
      <c r="AI277" s="25" t="n">
        <f aca="false">COUNTIF($B$2:$B$740,B277)</f>
        <v>1</v>
      </c>
    </row>
    <row r="278" customFormat="false" ht="76" hidden="false" customHeight="true" outlineLevel="0" collapsed="false">
      <c r="A278" s="21" t="n">
        <v>277</v>
      </c>
      <c r="B278" s="22" t="s">
        <v>3251</v>
      </c>
      <c r="C278" s="23" t="s">
        <v>9</v>
      </c>
      <c r="D278" s="23" t="s">
        <v>96</v>
      </c>
      <c r="E278" s="23" t="s">
        <v>97</v>
      </c>
      <c r="F278" s="24" t="s">
        <v>59</v>
      </c>
      <c r="G278" s="24" t="s">
        <v>98</v>
      </c>
      <c r="H278" s="24" t="s">
        <v>2366</v>
      </c>
      <c r="I278" s="24" t="s">
        <v>3252</v>
      </c>
      <c r="J278" s="24" t="s">
        <v>3253</v>
      </c>
      <c r="K278" s="24" t="s">
        <v>2919</v>
      </c>
      <c r="L278" s="24" t="s">
        <v>119</v>
      </c>
      <c r="M278" s="24" t="s">
        <v>3254</v>
      </c>
      <c r="N278" s="24"/>
      <c r="O278" s="24" t="s">
        <v>2979</v>
      </c>
      <c r="P278" s="24" t="s">
        <v>2970</v>
      </c>
      <c r="Q278" s="24" t="s">
        <v>2935</v>
      </c>
      <c r="R278" s="24" t="s">
        <v>3255</v>
      </c>
      <c r="S278" s="24" t="s">
        <v>3256</v>
      </c>
      <c r="T278" s="24" t="s">
        <v>3257</v>
      </c>
      <c r="U278" s="24"/>
      <c r="V278" s="24" t="s">
        <v>3258</v>
      </c>
      <c r="W278" s="24" t="s">
        <v>3259</v>
      </c>
      <c r="X278" s="24"/>
      <c r="Y278" s="24"/>
      <c r="Z278" s="24"/>
      <c r="AA278" s="24"/>
      <c r="AB278" s="25" t="n">
        <v>80</v>
      </c>
      <c r="AC278" s="24" t="s">
        <v>3260</v>
      </c>
      <c r="AD278" s="24" t="s">
        <v>955</v>
      </c>
      <c r="AE278" s="24" t="s">
        <v>3261</v>
      </c>
      <c r="AF278" s="24" t="s">
        <v>168</v>
      </c>
      <c r="AG278" s="24"/>
      <c r="AH278" s="24" t="s">
        <v>941</v>
      </c>
      <c r="AI278" s="25" t="n">
        <f aca="false">COUNTIF($B$2:$B$740,B278)</f>
        <v>1</v>
      </c>
    </row>
    <row r="279" customFormat="false" ht="76" hidden="false" customHeight="true" outlineLevel="0" collapsed="false">
      <c r="A279" s="21" t="n">
        <v>278</v>
      </c>
      <c r="B279" s="22" t="s">
        <v>3262</v>
      </c>
      <c r="C279" s="23" t="s">
        <v>9</v>
      </c>
      <c r="D279" s="23" t="s">
        <v>96</v>
      </c>
      <c r="E279" s="23" t="s">
        <v>97</v>
      </c>
      <c r="F279" s="24" t="s">
        <v>50</v>
      </c>
      <c r="G279" s="24" t="s">
        <v>1407</v>
      </c>
      <c r="H279" s="24" t="s">
        <v>2366</v>
      </c>
      <c r="I279" s="24" t="s">
        <v>3252</v>
      </c>
      <c r="J279" s="24" t="s">
        <v>3263</v>
      </c>
      <c r="K279" s="24" t="s">
        <v>1118</v>
      </c>
      <c r="L279" s="24" t="s">
        <v>119</v>
      </c>
      <c r="M279" s="24" t="s">
        <v>3264</v>
      </c>
      <c r="N279" s="24" t="s">
        <v>856</v>
      </c>
      <c r="O279" s="24" t="s">
        <v>3039</v>
      </c>
      <c r="P279" s="24" t="s">
        <v>2988</v>
      </c>
      <c r="Q279" s="24" t="s">
        <v>3265</v>
      </c>
      <c r="R279" s="24" t="s">
        <v>3107</v>
      </c>
      <c r="S279" s="24" t="s">
        <v>3228</v>
      </c>
      <c r="T279" s="24" t="s">
        <v>2970</v>
      </c>
      <c r="U279" s="24"/>
      <c r="V279" s="24"/>
      <c r="W279" s="24" t="s">
        <v>3265</v>
      </c>
      <c r="X279" s="24"/>
      <c r="Y279" s="24"/>
      <c r="Z279" s="24"/>
      <c r="AA279" s="24"/>
      <c r="AB279" s="25" t="n">
        <v>10</v>
      </c>
      <c r="AC279" s="24" t="s">
        <v>3266</v>
      </c>
      <c r="AD279" s="24"/>
      <c r="AE279" s="24"/>
      <c r="AF279" s="24" t="s">
        <v>115</v>
      </c>
      <c r="AG279" s="24"/>
      <c r="AH279" s="24"/>
      <c r="AI279" s="25" t="n">
        <f aca="false">COUNTIF($B$2:$B$740,B279)</f>
        <v>1</v>
      </c>
    </row>
    <row r="280" customFormat="false" ht="76" hidden="false" customHeight="true" outlineLevel="0" collapsed="false">
      <c r="A280" s="21" t="n">
        <v>279</v>
      </c>
      <c r="B280" s="22" t="s">
        <v>3267</v>
      </c>
      <c r="C280" s="23" t="s">
        <v>9</v>
      </c>
      <c r="D280" s="23" t="s">
        <v>96</v>
      </c>
      <c r="E280" s="23" t="s">
        <v>97</v>
      </c>
      <c r="F280" s="24" t="s">
        <v>50</v>
      </c>
      <c r="G280" s="24" t="s">
        <v>1407</v>
      </c>
      <c r="H280" s="24" t="s">
        <v>2366</v>
      </c>
      <c r="I280" s="24" t="s">
        <v>3252</v>
      </c>
      <c r="J280" s="24" t="s">
        <v>3268</v>
      </c>
      <c r="K280" s="24" t="s">
        <v>3269</v>
      </c>
      <c r="L280" s="24" t="s">
        <v>119</v>
      </c>
      <c r="M280" s="24" t="s">
        <v>3264</v>
      </c>
      <c r="N280" s="24" t="s">
        <v>3270</v>
      </c>
      <c r="O280" s="24" t="s">
        <v>3271</v>
      </c>
      <c r="P280" s="24" t="s">
        <v>3272</v>
      </c>
      <c r="Q280" s="24" t="s">
        <v>3273</v>
      </c>
      <c r="R280" s="24" t="s">
        <v>3274</v>
      </c>
      <c r="S280" s="24" t="s">
        <v>3275</v>
      </c>
      <c r="T280" s="24" t="s">
        <v>3276</v>
      </c>
      <c r="U280" s="24"/>
      <c r="V280" s="24" t="s">
        <v>3277</v>
      </c>
      <c r="W280" s="24"/>
      <c r="X280" s="24" t="s">
        <v>3278</v>
      </c>
      <c r="Y280" s="24"/>
      <c r="Z280" s="24"/>
      <c r="AA280" s="24"/>
      <c r="AB280" s="25" t="n">
        <v>80</v>
      </c>
      <c r="AC280" s="24" t="s">
        <v>3279</v>
      </c>
      <c r="AD280" s="24" t="s">
        <v>955</v>
      </c>
      <c r="AE280" s="24" t="s">
        <v>3173</v>
      </c>
      <c r="AF280" s="24" t="s">
        <v>168</v>
      </c>
      <c r="AG280" s="24"/>
      <c r="AH280" s="24" t="s">
        <v>941</v>
      </c>
      <c r="AI280" s="25" t="n">
        <f aca="false">COUNTIF($B$2:$B$740,B280)</f>
        <v>1</v>
      </c>
    </row>
    <row r="281" customFormat="false" ht="76" hidden="false" customHeight="true" outlineLevel="0" collapsed="false">
      <c r="A281" s="21" t="n">
        <v>280</v>
      </c>
      <c r="B281" s="22" t="s">
        <v>3280</v>
      </c>
      <c r="C281" s="23" t="s">
        <v>9</v>
      </c>
      <c r="D281" s="23" t="s">
        <v>96</v>
      </c>
      <c r="E281" s="23" t="s">
        <v>97</v>
      </c>
      <c r="F281" s="24" t="s">
        <v>50</v>
      </c>
      <c r="G281" s="24" t="s">
        <v>1407</v>
      </c>
      <c r="H281" s="24" t="s">
        <v>2366</v>
      </c>
      <c r="I281" s="24" t="s">
        <v>3252</v>
      </c>
      <c r="J281" s="24" t="s">
        <v>3281</v>
      </c>
      <c r="K281" s="24" t="s">
        <v>3282</v>
      </c>
      <c r="L281" s="24" t="s">
        <v>119</v>
      </c>
      <c r="M281" s="24" t="s">
        <v>3264</v>
      </c>
      <c r="N281" s="24" t="s">
        <v>3021</v>
      </c>
      <c r="O281" s="24" t="s">
        <v>3283</v>
      </c>
      <c r="P281" s="24" t="s">
        <v>3284</v>
      </c>
      <c r="Q281" s="24" t="s">
        <v>3285</v>
      </c>
      <c r="R281" s="24" t="s">
        <v>3013</v>
      </c>
      <c r="S281" s="24" t="s">
        <v>3286</v>
      </c>
      <c r="T281" s="24" t="s">
        <v>3287</v>
      </c>
      <c r="U281" s="24"/>
      <c r="V281" s="24"/>
      <c r="W281" s="24"/>
      <c r="X281" s="24"/>
      <c r="Y281" s="24" t="s">
        <v>3288</v>
      </c>
      <c r="Z281" s="24"/>
      <c r="AA281" s="24" t="s">
        <v>3285</v>
      </c>
      <c r="AB281" s="25" t="n">
        <v>10</v>
      </c>
      <c r="AC281" s="24" t="s">
        <v>3266</v>
      </c>
      <c r="AD281" s="24"/>
      <c r="AE281" s="24"/>
      <c r="AF281" s="24" t="s">
        <v>115</v>
      </c>
      <c r="AG281" s="24"/>
      <c r="AH281" s="24"/>
      <c r="AI281" s="25" t="n">
        <f aca="false">COUNTIF($B$2:$B$740,B281)</f>
        <v>1</v>
      </c>
    </row>
    <row r="282" customFormat="false" ht="76" hidden="false" customHeight="true" outlineLevel="0" collapsed="false">
      <c r="A282" s="21" t="n">
        <v>281</v>
      </c>
      <c r="B282" s="22" t="s">
        <v>3289</v>
      </c>
      <c r="C282" s="23" t="s">
        <v>12</v>
      </c>
      <c r="D282" s="23" t="s">
        <v>209</v>
      </c>
      <c r="E282" s="23" t="s">
        <v>97</v>
      </c>
      <c r="F282" s="24" t="s">
        <v>59</v>
      </c>
      <c r="G282" s="24" t="s">
        <v>98</v>
      </c>
      <c r="H282" s="24" t="s">
        <v>2366</v>
      </c>
      <c r="I282" s="24" t="s">
        <v>3252</v>
      </c>
      <c r="J282" s="24" t="s">
        <v>3290</v>
      </c>
      <c r="K282" s="24" t="s">
        <v>2919</v>
      </c>
      <c r="L282" s="24" t="s">
        <v>119</v>
      </c>
      <c r="M282" s="24" t="s">
        <v>3291</v>
      </c>
      <c r="N282" s="24"/>
      <c r="O282" s="24" t="s">
        <v>2979</v>
      </c>
      <c r="P282" s="24" t="s">
        <v>2970</v>
      </c>
      <c r="Q282" s="24" t="s">
        <v>2935</v>
      </c>
      <c r="R282" s="24" t="s">
        <v>3292</v>
      </c>
      <c r="S282" s="24" t="s">
        <v>2925</v>
      </c>
      <c r="T282" s="24" t="s">
        <v>3293</v>
      </c>
      <c r="U282" s="24" t="s">
        <v>183</v>
      </c>
      <c r="V282" s="24"/>
      <c r="W282" s="24" t="s">
        <v>3294</v>
      </c>
      <c r="X282" s="24"/>
      <c r="Y282" s="24" t="s">
        <v>183</v>
      </c>
      <c r="Z282" s="24"/>
      <c r="AA282" s="24"/>
      <c r="AB282" s="25" t="n">
        <v>10</v>
      </c>
      <c r="AC282" s="24" t="s">
        <v>3295</v>
      </c>
      <c r="AD282" s="24" t="s">
        <v>3296</v>
      </c>
      <c r="AE282" s="24" t="s">
        <v>3297</v>
      </c>
      <c r="AF282" s="24" t="s">
        <v>115</v>
      </c>
      <c r="AG282" s="24"/>
      <c r="AH282" s="24"/>
      <c r="AI282" s="25" t="n">
        <f aca="false">COUNTIF($B$2:$B$740,B282)</f>
        <v>1</v>
      </c>
    </row>
    <row r="283" customFormat="false" ht="76" hidden="false" customHeight="true" outlineLevel="0" collapsed="false">
      <c r="A283" s="21" t="n">
        <v>282</v>
      </c>
      <c r="B283" s="22" t="s">
        <v>3298</v>
      </c>
      <c r="C283" s="23" t="s">
        <v>12</v>
      </c>
      <c r="D283" s="23" t="s">
        <v>209</v>
      </c>
      <c r="E283" s="23" t="s">
        <v>97</v>
      </c>
      <c r="F283" s="24" t="s">
        <v>50</v>
      </c>
      <c r="G283" s="24" t="s">
        <v>1407</v>
      </c>
      <c r="H283" s="24" t="s">
        <v>2366</v>
      </c>
      <c r="I283" s="24" t="s">
        <v>3252</v>
      </c>
      <c r="J283" s="24" t="s">
        <v>3299</v>
      </c>
      <c r="K283" s="24" t="s">
        <v>3300</v>
      </c>
      <c r="L283" s="24" t="s">
        <v>119</v>
      </c>
      <c r="M283" s="24" t="s">
        <v>3301</v>
      </c>
      <c r="N283" s="24" t="s">
        <v>3302</v>
      </c>
      <c r="O283" s="24" t="s">
        <v>3303</v>
      </c>
      <c r="P283" s="24" t="s">
        <v>3304</v>
      </c>
      <c r="Q283" s="24" t="s">
        <v>3305</v>
      </c>
      <c r="R283" s="24" t="s">
        <v>3306</v>
      </c>
      <c r="S283" s="24" t="s">
        <v>3228</v>
      </c>
      <c r="T283" s="24" t="s">
        <v>3033</v>
      </c>
      <c r="U283" s="24" t="s">
        <v>183</v>
      </c>
      <c r="V283" s="24"/>
      <c r="W283" s="24" t="s">
        <v>3305</v>
      </c>
      <c r="X283" s="24"/>
      <c r="Y283" s="24" t="s">
        <v>183</v>
      </c>
      <c r="Z283" s="24"/>
      <c r="AA283" s="24"/>
      <c r="AB283" s="25" t="n">
        <v>10</v>
      </c>
      <c r="AC283" s="24" t="s">
        <v>3295</v>
      </c>
      <c r="AD283" s="24" t="s">
        <v>3296</v>
      </c>
      <c r="AE283" s="24"/>
      <c r="AF283" s="24" t="s">
        <v>115</v>
      </c>
      <c r="AG283" s="24"/>
      <c r="AH283" s="24"/>
      <c r="AI283" s="25" t="n">
        <f aca="false">COUNTIF($B$2:$B$740,B283)</f>
        <v>1</v>
      </c>
    </row>
    <row r="284" customFormat="false" ht="76" hidden="false" customHeight="true" outlineLevel="0" collapsed="false">
      <c r="A284" s="21" t="n">
        <v>283</v>
      </c>
      <c r="B284" s="22" t="s">
        <v>3307</v>
      </c>
      <c r="C284" s="23" t="s">
        <v>12</v>
      </c>
      <c r="D284" s="23" t="s">
        <v>209</v>
      </c>
      <c r="E284" s="23" t="s">
        <v>97</v>
      </c>
      <c r="F284" s="24" t="s">
        <v>56</v>
      </c>
      <c r="G284" s="24" t="s">
        <v>1805</v>
      </c>
      <c r="H284" s="24" t="s">
        <v>2366</v>
      </c>
      <c r="I284" s="24" t="s">
        <v>3252</v>
      </c>
      <c r="J284" s="24" t="s">
        <v>3308</v>
      </c>
      <c r="K284" s="24" t="s">
        <v>3309</v>
      </c>
      <c r="L284" s="24" t="s">
        <v>119</v>
      </c>
      <c r="M284" s="24" t="s">
        <v>3310</v>
      </c>
      <c r="N284" s="24"/>
      <c r="O284" s="24" t="s">
        <v>3311</v>
      </c>
      <c r="P284" s="24" t="s">
        <v>2970</v>
      </c>
      <c r="Q284" s="24" t="s">
        <v>3312</v>
      </c>
      <c r="R284" s="24" t="s">
        <v>3313</v>
      </c>
      <c r="S284" s="24" t="s">
        <v>3314</v>
      </c>
      <c r="T284" s="24" t="s">
        <v>3315</v>
      </c>
      <c r="U284" s="24" t="s">
        <v>3316</v>
      </c>
      <c r="V284" s="24"/>
      <c r="W284" s="24"/>
      <c r="X284" s="24"/>
      <c r="Y284" s="24" t="s">
        <v>183</v>
      </c>
      <c r="Z284" s="24"/>
      <c r="AA284" s="24"/>
      <c r="AB284" s="25" t="n">
        <v>10</v>
      </c>
      <c r="AC284" s="24" t="s">
        <v>3295</v>
      </c>
      <c r="AD284" s="24" t="s">
        <v>3296</v>
      </c>
      <c r="AE284" s="24"/>
      <c r="AF284" s="24" t="s">
        <v>115</v>
      </c>
      <c r="AG284" s="24"/>
      <c r="AH284" s="24"/>
      <c r="AI284" s="25" t="n">
        <f aca="false">COUNTIF($B$2:$B$740,B284)</f>
        <v>1</v>
      </c>
    </row>
    <row r="285" customFormat="false" ht="76" hidden="false" customHeight="true" outlineLevel="0" collapsed="false">
      <c r="A285" s="21" t="n">
        <v>284</v>
      </c>
      <c r="B285" s="22" t="s">
        <v>3317</v>
      </c>
      <c r="C285" s="23" t="s">
        <v>9</v>
      </c>
      <c r="D285" s="23" t="s">
        <v>96</v>
      </c>
      <c r="E285" s="23" t="s">
        <v>97</v>
      </c>
      <c r="F285" s="24" t="s">
        <v>59</v>
      </c>
      <c r="G285" s="24" t="s">
        <v>98</v>
      </c>
      <c r="H285" s="24" t="s">
        <v>2366</v>
      </c>
      <c r="I285" s="24" t="s">
        <v>3318</v>
      </c>
      <c r="J285" s="24" t="s">
        <v>3319</v>
      </c>
      <c r="K285" s="24" t="s">
        <v>2919</v>
      </c>
      <c r="L285" s="24" t="s">
        <v>119</v>
      </c>
      <c r="M285" s="24" t="s">
        <v>3320</v>
      </c>
      <c r="N285" s="24"/>
      <c r="O285" s="24" t="s">
        <v>2979</v>
      </c>
      <c r="P285" s="24" t="s">
        <v>2970</v>
      </c>
      <c r="Q285" s="24" t="s">
        <v>2935</v>
      </c>
      <c r="R285" s="24" t="s">
        <v>3321</v>
      </c>
      <c r="S285" s="24" t="s">
        <v>2925</v>
      </c>
      <c r="T285" s="24" t="s">
        <v>2970</v>
      </c>
      <c r="U285" s="24"/>
      <c r="V285" s="24"/>
      <c r="W285" s="24" t="s">
        <v>3322</v>
      </c>
      <c r="X285" s="24"/>
      <c r="Y285" s="24"/>
      <c r="Z285" s="24"/>
      <c r="AA285" s="24"/>
      <c r="AB285" s="25" t="n">
        <v>10</v>
      </c>
      <c r="AC285" s="24" t="s">
        <v>3323</v>
      </c>
      <c r="AD285" s="24"/>
      <c r="AE285" s="24" t="s">
        <v>2983</v>
      </c>
      <c r="AF285" s="24" t="s">
        <v>115</v>
      </c>
      <c r="AG285" s="24"/>
      <c r="AH285" s="24"/>
      <c r="AI285" s="25" t="n">
        <f aca="false">COUNTIF($B$2:$B$740,B285)</f>
        <v>1</v>
      </c>
    </row>
    <row r="286" customFormat="false" ht="76" hidden="false" customHeight="true" outlineLevel="0" collapsed="false">
      <c r="A286" s="21" t="n">
        <v>285</v>
      </c>
      <c r="B286" s="22" t="s">
        <v>3324</v>
      </c>
      <c r="C286" s="23" t="s">
        <v>9</v>
      </c>
      <c r="D286" s="23" t="s">
        <v>96</v>
      </c>
      <c r="E286" s="23" t="s">
        <v>97</v>
      </c>
      <c r="F286" s="24" t="s">
        <v>50</v>
      </c>
      <c r="G286" s="24" t="s">
        <v>1407</v>
      </c>
      <c r="H286" s="24" t="s">
        <v>2366</v>
      </c>
      <c r="I286" s="24" t="s">
        <v>3318</v>
      </c>
      <c r="J286" s="24" t="s">
        <v>3325</v>
      </c>
      <c r="K286" s="24" t="s">
        <v>1118</v>
      </c>
      <c r="L286" s="24" t="s">
        <v>119</v>
      </c>
      <c r="M286" s="24" t="s">
        <v>3326</v>
      </c>
      <c r="N286" s="24" t="s">
        <v>856</v>
      </c>
      <c r="O286" s="24" t="s">
        <v>3327</v>
      </c>
      <c r="P286" s="24" t="s">
        <v>2988</v>
      </c>
      <c r="Q286" s="24" t="s">
        <v>3328</v>
      </c>
      <c r="R286" s="24" t="s">
        <v>3329</v>
      </c>
      <c r="S286" s="24" t="s">
        <v>3330</v>
      </c>
      <c r="T286" s="24" t="s">
        <v>3331</v>
      </c>
      <c r="U286" s="24"/>
      <c r="V286" s="24"/>
      <c r="W286" s="24" t="s">
        <v>3332</v>
      </c>
      <c r="X286" s="24"/>
      <c r="Y286" s="24"/>
      <c r="Z286" s="24"/>
      <c r="AA286" s="24"/>
      <c r="AB286" s="25" t="n">
        <v>10</v>
      </c>
      <c r="AC286" s="24" t="s">
        <v>3323</v>
      </c>
      <c r="AD286" s="24"/>
      <c r="AE286" s="24" t="s">
        <v>3333</v>
      </c>
      <c r="AF286" s="24" t="s">
        <v>115</v>
      </c>
      <c r="AG286" s="24"/>
      <c r="AH286" s="24"/>
      <c r="AI286" s="25" t="n">
        <f aca="false">COUNTIF($B$2:$B$740,B286)</f>
        <v>1</v>
      </c>
    </row>
    <row r="287" customFormat="false" ht="76" hidden="false" customHeight="true" outlineLevel="0" collapsed="false">
      <c r="A287" s="21" t="n">
        <v>286</v>
      </c>
      <c r="B287" s="22" t="s">
        <v>3334</v>
      </c>
      <c r="C287" s="23" t="s">
        <v>9</v>
      </c>
      <c r="D287" s="23" t="s">
        <v>96</v>
      </c>
      <c r="E287" s="23" t="s">
        <v>97</v>
      </c>
      <c r="F287" s="24" t="s">
        <v>50</v>
      </c>
      <c r="G287" s="24" t="s">
        <v>1407</v>
      </c>
      <c r="H287" s="24" t="s">
        <v>2366</v>
      </c>
      <c r="I287" s="24" t="s">
        <v>3318</v>
      </c>
      <c r="J287" s="24" t="s">
        <v>3335</v>
      </c>
      <c r="K287" s="24" t="s">
        <v>3336</v>
      </c>
      <c r="L287" s="24" t="s">
        <v>119</v>
      </c>
      <c r="M287" s="24" t="s">
        <v>3326</v>
      </c>
      <c r="N287" s="24" t="s">
        <v>3337</v>
      </c>
      <c r="O287" s="24" t="s">
        <v>3338</v>
      </c>
      <c r="P287" s="24" t="s">
        <v>3339</v>
      </c>
      <c r="Q287" s="24" t="s">
        <v>3340</v>
      </c>
      <c r="R287" s="24" t="s">
        <v>3341</v>
      </c>
      <c r="S287" s="24" t="s">
        <v>3342</v>
      </c>
      <c r="T287" s="24" t="s">
        <v>3343</v>
      </c>
      <c r="U287" s="24" t="s">
        <v>3344</v>
      </c>
      <c r="V287" s="24"/>
      <c r="W287" s="24" t="s">
        <v>3340</v>
      </c>
      <c r="X287" s="24"/>
      <c r="Y287" s="24"/>
      <c r="Z287" s="24"/>
      <c r="AA287" s="24"/>
      <c r="AB287" s="25" t="n">
        <v>10</v>
      </c>
      <c r="AC287" s="24" t="s">
        <v>3345</v>
      </c>
      <c r="AD287" s="24"/>
      <c r="AE287" s="24" t="s">
        <v>3333</v>
      </c>
      <c r="AF287" s="24" t="s">
        <v>115</v>
      </c>
      <c r="AG287" s="24"/>
      <c r="AH287" s="24"/>
      <c r="AI287" s="25" t="n">
        <f aca="false">COUNTIF($B$2:$B$740,B287)</f>
        <v>1</v>
      </c>
    </row>
    <row r="288" customFormat="false" ht="76" hidden="false" customHeight="true" outlineLevel="0" collapsed="false">
      <c r="A288" s="21" t="n">
        <v>287</v>
      </c>
      <c r="B288" s="22" t="s">
        <v>3346</v>
      </c>
      <c r="C288" s="23" t="s">
        <v>9</v>
      </c>
      <c r="D288" s="23" t="s">
        <v>96</v>
      </c>
      <c r="E288" s="23" t="s">
        <v>97</v>
      </c>
      <c r="F288" s="24" t="s">
        <v>59</v>
      </c>
      <c r="G288" s="24" t="s">
        <v>98</v>
      </c>
      <c r="H288" s="24" t="s">
        <v>2366</v>
      </c>
      <c r="I288" s="24" t="s">
        <v>3318</v>
      </c>
      <c r="J288" s="24" t="s">
        <v>3347</v>
      </c>
      <c r="K288" s="24" t="s">
        <v>2919</v>
      </c>
      <c r="L288" s="24" t="s">
        <v>119</v>
      </c>
      <c r="M288" s="24" t="s">
        <v>3348</v>
      </c>
      <c r="N288" s="24"/>
      <c r="O288" s="24" t="s">
        <v>2979</v>
      </c>
      <c r="P288" s="24" t="s">
        <v>2970</v>
      </c>
      <c r="Q288" s="24" t="s">
        <v>2935</v>
      </c>
      <c r="R288" s="24" t="s">
        <v>3349</v>
      </c>
      <c r="S288" s="24" t="s">
        <v>2925</v>
      </c>
      <c r="T288" s="24" t="s">
        <v>2970</v>
      </c>
      <c r="U288" s="24"/>
      <c r="V288" s="24"/>
      <c r="W288" s="24" t="s">
        <v>3350</v>
      </c>
      <c r="X288" s="24"/>
      <c r="Y288" s="24"/>
      <c r="Z288" s="24"/>
      <c r="AA288" s="24"/>
      <c r="AB288" s="25" t="n">
        <v>10</v>
      </c>
      <c r="AC288" s="24" t="s">
        <v>3351</v>
      </c>
      <c r="AD288" s="24"/>
      <c r="AE288" s="24" t="s">
        <v>2983</v>
      </c>
      <c r="AF288" s="24" t="s">
        <v>115</v>
      </c>
      <c r="AG288" s="24"/>
      <c r="AH288" s="24"/>
      <c r="AI288" s="25" t="n">
        <f aca="false">COUNTIF($B$2:$B$740,B288)</f>
        <v>1</v>
      </c>
    </row>
    <row r="289" customFormat="false" ht="76" hidden="false" customHeight="true" outlineLevel="0" collapsed="false">
      <c r="A289" s="21" t="n">
        <v>288</v>
      </c>
      <c r="B289" s="22" t="s">
        <v>3352</v>
      </c>
      <c r="C289" s="23" t="s">
        <v>9</v>
      </c>
      <c r="D289" s="23" t="s">
        <v>96</v>
      </c>
      <c r="E289" s="23" t="s">
        <v>97</v>
      </c>
      <c r="F289" s="24" t="s">
        <v>50</v>
      </c>
      <c r="G289" s="24" t="s">
        <v>1407</v>
      </c>
      <c r="H289" s="24" t="s">
        <v>2366</v>
      </c>
      <c r="I289" s="24" t="s">
        <v>3318</v>
      </c>
      <c r="J289" s="24" t="s">
        <v>3353</v>
      </c>
      <c r="K289" s="24" t="s">
        <v>1118</v>
      </c>
      <c r="L289" s="24" t="s">
        <v>119</v>
      </c>
      <c r="M289" s="24" t="s">
        <v>2162</v>
      </c>
      <c r="N289" s="24" t="s">
        <v>856</v>
      </c>
      <c r="O289" s="24" t="s">
        <v>3039</v>
      </c>
      <c r="P289" s="24" t="s">
        <v>2988</v>
      </c>
      <c r="Q289" s="24" t="s">
        <v>3354</v>
      </c>
      <c r="R289" s="24" t="s">
        <v>3107</v>
      </c>
      <c r="S289" s="24" t="s">
        <v>3228</v>
      </c>
      <c r="T289" s="24" t="s">
        <v>2970</v>
      </c>
      <c r="U289" s="24"/>
      <c r="V289" s="24"/>
      <c r="W289" s="24" t="s">
        <v>3354</v>
      </c>
      <c r="X289" s="24"/>
      <c r="Y289" s="24"/>
      <c r="Z289" s="24"/>
      <c r="AA289" s="24"/>
      <c r="AB289" s="25" t="n">
        <v>10</v>
      </c>
      <c r="AC289" s="24" t="s">
        <v>3351</v>
      </c>
      <c r="AD289" s="24"/>
      <c r="AE289" s="24"/>
      <c r="AF289" s="24" t="s">
        <v>115</v>
      </c>
      <c r="AG289" s="24"/>
      <c r="AH289" s="24"/>
      <c r="AI289" s="25" t="n">
        <f aca="false">COUNTIF($B$2:$B$740,B289)</f>
        <v>1</v>
      </c>
    </row>
    <row r="290" customFormat="false" ht="76" hidden="false" customHeight="true" outlineLevel="0" collapsed="false">
      <c r="A290" s="21" t="n">
        <v>289</v>
      </c>
      <c r="B290" s="22" t="s">
        <v>3355</v>
      </c>
      <c r="C290" s="23" t="s">
        <v>9</v>
      </c>
      <c r="D290" s="23" t="s">
        <v>96</v>
      </c>
      <c r="E290" s="23" t="s">
        <v>97</v>
      </c>
      <c r="F290" s="24" t="s">
        <v>50</v>
      </c>
      <c r="G290" s="24" t="s">
        <v>1407</v>
      </c>
      <c r="H290" s="24" t="s">
        <v>2366</v>
      </c>
      <c r="I290" s="24" t="s">
        <v>3318</v>
      </c>
      <c r="J290" s="24" t="s">
        <v>3356</v>
      </c>
      <c r="K290" s="24" t="s">
        <v>3357</v>
      </c>
      <c r="L290" s="24" t="s">
        <v>119</v>
      </c>
      <c r="M290" s="24" t="s">
        <v>2162</v>
      </c>
      <c r="N290" s="24" t="s">
        <v>3337</v>
      </c>
      <c r="O290" s="24" t="s">
        <v>3358</v>
      </c>
      <c r="P290" s="24" t="s">
        <v>3339</v>
      </c>
      <c r="Q290" s="24" t="s">
        <v>3359</v>
      </c>
      <c r="R290" s="24" t="s">
        <v>3360</v>
      </c>
      <c r="S290" s="24" t="s">
        <v>3361</v>
      </c>
      <c r="T290" s="24" t="s">
        <v>3362</v>
      </c>
      <c r="U290" s="24"/>
      <c r="V290" s="24"/>
      <c r="W290" s="24" t="s">
        <v>3359</v>
      </c>
      <c r="X290" s="24"/>
      <c r="Y290" s="24"/>
      <c r="Z290" s="24"/>
      <c r="AA290" s="24"/>
      <c r="AB290" s="25" t="n">
        <v>10</v>
      </c>
      <c r="AC290" s="24" t="s">
        <v>3351</v>
      </c>
      <c r="AD290" s="24"/>
      <c r="AE290" s="24"/>
      <c r="AF290" s="24" t="s">
        <v>115</v>
      </c>
      <c r="AG290" s="24"/>
      <c r="AH290" s="24"/>
      <c r="AI290" s="25" t="n">
        <f aca="false">COUNTIF($B$2:$B$740,B290)</f>
        <v>1</v>
      </c>
    </row>
    <row r="291" customFormat="false" ht="76" hidden="false" customHeight="true" outlineLevel="0" collapsed="false">
      <c r="A291" s="21" t="n">
        <v>290</v>
      </c>
      <c r="B291" s="22" t="s">
        <v>3363</v>
      </c>
      <c r="C291" s="23" t="s">
        <v>9</v>
      </c>
      <c r="D291" s="23" t="s">
        <v>96</v>
      </c>
      <c r="E291" s="23" t="s">
        <v>97</v>
      </c>
      <c r="F291" s="24" t="s">
        <v>51</v>
      </c>
      <c r="G291" s="24" t="s">
        <v>2404</v>
      </c>
      <c r="H291" s="24" t="s">
        <v>2366</v>
      </c>
      <c r="I291" s="24" t="s">
        <v>3318</v>
      </c>
      <c r="J291" s="24" t="s">
        <v>3364</v>
      </c>
      <c r="K291" s="24" t="s">
        <v>3365</v>
      </c>
      <c r="L291" s="24" t="s">
        <v>119</v>
      </c>
      <c r="M291" s="24" t="s">
        <v>3366</v>
      </c>
      <c r="N291" s="24"/>
      <c r="O291" s="24" t="s">
        <v>3367</v>
      </c>
      <c r="P291" s="24" t="s">
        <v>2970</v>
      </c>
      <c r="Q291" s="24" t="s">
        <v>2999</v>
      </c>
      <c r="R291" s="24" t="s">
        <v>3368</v>
      </c>
      <c r="S291" s="24" t="s">
        <v>3001</v>
      </c>
      <c r="T291" s="24" t="s">
        <v>3002</v>
      </c>
      <c r="U291" s="24"/>
      <c r="V291" s="24"/>
      <c r="W291" s="24"/>
      <c r="X291" s="24"/>
      <c r="Y291" s="24"/>
      <c r="Z291" s="24"/>
      <c r="AA291" s="24"/>
      <c r="AB291" s="25" t="n">
        <v>80</v>
      </c>
      <c r="AC291" s="24" t="s">
        <v>3369</v>
      </c>
      <c r="AD291" s="24" t="s">
        <v>3005</v>
      </c>
      <c r="AE291" s="24" t="s">
        <v>3006</v>
      </c>
      <c r="AF291" s="24" t="s">
        <v>168</v>
      </c>
      <c r="AG291" s="24"/>
      <c r="AH291" s="24" t="s">
        <v>941</v>
      </c>
      <c r="AI291" s="25" t="n">
        <f aca="false">COUNTIF($B$2:$B$740,B291)</f>
        <v>1</v>
      </c>
    </row>
    <row r="292" customFormat="false" ht="76" hidden="false" customHeight="true" outlineLevel="0" collapsed="false">
      <c r="A292" s="21" t="n">
        <v>291</v>
      </c>
      <c r="B292" s="22" t="s">
        <v>3370</v>
      </c>
      <c r="C292" s="23" t="s">
        <v>9</v>
      </c>
      <c r="D292" s="23" t="s">
        <v>96</v>
      </c>
      <c r="E292" s="23" t="s">
        <v>97</v>
      </c>
      <c r="F292" s="24" t="s">
        <v>59</v>
      </c>
      <c r="G292" s="24" t="s">
        <v>98</v>
      </c>
      <c r="H292" s="24" t="s">
        <v>2366</v>
      </c>
      <c r="I292" s="24" t="s">
        <v>3318</v>
      </c>
      <c r="J292" s="24" t="s">
        <v>3371</v>
      </c>
      <c r="K292" s="24" t="s">
        <v>2919</v>
      </c>
      <c r="L292" s="24" t="s">
        <v>119</v>
      </c>
      <c r="M292" s="24" t="s">
        <v>3372</v>
      </c>
      <c r="N292" s="24"/>
      <c r="O292" s="24" t="s">
        <v>2979</v>
      </c>
      <c r="P292" s="24" t="s">
        <v>2970</v>
      </c>
      <c r="Q292" s="24" t="s">
        <v>2935</v>
      </c>
      <c r="R292" s="24" t="s">
        <v>3373</v>
      </c>
      <c r="S292" s="24" t="s">
        <v>2925</v>
      </c>
      <c r="T292" s="24" t="s">
        <v>2970</v>
      </c>
      <c r="U292" s="24"/>
      <c r="V292" s="24"/>
      <c r="W292" s="24" t="s">
        <v>3374</v>
      </c>
      <c r="X292" s="24"/>
      <c r="Y292" s="24"/>
      <c r="Z292" s="24"/>
      <c r="AA292" s="24"/>
      <c r="AB292" s="25" t="n">
        <v>10</v>
      </c>
      <c r="AC292" s="24" t="s">
        <v>3375</v>
      </c>
      <c r="AD292" s="24"/>
      <c r="AE292" s="24" t="s">
        <v>2983</v>
      </c>
      <c r="AF292" s="24" t="s">
        <v>115</v>
      </c>
      <c r="AG292" s="24"/>
      <c r="AH292" s="24"/>
      <c r="AI292" s="25" t="n">
        <f aca="false">COUNTIF($B$2:$B$740,B292)</f>
        <v>1</v>
      </c>
    </row>
    <row r="293" customFormat="false" ht="76" hidden="false" customHeight="true" outlineLevel="0" collapsed="false">
      <c r="A293" s="21" t="n">
        <v>292</v>
      </c>
      <c r="B293" s="22" t="s">
        <v>3376</v>
      </c>
      <c r="C293" s="23" t="s">
        <v>9</v>
      </c>
      <c r="D293" s="23" t="s">
        <v>96</v>
      </c>
      <c r="E293" s="23" t="s">
        <v>97</v>
      </c>
      <c r="F293" s="24" t="s">
        <v>50</v>
      </c>
      <c r="G293" s="24" t="s">
        <v>1407</v>
      </c>
      <c r="H293" s="24" t="s">
        <v>2366</v>
      </c>
      <c r="I293" s="24" t="s">
        <v>3318</v>
      </c>
      <c r="J293" s="24" t="s">
        <v>3377</v>
      </c>
      <c r="K293" s="24" t="s">
        <v>1118</v>
      </c>
      <c r="L293" s="24" t="s">
        <v>119</v>
      </c>
      <c r="M293" s="24" t="s">
        <v>2162</v>
      </c>
      <c r="N293" s="24" t="s">
        <v>856</v>
      </c>
      <c r="O293" s="24" t="s">
        <v>3039</v>
      </c>
      <c r="P293" s="24" t="s">
        <v>2988</v>
      </c>
      <c r="Q293" s="24" t="s">
        <v>3378</v>
      </c>
      <c r="R293" s="24" t="s">
        <v>3041</v>
      </c>
      <c r="S293" s="24" t="s">
        <v>3228</v>
      </c>
      <c r="T293" s="24" t="s">
        <v>2970</v>
      </c>
      <c r="U293" s="24"/>
      <c r="V293" s="24"/>
      <c r="W293" s="24" t="s">
        <v>3378</v>
      </c>
      <c r="X293" s="24"/>
      <c r="Y293" s="24"/>
      <c r="Z293" s="24"/>
      <c r="AA293" s="24"/>
      <c r="AB293" s="25" t="n">
        <v>10</v>
      </c>
      <c r="AC293" s="24" t="s">
        <v>3375</v>
      </c>
      <c r="AD293" s="24"/>
      <c r="AE293" s="24"/>
      <c r="AF293" s="24" t="s">
        <v>115</v>
      </c>
      <c r="AG293" s="24"/>
      <c r="AH293" s="24"/>
      <c r="AI293" s="25" t="n">
        <f aca="false">COUNTIF($B$2:$B$740,B293)</f>
        <v>1</v>
      </c>
    </row>
    <row r="294" customFormat="false" ht="76" hidden="false" customHeight="true" outlineLevel="0" collapsed="false">
      <c r="A294" s="21" t="n">
        <v>293</v>
      </c>
      <c r="B294" s="22" t="s">
        <v>3379</v>
      </c>
      <c r="C294" s="23" t="s">
        <v>9</v>
      </c>
      <c r="D294" s="23" t="s">
        <v>96</v>
      </c>
      <c r="E294" s="23" t="s">
        <v>97</v>
      </c>
      <c r="F294" s="24" t="s">
        <v>51</v>
      </c>
      <c r="G294" s="24" t="s">
        <v>2404</v>
      </c>
      <c r="H294" s="24" t="s">
        <v>2366</v>
      </c>
      <c r="I294" s="24" t="s">
        <v>3318</v>
      </c>
      <c r="J294" s="24" t="s">
        <v>3380</v>
      </c>
      <c r="K294" s="24" t="s">
        <v>3381</v>
      </c>
      <c r="L294" s="24" t="s">
        <v>119</v>
      </c>
      <c r="M294" s="24" t="s">
        <v>2162</v>
      </c>
      <c r="N294" s="24" t="s">
        <v>3382</v>
      </c>
      <c r="O294" s="24" t="s">
        <v>3383</v>
      </c>
      <c r="P294" s="24" t="s">
        <v>3384</v>
      </c>
      <c r="Q294" s="24" t="s">
        <v>3385</v>
      </c>
      <c r="R294" s="24" t="s">
        <v>3386</v>
      </c>
      <c r="S294" s="24" t="s">
        <v>3387</v>
      </c>
      <c r="T294" s="24" t="s">
        <v>3388</v>
      </c>
      <c r="U294" s="24"/>
      <c r="V294" s="24"/>
      <c r="W294" s="24" t="s">
        <v>3384</v>
      </c>
      <c r="X294" s="24"/>
      <c r="Y294" s="24"/>
      <c r="Z294" s="24"/>
      <c r="AA294" s="24"/>
      <c r="AB294" s="25" t="n">
        <v>10</v>
      </c>
      <c r="AC294" s="24" t="s">
        <v>3375</v>
      </c>
      <c r="AD294" s="24"/>
      <c r="AE294" s="24"/>
      <c r="AF294" s="24" t="s">
        <v>115</v>
      </c>
      <c r="AG294" s="24"/>
      <c r="AH294" s="24"/>
      <c r="AI294" s="25" t="n">
        <f aca="false">COUNTIF($B$2:$B$740,B294)</f>
        <v>1</v>
      </c>
    </row>
    <row r="295" customFormat="false" ht="76" hidden="false" customHeight="true" outlineLevel="0" collapsed="false">
      <c r="A295" s="21" t="n">
        <v>294</v>
      </c>
      <c r="B295" s="22" t="s">
        <v>3389</v>
      </c>
      <c r="C295" s="23" t="s">
        <v>9</v>
      </c>
      <c r="D295" s="23" t="s">
        <v>96</v>
      </c>
      <c r="E295" s="23" t="s">
        <v>97</v>
      </c>
      <c r="F295" s="24" t="s">
        <v>59</v>
      </c>
      <c r="G295" s="24" t="s">
        <v>98</v>
      </c>
      <c r="H295" s="24" t="s">
        <v>2366</v>
      </c>
      <c r="I295" s="24" t="s">
        <v>3390</v>
      </c>
      <c r="J295" s="24" t="s">
        <v>3391</v>
      </c>
      <c r="K295" s="24" t="s">
        <v>2919</v>
      </c>
      <c r="L295" s="24" t="s">
        <v>119</v>
      </c>
      <c r="M295" s="24" t="s">
        <v>3392</v>
      </c>
      <c r="N295" s="24"/>
      <c r="O295" s="24" t="s">
        <v>2979</v>
      </c>
      <c r="P295" s="24" t="s">
        <v>2970</v>
      </c>
      <c r="Q295" s="24" t="s">
        <v>2935</v>
      </c>
      <c r="R295" s="24" t="s">
        <v>3393</v>
      </c>
      <c r="S295" s="24" t="s">
        <v>2925</v>
      </c>
      <c r="T295" s="24" t="s">
        <v>2970</v>
      </c>
      <c r="U295" s="24"/>
      <c r="V295" s="24"/>
      <c r="W295" s="24" t="s">
        <v>3394</v>
      </c>
      <c r="X295" s="24"/>
      <c r="Y295" s="24"/>
      <c r="Z295" s="24"/>
      <c r="AA295" s="24"/>
      <c r="AB295" s="25" t="n">
        <v>10</v>
      </c>
      <c r="AC295" s="24" t="s">
        <v>3395</v>
      </c>
      <c r="AD295" s="24"/>
      <c r="AE295" s="24" t="s">
        <v>2983</v>
      </c>
      <c r="AF295" s="24" t="s">
        <v>115</v>
      </c>
      <c r="AG295" s="24"/>
      <c r="AH295" s="24"/>
      <c r="AI295" s="25" t="n">
        <f aca="false">COUNTIF($B$2:$B$740,B295)</f>
        <v>1</v>
      </c>
    </row>
    <row r="296" customFormat="false" ht="76" hidden="false" customHeight="true" outlineLevel="0" collapsed="false">
      <c r="A296" s="21" t="n">
        <v>295</v>
      </c>
      <c r="B296" s="22" t="s">
        <v>3396</v>
      </c>
      <c r="C296" s="23" t="s">
        <v>9</v>
      </c>
      <c r="D296" s="23" t="s">
        <v>96</v>
      </c>
      <c r="E296" s="23" t="s">
        <v>97</v>
      </c>
      <c r="F296" s="24" t="s">
        <v>50</v>
      </c>
      <c r="G296" s="24" t="s">
        <v>1407</v>
      </c>
      <c r="H296" s="24" t="s">
        <v>2366</v>
      </c>
      <c r="I296" s="24" t="s">
        <v>3390</v>
      </c>
      <c r="J296" s="24" t="s">
        <v>3397</v>
      </c>
      <c r="K296" s="24" t="s">
        <v>1118</v>
      </c>
      <c r="L296" s="24" t="s">
        <v>119</v>
      </c>
      <c r="M296" s="24" t="s">
        <v>3398</v>
      </c>
      <c r="N296" s="24" t="s">
        <v>856</v>
      </c>
      <c r="O296" s="24" t="s">
        <v>3399</v>
      </c>
      <c r="P296" s="24" t="s">
        <v>2988</v>
      </c>
      <c r="Q296" s="24" t="s">
        <v>3061</v>
      </c>
      <c r="R296" s="24" t="s">
        <v>3400</v>
      </c>
      <c r="S296" s="24" t="s">
        <v>3228</v>
      </c>
      <c r="T296" s="24" t="s">
        <v>3401</v>
      </c>
      <c r="U296" s="24"/>
      <c r="V296" s="24"/>
      <c r="W296" s="24" t="s">
        <v>3402</v>
      </c>
      <c r="X296" s="24"/>
      <c r="Y296" s="24"/>
      <c r="Z296" s="24"/>
      <c r="AA296" s="24"/>
      <c r="AB296" s="25" t="n">
        <v>10</v>
      </c>
      <c r="AC296" s="24" t="s">
        <v>3395</v>
      </c>
      <c r="AD296" s="24"/>
      <c r="AE296" s="24"/>
      <c r="AF296" s="24" t="s">
        <v>115</v>
      </c>
      <c r="AG296" s="24"/>
      <c r="AH296" s="24"/>
      <c r="AI296" s="25" t="n">
        <f aca="false">COUNTIF($B$2:$B$740,B296)</f>
        <v>1</v>
      </c>
    </row>
    <row r="297" customFormat="false" ht="76" hidden="false" customHeight="true" outlineLevel="0" collapsed="false">
      <c r="A297" s="21" t="n">
        <v>296</v>
      </c>
      <c r="B297" s="22" t="s">
        <v>3403</v>
      </c>
      <c r="C297" s="23" t="s">
        <v>9</v>
      </c>
      <c r="D297" s="23" t="s">
        <v>96</v>
      </c>
      <c r="E297" s="23" t="s">
        <v>97</v>
      </c>
      <c r="F297" s="24" t="s">
        <v>56</v>
      </c>
      <c r="G297" s="24" t="s">
        <v>1805</v>
      </c>
      <c r="H297" s="24" t="s">
        <v>2366</v>
      </c>
      <c r="I297" s="24" t="s">
        <v>3390</v>
      </c>
      <c r="J297" s="24" t="s">
        <v>3404</v>
      </c>
      <c r="K297" s="24" t="s">
        <v>3405</v>
      </c>
      <c r="L297" s="24" t="s">
        <v>119</v>
      </c>
      <c r="M297" s="24" t="s">
        <v>3406</v>
      </c>
      <c r="N297" s="24"/>
      <c r="O297" s="24" t="s">
        <v>3407</v>
      </c>
      <c r="P297" s="24" t="s">
        <v>2970</v>
      </c>
      <c r="Q297" s="24" t="s">
        <v>1799</v>
      </c>
      <c r="R297" s="24" t="s">
        <v>1800</v>
      </c>
      <c r="S297" s="24" t="s">
        <v>3408</v>
      </c>
      <c r="T297" s="24" t="s">
        <v>3409</v>
      </c>
      <c r="U297" s="24"/>
      <c r="V297" s="24"/>
      <c r="W297" s="24"/>
      <c r="X297" s="24"/>
      <c r="Y297" s="24"/>
      <c r="Z297" s="24"/>
      <c r="AA297" s="24"/>
      <c r="AB297" s="25" t="n">
        <v>10</v>
      </c>
      <c r="AC297" s="24" t="s">
        <v>3395</v>
      </c>
      <c r="AD297" s="24"/>
      <c r="AE297" s="24"/>
      <c r="AF297" s="24" t="s">
        <v>115</v>
      </c>
      <c r="AG297" s="24"/>
      <c r="AH297" s="24"/>
      <c r="AI297" s="25" t="n">
        <f aca="false">COUNTIF($B$2:$B$740,B297)</f>
        <v>1</v>
      </c>
    </row>
    <row r="298" customFormat="false" ht="76" hidden="false" customHeight="true" outlineLevel="0" collapsed="false">
      <c r="A298" s="21" t="n">
        <v>297</v>
      </c>
      <c r="B298" s="22" t="s">
        <v>3410</v>
      </c>
      <c r="C298" s="23" t="s">
        <v>9</v>
      </c>
      <c r="D298" s="23" t="s">
        <v>96</v>
      </c>
      <c r="E298" s="23" t="s">
        <v>97</v>
      </c>
      <c r="F298" s="24" t="s">
        <v>50</v>
      </c>
      <c r="G298" s="24" t="s">
        <v>1407</v>
      </c>
      <c r="H298" s="24" t="s">
        <v>2366</v>
      </c>
      <c r="I298" s="24" t="s">
        <v>3390</v>
      </c>
      <c r="J298" s="24" t="s">
        <v>3411</v>
      </c>
      <c r="K298" s="24" t="s">
        <v>1118</v>
      </c>
      <c r="L298" s="24" t="s">
        <v>119</v>
      </c>
      <c r="M298" s="24" t="s">
        <v>3412</v>
      </c>
      <c r="N298" s="24" t="s">
        <v>856</v>
      </c>
      <c r="O298" s="24" t="s">
        <v>3105</v>
      </c>
      <c r="P298" s="24" t="s">
        <v>2988</v>
      </c>
      <c r="Q298" s="24" t="s">
        <v>3061</v>
      </c>
      <c r="R298" s="24" t="s">
        <v>3107</v>
      </c>
      <c r="S298" s="24" t="s">
        <v>3228</v>
      </c>
      <c r="T298" s="24" t="s">
        <v>2970</v>
      </c>
      <c r="U298" s="24"/>
      <c r="V298" s="24"/>
      <c r="W298" s="24" t="s">
        <v>3061</v>
      </c>
      <c r="X298" s="24"/>
      <c r="Y298" s="24"/>
      <c r="Z298" s="24"/>
      <c r="AA298" s="24"/>
      <c r="AB298" s="25" t="n">
        <v>10</v>
      </c>
      <c r="AC298" s="24" t="s">
        <v>3413</v>
      </c>
      <c r="AD298" s="24"/>
      <c r="AE298" s="24"/>
      <c r="AF298" s="24" t="s">
        <v>115</v>
      </c>
      <c r="AG298" s="24"/>
      <c r="AH298" s="24"/>
      <c r="AI298" s="25" t="n">
        <f aca="false">COUNTIF($B$2:$B$740,B298)</f>
        <v>1</v>
      </c>
    </row>
    <row r="299" customFormat="false" ht="76" hidden="false" customHeight="true" outlineLevel="0" collapsed="false">
      <c r="A299" s="21" t="n">
        <v>298</v>
      </c>
      <c r="B299" s="22" t="s">
        <v>3414</v>
      </c>
      <c r="C299" s="23" t="s">
        <v>9</v>
      </c>
      <c r="D299" s="23" t="s">
        <v>96</v>
      </c>
      <c r="E299" s="23" t="s">
        <v>97</v>
      </c>
      <c r="F299" s="24" t="s">
        <v>50</v>
      </c>
      <c r="G299" s="24" t="s">
        <v>1407</v>
      </c>
      <c r="H299" s="24" t="s">
        <v>2366</v>
      </c>
      <c r="I299" s="24" t="s">
        <v>3390</v>
      </c>
      <c r="J299" s="24" t="s">
        <v>3415</v>
      </c>
      <c r="K299" s="24" t="s">
        <v>1118</v>
      </c>
      <c r="L299" s="24" t="s">
        <v>119</v>
      </c>
      <c r="M299" s="24" t="s">
        <v>3412</v>
      </c>
      <c r="N299" s="24" t="s">
        <v>856</v>
      </c>
      <c r="O299" s="24" t="s">
        <v>3039</v>
      </c>
      <c r="P299" s="24" t="s">
        <v>2988</v>
      </c>
      <c r="Q299" s="24" t="s">
        <v>3416</v>
      </c>
      <c r="R299" s="24" t="s">
        <v>3107</v>
      </c>
      <c r="S299" s="24" t="s">
        <v>3228</v>
      </c>
      <c r="T299" s="24" t="s">
        <v>2970</v>
      </c>
      <c r="U299" s="24"/>
      <c r="V299" s="24"/>
      <c r="W299" s="24" t="s">
        <v>3416</v>
      </c>
      <c r="X299" s="24"/>
      <c r="Y299" s="24"/>
      <c r="Z299" s="24"/>
      <c r="AA299" s="24"/>
      <c r="AB299" s="25" t="n">
        <v>10</v>
      </c>
      <c r="AC299" s="24" t="s">
        <v>3413</v>
      </c>
      <c r="AD299" s="24"/>
      <c r="AE299" s="24"/>
      <c r="AF299" s="24" t="s">
        <v>115</v>
      </c>
      <c r="AG299" s="24"/>
      <c r="AH299" s="24"/>
      <c r="AI299" s="25" t="n">
        <f aca="false">COUNTIF($B$2:$B$740,B299)</f>
        <v>1</v>
      </c>
    </row>
    <row r="300" customFormat="false" ht="76" hidden="false" customHeight="true" outlineLevel="0" collapsed="false">
      <c r="A300" s="21" t="n">
        <v>299</v>
      </c>
      <c r="B300" s="22" t="s">
        <v>3417</v>
      </c>
      <c r="C300" s="23" t="s">
        <v>9</v>
      </c>
      <c r="D300" s="23" t="s">
        <v>96</v>
      </c>
      <c r="E300" s="23" t="s">
        <v>97</v>
      </c>
      <c r="F300" s="24" t="s">
        <v>50</v>
      </c>
      <c r="G300" s="24" t="s">
        <v>1407</v>
      </c>
      <c r="H300" s="24" t="s">
        <v>2366</v>
      </c>
      <c r="I300" s="24" t="s">
        <v>3390</v>
      </c>
      <c r="J300" s="24" t="s">
        <v>3418</v>
      </c>
      <c r="K300" s="24" t="s">
        <v>3282</v>
      </c>
      <c r="L300" s="24" t="s">
        <v>119</v>
      </c>
      <c r="M300" s="24" t="s">
        <v>3412</v>
      </c>
      <c r="N300" s="24" t="s">
        <v>3021</v>
      </c>
      <c r="O300" s="24" t="s">
        <v>1118</v>
      </c>
      <c r="P300" s="24" t="s">
        <v>3419</v>
      </c>
      <c r="Q300" s="24" t="s">
        <v>3420</v>
      </c>
      <c r="R300" s="24" t="s">
        <v>3013</v>
      </c>
      <c r="S300" s="24" t="s">
        <v>3286</v>
      </c>
      <c r="T300" s="24" t="s">
        <v>3287</v>
      </c>
      <c r="U300" s="24"/>
      <c r="V300" s="24"/>
      <c r="W300" s="24"/>
      <c r="X300" s="24"/>
      <c r="Y300" s="24" t="s">
        <v>3419</v>
      </c>
      <c r="Z300" s="24"/>
      <c r="AA300" s="24" t="s">
        <v>3420</v>
      </c>
      <c r="AB300" s="25" t="n">
        <v>10</v>
      </c>
      <c r="AC300" s="24" t="s">
        <v>3413</v>
      </c>
      <c r="AD300" s="24"/>
      <c r="AE300" s="24"/>
      <c r="AF300" s="24" t="s">
        <v>115</v>
      </c>
      <c r="AG300" s="24"/>
      <c r="AH300" s="24"/>
      <c r="AI300" s="25" t="n">
        <f aca="false">COUNTIF($B$2:$B$740,B300)</f>
        <v>1</v>
      </c>
    </row>
    <row r="301" customFormat="false" ht="76" hidden="false" customHeight="true" outlineLevel="0" collapsed="false">
      <c r="A301" s="21" t="n">
        <v>300</v>
      </c>
      <c r="B301" s="22" t="s">
        <v>3421</v>
      </c>
      <c r="C301" s="23" t="s">
        <v>12</v>
      </c>
      <c r="D301" s="23" t="s">
        <v>209</v>
      </c>
      <c r="E301" s="23" t="s">
        <v>97</v>
      </c>
      <c r="F301" s="24" t="s">
        <v>51</v>
      </c>
      <c r="G301" s="24" t="s">
        <v>2404</v>
      </c>
      <c r="H301" s="24" t="s">
        <v>2366</v>
      </c>
      <c r="I301" s="24" t="s">
        <v>3390</v>
      </c>
      <c r="J301" s="24" t="s">
        <v>3422</v>
      </c>
      <c r="K301" s="24" t="s">
        <v>3423</v>
      </c>
      <c r="L301" s="24" t="s">
        <v>173</v>
      </c>
      <c r="M301" s="24" t="s">
        <v>3424</v>
      </c>
      <c r="N301" s="24" t="s">
        <v>3425</v>
      </c>
      <c r="O301" s="24" t="s">
        <v>3426</v>
      </c>
      <c r="P301" s="24" t="s">
        <v>3427</v>
      </c>
      <c r="Q301" s="24" t="s">
        <v>3428</v>
      </c>
      <c r="R301" s="24" t="s">
        <v>3429</v>
      </c>
      <c r="S301" s="24" t="s">
        <v>3430</v>
      </c>
      <c r="T301" s="24" t="s">
        <v>3431</v>
      </c>
      <c r="U301" s="24" t="s">
        <v>3432</v>
      </c>
      <c r="V301" s="24" t="s">
        <v>3430</v>
      </c>
      <c r="W301" s="24" t="s">
        <v>3433</v>
      </c>
      <c r="X301" s="24"/>
      <c r="Y301" s="24" t="s">
        <v>3432</v>
      </c>
      <c r="Z301" s="24"/>
      <c r="AA301" s="24"/>
      <c r="AB301" s="25" t="n">
        <v>10</v>
      </c>
      <c r="AC301" s="24" t="s">
        <v>3434</v>
      </c>
      <c r="AD301" s="24" t="s">
        <v>3435</v>
      </c>
      <c r="AE301" s="24"/>
      <c r="AF301" s="24" t="s">
        <v>115</v>
      </c>
      <c r="AG301" s="24"/>
      <c r="AH301" s="24"/>
      <c r="AI301" s="25" t="n">
        <f aca="false">COUNTIF($B$2:$B$740,B301)</f>
        <v>1</v>
      </c>
    </row>
    <row r="302" customFormat="false" ht="76" hidden="false" customHeight="true" outlineLevel="0" collapsed="false">
      <c r="A302" s="21" t="n">
        <v>301</v>
      </c>
      <c r="B302" s="22" t="s">
        <v>3436</v>
      </c>
      <c r="C302" s="23" t="s">
        <v>12</v>
      </c>
      <c r="D302" s="23" t="s">
        <v>209</v>
      </c>
      <c r="E302" s="23" t="s">
        <v>97</v>
      </c>
      <c r="F302" s="24" t="s">
        <v>50</v>
      </c>
      <c r="G302" s="24" t="s">
        <v>1407</v>
      </c>
      <c r="H302" s="24" t="s">
        <v>2366</v>
      </c>
      <c r="I302" s="24" t="s">
        <v>3390</v>
      </c>
      <c r="J302" s="24" t="s">
        <v>3437</v>
      </c>
      <c r="K302" s="24" t="s">
        <v>3438</v>
      </c>
      <c r="L302" s="24" t="s">
        <v>119</v>
      </c>
      <c r="M302" s="24" t="s">
        <v>3424</v>
      </c>
      <c r="N302" s="24" t="s">
        <v>3439</v>
      </c>
      <c r="O302" s="24" t="s">
        <v>3440</v>
      </c>
      <c r="P302" s="24" t="s">
        <v>3441</v>
      </c>
      <c r="Q302" s="24" t="s">
        <v>3442</v>
      </c>
      <c r="R302" s="24" t="s">
        <v>3443</v>
      </c>
      <c r="S302" s="24" t="s">
        <v>3444</v>
      </c>
      <c r="T302" s="24" t="s">
        <v>3445</v>
      </c>
      <c r="U302" s="24" t="s">
        <v>183</v>
      </c>
      <c r="V302" s="24" t="s">
        <v>3444</v>
      </c>
      <c r="W302" s="24" t="s">
        <v>3446</v>
      </c>
      <c r="X302" s="24"/>
      <c r="Y302" s="24" t="s">
        <v>183</v>
      </c>
      <c r="Z302" s="24"/>
      <c r="AA302" s="24"/>
      <c r="AB302" s="25" t="n">
        <v>10</v>
      </c>
      <c r="AC302" s="24" t="s">
        <v>3434</v>
      </c>
      <c r="AD302" s="24" t="s">
        <v>3435</v>
      </c>
      <c r="AE302" s="24"/>
      <c r="AF302" s="24" t="s">
        <v>115</v>
      </c>
      <c r="AG302" s="24"/>
      <c r="AH302" s="24"/>
      <c r="AI302" s="25" t="n">
        <f aca="false">COUNTIF($B$2:$B$740,B302)</f>
        <v>1</v>
      </c>
    </row>
    <row r="303" customFormat="false" ht="76" hidden="false" customHeight="true" outlineLevel="0" collapsed="false">
      <c r="A303" s="21" t="n">
        <v>302</v>
      </c>
      <c r="B303" s="22" t="s">
        <v>3447</v>
      </c>
      <c r="C303" s="23" t="s">
        <v>12</v>
      </c>
      <c r="D303" s="23" t="s">
        <v>209</v>
      </c>
      <c r="E303" s="23" t="s">
        <v>97</v>
      </c>
      <c r="F303" s="24" t="s">
        <v>51</v>
      </c>
      <c r="G303" s="24" t="s">
        <v>2404</v>
      </c>
      <c r="H303" s="24" t="s">
        <v>2366</v>
      </c>
      <c r="I303" s="24" t="s">
        <v>3390</v>
      </c>
      <c r="J303" s="24" t="s">
        <v>3448</v>
      </c>
      <c r="K303" s="24" t="s">
        <v>3449</v>
      </c>
      <c r="L303" s="24" t="s">
        <v>103</v>
      </c>
      <c r="M303" s="24" t="s">
        <v>3450</v>
      </c>
      <c r="N303" s="24"/>
      <c r="O303" s="24" t="s">
        <v>3451</v>
      </c>
      <c r="P303" s="24" t="s">
        <v>3452</v>
      </c>
      <c r="Q303" s="24" t="s">
        <v>2140</v>
      </c>
      <c r="R303" s="24" t="s">
        <v>3453</v>
      </c>
      <c r="S303" s="24" t="s">
        <v>3454</v>
      </c>
      <c r="T303" s="24" t="s">
        <v>3455</v>
      </c>
      <c r="U303" s="24" t="s">
        <v>3456</v>
      </c>
      <c r="V303" s="24"/>
      <c r="W303" s="24"/>
      <c r="X303" s="24"/>
      <c r="Y303" s="24" t="s">
        <v>183</v>
      </c>
      <c r="Z303" s="24"/>
      <c r="AA303" s="24"/>
      <c r="AB303" s="25" t="n">
        <v>10</v>
      </c>
      <c r="AC303" s="24" t="s">
        <v>3457</v>
      </c>
      <c r="AD303" s="24" t="s">
        <v>3435</v>
      </c>
      <c r="AE303" s="24"/>
      <c r="AF303" s="24" t="s">
        <v>115</v>
      </c>
      <c r="AG303" s="24"/>
      <c r="AH303" s="24"/>
      <c r="AI303" s="25" t="n">
        <f aca="false">COUNTIF($B$2:$B$740,B303)</f>
        <v>1</v>
      </c>
    </row>
    <row r="304" customFormat="false" ht="76" hidden="false" customHeight="true" outlineLevel="0" collapsed="false">
      <c r="A304" s="21" t="n">
        <v>303</v>
      </c>
      <c r="B304" s="22" t="s">
        <v>3458</v>
      </c>
      <c r="C304" s="23" t="s">
        <v>9</v>
      </c>
      <c r="D304" s="23" t="s">
        <v>96</v>
      </c>
      <c r="E304" s="23" t="s">
        <v>3459</v>
      </c>
      <c r="F304" s="24" t="s">
        <v>59</v>
      </c>
      <c r="G304" s="24" t="s">
        <v>98</v>
      </c>
      <c r="H304" s="24" t="s">
        <v>3460</v>
      </c>
      <c r="I304" s="24" t="s">
        <v>3461</v>
      </c>
      <c r="J304" s="24" t="s">
        <v>3462</v>
      </c>
      <c r="K304" s="24" t="s">
        <v>3463</v>
      </c>
      <c r="L304" s="24" t="s">
        <v>531</v>
      </c>
      <c r="M304" s="24" t="s">
        <v>3464</v>
      </c>
      <c r="N304" s="24"/>
      <c r="O304" s="24" t="s">
        <v>3465</v>
      </c>
      <c r="P304" s="24" t="s">
        <v>3466</v>
      </c>
      <c r="Q304" s="24" t="s">
        <v>3467</v>
      </c>
      <c r="R304" s="24" t="s">
        <v>3468</v>
      </c>
      <c r="S304" s="24" t="s">
        <v>3469</v>
      </c>
      <c r="T304" s="24" t="s">
        <v>3470</v>
      </c>
      <c r="U304" s="24" t="s">
        <v>3471</v>
      </c>
      <c r="V304" s="24" t="s">
        <v>3472</v>
      </c>
      <c r="W304" s="24" t="s">
        <v>3471</v>
      </c>
      <c r="X304" s="24"/>
      <c r="Y304" s="24" t="s">
        <v>3473</v>
      </c>
      <c r="Z304" s="24"/>
      <c r="AA304" s="24" t="s">
        <v>3474</v>
      </c>
      <c r="AB304" s="25" t="n">
        <v>80</v>
      </c>
      <c r="AC304" s="24" t="s">
        <v>3475</v>
      </c>
      <c r="AD304" s="24" t="s">
        <v>3476</v>
      </c>
      <c r="AE304" s="24" t="s">
        <v>3477</v>
      </c>
      <c r="AF304" s="24" t="s">
        <v>168</v>
      </c>
      <c r="AG304" s="24" t="s">
        <v>168</v>
      </c>
      <c r="AH304" s="24" t="s">
        <v>941</v>
      </c>
      <c r="AI304" s="25" t="n">
        <f aca="false">COUNTIF($B$2:$B$740,B304)</f>
        <v>1</v>
      </c>
    </row>
    <row r="305" customFormat="false" ht="76" hidden="false" customHeight="true" outlineLevel="0" collapsed="false">
      <c r="A305" s="21" t="n">
        <v>304</v>
      </c>
      <c r="B305" s="22" t="s">
        <v>3478</v>
      </c>
      <c r="C305" s="23" t="s">
        <v>9</v>
      </c>
      <c r="D305" s="23" t="s">
        <v>96</v>
      </c>
      <c r="E305" s="23" t="s">
        <v>3459</v>
      </c>
      <c r="F305" s="24" t="s">
        <v>59</v>
      </c>
      <c r="G305" s="24" t="s">
        <v>98</v>
      </c>
      <c r="H305" s="24" t="s">
        <v>3460</v>
      </c>
      <c r="I305" s="24" t="s">
        <v>3461</v>
      </c>
      <c r="J305" s="24" t="s">
        <v>3479</v>
      </c>
      <c r="K305" s="24" t="s">
        <v>3463</v>
      </c>
      <c r="L305" s="24" t="s">
        <v>119</v>
      </c>
      <c r="M305" s="24" t="s">
        <v>3480</v>
      </c>
      <c r="N305" s="24"/>
      <c r="O305" s="24" t="s">
        <v>3481</v>
      </c>
      <c r="P305" s="24" t="s">
        <v>3482</v>
      </c>
      <c r="Q305" s="24" t="s">
        <v>3483</v>
      </c>
      <c r="R305" s="24" t="s">
        <v>3484</v>
      </c>
      <c r="S305" s="24" t="s">
        <v>3485</v>
      </c>
      <c r="T305" s="24" t="s">
        <v>3486</v>
      </c>
      <c r="U305" s="24"/>
      <c r="V305" s="24" t="s">
        <v>3487</v>
      </c>
      <c r="W305" s="24"/>
      <c r="X305" s="24"/>
      <c r="Y305" s="24" t="s">
        <v>3488</v>
      </c>
      <c r="Z305" s="24"/>
      <c r="AA305" s="24"/>
      <c r="AB305" s="25" t="n">
        <v>30</v>
      </c>
      <c r="AC305" s="24" t="s">
        <v>3489</v>
      </c>
      <c r="AD305" s="24" t="s">
        <v>3490</v>
      </c>
      <c r="AE305" s="24" t="s">
        <v>1383</v>
      </c>
      <c r="AF305" s="24" t="s">
        <v>115</v>
      </c>
      <c r="AG305" s="24" t="s">
        <v>168</v>
      </c>
      <c r="AH305" s="24"/>
      <c r="AI305" s="25" t="n">
        <f aca="false">COUNTIF($B$2:$B$740,B305)</f>
        <v>1</v>
      </c>
    </row>
    <row r="306" customFormat="false" ht="76" hidden="false" customHeight="true" outlineLevel="0" collapsed="false">
      <c r="A306" s="21" t="n">
        <v>305</v>
      </c>
      <c r="B306" s="22" t="s">
        <v>3491</v>
      </c>
      <c r="C306" s="23" t="s">
        <v>9</v>
      </c>
      <c r="D306" s="23" t="s">
        <v>96</v>
      </c>
      <c r="E306" s="23" t="s">
        <v>3459</v>
      </c>
      <c r="F306" s="24" t="s">
        <v>50</v>
      </c>
      <c r="G306" s="24" t="s">
        <v>1407</v>
      </c>
      <c r="H306" s="24" t="s">
        <v>3460</v>
      </c>
      <c r="I306" s="24" t="s">
        <v>3461</v>
      </c>
      <c r="J306" s="24" t="s">
        <v>3492</v>
      </c>
      <c r="K306" s="24" t="s">
        <v>3463</v>
      </c>
      <c r="L306" s="24" t="s">
        <v>119</v>
      </c>
      <c r="M306" s="24" t="s">
        <v>3493</v>
      </c>
      <c r="N306" s="24"/>
      <c r="O306" s="24" t="s">
        <v>3494</v>
      </c>
      <c r="P306" s="24" t="s">
        <v>3495</v>
      </c>
      <c r="Q306" s="24" t="s">
        <v>3496</v>
      </c>
      <c r="R306" s="24" t="s">
        <v>3497</v>
      </c>
      <c r="S306" s="24" t="s">
        <v>3495</v>
      </c>
      <c r="T306" s="24" t="s">
        <v>3498</v>
      </c>
      <c r="U306" s="24"/>
      <c r="V306" s="24" t="s">
        <v>3499</v>
      </c>
      <c r="W306" s="24"/>
      <c r="X306" s="24"/>
      <c r="Y306" s="24" t="s">
        <v>3500</v>
      </c>
      <c r="Z306" s="24"/>
      <c r="AA306" s="24"/>
      <c r="AB306" s="25" t="n">
        <v>30</v>
      </c>
      <c r="AC306" s="24" t="s">
        <v>3501</v>
      </c>
      <c r="AD306" s="24" t="s">
        <v>3502</v>
      </c>
      <c r="AE306" s="24"/>
      <c r="AF306" s="24" t="s">
        <v>115</v>
      </c>
      <c r="AG306" s="24" t="s">
        <v>168</v>
      </c>
      <c r="AH306" s="24"/>
      <c r="AI306" s="25" t="n">
        <f aca="false">COUNTIF($B$2:$B$740,B306)</f>
        <v>1</v>
      </c>
    </row>
    <row r="307" customFormat="false" ht="76" hidden="false" customHeight="true" outlineLevel="0" collapsed="false">
      <c r="A307" s="21" t="n">
        <v>306</v>
      </c>
      <c r="B307" s="22" t="s">
        <v>3503</v>
      </c>
      <c r="C307" s="23" t="s">
        <v>9</v>
      </c>
      <c r="D307" s="23" t="s">
        <v>96</v>
      </c>
      <c r="E307" s="23" t="s">
        <v>3459</v>
      </c>
      <c r="F307" s="24" t="s">
        <v>50</v>
      </c>
      <c r="G307" s="24" t="s">
        <v>1407</v>
      </c>
      <c r="H307" s="24" t="s">
        <v>3460</v>
      </c>
      <c r="I307" s="24" t="s">
        <v>3461</v>
      </c>
      <c r="J307" s="24" t="s">
        <v>3504</v>
      </c>
      <c r="K307" s="24" t="s">
        <v>3463</v>
      </c>
      <c r="L307" s="24" t="s">
        <v>531</v>
      </c>
      <c r="M307" s="24" t="s">
        <v>3505</v>
      </c>
      <c r="N307" s="24"/>
      <c r="O307" s="24" t="s">
        <v>3506</v>
      </c>
      <c r="P307" s="24" t="s">
        <v>3507</v>
      </c>
      <c r="Q307" s="24" t="s">
        <v>3508</v>
      </c>
      <c r="R307" s="24" t="s">
        <v>3509</v>
      </c>
      <c r="S307" s="24" t="s">
        <v>3510</v>
      </c>
      <c r="T307" s="24" t="s">
        <v>3507</v>
      </c>
      <c r="U307" s="24" t="s">
        <v>3511</v>
      </c>
      <c r="V307" s="24" t="s">
        <v>3512</v>
      </c>
      <c r="W307" s="24"/>
      <c r="X307" s="24" t="s">
        <v>3512</v>
      </c>
      <c r="Y307" s="24" t="s">
        <v>3513</v>
      </c>
      <c r="Z307" s="24" t="s">
        <v>3514</v>
      </c>
      <c r="AA307" s="24"/>
      <c r="AB307" s="25" t="n">
        <v>30</v>
      </c>
      <c r="AC307" s="24" t="s">
        <v>3515</v>
      </c>
      <c r="AD307" s="24" t="s">
        <v>3516</v>
      </c>
      <c r="AE307" s="24"/>
      <c r="AF307" s="24" t="s">
        <v>115</v>
      </c>
      <c r="AG307" s="24" t="s">
        <v>168</v>
      </c>
      <c r="AH307" s="24"/>
      <c r="AI307" s="25" t="n">
        <f aca="false">COUNTIF($B$2:$B$740,B307)</f>
        <v>1</v>
      </c>
    </row>
    <row r="308" customFormat="false" ht="76" hidden="false" customHeight="true" outlineLevel="0" collapsed="false">
      <c r="A308" s="21" t="n">
        <v>307</v>
      </c>
      <c r="B308" s="22" t="s">
        <v>3517</v>
      </c>
      <c r="C308" s="23" t="s">
        <v>9</v>
      </c>
      <c r="D308" s="23" t="s">
        <v>96</v>
      </c>
      <c r="E308" s="23" t="s">
        <v>3459</v>
      </c>
      <c r="F308" s="24" t="s">
        <v>50</v>
      </c>
      <c r="G308" s="24" t="s">
        <v>1407</v>
      </c>
      <c r="H308" s="24" t="s">
        <v>3460</v>
      </c>
      <c r="I308" s="24" t="s">
        <v>3461</v>
      </c>
      <c r="J308" s="24" t="s">
        <v>3518</v>
      </c>
      <c r="K308" s="24" t="s">
        <v>3519</v>
      </c>
      <c r="L308" s="24" t="s">
        <v>173</v>
      </c>
      <c r="M308" s="24" t="s">
        <v>3520</v>
      </c>
      <c r="N308" s="24"/>
      <c r="O308" s="24" t="s">
        <v>3521</v>
      </c>
      <c r="P308" s="24" t="s">
        <v>3522</v>
      </c>
      <c r="Q308" s="24" t="s">
        <v>3523</v>
      </c>
      <c r="R308" s="24" t="s">
        <v>3524</v>
      </c>
      <c r="S308" s="24" t="s">
        <v>3522</v>
      </c>
      <c r="T308" s="24" t="s">
        <v>3525</v>
      </c>
      <c r="U308" s="24" t="s">
        <v>3526</v>
      </c>
      <c r="V308" s="24" t="s">
        <v>3527</v>
      </c>
      <c r="W308" s="24"/>
      <c r="X308" s="24" t="s">
        <v>3528</v>
      </c>
      <c r="Y308" s="24" t="s">
        <v>3529</v>
      </c>
      <c r="Z308" s="24"/>
      <c r="AA308" s="24"/>
      <c r="AB308" s="25" t="n">
        <v>30</v>
      </c>
      <c r="AC308" s="24" t="s">
        <v>3530</v>
      </c>
      <c r="AD308" s="24" t="s">
        <v>3531</v>
      </c>
      <c r="AE308" s="24"/>
      <c r="AF308" s="24" t="s">
        <v>115</v>
      </c>
      <c r="AG308" s="24" t="s">
        <v>168</v>
      </c>
      <c r="AH308" s="24"/>
      <c r="AI308" s="25" t="n">
        <f aca="false">COUNTIF($B$2:$B$740,B308)</f>
        <v>1</v>
      </c>
    </row>
    <row r="309" customFormat="false" ht="76" hidden="false" customHeight="true" outlineLevel="0" collapsed="false">
      <c r="A309" s="21" t="n">
        <v>308</v>
      </c>
      <c r="B309" s="22" t="s">
        <v>3532</v>
      </c>
      <c r="C309" s="23" t="s">
        <v>9</v>
      </c>
      <c r="D309" s="23" t="s">
        <v>96</v>
      </c>
      <c r="E309" s="23" t="s">
        <v>3459</v>
      </c>
      <c r="F309" s="24" t="s">
        <v>59</v>
      </c>
      <c r="G309" s="24" t="s">
        <v>98</v>
      </c>
      <c r="H309" s="24" t="s">
        <v>3460</v>
      </c>
      <c r="I309" s="24" t="s">
        <v>3461</v>
      </c>
      <c r="J309" s="24" t="s">
        <v>3533</v>
      </c>
      <c r="K309" s="24" t="s">
        <v>3519</v>
      </c>
      <c r="L309" s="24" t="s">
        <v>173</v>
      </c>
      <c r="M309" s="24" t="s">
        <v>3534</v>
      </c>
      <c r="N309" s="24"/>
      <c r="O309" s="24" t="s">
        <v>3535</v>
      </c>
      <c r="P309" s="24" t="s">
        <v>3536</v>
      </c>
      <c r="Q309" s="24" t="s">
        <v>3537</v>
      </c>
      <c r="R309" s="24" t="s">
        <v>3538</v>
      </c>
      <c r="S309" s="24" t="s">
        <v>3539</v>
      </c>
      <c r="T309" s="24" t="s">
        <v>3540</v>
      </c>
      <c r="U309" s="24"/>
      <c r="V309" s="24" t="s">
        <v>3541</v>
      </c>
      <c r="W309" s="24"/>
      <c r="X309" s="24"/>
      <c r="Y309" s="24" t="s">
        <v>3542</v>
      </c>
      <c r="Z309" s="24"/>
      <c r="AA309" s="24"/>
      <c r="AB309" s="25" t="n">
        <v>30</v>
      </c>
      <c r="AC309" s="24" t="s">
        <v>3543</v>
      </c>
      <c r="AD309" s="24" t="s">
        <v>3544</v>
      </c>
      <c r="AE309" s="24"/>
      <c r="AF309" s="24" t="s">
        <v>115</v>
      </c>
      <c r="AG309" s="24" t="s">
        <v>168</v>
      </c>
      <c r="AH309" s="24"/>
      <c r="AI309" s="25" t="n">
        <f aca="false">COUNTIF($B$2:$B$740,B309)</f>
        <v>1</v>
      </c>
    </row>
    <row r="310" customFormat="false" ht="76" hidden="false" customHeight="true" outlineLevel="0" collapsed="false">
      <c r="A310" s="21" t="n">
        <v>309</v>
      </c>
      <c r="B310" s="22" t="s">
        <v>3545</v>
      </c>
      <c r="C310" s="23" t="s">
        <v>9</v>
      </c>
      <c r="D310" s="23" t="s">
        <v>96</v>
      </c>
      <c r="E310" s="23" t="s">
        <v>3459</v>
      </c>
      <c r="F310" s="24" t="s">
        <v>50</v>
      </c>
      <c r="G310" s="24" t="s">
        <v>1407</v>
      </c>
      <c r="H310" s="24" t="s">
        <v>3460</v>
      </c>
      <c r="I310" s="24" t="s">
        <v>3461</v>
      </c>
      <c r="J310" s="24" t="s">
        <v>3546</v>
      </c>
      <c r="K310" s="24" t="s">
        <v>3519</v>
      </c>
      <c r="L310" s="24" t="s">
        <v>103</v>
      </c>
      <c r="M310" s="24" t="s">
        <v>3547</v>
      </c>
      <c r="N310" s="24"/>
      <c r="O310" s="24" t="s">
        <v>3548</v>
      </c>
      <c r="P310" s="24" t="s">
        <v>3549</v>
      </c>
      <c r="Q310" s="24" t="s">
        <v>3550</v>
      </c>
      <c r="R310" s="24" t="s">
        <v>3551</v>
      </c>
      <c r="S310" s="24" t="s">
        <v>3552</v>
      </c>
      <c r="T310" s="24" t="s">
        <v>3553</v>
      </c>
      <c r="U310" s="24" t="s">
        <v>3554</v>
      </c>
      <c r="V310" s="24"/>
      <c r="W310" s="24"/>
      <c r="X310" s="24" t="s">
        <v>3555</v>
      </c>
      <c r="Y310" s="24" t="s">
        <v>3556</v>
      </c>
      <c r="Z310" s="24"/>
      <c r="AA310" s="24"/>
      <c r="AB310" s="25" t="n">
        <v>30</v>
      </c>
      <c r="AC310" s="24" t="s">
        <v>3557</v>
      </c>
      <c r="AD310" s="24" t="s">
        <v>3558</v>
      </c>
      <c r="AE310" s="24"/>
      <c r="AF310" s="24" t="s">
        <v>115</v>
      </c>
      <c r="AG310" s="24" t="s">
        <v>168</v>
      </c>
      <c r="AH310" s="24"/>
      <c r="AI310" s="25" t="n">
        <f aca="false">COUNTIF($B$2:$B$740,B310)</f>
        <v>1</v>
      </c>
    </row>
    <row r="311" customFormat="false" ht="76" hidden="false" customHeight="true" outlineLevel="0" collapsed="false">
      <c r="A311" s="21" t="n">
        <v>310</v>
      </c>
      <c r="B311" s="22" t="s">
        <v>3559</v>
      </c>
      <c r="C311" s="23" t="s">
        <v>9</v>
      </c>
      <c r="D311" s="23" t="s">
        <v>96</v>
      </c>
      <c r="E311" s="23" t="s">
        <v>3459</v>
      </c>
      <c r="F311" s="24" t="s">
        <v>50</v>
      </c>
      <c r="G311" s="24" t="s">
        <v>1407</v>
      </c>
      <c r="H311" s="24" t="s">
        <v>3460</v>
      </c>
      <c r="I311" s="24" t="s">
        <v>3461</v>
      </c>
      <c r="J311" s="24" t="s">
        <v>3560</v>
      </c>
      <c r="K311" s="24" t="s">
        <v>3519</v>
      </c>
      <c r="L311" s="24" t="s">
        <v>103</v>
      </c>
      <c r="M311" s="24" t="s">
        <v>3561</v>
      </c>
      <c r="N311" s="24"/>
      <c r="O311" s="24" t="s">
        <v>3562</v>
      </c>
      <c r="P311" s="24" t="s">
        <v>3563</v>
      </c>
      <c r="Q311" s="24" t="s">
        <v>3564</v>
      </c>
      <c r="R311" s="24" t="s">
        <v>3565</v>
      </c>
      <c r="S311" s="24" t="s">
        <v>3563</v>
      </c>
      <c r="T311" s="24" t="s">
        <v>3540</v>
      </c>
      <c r="U311" s="24"/>
      <c r="V311" s="24" t="s">
        <v>3566</v>
      </c>
      <c r="W311" s="24"/>
      <c r="X311" s="24"/>
      <c r="Y311" s="24" t="s">
        <v>3567</v>
      </c>
      <c r="Z311" s="24"/>
      <c r="AA311" s="24"/>
      <c r="AB311" s="25" t="n">
        <v>30</v>
      </c>
      <c r="AC311" s="24" t="s">
        <v>3568</v>
      </c>
      <c r="AD311" s="24" t="s">
        <v>3569</v>
      </c>
      <c r="AE311" s="24"/>
      <c r="AF311" s="24" t="s">
        <v>115</v>
      </c>
      <c r="AG311" s="24" t="s">
        <v>168</v>
      </c>
      <c r="AH311" s="24"/>
      <c r="AI311" s="25" t="n">
        <f aca="false">COUNTIF($B$2:$B$740,B311)</f>
        <v>1</v>
      </c>
    </row>
    <row r="312" customFormat="false" ht="76" hidden="false" customHeight="true" outlineLevel="0" collapsed="false">
      <c r="A312" s="21" t="n">
        <v>311</v>
      </c>
      <c r="B312" s="22" t="s">
        <v>3570</v>
      </c>
      <c r="C312" s="23" t="s">
        <v>9</v>
      </c>
      <c r="D312" s="23" t="s">
        <v>96</v>
      </c>
      <c r="E312" s="23" t="s">
        <v>3459</v>
      </c>
      <c r="F312" s="24" t="s">
        <v>50</v>
      </c>
      <c r="G312" s="24" t="s">
        <v>1407</v>
      </c>
      <c r="H312" s="24" t="s">
        <v>3460</v>
      </c>
      <c r="I312" s="24" t="s">
        <v>3461</v>
      </c>
      <c r="J312" s="24" t="s">
        <v>3571</v>
      </c>
      <c r="K312" s="24" t="s">
        <v>3519</v>
      </c>
      <c r="L312" s="24" t="s">
        <v>1183</v>
      </c>
      <c r="M312" s="24" t="s">
        <v>3572</v>
      </c>
      <c r="N312" s="24"/>
      <c r="O312" s="24" t="s">
        <v>3573</v>
      </c>
      <c r="P312" s="24" t="s">
        <v>3574</v>
      </c>
      <c r="Q312" s="24" t="s">
        <v>3575</v>
      </c>
      <c r="R312" s="24" t="s">
        <v>3576</v>
      </c>
      <c r="S312" s="24" t="s">
        <v>3577</v>
      </c>
      <c r="T312" s="24" t="s">
        <v>3540</v>
      </c>
      <c r="U312" s="24" t="s">
        <v>3578</v>
      </c>
      <c r="V312" s="24" t="s">
        <v>3579</v>
      </c>
      <c r="W312" s="24"/>
      <c r="X312" s="24"/>
      <c r="Y312" s="24" t="s">
        <v>3580</v>
      </c>
      <c r="Z312" s="24"/>
      <c r="AA312" s="24"/>
      <c r="AB312" s="25" t="n">
        <v>30</v>
      </c>
      <c r="AC312" s="24" t="s">
        <v>3581</v>
      </c>
      <c r="AD312" s="24" t="s">
        <v>3582</v>
      </c>
      <c r="AE312" s="24"/>
      <c r="AF312" s="24" t="s">
        <v>115</v>
      </c>
      <c r="AG312" s="24" t="s">
        <v>168</v>
      </c>
      <c r="AH312" s="24"/>
      <c r="AI312" s="25" t="n">
        <f aca="false">COUNTIF($B$2:$B$740,B312)</f>
        <v>1</v>
      </c>
    </row>
    <row r="313" customFormat="false" ht="76" hidden="false" customHeight="true" outlineLevel="0" collapsed="false">
      <c r="A313" s="21" t="n">
        <v>312</v>
      </c>
      <c r="B313" s="22" t="s">
        <v>3583</v>
      </c>
      <c r="C313" s="23" t="s">
        <v>9</v>
      </c>
      <c r="D313" s="23" t="s">
        <v>96</v>
      </c>
      <c r="E313" s="23" t="s">
        <v>3459</v>
      </c>
      <c r="F313" s="24" t="s">
        <v>50</v>
      </c>
      <c r="G313" s="24" t="s">
        <v>1407</v>
      </c>
      <c r="H313" s="24" t="s">
        <v>3460</v>
      </c>
      <c r="I313" s="24" t="s">
        <v>3461</v>
      </c>
      <c r="J313" s="24" t="s">
        <v>3584</v>
      </c>
      <c r="K313" s="24" t="s">
        <v>3519</v>
      </c>
      <c r="L313" s="24" t="s">
        <v>173</v>
      </c>
      <c r="M313" s="24" t="s">
        <v>3585</v>
      </c>
      <c r="N313" s="24"/>
      <c r="O313" s="24" t="s">
        <v>3586</v>
      </c>
      <c r="P313" s="24" t="s">
        <v>3587</v>
      </c>
      <c r="Q313" s="24" t="s">
        <v>3588</v>
      </c>
      <c r="R313" s="24" t="s">
        <v>3589</v>
      </c>
      <c r="S313" s="24" t="s">
        <v>3590</v>
      </c>
      <c r="T313" s="24" t="s">
        <v>3540</v>
      </c>
      <c r="U313" s="24"/>
      <c r="V313" s="24" t="s">
        <v>3591</v>
      </c>
      <c r="W313" s="24" t="s">
        <v>3592</v>
      </c>
      <c r="X313" s="24"/>
      <c r="Y313" s="24" t="s">
        <v>3593</v>
      </c>
      <c r="Z313" s="24"/>
      <c r="AA313" s="24"/>
      <c r="AB313" s="25" t="n">
        <v>30</v>
      </c>
      <c r="AC313" s="24" t="s">
        <v>3594</v>
      </c>
      <c r="AD313" s="24" t="s">
        <v>3595</v>
      </c>
      <c r="AE313" s="24"/>
      <c r="AF313" s="24" t="s">
        <v>115</v>
      </c>
      <c r="AG313" s="24" t="s">
        <v>168</v>
      </c>
      <c r="AH313" s="24"/>
      <c r="AI313" s="25" t="n">
        <f aca="false">COUNTIF($B$2:$B$740,B313)</f>
        <v>1</v>
      </c>
    </row>
    <row r="314" customFormat="false" ht="76" hidden="false" customHeight="true" outlineLevel="0" collapsed="false">
      <c r="A314" s="21" t="n">
        <v>313</v>
      </c>
      <c r="B314" s="22" t="s">
        <v>3596</v>
      </c>
      <c r="C314" s="23" t="s">
        <v>9</v>
      </c>
      <c r="D314" s="23" t="s">
        <v>96</v>
      </c>
      <c r="E314" s="23" t="s">
        <v>3459</v>
      </c>
      <c r="F314" s="24" t="s">
        <v>50</v>
      </c>
      <c r="G314" s="24" t="s">
        <v>1407</v>
      </c>
      <c r="H314" s="24" t="s">
        <v>3460</v>
      </c>
      <c r="I314" s="24" t="s">
        <v>3461</v>
      </c>
      <c r="J314" s="24" t="s">
        <v>3597</v>
      </c>
      <c r="K314" s="24" t="s">
        <v>3519</v>
      </c>
      <c r="L314" s="24" t="s">
        <v>103</v>
      </c>
      <c r="M314" s="24" t="s">
        <v>3598</v>
      </c>
      <c r="N314" s="24"/>
      <c r="O314" s="24" t="s">
        <v>3599</v>
      </c>
      <c r="P314" s="24" t="s">
        <v>3600</v>
      </c>
      <c r="Q314" s="24" t="s">
        <v>3601</v>
      </c>
      <c r="R314" s="24" t="s">
        <v>3602</v>
      </c>
      <c r="S314" s="24" t="s">
        <v>3603</v>
      </c>
      <c r="T314" s="24" t="s">
        <v>3604</v>
      </c>
      <c r="U314" s="24"/>
      <c r="V314" s="24"/>
      <c r="W314" s="24"/>
      <c r="X314" s="24" t="s">
        <v>3605</v>
      </c>
      <c r="Y314" s="24" t="s">
        <v>3606</v>
      </c>
      <c r="Z314" s="24"/>
      <c r="AA314" s="24"/>
      <c r="AB314" s="25" t="n">
        <v>30</v>
      </c>
      <c r="AC314" s="24" t="s">
        <v>3607</v>
      </c>
      <c r="AD314" s="24" t="s">
        <v>3608</v>
      </c>
      <c r="AE314" s="24"/>
      <c r="AF314" s="24" t="s">
        <v>115</v>
      </c>
      <c r="AG314" s="24" t="s">
        <v>168</v>
      </c>
      <c r="AH314" s="24"/>
      <c r="AI314" s="25" t="n">
        <f aca="false">COUNTIF($B$2:$B$740,B314)</f>
        <v>1</v>
      </c>
    </row>
    <row r="315" customFormat="false" ht="76" hidden="false" customHeight="true" outlineLevel="0" collapsed="false">
      <c r="A315" s="21" t="n">
        <v>314</v>
      </c>
      <c r="B315" s="22" t="s">
        <v>3609</v>
      </c>
      <c r="C315" s="23" t="s">
        <v>9</v>
      </c>
      <c r="D315" s="23" t="s">
        <v>96</v>
      </c>
      <c r="E315" s="23" t="s">
        <v>3459</v>
      </c>
      <c r="F315" s="24" t="s">
        <v>59</v>
      </c>
      <c r="G315" s="24" t="s">
        <v>98</v>
      </c>
      <c r="H315" s="24" t="s">
        <v>3460</v>
      </c>
      <c r="I315" s="24" t="s">
        <v>3461</v>
      </c>
      <c r="J315" s="24" t="s">
        <v>3610</v>
      </c>
      <c r="K315" s="24" t="s">
        <v>3519</v>
      </c>
      <c r="L315" s="24" t="s">
        <v>531</v>
      </c>
      <c r="M315" s="24" t="s">
        <v>3611</v>
      </c>
      <c r="N315" s="24"/>
      <c r="O315" s="24" t="s">
        <v>3612</v>
      </c>
      <c r="P315" s="24" t="s">
        <v>3613</v>
      </c>
      <c r="Q315" s="24" t="s">
        <v>3614</v>
      </c>
      <c r="R315" s="24" t="s">
        <v>3615</v>
      </c>
      <c r="S315" s="24" t="s">
        <v>3616</v>
      </c>
      <c r="T315" s="24" t="s">
        <v>3617</v>
      </c>
      <c r="U315" s="24" t="s">
        <v>3618</v>
      </c>
      <c r="V315" s="24" t="s">
        <v>3619</v>
      </c>
      <c r="W315" s="24"/>
      <c r="X315" s="24" t="s">
        <v>3620</v>
      </c>
      <c r="Y315" s="24" t="s">
        <v>3618</v>
      </c>
      <c r="Z315" s="24"/>
      <c r="AA315" s="24"/>
      <c r="AB315" s="25" t="n">
        <v>30</v>
      </c>
      <c r="AC315" s="24" t="s">
        <v>3621</v>
      </c>
      <c r="AD315" s="24" t="s">
        <v>3622</v>
      </c>
      <c r="AE315" s="24"/>
      <c r="AF315" s="24" t="s">
        <v>115</v>
      </c>
      <c r="AG315" s="24" t="s">
        <v>168</v>
      </c>
      <c r="AH315" s="24"/>
      <c r="AI315" s="25" t="n">
        <f aca="false">COUNTIF($B$2:$B$740,B315)</f>
        <v>1</v>
      </c>
    </row>
    <row r="316" customFormat="false" ht="76" hidden="false" customHeight="true" outlineLevel="0" collapsed="false">
      <c r="A316" s="21" t="n">
        <v>315</v>
      </c>
      <c r="B316" s="22" t="s">
        <v>3623</v>
      </c>
      <c r="C316" s="23" t="s">
        <v>9</v>
      </c>
      <c r="D316" s="23" t="s">
        <v>96</v>
      </c>
      <c r="E316" s="23" t="s">
        <v>3459</v>
      </c>
      <c r="F316" s="24" t="s">
        <v>59</v>
      </c>
      <c r="G316" s="24" t="s">
        <v>98</v>
      </c>
      <c r="H316" s="24" t="s">
        <v>3460</v>
      </c>
      <c r="I316" s="24" t="s">
        <v>3461</v>
      </c>
      <c r="J316" s="24" t="s">
        <v>3624</v>
      </c>
      <c r="K316" s="24" t="s">
        <v>3519</v>
      </c>
      <c r="L316" s="24" t="s">
        <v>103</v>
      </c>
      <c r="M316" s="24" t="s">
        <v>3625</v>
      </c>
      <c r="N316" s="24"/>
      <c r="O316" s="24" t="s">
        <v>3626</v>
      </c>
      <c r="P316" s="24" t="s">
        <v>3627</v>
      </c>
      <c r="Q316" s="24" t="s">
        <v>3628</v>
      </c>
      <c r="R316" s="24" t="s">
        <v>3629</v>
      </c>
      <c r="S316" s="24" t="s">
        <v>3630</v>
      </c>
      <c r="T316" s="24" t="s">
        <v>3631</v>
      </c>
      <c r="U316" s="24" t="s">
        <v>3632</v>
      </c>
      <c r="V316" s="24" t="s">
        <v>3633</v>
      </c>
      <c r="W316" s="24"/>
      <c r="X316" s="24"/>
      <c r="Y316" s="24" t="s">
        <v>3634</v>
      </c>
      <c r="Z316" s="24"/>
      <c r="AA316" s="24"/>
      <c r="AB316" s="25" t="n">
        <v>30</v>
      </c>
      <c r="AC316" s="24" t="s">
        <v>3635</v>
      </c>
      <c r="AD316" s="24" t="s">
        <v>3636</v>
      </c>
      <c r="AE316" s="24" t="s">
        <v>1539</v>
      </c>
      <c r="AF316" s="24" t="s">
        <v>115</v>
      </c>
      <c r="AG316" s="24" t="s">
        <v>168</v>
      </c>
      <c r="AH316" s="24"/>
      <c r="AI316" s="25" t="n">
        <f aca="false">COUNTIF($B$2:$B$740,B316)</f>
        <v>1</v>
      </c>
    </row>
    <row r="317" customFormat="false" ht="76" hidden="false" customHeight="true" outlineLevel="0" collapsed="false">
      <c r="A317" s="21" t="n">
        <v>316</v>
      </c>
      <c r="B317" s="22" t="s">
        <v>3637</v>
      </c>
      <c r="C317" s="23" t="s">
        <v>9</v>
      </c>
      <c r="D317" s="23" t="s">
        <v>96</v>
      </c>
      <c r="E317" s="23" t="s">
        <v>3459</v>
      </c>
      <c r="F317" s="24" t="s">
        <v>50</v>
      </c>
      <c r="G317" s="24" t="s">
        <v>1407</v>
      </c>
      <c r="H317" s="24" t="s">
        <v>3460</v>
      </c>
      <c r="I317" s="24" t="s">
        <v>3461</v>
      </c>
      <c r="J317" s="24" t="s">
        <v>3638</v>
      </c>
      <c r="K317" s="24" t="s">
        <v>3519</v>
      </c>
      <c r="L317" s="24" t="s">
        <v>119</v>
      </c>
      <c r="M317" s="24" t="s">
        <v>3639</v>
      </c>
      <c r="N317" s="24"/>
      <c r="O317" s="24" t="s">
        <v>3640</v>
      </c>
      <c r="P317" s="24" t="s">
        <v>3641</v>
      </c>
      <c r="Q317" s="24" t="s">
        <v>3642</v>
      </c>
      <c r="R317" s="24" t="s">
        <v>3643</v>
      </c>
      <c r="S317" s="24" t="s">
        <v>3644</v>
      </c>
      <c r="T317" s="24" t="s">
        <v>3540</v>
      </c>
      <c r="U317" s="24"/>
      <c r="V317" s="24"/>
      <c r="W317" s="24"/>
      <c r="X317" s="24" t="s">
        <v>3645</v>
      </c>
      <c r="Y317" s="24" t="s">
        <v>3646</v>
      </c>
      <c r="Z317" s="24"/>
      <c r="AA317" s="24"/>
      <c r="AB317" s="25" t="n">
        <v>30</v>
      </c>
      <c r="AC317" s="24" t="s">
        <v>3647</v>
      </c>
      <c r="AD317" s="24" t="s">
        <v>3648</v>
      </c>
      <c r="AE317" s="24"/>
      <c r="AF317" s="24" t="s">
        <v>115</v>
      </c>
      <c r="AG317" s="24" t="s">
        <v>168</v>
      </c>
      <c r="AH317" s="24"/>
      <c r="AI317" s="25" t="n">
        <f aca="false">COUNTIF($B$2:$B$740,B317)</f>
        <v>1</v>
      </c>
    </row>
    <row r="318" customFormat="false" ht="76" hidden="false" customHeight="true" outlineLevel="0" collapsed="false">
      <c r="A318" s="21" t="n">
        <v>317</v>
      </c>
      <c r="B318" s="22" t="s">
        <v>3649</v>
      </c>
      <c r="C318" s="23" t="s">
        <v>9</v>
      </c>
      <c r="D318" s="23" t="s">
        <v>96</v>
      </c>
      <c r="E318" s="23" t="s">
        <v>3459</v>
      </c>
      <c r="F318" s="24" t="s">
        <v>50</v>
      </c>
      <c r="G318" s="24" t="s">
        <v>1407</v>
      </c>
      <c r="H318" s="24" t="s">
        <v>3460</v>
      </c>
      <c r="I318" s="24" t="s">
        <v>3461</v>
      </c>
      <c r="J318" s="24" t="s">
        <v>3650</v>
      </c>
      <c r="K318" s="24" t="s">
        <v>3519</v>
      </c>
      <c r="L318" s="24" t="s">
        <v>119</v>
      </c>
      <c r="M318" s="24" t="s">
        <v>3651</v>
      </c>
      <c r="N318" s="24"/>
      <c r="O318" s="24" t="s">
        <v>3652</v>
      </c>
      <c r="P318" s="24" t="s">
        <v>3653</v>
      </c>
      <c r="Q318" s="24" t="s">
        <v>3654</v>
      </c>
      <c r="R318" s="24" t="s">
        <v>3655</v>
      </c>
      <c r="S318" s="24" t="s">
        <v>3656</v>
      </c>
      <c r="T318" s="24" t="s">
        <v>3657</v>
      </c>
      <c r="U318" s="24"/>
      <c r="V318" s="24" t="s">
        <v>3658</v>
      </c>
      <c r="W318" s="24"/>
      <c r="X318" s="24"/>
      <c r="Y318" s="24" t="s">
        <v>3659</v>
      </c>
      <c r="Z318" s="24"/>
      <c r="AA318" s="24" t="s">
        <v>3660</v>
      </c>
      <c r="AB318" s="25" t="n">
        <v>30</v>
      </c>
      <c r="AC318" s="24" t="s">
        <v>3661</v>
      </c>
      <c r="AD318" s="24" t="s">
        <v>3662</v>
      </c>
      <c r="AE318" s="24" t="s">
        <v>3663</v>
      </c>
      <c r="AF318" s="24" t="s">
        <v>115</v>
      </c>
      <c r="AG318" s="24" t="s">
        <v>168</v>
      </c>
      <c r="AH318" s="24"/>
      <c r="AI318" s="25" t="n">
        <f aca="false">COUNTIF($B$2:$B$740,B318)</f>
        <v>1</v>
      </c>
    </row>
    <row r="319" customFormat="false" ht="76" hidden="false" customHeight="true" outlineLevel="0" collapsed="false">
      <c r="A319" s="21" t="n">
        <v>318</v>
      </c>
      <c r="B319" s="22" t="s">
        <v>3664</v>
      </c>
      <c r="C319" s="23" t="s">
        <v>9</v>
      </c>
      <c r="D319" s="23" t="s">
        <v>96</v>
      </c>
      <c r="E319" s="23" t="s">
        <v>3459</v>
      </c>
      <c r="F319" s="24" t="s">
        <v>50</v>
      </c>
      <c r="G319" s="24" t="s">
        <v>1407</v>
      </c>
      <c r="H319" s="24" t="s">
        <v>3460</v>
      </c>
      <c r="I319" s="24" t="s">
        <v>3461</v>
      </c>
      <c r="J319" s="24" t="s">
        <v>3665</v>
      </c>
      <c r="K319" s="24" t="s">
        <v>3519</v>
      </c>
      <c r="L319" s="24" t="s">
        <v>103</v>
      </c>
      <c r="M319" s="24" t="s">
        <v>3666</v>
      </c>
      <c r="N319" s="24"/>
      <c r="O319" s="24" t="s">
        <v>3667</v>
      </c>
      <c r="P319" s="24" t="s">
        <v>3668</v>
      </c>
      <c r="Q319" s="24" t="s">
        <v>3669</v>
      </c>
      <c r="R319" s="24" t="s">
        <v>3670</v>
      </c>
      <c r="S319" s="24" t="s">
        <v>3671</v>
      </c>
      <c r="T319" s="24" t="s">
        <v>3540</v>
      </c>
      <c r="U319" s="24" t="s">
        <v>3672</v>
      </c>
      <c r="V319" s="24" t="s">
        <v>3673</v>
      </c>
      <c r="W319" s="24" t="s">
        <v>3674</v>
      </c>
      <c r="X319" s="24"/>
      <c r="Y319" s="24" t="s">
        <v>3675</v>
      </c>
      <c r="Z319" s="24"/>
      <c r="AA319" s="24"/>
      <c r="AB319" s="25" t="n">
        <v>30</v>
      </c>
      <c r="AC319" s="24" t="s">
        <v>3676</v>
      </c>
      <c r="AD319" s="24" t="s">
        <v>3677</v>
      </c>
      <c r="AE319" s="24"/>
      <c r="AF319" s="24" t="s">
        <v>115</v>
      </c>
      <c r="AG319" s="24" t="s">
        <v>168</v>
      </c>
      <c r="AH319" s="24"/>
      <c r="AI319" s="25" t="n">
        <f aca="false">COUNTIF($B$2:$B$740,B319)</f>
        <v>1</v>
      </c>
    </row>
    <row r="320" customFormat="false" ht="76" hidden="false" customHeight="true" outlineLevel="0" collapsed="false">
      <c r="A320" s="21" t="n">
        <v>319</v>
      </c>
      <c r="B320" s="22" t="s">
        <v>3678</v>
      </c>
      <c r="C320" s="23" t="s">
        <v>9</v>
      </c>
      <c r="D320" s="23" t="s">
        <v>96</v>
      </c>
      <c r="E320" s="23" t="s">
        <v>3459</v>
      </c>
      <c r="F320" s="24" t="s">
        <v>59</v>
      </c>
      <c r="G320" s="24" t="s">
        <v>98</v>
      </c>
      <c r="H320" s="24" t="s">
        <v>3460</v>
      </c>
      <c r="I320" s="24" t="s">
        <v>3461</v>
      </c>
      <c r="J320" s="24" t="s">
        <v>3679</v>
      </c>
      <c r="K320" s="24" t="s">
        <v>3519</v>
      </c>
      <c r="L320" s="24" t="s">
        <v>173</v>
      </c>
      <c r="M320" s="24" t="s">
        <v>3680</v>
      </c>
      <c r="N320" s="24"/>
      <c r="O320" s="24" t="s">
        <v>3681</v>
      </c>
      <c r="P320" s="24" t="s">
        <v>3682</v>
      </c>
      <c r="Q320" s="24" t="s">
        <v>3683</v>
      </c>
      <c r="R320" s="24" t="s">
        <v>3684</v>
      </c>
      <c r="S320" s="24" t="s">
        <v>3685</v>
      </c>
      <c r="T320" s="24" t="s">
        <v>3686</v>
      </c>
      <c r="U320" s="24" t="s">
        <v>3687</v>
      </c>
      <c r="V320" s="24" t="s">
        <v>3688</v>
      </c>
      <c r="W320" s="24" t="s">
        <v>3689</v>
      </c>
      <c r="X320" s="24"/>
      <c r="Y320" s="24" t="s">
        <v>3690</v>
      </c>
      <c r="Z320" s="24"/>
      <c r="AA320" s="24"/>
      <c r="AB320" s="25" t="n">
        <v>30</v>
      </c>
      <c r="AC320" s="24" t="s">
        <v>3691</v>
      </c>
      <c r="AD320" s="24" t="s">
        <v>3692</v>
      </c>
      <c r="AE320" s="24"/>
      <c r="AF320" s="24" t="s">
        <v>115</v>
      </c>
      <c r="AG320" s="24" t="s">
        <v>168</v>
      </c>
      <c r="AH320" s="24"/>
      <c r="AI320" s="25" t="n">
        <f aca="false">COUNTIF($B$2:$B$740,B320)</f>
        <v>1</v>
      </c>
    </row>
    <row r="321" customFormat="false" ht="76" hidden="false" customHeight="true" outlineLevel="0" collapsed="false">
      <c r="A321" s="21" t="n">
        <v>320</v>
      </c>
      <c r="B321" s="22" t="s">
        <v>3693</v>
      </c>
      <c r="C321" s="23" t="s">
        <v>9</v>
      </c>
      <c r="D321" s="23" t="s">
        <v>96</v>
      </c>
      <c r="E321" s="23" t="s">
        <v>3459</v>
      </c>
      <c r="F321" s="24" t="s">
        <v>50</v>
      </c>
      <c r="G321" s="24" t="s">
        <v>1407</v>
      </c>
      <c r="H321" s="24" t="s">
        <v>3460</v>
      </c>
      <c r="I321" s="24" t="s">
        <v>3461</v>
      </c>
      <c r="J321" s="24" t="s">
        <v>3694</v>
      </c>
      <c r="K321" s="24" t="s">
        <v>3519</v>
      </c>
      <c r="L321" s="24" t="s">
        <v>103</v>
      </c>
      <c r="M321" s="24" t="s">
        <v>3695</v>
      </c>
      <c r="N321" s="24"/>
      <c r="O321" s="24" t="s">
        <v>3696</v>
      </c>
      <c r="P321" s="24" t="s">
        <v>3697</v>
      </c>
      <c r="Q321" s="24" t="s">
        <v>3698</v>
      </c>
      <c r="R321" s="24" t="s">
        <v>3697</v>
      </c>
      <c r="S321" s="24" t="s">
        <v>3697</v>
      </c>
      <c r="T321" s="24" t="s">
        <v>3540</v>
      </c>
      <c r="U321" s="24"/>
      <c r="V321" s="24"/>
      <c r="W321" s="24"/>
      <c r="X321" s="24" t="s">
        <v>3699</v>
      </c>
      <c r="Y321" s="24" t="s">
        <v>3700</v>
      </c>
      <c r="Z321" s="24"/>
      <c r="AA321" s="24"/>
      <c r="AB321" s="25" t="n">
        <v>30</v>
      </c>
      <c r="AC321" s="24" t="s">
        <v>3701</v>
      </c>
      <c r="AD321" s="24" t="s">
        <v>3702</v>
      </c>
      <c r="AE321" s="24"/>
      <c r="AF321" s="24" t="s">
        <v>115</v>
      </c>
      <c r="AG321" s="24" t="s">
        <v>168</v>
      </c>
      <c r="AH321" s="24"/>
      <c r="AI321" s="25" t="n">
        <f aca="false">COUNTIF($B$2:$B$740,B321)</f>
        <v>1</v>
      </c>
    </row>
    <row r="322" customFormat="false" ht="76" hidden="false" customHeight="true" outlineLevel="0" collapsed="false">
      <c r="A322" s="21" t="n">
        <v>321</v>
      </c>
      <c r="B322" s="22" t="s">
        <v>3703</v>
      </c>
      <c r="C322" s="23" t="s">
        <v>9</v>
      </c>
      <c r="D322" s="23" t="s">
        <v>96</v>
      </c>
      <c r="E322" s="23" t="s">
        <v>3459</v>
      </c>
      <c r="F322" s="24" t="s">
        <v>50</v>
      </c>
      <c r="G322" s="24" t="s">
        <v>1407</v>
      </c>
      <c r="H322" s="24" t="s">
        <v>3460</v>
      </c>
      <c r="I322" s="24" t="s">
        <v>3461</v>
      </c>
      <c r="J322" s="24" t="s">
        <v>3704</v>
      </c>
      <c r="K322" s="24" t="s">
        <v>3519</v>
      </c>
      <c r="L322" s="24" t="s">
        <v>173</v>
      </c>
      <c r="M322" s="24" t="s">
        <v>3705</v>
      </c>
      <c r="N322" s="24"/>
      <c r="O322" s="24" t="s">
        <v>3706</v>
      </c>
      <c r="P322" s="24" t="s">
        <v>3707</v>
      </c>
      <c r="Q322" s="24" t="s">
        <v>3708</v>
      </c>
      <c r="R322" s="24" t="s">
        <v>3709</v>
      </c>
      <c r="S322" s="24" t="s">
        <v>3710</v>
      </c>
      <c r="T322" s="24" t="s">
        <v>3540</v>
      </c>
      <c r="U322" s="24" t="s">
        <v>3711</v>
      </c>
      <c r="V322" s="24" t="s">
        <v>3712</v>
      </c>
      <c r="W322" s="24"/>
      <c r="X322" s="24"/>
      <c r="Y322" s="24" t="s">
        <v>3713</v>
      </c>
      <c r="Z322" s="24"/>
      <c r="AA322" s="24"/>
      <c r="AB322" s="25" t="n">
        <v>30</v>
      </c>
      <c r="AC322" s="24" t="s">
        <v>3714</v>
      </c>
      <c r="AD322" s="24" t="s">
        <v>3715</v>
      </c>
      <c r="AE322" s="24" t="s">
        <v>1831</v>
      </c>
      <c r="AF322" s="24" t="s">
        <v>115</v>
      </c>
      <c r="AG322" s="24" t="s">
        <v>168</v>
      </c>
      <c r="AH322" s="24"/>
      <c r="AI322" s="25" t="n">
        <f aca="false">COUNTIF($B$2:$B$740,B322)</f>
        <v>1</v>
      </c>
    </row>
    <row r="323" customFormat="false" ht="76" hidden="false" customHeight="true" outlineLevel="0" collapsed="false">
      <c r="A323" s="21" t="n">
        <v>322</v>
      </c>
      <c r="B323" s="22" t="s">
        <v>3716</v>
      </c>
      <c r="C323" s="23" t="s">
        <v>9</v>
      </c>
      <c r="D323" s="23" t="s">
        <v>96</v>
      </c>
      <c r="E323" s="23" t="s">
        <v>3459</v>
      </c>
      <c r="F323" s="24" t="s">
        <v>59</v>
      </c>
      <c r="G323" s="24" t="s">
        <v>98</v>
      </c>
      <c r="H323" s="24" t="s">
        <v>3460</v>
      </c>
      <c r="I323" s="24" t="s">
        <v>3461</v>
      </c>
      <c r="J323" s="24" t="s">
        <v>3717</v>
      </c>
      <c r="K323" s="24" t="s">
        <v>3519</v>
      </c>
      <c r="L323" s="24" t="s">
        <v>103</v>
      </c>
      <c r="M323" s="24" t="s">
        <v>3718</v>
      </c>
      <c r="N323" s="24"/>
      <c r="O323" s="24" t="s">
        <v>3719</v>
      </c>
      <c r="P323" s="24" t="s">
        <v>3720</v>
      </c>
      <c r="Q323" s="24" t="s">
        <v>3721</v>
      </c>
      <c r="R323" s="24" t="s">
        <v>3722</v>
      </c>
      <c r="S323" s="24" t="s">
        <v>3723</v>
      </c>
      <c r="T323" s="24" t="s">
        <v>3540</v>
      </c>
      <c r="U323" s="24" t="s">
        <v>3724</v>
      </c>
      <c r="V323" s="24" t="s">
        <v>3725</v>
      </c>
      <c r="W323" s="24"/>
      <c r="X323" s="24"/>
      <c r="Y323" s="24" t="s">
        <v>3726</v>
      </c>
      <c r="Z323" s="24"/>
      <c r="AA323" s="24"/>
      <c r="AB323" s="25" t="n">
        <v>30</v>
      </c>
      <c r="AC323" s="24" t="s">
        <v>3727</v>
      </c>
      <c r="AD323" s="24" t="s">
        <v>3728</v>
      </c>
      <c r="AE323" s="24"/>
      <c r="AF323" s="24" t="s">
        <v>115</v>
      </c>
      <c r="AG323" s="24" t="s">
        <v>168</v>
      </c>
      <c r="AH323" s="24"/>
      <c r="AI323" s="25" t="n">
        <f aca="false">COUNTIF($B$2:$B$740,B323)</f>
        <v>1</v>
      </c>
    </row>
    <row r="324" customFormat="false" ht="76" hidden="false" customHeight="true" outlineLevel="0" collapsed="false">
      <c r="A324" s="21" t="n">
        <v>323</v>
      </c>
      <c r="B324" s="22" t="s">
        <v>3729</v>
      </c>
      <c r="C324" s="23" t="s">
        <v>9</v>
      </c>
      <c r="D324" s="23" t="s">
        <v>96</v>
      </c>
      <c r="E324" s="23" t="s">
        <v>3459</v>
      </c>
      <c r="F324" s="24" t="s">
        <v>50</v>
      </c>
      <c r="G324" s="24" t="s">
        <v>1407</v>
      </c>
      <c r="H324" s="24" t="s">
        <v>3460</v>
      </c>
      <c r="I324" s="24" t="s">
        <v>3461</v>
      </c>
      <c r="J324" s="24" t="s">
        <v>3730</v>
      </c>
      <c r="K324" s="24" t="s">
        <v>3519</v>
      </c>
      <c r="L324" s="24" t="s">
        <v>173</v>
      </c>
      <c r="M324" s="24" t="s">
        <v>3731</v>
      </c>
      <c r="N324" s="24"/>
      <c r="O324" s="24" t="s">
        <v>3732</v>
      </c>
      <c r="P324" s="24" t="s">
        <v>3733</v>
      </c>
      <c r="Q324" s="24" t="s">
        <v>3734</v>
      </c>
      <c r="R324" s="24" t="s">
        <v>3735</v>
      </c>
      <c r="S324" s="24" t="s">
        <v>3736</v>
      </c>
      <c r="T324" s="24" t="s">
        <v>3737</v>
      </c>
      <c r="U324" s="24" t="s">
        <v>3738</v>
      </c>
      <c r="V324" s="24" t="s">
        <v>3739</v>
      </c>
      <c r="W324" s="24"/>
      <c r="X324" s="24"/>
      <c r="Y324" s="24" t="s">
        <v>3738</v>
      </c>
      <c r="Z324" s="24"/>
      <c r="AA324" s="24"/>
      <c r="AB324" s="25" t="n">
        <v>30</v>
      </c>
      <c r="AC324" s="24" t="s">
        <v>3740</v>
      </c>
      <c r="AD324" s="24" t="s">
        <v>3741</v>
      </c>
      <c r="AE324" s="24" t="s">
        <v>3742</v>
      </c>
      <c r="AF324" s="24" t="s">
        <v>115</v>
      </c>
      <c r="AG324" s="24" t="s">
        <v>168</v>
      </c>
      <c r="AH324" s="24"/>
      <c r="AI324" s="25" t="n">
        <f aca="false">COUNTIF($B$2:$B$740,B324)</f>
        <v>1</v>
      </c>
    </row>
    <row r="325" customFormat="false" ht="76" hidden="false" customHeight="true" outlineLevel="0" collapsed="false">
      <c r="A325" s="21" t="n">
        <v>324</v>
      </c>
      <c r="B325" s="22" t="s">
        <v>3743</v>
      </c>
      <c r="C325" s="23" t="s">
        <v>9</v>
      </c>
      <c r="D325" s="23" t="s">
        <v>96</v>
      </c>
      <c r="E325" s="23" t="s">
        <v>3459</v>
      </c>
      <c r="F325" s="24" t="s">
        <v>50</v>
      </c>
      <c r="G325" s="24" t="s">
        <v>1407</v>
      </c>
      <c r="H325" s="24" t="s">
        <v>3460</v>
      </c>
      <c r="I325" s="24" t="s">
        <v>3461</v>
      </c>
      <c r="J325" s="24" t="s">
        <v>3744</v>
      </c>
      <c r="K325" s="24" t="s">
        <v>3519</v>
      </c>
      <c r="L325" s="24" t="s">
        <v>173</v>
      </c>
      <c r="M325" s="24" t="s">
        <v>3745</v>
      </c>
      <c r="N325" s="24"/>
      <c r="O325" s="24" t="s">
        <v>3746</v>
      </c>
      <c r="P325" s="24" t="s">
        <v>3747</v>
      </c>
      <c r="Q325" s="24" t="s">
        <v>3748</v>
      </c>
      <c r="R325" s="24" t="s">
        <v>3749</v>
      </c>
      <c r="S325" s="24" t="s">
        <v>3750</v>
      </c>
      <c r="T325" s="24" t="s">
        <v>3751</v>
      </c>
      <c r="U325" s="24" t="s">
        <v>3752</v>
      </c>
      <c r="V325" s="24" t="s">
        <v>3753</v>
      </c>
      <c r="W325" s="24"/>
      <c r="X325" s="24"/>
      <c r="Y325" s="24" t="s">
        <v>3754</v>
      </c>
      <c r="Z325" s="24"/>
      <c r="AA325" s="24" t="s">
        <v>3755</v>
      </c>
      <c r="AB325" s="25" t="n">
        <v>30</v>
      </c>
      <c r="AC325" s="24" t="s">
        <v>3756</v>
      </c>
      <c r="AD325" s="24" t="s">
        <v>3757</v>
      </c>
      <c r="AE325" s="24"/>
      <c r="AF325" s="24" t="s">
        <v>115</v>
      </c>
      <c r="AG325" s="24" t="s">
        <v>168</v>
      </c>
      <c r="AH325" s="24"/>
      <c r="AI325" s="25" t="n">
        <f aca="false">COUNTIF($B$2:$B$740,B325)</f>
        <v>1</v>
      </c>
    </row>
    <row r="326" customFormat="false" ht="76" hidden="false" customHeight="true" outlineLevel="0" collapsed="false">
      <c r="A326" s="21" t="n">
        <v>325</v>
      </c>
      <c r="B326" s="22" t="s">
        <v>3758</v>
      </c>
      <c r="C326" s="23" t="s">
        <v>9</v>
      </c>
      <c r="D326" s="23" t="s">
        <v>96</v>
      </c>
      <c r="E326" s="23" t="s">
        <v>3459</v>
      </c>
      <c r="F326" s="24" t="s">
        <v>54</v>
      </c>
      <c r="G326" s="24" t="s">
        <v>1714</v>
      </c>
      <c r="H326" s="24" t="s">
        <v>3460</v>
      </c>
      <c r="I326" s="24" t="s">
        <v>3461</v>
      </c>
      <c r="J326" s="24" t="s">
        <v>3759</v>
      </c>
      <c r="K326" s="24" t="s">
        <v>3519</v>
      </c>
      <c r="L326" s="24" t="s">
        <v>531</v>
      </c>
      <c r="M326" s="24" t="s">
        <v>3760</v>
      </c>
      <c r="N326" s="24"/>
      <c r="O326" s="24" t="s">
        <v>3761</v>
      </c>
      <c r="P326" s="24" t="s">
        <v>3762</v>
      </c>
      <c r="Q326" s="24" t="s">
        <v>3763</v>
      </c>
      <c r="R326" s="24" t="s">
        <v>3764</v>
      </c>
      <c r="S326" s="24" t="s">
        <v>3765</v>
      </c>
      <c r="T326" s="24" t="s">
        <v>3766</v>
      </c>
      <c r="U326" s="24" t="s">
        <v>3767</v>
      </c>
      <c r="V326" s="24" t="s">
        <v>3768</v>
      </c>
      <c r="W326" s="24" t="s">
        <v>3769</v>
      </c>
      <c r="X326" s="24" t="s">
        <v>3770</v>
      </c>
      <c r="Y326" s="24" t="s">
        <v>3771</v>
      </c>
      <c r="Z326" s="24"/>
      <c r="AA326" s="24"/>
      <c r="AB326" s="25" t="n">
        <v>30</v>
      </c>
      <c r="AC326" s="24" t="s">
        <v>3772</v>
      </c>
      <c r="AD326" s="24" t="s">
        <v>3773</v>
      </c>
      <c r="AE326" s="24"/>
      <c r="AF326" s="24" t="s">
        <v>115</v>
      </c>
      <c r="AG326" s="24" t="s">
        <v>168</v>
      </c>
      <c r="AH326" s="24"/>
      <c r="AI326" s="25" t="n">
        <f aca="false">COUNTIF($B$2:$B$740,B326)</f>
        <v>1</v>
      </c>
    </row>
    <row r="327" customFormat="false" ht="76" hidden="false" customHeight="true" outlineLevel="0" collapsed="false">
      <c r="A327" s="21" t="n">
        <v>326</v>
      </c>
      <c r="B327" s="22" t="s">
        <v>3774</v>
      </c>
      <c r="C327" s="23" t="s">
        <v>9</v>
      </c>
      <c r="D327" s="23" t="s">
        <v>96</v>
      </c>
      <c r="E327" s="23" t="s">
        <v>3459</v>
      </c>
      <c r="F327" s="24" t="s">
        <v>54</v>
      </c>
      <c r="G327" s="24" t="s">
        <v>1714</v>
      </c>
      <c r="H327" s="24" t="s">
        <v>3460</v>
      </c>
      <c r="I327" s="24" t="s">
        <v>3461</v>
      </c>
      <c r="J327" s="24" t="s">
        <v>3775</v>
      </c>
      <c r="K327" s="24" t="s">
        <v>3519</v>
      </c>
      <c r="L327" s="24" t="s">
        <v>531</v>
      </c>
      <c r="M327" s="24" t="s">
        <v>3776</v>
      </c>
      <c r="N327" s="24"/>
      <c r="O327" s="24" t="s">
        <v>3777</v>
      </c>
      <c r="P327" s="24" t="s">
        <v>3778</v>
      </c>
      <c r="Q327" s="24" t="s">
        <v>3779</v>
      </c>
      <c r="R327" s="24" t="s">
        <v>3780</v>
      </c>
      <c r="S327" s="24" t="s">
        <v>3781</v>
      </c>
      <c r="T327" s="24" t="s">
        <v>3782</v>
      </c>
      <c r="U327" s="24" t="s">
        <v>3783</v>
      </c>
      <c r="V327" s="24" t="s">
        <v>3784</v>
      </c>
      <c r="W327" s="24"/>
      <c r="X327" s="24" t="s">
        <v>3785</v>
      </c>
      <c r="Y327" s="24" t="s">
        <v>3786</v>
      </c>
      <c r="Z327" s="24"/>
      <c r="AA327" s="24"/>
      <c r="AB327" s="25" t="n">
        <v>30</v>
      </c>
      <c r="AC327" s="24" t="s">
        <v>3787</v>
      </c>
      <c r="AD327" s="24" t="s">
        <v>3788</v>
      </c>
      <c r="AE327" s="24"/>
      <c r="AF327" s="24" t="s">
        <v>115</v>
      </c>
      <c r="AG327" s="24" t="s">
        <v>168</v>
      </c>
      <c r="AH327" s="24"/>
      <c r="AI327" s="25" t="n">
        <f aca="false">COUNTIF($B$2:$B$740,B327)</f>
        <v>1</v>
      </c>
    </row>
    <row r="328" customFormat="false" ht="76" hidden="false" customHeight="true" outlineLevel="0" collapsed="false">
      <c r="A328" s="21" t="n">
        <v>327</v>
      </c>
      <c r="B328" s="22" t="s">
        <v>3789</v>
      </c>
      <c r="C328" s="23" t="s">
        <v>9</v>
      </c>
      <c r="D328" s="23" t="s">
        <v>96</v>
      </c>
      <c r="E328" s="23" t="s">
        <v>3459</v>
      </c>
      <c r="F328" s="24" t="s">
        <v>59</v>
      </c>
      <c r="G328" s="24" t="s">
        <v>98</v>
      </c>
      <c r="H328" s="24" t="s">
        <v>3460</v>
      </c>
      <c r="I328" s="24" t="s">
        <v>3461</v>
      </c>
      <c r="J328" s="24" t="s">
        <v>3790</v>
      </c>
      <c r="K328" s="24" t="s">
        <v>3519</v>
      </c>
      <c r="L328" s="24" t="s">
        <v>531</v>
      </c>
      <c r="M328" s="24" t="s">
        <v>3791</v>
      </c>
      <c r="N328" s="24"/>
      <c r="O328" s="24" t="s">
        <v>3792</v>
      </c>
      <c r="P328" s="24" t="s">
        <v>3793</v>
      </c>
      <c r="Q328" s="24" t="s">
        <v>3794</v>
      </c>
      <c r="R328" s="24" t="s">
        <v>3795</v>
      </c>
      <c r="S328" s="24" t="s">
        <v>3796</v>
      </c>
      <c r="T328" s="24" t="s">
        <v>3751</v>
      </c>
      <c r="U328" s="24" t="s">
        <v>3797</v>
      </c>
      <c r="V328" s="24" t="s">
        <v>3798</v>
      </c>
      <c r="W328" s="24" t="s">
        <v>3799</v>
      </c>
      <c r="X328" s="24"/>
      <c r="Y328" s="24" t="s">
        <v>3800</v>
      </c>
      <c r="Z328" s="24" t="s">
        <v>3801</v>
      </c>
      <c r="AA328" s="24"/>
      <c r="AB328" s="25" t="n">
        <v>30</v>
      </c>
      <c r="AC328" s="24" t="s">
        <v>3802</v>
      </c>
      <c r="AD328" s="24" t="s">
        <v>3803</v>
      </c>
      <c r="AE328" s="24"/>
      <c r="AF328" s="24" t="s">
        <v>115</v>
      </c>
      <c r="AG328" s="24" t="s">
        <v>168</v>
      </c>
      <c r="AH328" s="24"/>
      <c r="AI328" s="25" t="n">
        <f aca="false">COUNTIF($B$2:$B$740,B328)</f>
        <v>1</v>
      </c>
    </row>
    <row r="329" customFormat="false" ht="76" hidden="false" customHeight="true" outlineLevel="0" collapsed="false">
      <c r="A329" s="21" t="n">
        <v>328</v>
      </c>
      <c r="B329" s="22" t="s">
        <v>3804</v>
      </c>
      <c r="C329" s="23" t="s">
        <v>9</v>
      </c>
      <c r="D329" s="23" t="s">
        <v>96</v>
      </c>
      <c r="E329" s="23" t="s">
        <v>3459</v>
      </c>
      <c r="F329" s="24" t="s">
        <v>50</v>
      </c>
      <c r="G329" s="24" t="s">
        <v>1407</v>
      </c>
      <c r="H329" s="24" t="s">
        <v>3460</v>
      </c>
      <c r="I329" s="24" t="s">
        <v>3461</v>
      </c>
      <c r="J329" s="24" t="s">
        <v>3805</v>
      </c>
      <c r="K329" s="24" t="s">
        <v>3519</v>
      </c>
      <c r="L329" s="24" t="s">
        <v>103</v>
      </c>
      <c r="M329" s="24" t="s">
        <v>3806</v>
      </c>
      <c r="N329" s="24"/>
      <c r="O329" s="24" t="s">
        <v>3807</v>
      </c>
      <c r="P329" s="24" t="s">
        <v>3808</v>
      </c>
      <c r="Q329" s="24" t="s">
        <v>3809</v>
      </c>
      <c r="R329" s="24" t="s">
        <v>3810</v>
      </c>
      <c r="S329" s="24" t="s">
        <v>3811</v>
      </c>
      <c r="T329" s="24" t="s">
        <v>3540</v>
      </c>
      <c r="U329" s="24" t="s">
        <v>3812</v>
      </c>
      <c r="V329" s="24" t="s">
        <v>3813</v>
      </c>
      <c r="W329" s="24" t="s">
        <v>3814</v>
      </c>
      <c r="X329" s="24"/>
      <c r="Y329" s="24" t="s">
        <v>3815</v>
      </c>
      <c r="Z329" s="24"/>
      <c r="AA329" s="24"/>
      <c r="AB329" s="25" t="n">
        <v>30</v>
      </c>
      <c r="AC329" s="24" t="s">
        <v>3816</v>
      </c>
      <c r="AD329" s="24" t="s">
        <v>3817</v>
      </c>
      <c r="AE329" s="24"/>
      <c r="AF329" s="24" t="s">
        <v>115</v>
      </c>
      <c r="AG329" s="24" t="s">
        <v>168</v>
      </c>
      <c r="AH329" s="24"/>
      <c r="AI329" s="25" t="n">
        <f aca="false">COUNTIF($B$2:$B$740,B329)</f>
        <v>1</v>
      </c>
    </row>
    <row r="330" customFormat="false" ht="76" hidden="false" customHeight="true" outlineLevel="0" collapsed="false">
      <c r="A330" s="21" t="n">
        <v>329</v>
      </c>
      <c r="B330" s="22" t="s">
        <v>3818</v>
      </c>
      <c r="C330" s="23" t="s">
        <v>9</v>
      </c>
      <c r="D330" s="23" t="s">
        <v>96</v>
      </c>
      <c r="E330" s="23" t="s">
        <v>3459</v>
      </c>
      <c r="F330" s="24" t="s">
        <v>50</v>
      </c>
      <c r="G330" s="24" t="s">
        <v>1407</v>
      </c>
      <c r="H330" s="24" t="s">
        <v>3460</v>
      </c>
      <c r="I330" s="24" t="s">
        <v>3461</v>
      </c>
      <c r="J330" s="24" t="s">
        <v>3819</v>
      </c>
      <c r="K330" s="24" t="s">
        <v>3519</v>
      </c>
      <c r="L330" s="24" t="s">
        <v>103</v>
      </c>
      <c r="M330" s="24" t="s">
        <v>3820</v>
      </c>
      <c r="N330" s="24"/>
      <c r="O330" s="24" t="s">
        <v>3821</v>
      </c>
      <c r="P330" s="24" t="s">
        <v>3822</v>
      </c>
      <c r="Q330" s="24" t="s">
        <v>3823</v>
      </c>
      <c r="R330" s="24" t="s">
        <v>3824</v>
      </c>
      <c r="S330" s="24" t="s">
        <v>3825</v>
      </c>
      <c r="T330" s="24" t="s">
        <v>3540</v>
      </c>
      <c r="U330" s="24" t="s">
        <v>3826</v>
      </c>
      <c r="V330" s="24" t="s">
        <v>3827</v>
      </c>
      <c r="W330" s="24" t="s">
        <v>3828</v>
      </c>
      <c r="X330" s="24" t="s">
        <v>3821</v>
      </c>
      <c r="Y330" s="24" t="s">
        <v>3829</v>
      </c>
      <c r="Z330" s="24" t="s">
        <v>3830</v>
      </c>
      <c r="AA330" s="24"/>
      <c r="AB330" s="25" t="n">
        <v>30</v>
      </c>
      <c r="AC330" s="24" t="s">
        <v>3831</v>
      </c>
      <c r="AD330" s="24" t="s">
        <v>3832</v>
      </c>
      <c r="AE330" s="24"/>
      <c r="AF330" s="24" t="s">
        <v>115</v>
      </c>
      <c r="AG330" s="24" t="s">
        <v>168</v>
      </c>
      <c r="AH330" s="24"/>
      <c r="AI330" s="25" t="n">
        <f aca="false">COUNTIF($B$2:$B$740,B330)</f>
        <v>1</v>
      </c>
    </row>
    <row r="331" customFormat="false" ht="76" hidden="false" customHeight="true" outlineLevel="0" collapsed="false">
      <c r="A331" s="21" t="n">
        <v>330</v>
      </c>
      <c r="B331" s="22" t="s">
        <v>3833</v>
      </c>
      <c r="C331" s="23" t="s">
        <v>9</v>
      </c>
      <c r="D331" s="23" t="s">
        <v>96</v>
      </c>
      <c r="E331" s="23" t="s">
        <v>3459</v>
      </c>
      <c r="F331" s="24" t="s">
        <v>50</v>
      </c>
      <c r="G331" s="24" t="s">
        <v>1407</v>
      </c>
      <c r="H331" s="24" t="s">
        <v>3460</v>
      </c>
      <c r="I331" s="24" t="s">
        <v>3461</v>
      </c>
      <c r="J331" s="24" t="s">
        <v>3834</v>
      </c>
      <c r="K331" s="24" t="s">
        <v>3519</v>
      </c>
      <c r="L331" s="24" t="s">
        <v>119</v>
      </c>
      <c r="M331" s="24" t="s">
        <v>3835</v>
      </c>
      <c r="N331" s="24"/>
      <c r="O331" s="24" t="s">
        <v>3836</v>
      </c>
      <c r="P331" s="24" t="s">
        <v>3837</v>
      </c>
      <c r="Q331" s="24" t="s">
        <v>3838</v>
      </c>
      <c r="R331" s="24" t="s">
        <v>3839</v>
      </c>
      <c r="S331" s="24" t="s">
        <v>3837</v>
      </c>
      <c r="T331" s="24" t="s">
        <v>3540</v>
      </c>
      <c r="U331" s="24" t="s">
        <v>3840</v>
      </c>
      <c r="V331" s="24" t="s">
        <v>3841</v>
      </c>
      <c r="W331" s="24" t="s">
        <v>3842</v>
      </c>
      <c r="X331" s="24"/>
      <c r="Y331" s="24" t="s">
        <v>3843</v>
      </c>
      <c r="Z331" s="24"/>
      <c r="AA331" s="24"/>
      <c r="AB331" s="25" t="n">
        <v>30</v>
      </c>
      <c r="AC331" s="24" t="s">
        <v>3844</v>
      </c>
      <c r="AD331" s="24" t="s">
        <v>3845</v>
      </c>
      <c r="AE331" s="24"/>
      <c r="AF331" s="24" t="s">
        <v>115</v>
      </c>
      <c r="AG331" s="24" t="s">
        <v>168</v>
      </c>
      <c r="AH331" s="24"/>
      <c r="AI331" s="25" t="n">
        <f aca="false">COUNTIF($B$2:$B$740,B331)</f>
        <v>1</v>
      </c>
    </row>
    <row r="332" customFormat="false" ht="76" hidden="false" customHeight="true" outlineLevel="0" collapsed="false">
      <c r="A332" s="21" t="n">
        <v>331</v>
      </c>
      <c r="B332" s="22" t="s">
        <v>3846</v>
      </c>
      <c r="C332" s="23" t="s">
        <v>9</v>
      </c>
      <c r="D332" s="23" t="s">
        <v>96</v>
      </c>
      <c r="E332" s="23" t="s">
        <v>3459</v>
      </c>
      <c r="F332" s="24" t="s">
        <v>50</v>
      </c>
      <c r="G332" s="24" t="s">
        <v>1407</v>
      </c>
      <c r="H332" s="24" t="s">
        <v>3460</v>
      </c>
      <c r="I332" s="24" t="s">
        <v>3461</v>
      </c>
      <c r="J332" s="24" t="s">
        <v>3847</v>
      </c>
      <c r="K332" s="24" t="s">
        <v>3519</v>
      </c>
      <c r="L332" s="24" t="s">
        <v>173</v>
      </c>
      <c r="M332" s="24" t="s">
        <v>3848</v>
      </c>
      <c r="N332" s="24"/>
      <c r="O332" s="24" t="s">
        <v>3849</v>
      </c>
      <c r="P332" s="24" t="s">
        <v>3850</v>
      </c>
      <c r="Q332" s="24" t="s">
        <v>3851</v>
      </c>
      <c r="R332" s="24" t="s">
        <v>3852</v>
      </c>
      <c r="S332" s="24" t="s">
        <v>3853</v>
      </c>
      <c r="T332" s="24" t="s">
        <v>3854</v>
      </c>
      <c r="U332" s="24" t="s">
        <v>3855</v>
      </c>
      <c r="V332" s="24" t="s">
        <v>3856</v>
      </c>
      <c r="W332" s="24"/>
      <c r="X332" s="24" t="s">
        <v>3857</v>
      </c>
      <c r="Y332" s="24" t="s">
        <v>3858</v>
      </c>
      <c r="Z332" s="24"/>
      <c r="AA332" s="24"/>
      <c r="AB332" s="25" t="n">
        <v>30</v>
      </c>
      <c r="AC332" s="24" t="s">
        <v>3859</v>
      </c>
      <c r="AD332" s="24" t="s">
        <v>3860</v>
      </c>
      <c r="AE332" s="24"/>
      <c r="AF332" s="24" t="s">
        <v>115</v>
      </c>
      <c r="AG332" s="24" t="s">
        <v>168</v>
      </c>
      <c r="AH332" s="24"/>
      <c r="AI332" s="25" t="n">
        <f aca="false">COUNTIF($B$2:$B$740,B332)</f>
        <v>1</v>
      </c>
    </row>
    <row r="333" customFormat="false" ht="76" hidden="false" customHeight="true" outlineLevel="0" collapsed="false">
      <c r="A333" s="21" t="n">
        <v>332</v>
      </c>
      <c r="B333" s="22" t="s">
        <v>3861</v>
      </c>
      <c r="C333" s="23" t="s">
        <v>9</v>
      </c>
      <c r="D333" s="23" t="s">
        <v>96</v>
      </c>
      <c r="E333" s="23" t="s">
        <v>3459</v>
      </c>
      <c r="F333" s="24" t="s">
        <v>59</v>
      </c>
      <c r="G333" s="24" t="s">
        <v>98</v>
      </c>
      <c r="H333" s="24" t="s">
        <v>3460</v>
      </c>
      <c r="I333" s="24" t="s">
        <v>3461</v>
      </c>
      <c r="J333" s="24" t="s">
        <v>3862</v>
      </c>
      <c r="K333" s="24" t="s">
        <v>3519</v>
      </c>
      <c r="L333" s="24" t="s">
        <v>119</v>
      </c>
      <c r="M333" s="24" t="s">
        <v>3863</v>
      </c>
      <c r="N333" s="24"/>
      <c r="O333" s="24" t="s">
        <v>3864</v>
      </c>
      <c r="P333" s="24" t="s">
        <v>3865</v>
      </c>
      <c r="Q333" s="24" t="s">
        <v>3866</v>
      </c>
      <c r="R333" s="24" t="s">
        <v>3867</v>
      </c>
      <c r="S333" s="24" t="s">
        <v>3868</v>
      </c>
      <c r="T333" s="24" t="s">
        <v>3540</v>
      </c>
      <c r="U333" s="24" t="s">
        <v>3869</v>
      </c>
      <c r="V333" s="24" t="s">
        <v>3870</v>
      </c>
      <c r="W333" s="24"/>
      <c r="X333" s="24"/>
      <c r="Y333" s="24" t="s">
        <v>3871</v>
      </c>
      <c r="Z333" s="24"/>
      <c r="AA333" s="24"/>
      <c r="AB333" s="25" t="n">
        <v>30</v>
      </c>
      <c r="AC333" s="24" t="s">
        <v>3872</v>
      </c>
      <c r="AD333" s="24" t="s">
        <v>3873</v>
      </c>
      <c r="AE333" s="24"/>
      <c r="AF333" s="24" t="s">
        <v>115</v>
      </c>
      <c r="AG333" s="24" t="s">
        <v>168</v>
      </c>
      <c r="AH333" s="24"/>
      <c r="AI333" s="25" t="n">
        <f aca="false">COUNTIF($B$2:$B$740,B333)</f>
        <v>1</v>
      </c>
    </row>
    <row r="334" customFormat="false" ht="76" hidden="false" customHeight="true" outlineLevel="0" collapsed="false">
      <c r="A334" s="21" t="n">
        <v>333</v>
      </c>
      <c r="B334" s="22" t="s">
        <v>3874</v>
      </c>
      <c r="C334" s="23" t="s">
        <v>9</v>
      </c>
      <c r="D334" s="23" t="s">
        <v>96</v>
      </c>
      <c r="E334" s="23" t="s">
        <v>3459</v>
      </c>
      <c r="F334" s="24" t="s">
        <v>50</v>
      </c>
      <c r="G334" s="24" t="s">
        <v>1407</v>
      </c>
      <c r="H334" s="24" t="s">
        <v>3460</v>
      </c>
      <c r="I334" s="24" t="s">
        <v>3461</v>
      </c>
      <c r="J334" s="24" t="s">
        <v>3875</v>
      </c>
      <c r="K334" s="24" t="s">
        <v>3519</v>
      </c>
      <c r="L334" s="24" t="s">
        <v>173</v>
      </c>
      <c r="M334" s="24" t="s">
        <v>3876</v>
      </c>
      <c r="N334" s="24"/>
      <c r="O334" s="24" t="s">
        <v>3877</v>
      </c>
      <c r="P334" s="24" t="s">
        <v>3878</v>
      </c>
      <c r="Q334" s="24" t="s">
        <v>3879</v>
      </c>
      <c r="R334" s="24" t="s">
        <v>3880</v>
      </c>
      <c r="S334" s="24" t="s">
        <v>3881</v>
      </c>
      <c r="T334" s="24" t="s">
        <v>3540</v>
      </c>
      <c r="U334" s="24"/>
      <c r="V334" s="24"/>
      <c r="W334" s="24"/>
      <c r="X334" s="24"/>
      <c r="Y334" s="24" t="s">
        <v>3882</v>
      </c>
      <c r="Z334" s="24"/>
      <c r="AA334" s="24"/>
      <c r="AB334" s="25" t="n">
        <v>30</v>
      </c>
      <c r="AC334" s="24" t="s">
        <v>3883</v>
      </c>
      <c r="AD334" s="24" t="s">
        <v>3884</v>
      </c>
      <c r="AE334" s="24"/>
      <c r="AF334" s="24" t="s">
        <v>115</v>
      </c>
      <c r="AG334" s="24" t="s">
        <v>168</v>
      </c>
      <c r="AH334" s="24"/>
      <c r="AI334" s="25" t="n">
        <f aca="false">COUNTIF($B$2:$B$740,B334)</f>
        <v>1</v>
      </c>
    </row>
    <row r="335" customFormat="false" ht="76" hidden="false" customHeight="true" outlineLevel="0" collapsed="false">
      <c r="A335" s="21" t="n">
        <v>334</v>
      </c>
      <c r="B335" s="22" t="s">
        <v>3885</v>
      </c>
      <c r="C335" s="23" t="s">
        <v>9</v>
      </c>
      <c r="D335" s="23" t="s">
        <v>96</v>
      </c>
      <c r="E335" s="23" t="s">
        <v>3459</v>
      </c>
      <c r="F335" s="24" t="s">
        <v>50</v>
      </c>
      <c r="G335" s="24" t="s">
        <v>1407</v>
      </c>
      <c r="H335" s="24" t="s">
        <v>3460</v>
      </c>
      <c r="I335" s="24" t="s">
        <v>3461</v>
      </c>
      <c r="J335" s="24" t="s">
        <v>3886</v>
      </c>
      <c r="K335" s="24" t="s">
        <v>3519</v>
      </c>
      <c r="L335" s="24" t="s">
        <v>119</v>
      </c>
      <c r="M335" s="24" t="s">
        <v>3887</v>
      </c>
      <c r="N335" s="24"/>
      <c r="O335" s="24" t="s">
        <v>3888</v>
      </c>
      <c r="P335" s="24" t="s">
        <v>3889</v>
      </c>
      <c r="Q335" s="24" t="s">
        <v>3890</v>
      </c>
      <c r="R335" s="24" t="s">
        <v>3891</v>
      </c>
      <c r="S335" s="24" t="s">
        <v>3892</v>
      </c>
      <c r="T335" s="24" t="s">
        <v>3893</v>
      </c>
      <c r="U335" s="24" t="s">
        <v>3894</v>
      </c>
      <c r="V335" s="24" t="s">
        <v>3895</v>
      </c>
      <c r="W335" s="24"/>
      <c r="X335" s="24"/>
      <c r="Y335" s="24" t="s">
        <v>3894</v>
      </c>
      <c r="Z335" s="24"/>
      <c r="AA335" s="24"/>
      <c r="AB335" s="25" t="n">
        <v>30</v>
      </c>
      <c r="AC335" s="24" t="s">
        <v>3896</v>
      </c>
      <c r="AD335" s="24" t="s">
        <v>3897</v>
      </c>
      <c r="AE335" s="24"/>
      <c r="AF335" s="24" t="s">
        <v>115</v>
      </c>
      <c r="AG335" s="24" t="s">
        <v>168</v>
      </c>
      <c r="AH335" s="24"/>
      <c r="AI335" s="25" t="n">
        <f aca="false">COUNTIF($B$2:$B$740,B335)</f>
        <v>1</v>
      </c>
    </row>
    <row r="336" customFormat="false" ht="76" hidden="false" customHeight="true" outlineLevel="0" collapsed="false">
      <c r="A336" s="21" t="n">
        <v>335</v>
      </c>
      <c r="B336" s="22" t="s">
        <v>3898</v>
      </c>
      <c r="C336" s="23" t="s">
        <v>9</v>
      </c>
      <c r="D336" s="23" t="s">
        <v>96</v>
      </c>
      <c r="E336" s="23" t="s">
        <v>3459</v>
      </c>
      <c r="F336" s="24" t="s">
        <v>50</v>
      </c>
      <c r="G336" s="24" t="s">
        <v>1407</v>
      </c>
      <c r="H336" s="24" t="s">
        <v>3460</v>
      </c>
      <c r="I336" s="24" t="s">
        <v>3461</v>
      </c>
      <c r="J336" s="24" t="s">
        <v>3899</v>
      </c>
      <c r="K336" s="24" t="s">
        <v>3519</v>
      </c>
      <c r="L336" s="24" t="s">
        <v>119</v>
      </c>
      <c r="M336" s="24" t="s">
        <v>3900</v>
      </c>
      <c r="N336" s="24"/>
      <c r="O336" s="24" t="s">
        <v>3901</v>
      </c>
      <c r="P336" s="24" t="s">
        <v>3902</v>
      </c>
      <c r="Q336" s="24" t="s">
        <v>3903</v>
      </c>
      <c r="R336" s="24" t="s">
        <v>3904</v>
      </c>
      <c r="S336" s="24" t="s">
        <v>3902</v>
      </c>
      <c r="T336" s="24" t="s">
        <v>3905</v>
      </c>
      <c r="U336" s="24" t="s">
        <v>3906</v>
      </c>
      <c r="V336" s="24" t="s">
        <v>3907</v>
      </c>
      <c r="W336" s="24"/>
      <c r="X336" s="24"/>
      <c r="Y336" s="24" t="s">
        <v>3908</v>
      </c>
      <c r="Z336" s="24"/>
      <c r="AA336" s="24"/>
      <c r="AB336" s="25" t="n">
        <v>30</v>
      </c>
      <c r="AC336" s="24" t="s">
        <v>3909</v>
      </c>
      <c r="AD336" s="24" t="s">
        <v>3910</v>
      </c>
      <c r="AE336" s="24"/>
      <c r="AF336" s="24" t="s">
        <v>115</v>
      </c>
      <c r="AG336" s="24" t="s">
        <v>168</v>
      </c>
      <c r="AH336" s="24"/>
      <c r="AI336" s="25" t="n">
        <f aca="false">COUNTIF($B$2:$B$740,B336)</f>
        <v>1</v>
      </c>
    </row>
    <row r="337" customFormat="false" ht="76" hidden="false" customHeight="true" outlineLevel="0" collapsed="false">
      <c r="A337" s="21" t="n">
        <v>336</v>
      </c>
      <c r="B337" s="22" t="s">
        <v>3911</v>
      </c>
      <c r="C337" s="23" t="s">
        <v>9</v>
      </c>
      <c r="D337" s="23" t="s">
        <v>96</v>
      </c>
      <c r="E337" s="23" t="s">
        <v>3459</v>
      </c>
      <c r="F337" s="24" t="s">
        <v>50</v>
      </c>
      <c r="G337" s="24" t="s">
        <v>1407</v>
      </c>
      <c r="H337" s="24" t="s">
        <v>3460</v>
      </c>
      <c r="I337" s="24" t="s">
        <v>3461</v>
      </c>
      <c r="J337" s="24" t="s">
        <v>3912</v>
      </c>
      <c r="K337" s="24" t="s">
        <v>3519</v>
      </c>
      <c r="L337" s="24" t="s">
        <v>531</v>
      </c>
      <c r="M337" s="24" t="s">
        <v>3913</v>
      </c>
      <c r="N337" s="24"/>
      <c r="O337" s="24" t="s">
        <v>3914</v>
      </c>
      <c r="P337" s="24" t="s">
        <v>3915</v>
      </c>
      <c r="Q337" s="24" t="s">
        <v>3916</v>
      </c>
      <c r="R337" s="24" t="s">
        <v>3917</v>
      </c>
      <c r="S337" s="24" t="s">
        <v>3918</v>
      </c>
      <c r="T337" s="24" t="s">
        <v>3751</v>
      </c>
      <c r="U337" s="24" t="s">
        <v>3919</v>
      </c>
      <c r="V337" s="24" t="s">
        <v>3487</v>
      </c>
      <c r="W337" s="24"/>
      <c r="X337" s="24" t="s">
        <v>3920</v>
      </c>
      <c r="Y337" s="24" t="s">
        <v>3919</v>
      </c>
      <c r="Z337" s="24"/>
      <c r="AA337" s="24"/>
      <c r="AB337" s="25" t="n">
        <v>30</v>
      </c>
      <c r="AC337" s="24" t="s">
        <v>3921</v>
      </c>
      <c r="AD337" s="24" t="s">
        <v>3922</v>
      </c>
      <c r="AE337" s="24"/>
      <c r="AF337" s="24" t="s">
        <v>115</v>
      </c>
      <c r="AG337" s="24" t="s">
        <v>168</v>
      </c>
      <c r="AH337" s="24"/>
      <c r="AI337" s="25" t="n">
        <f aca="false">COUNTIF($B$2:$B$740,B337)</f>
        <v>1</v>
      </c>
    </row>
    <row r="338" customFormat="false" ht="76" hidden="false" customHeight="true" outlineLevel="0" collapsed="false">
      <c r="A338" s="21" t="n">
        <v>337</v>
      </c>
      <c r="B338" s="22" t="s">
        <v>3923</v>
      </c>
      <c r="C338" s="23" t="s">
        <v>9</v>
      </c>
      <c r="D338" s="23" t="s">
        <v>96</v>
      </c>
      <c r="E338" s="23" t="s">
        <v>3459</v>
      </c>
      <c r="F338" s="24" t="s">
        <v>50</v>
      </c>
      <c r="G338" s="24" t="s">
        <v>1407</v>
      </c>
      <c r="H338" s="24" t="s">
        <v>3460</v>
      </c>
      <c r="I338" s="24" t="s">
        <v>3461</v>
      </c>
      <c r="J338" s="24" t="s">
        <v>3924</v>
      </c>
      <c r="K338" s="24" t="s">
        <v>3519</v>
      </c>
      <c r="L338" s="24" t="s">
        <v>173</v>
      </c>
      <c r="M338" s="24" t="s">
        <v>3925</v>
      </c>
      <c r="N338" s="24"/>
      <c r="O338" s="24" t="s">
        <v>3926</v>
      </c>
      <c r="P338" s="24" t="s">
        <v>3927</v>
      </c>
      <c r="Q338" s="24" t="s">
        <v>3928</v>
      </c>
      <c r="R338" s="24" t="s">
        <v>3929</v>
      </c>
      <c r="S338" s="24" t="s">
        <v>3930</v>
      </c>
      <c r="T338" s="24" t="s">
        <v>3540</v>
      </c>
      <c r="U338" s="24" t="s">
        <v>3931</v>
      </c>
      <c r="V338" s="24" t="s">
        <v>3932</v>
      </c>
      <c r="W338" s="24"/>
      <c r="X338" s="24" t="s">
        <v>3933</v>
      </c>
      <c r="Y338" s="24" t="s">
        <v>3934</v>
      </c>
      <c r="Z338" s="24"/>
      <c r="AA338" s="24"/>
      <c r="AB338" s="25" t="n">
        <v>30</v>
      </c>
      <c r="AC338" s="24" t="s">
        <v>3935</v>
      </c>
      <c r="AD338" s="24" t="s">
        <v>3936</v>
      </c>
      <c r="AE338" s="24"/>
      <c r="AF338" s="24" t="s">
        <v>115</v>
      </c>
      <c r="AG338" s="24" t="s">
        <v>168</v>
      </c>
      <c r="AH338" s="24"/>
      <c r="AI338" s="25" t="n">
        <f aca="false">COUNTIF($B$2:$B$740,B338)</f>
        <v>1</v>
      </c>
    </row>
    <row r="339" customFormat="false" ht="76" hidden="false" customHeight="true" outlineLevel="0" collapsed="false">
      <c r="A339" s="21" t="n">
        <v>338</v>
      </c>
      <c r="B339" s="22" t="s">
        <v>3937</v>
      </c>
      <c r="C339" s="23" t="s">
        <v>9</v>
      </c>
      <c r="D339" s="23" t="s">
        <v>96</v>
      </c>
      <c r="E339" s="23" t="s">
        <v>3459</v>
      </c>
      <c r="F339" s="24" t="s">
        <v>50</v>
      </c>
      <c r="G339" s="24" t="s">
        <v>1407</v>
      </c>
      <c r="H339" s="24" t="s">
        <v>3460</v>
      </c>
      <c r="I339" s="24" t="s">
        <v>3461</v>
      </c>
      <c r="J339" s="24" t="s">
        <v>3938</v>
      </c>
      <c r="K339" s="24" t="s">
        <v>3519</v>
      </c>
      <c r="L339" s="24" t="s">
        <v>173</v>
      </c>
      <c r="M339" s="24" t="s">
        <v>3939</v>
      </c>
      <c r="N339" s="24"/>
      <c r="O339" s="24" t="s">
        <v>3940</v>
      </c>
      <c r="P339" s="24" t="s">
        <v>3941</v>
      </c>
      <c r="Q339" s="24" t="s">
        <v>3942</v>
      </c>
      <c r="R339" s="24" t="s">
        <v>3943</v>
      </c>
      <c r="S339" s="24" t="s">
        <v>3944</v>
      </c>
      <c r="T339" s="24" t="s">
        <v>3945</v>
      </c>
      <c r="U339" s="24"/>
      <c r="V339" s="24"/>
      <c r="W339" s="24"/>
      <c r="X339" s="24"/>
      <c r="Y339" s="24" t="s">
        <v>3946</v>
      </c>
      <c r="Z339" s="24"/>
      <c r="AA339" s="24"/>
      <c r="AB339" s="25" t="n">
        <v>30</v>
      </c>
      <c r="AC339" s="24" t="s">
        <v>3947</v>
      </c>
      <c r="AD339" s="24" t="s">
        <v>3948</v>
      </c>
      <c r="AE339" s="24"/>
      <c r="AF339" s="24" t="s">
        <v>115</v>
      </c>
      <c r="AG339" s="24" t="s">
        <v>168</v>
      </c>
      <c r="AH339" s="24"/>
      <c r="AI339" s="25" t="n">
        <f aca="false">COUNTIF($B$2:$B$740,B339)</f>
        <v>1</v>
      </c>
    </row>
    <row r="340" customFormat="false" ht="76" hidden="false" customHeight="true" outlineLevel="0" collapsed="false">
      <c r="A340" s="21" t="n">
        <v>339</v>
      </c>
      <c r="B340" s="22" t="s">
        <v>3949</v>
      </c>
      <c r="C340" s="23" t="s">
        <v>9</v>
      </c>
      <c r="D340" s="23" t="s">
        <v>96</v>
      </c>
      <c r="E340" s="23" t="s">
        <v>3459</v>
      </c>
      <c r="F340" s="24" t="s">
        <v>50</v>
      </c>
      <c r="G340" s="24" t="s">
        <v>1407</v>
      </c>
      <c r="H340" s="24" t="s">
        <v>3460</v>
      </c>
      <c r="I340" s="24" t="s">
        <v>3461</v>
      </c>
      <c r="J340" s="24" t="s">
        <v>3950</v>
      </c>
      <c r="K340" s="24" t="s">
        <v>3519</v>
      </c>
      <c r="L340" s="24" t="s">
        <v>103</v>
      </c>
      <c r="M340" s="24" t="s">
        <v>3951</v>
      </c>
      <c r="N340" s="24"/>
      <c r="O340" s="24" t="s">
        <v>3952</v>
      </c>
      <c r="P340" s="24" t="s">
        <v>3953</v>
      </c>
      <c r="Q340" s="24" t="s">
        <v>3954</v>
      </c>
      <c r="R340" s="24" t="s">
        <v>3955</v>
      </c>
      <c r="S340" s="24" t="s">
        <v>3956</v>
      </c>
      <c r="T340" s="24" t="s">
        <v>3540</v>
      </c>
      <c r="U340" s="24" t="s">
        <v>3957</v>
      </c>
      <c r="V340" s="24"/>
      <c r="W340" s="24"/>
      <c r="X340" s="24"/>
      <c r="Y340" s="24" t="s">
        <v>3958</v>
      </c>
      <c r="Z340" s="24"/>
      <c r="AA340" s="24"/>
      <c r="AB340" s="25" t="n">
        <v>30</v>
      </c>
      <c r="AC340" s="24" t="s">
        <v>3959</v>
      </c>
      <c r="AD340" s="24" t="s">
        <v>3960</v>
      </c>
      <c r="AE340" s="24"/>
      <c r="AF340" s="24" t="s">
        <v>115</v>
      </c>
      <c r="AG340" s="24" t="s">
        <v>168</v>
      </c>
      <c r="AH340" s="24"/>
      <c r="AI340" s="25" t="n">
        <f aca="false">COUNTIF($B$2:$B$740,B340)</f>
        <v>1</v>
      </c>
    </row>
    <row r="341" customFormat="false" ht="76" hidden="false" customHeight="true" outlineLevel="0" collapsed="false">
      <c r="A341" s="21" t="n">
        <v>340</v>
      </c>
      <c r="B341" s="22" t="s">
        <v>3961</v>
      </c>
      <c r="C341" s="23" t="s">
        <v>9</v>
      </c>
      <c r="D341" s="23" t="s">
        <v>96</v>
      </c>
      <c r="E341" s="23" t="s">
        <v>3459</v>
      </c>
      <c r="F341" s="24" t="s">
        <v>50</v>
      </c>
      <c r="G341" s="24" t="s">
        <v>1407</v>
      </c>
      <c r="H341" s="24" t="s">
        <v>3460</v>
      </c>
      <c r="I341" s="24" t="s">
        <v>3461</v>
      </c>
      <c r="J341" s="24" t="s">
        <v>3962</v>
      </c>
      <c r="K341" s="24" t="s">
        <v>3519</v>
      </c>
      <c r="L341" s="24" t="s">
        <v>119</v>
      </c>
      <c r="M341" s="24" t="s">
        <v>3963</v>
      </c>
      <c r="N341" s="24"/>
      <c r="O341" s="24" t="s">
        <v>3964</v>
      </c>
      <c r="P341" s="24" t="s">
        <v>3965</v>
      </c>
      <c r="Q341" s="24" t="s">
        <v>3966</v>
      </c>
      <c r="R341" s="24" t="s">
        <v>3967</v>
      </c>
      <c r="S341" s="24" t="s">
        <v>3968</v>
      </c>
      <c r="T341" s="24" t="s">
        <v>3540</v>
      </c>
      <c r="U341" s="24"/>
      <c r="V341" s="24"/>
      <c r="W341" s="24"/>
      <c r="X341" s="24"/>
      <c r="Y341" s="24"/>
      <c r="Z341" s="24"/>
      <c r="AA341" s="24"/>
      <c r="AB341" s="25" t="n">
        <v>30</v>
      </c>
      <c r="AC341" s="24" t="s">
        <v>3969</v>
      </c>
      <c r="AD341" s="24" t="s">
        <v>3970</v>
      </c>
      <c r="AE341" s="24"/>
      <c r="AF341" s="24" t="s">
        <v>115</v>
      </c>
      <c r="AG341" s="24" t="s">
        <v>168</v>
      </c>
      <c r="AH341" s="24"/>
      <c r="AI341" s="25" t="n">
        <f aca="false">COUNTIF($B$2:$B$740,B341)</f>
        <v>1</v>
      </c>
    </row>
    <row r="342" customFormat="false" ht="76" hidden="false" customHeight="true" outlineLevel="0" collapsed="false">
      <c r="A342" s="21" t="n">
        <v>341</v>
      </c>
      <c r="B342" s="22" t="s">
        <v>3971</v>
      </c>
      <c r="C342" s="23" t="s">
        <v>9</v>
      </c>
      <c r="D342" s="23" t="s">
        <v>96</v>
      </c>
      <c r="E342" s="23" t="s">
        <v>3459</v>
      </c>
      <c r="F342" s="24" t="s">
        <v>50</v>
      </c>
      <c r="G342" s="24" t="s">
        <v>1407</v>
      </c>
      <c r="H342" s="24" t="s">
        <v>3460</v>
      </c>
      <c r="I342" s="24" t="s">
        <v>3461</v>
      </c>
      <c r="J342" s="24" t="s">
        <v>3972</v>
      </c>
      <c r="K342" s="24" t="s">
        <v>3519</v>
      </c>
      <c r="L342" s="24" t="s">
        <v>119</v>
      </c>
      <c r="M342" s="24" t="s">
        <v>3973</v>
      </c>
      <c r="N342" s="24"/>
      <c r="O342" s="24" t="s">
        <v>3974</v>
      </c>
      <c r="P342" s="24" t="s">
        <v>3975</v>
      </c>
      <c r="Q342" s="24" t="s">
        <v>3976</v>
      </c>
      <c r="R342" s="24" t="s">
        <v>3977</v>
      </c>
      <c r="S342" s="24" t="s">
        <v>3978</v>
      </c>
      <c r="T342" s="24" t="s">
        <v>3540</v>
      </c>
      <c r="U342" s="24" t="s">
        <v>3979</v>
      </c>
      <c r="V342" s="24" t="s">
        <v>3980</v>
      </c>
      <c r="W342" s="24"/>
      <c r="X342" s="24"/>
      <c r="Y342" s="24" t="s">
        <v>3981</v>
      </c>
      <c r="Z342" s="24"/>
      <c r="AA342" s="24"/>
      <c r="AB342" s="25" t="n">
        <v>30</v>
      </c>
      <c r="AC342" s="24" t="s">
        <v>3982</v>
      </c>
      <c r="AD342" s="24" t="s">
        <v>3983</v>
      </c>
      <c r="AE342" s="24"/>
      <c r="AF342" s="24" t="s">
        <v>115</v>
      </c>
      <c r="AG342" s="24" t="s">
        <v>168</v>
      </c>
      <c r="AH342" s="24"/>
      <c r="AI342" s="25" t="n">
        <f aca="false">COUNTIF($B$2:$B$740,B342)</f>
        <v>1</v>
      </c>
    </row>
    <row r="343" customFormat="false" ht="76" hidden="false" customHeight="true" outlineLevel="0" collapsed="false">
      <c r="A343" s="21" t="n">
        <v>342</v>
      </c>
      <c r="B343" s="22" t="s">
        <v>3984</v>
      </c>
      <c r="C343" s="23" t="s">
        <v>9</v>
      </c>
      <c r="D343" s="23" t="s">
        <v>96</v>
      </c>
      <c r="E343" s="23" t="s">
        <v>3459</v>
      </c>
      <c r="F343" s="24" t="s">
        <v>50</v>
      </c>
      <c r="G343" s="24" t="s">
        <v>1407</v>
      </c>
      <c r="H343" s="24" t="s">
        <v>3460</v>
      </c>
      <c r="I343" s="24" t="s">
        <v>3461</v>
      </c>
      <c r="J343" s="24" t="s">
        <v>3985</v>
      </c>
      <c r="K343" s="24" t="s">
        <v>3519</v>
      </c>
      <c r="L343" s="24" t="s">
        <v>103</v>
      </c>
      <c r="M343" s="24" t="s">
        <v>3986</v>
      </c>
      <c r="N343" s="24"/>
      <c r="O343" s="24" t="s">
        <v>3987</v>
      </c>
      <c r="P343" s="24" t="s">
        <v>3988</v>
      </c>
      <c r="Q343" s="24" t="s">
        <v>3989</v>
      </c>
      <c r="R343" s="24" t="s">
        <v>3990</v>
      </c>
      <c r="S343" s="24" t="s">
        <v>3991</v>
      </c>
      <c r="T343" s="24" t="s">
        <v>3751</v>
      </c>
      <c r="U343" s="24" t="s">
        <v>3992</v>
      </c>
      <c r="V343" s="24" t="s">
        <v>3993</v>
      </c>
      <c r="W343" s="24" t="s">
        <v>3994</v>
      </c>
      <c r="X343" s="24"/>
      <c r="Y343" s="24" t="s">
        <v>3995</v>
      </c>
      <c r="Z343" s="24"/>
      <c r="AA343" s="24"/>
      <c r="AB343" s="25" t="n">
        <v>30</v>
      </c>
      <c r="AC343" s="24" t="s">
        <v>3996</v>
      </c>
      <c r="AD343" s="24" t="s">
        <v>3997</v>
      </c>
      <c r="AE343" s="24" t="s">
        <v>1819</v>
      </c>
      <c r="AF343" s="24" t="s">
        <v>115</v>
      </c>
      <c r="AG343" s="24" t="s">
        <v>168</v>
      </c>
      <c r="AH343" s="24"/>
      <c r="AI343" s="25" t="n">
        <f aca="false">COUNTIF($B$2:$B$740,B343)</f>
        <v>1</v>
      </c>
    </row>
    <row r="344" customFormat="false" ht="76" hidden="false" customHeight="true" outlineLevel="0" collapsed="false">
      <c r="A344" s="21" t="n">
        <v>343</v>
      </c>
      <c r="B344" s="22" t="s">
        <v>3998</v>
      </c>
      <c r="C344" s="23" t="s">
        <v>9</v>
      </c>
      <c r="D344" s="23" t="s">
        <v>96</v>
      </c>
      <c r="E344" s="23" t="s">
        <v>3459</v>
      </c>
      <c r="F344" s="24" t="s">
        <v>50</v>
      </c>
      <c r="G344" s="24" t="s">
        <v>1407</v>
      </c>
      <c r="H344" s="24" t="s">
        <v>3460</v>
      </c>
      <c r="I344" s="24" t="s">
        <v>3461</v>
      </c>
      <c r="J344" s="24" t="s">
        <v>3999</v>
      </c>
      <c r="K344" s="24" t="s">
        <v>4000</v>
      </c>
      <c r="L344" s="24" t="s">
        <v>119</v>
      </c>
      <c r="M344" s="24" t="s">
        <v>4001</v>
      </c>
      <c r="N344" s="24"/>
      <c r="O344" s="24" t="s">
        <v>4002</v>
      </c>
      <c r="P344" s="24" t="s">
        <v>4003</v>
      </c>
      <c r="Q344" s="24" t="s">
        <v>4004</v>
      </c>
      <c r="R344" s="24" t="s">
        <v>4005</v>
      </c>
      <c r="S344" s="24" t="s">
        <v>4003</v>
      </c>
      <c r="T344" s="24" t="s">
        <v>4006</v>
      </c>
      <c r="U344" s="24"/>
      <c r="V344" s="24" t="s">
        <v>4007</v>
      </c>
      <c r="W344" s="24" t="s">
        <v>4008</v>
      </c>
      <c r="X344" s="24" t="s">
        <v>4009</v>
      </c>
      <c r="Y344" s="24" t="s">
        <v>4010</v>
      </c>
      <c r="Z344" s="24"/>
      <c r="AA344" s="24"/>
      <c r="AB344" s="25" t="n">
        <v>30</v>
      </c>
      <c r="AC344" s="24" t="s">
        <v>4011</v>
      </c>
      <c r="AD344" s="24" t="s">
        <v>4012</v>
      </c>
      <c r="AE344" s="24"/>
      <c r="AF344" s="24" t="s">
        <v>115</v>
      </c>
      <c r="AG344" s="24" t="s">
        <v>168</v>
      </c>
      <c r="AH344" s="24"/>
      <c r="AI344" s="25" t="n">
        <f aca="false">COUNTIF($B$2:$B$740,B344)</f>
        <v>1</v>
      </c>
    </row>
    <row r="345" customFormat="false" ht="76" hidden="false" customHeight="true" outlineLevel="0" collapsed="false">
      <c r="A345" s="21" t="n">
        <v>344</v>
      </c>
      <c r="B345" s="22" t="s">
        <v>4013</v>
      </c>
      <c r="C345" s="23" t="s">
        <v>9</v>
      </c>
      <c r="D345" s="23" t="s">
        <v>96</v>
      </c>
      <c r="E345" s="23" t="s">
        <v>3459</v>
      </c>
      <c r="F345" s="24" t="s">
        <v>50</v>
      </c>
      <c r="G345" s="24" t="s">
        <v>1407</v>
      </c>
      <c r="H345" s="24" t="s">
        <v>3460</v>
      </c>
      <c r="I345" s="24" t="s">
        <v>3461</v>
      </c>
      <c r="J345" s="24" t="s">
        <v>4014</v>
      </c>
      <c r="K345" s="24" t="s">
        <v>4000</v>
      </c>
      <c r="L345" s="24" t="s">
        <v>119</v>
      </c>
      <c r="M345" s="24" t="s">
        <v>4015</v>
      </c>
      <c r="N345" s="24"/>
      <c r="O345" s="24" t="s">
        <v>4016</v>
      </c>
      <c r="P345" s="24" t="s">
        <v>4017</v>
      </c>
      <c r="Q345" s="24" t="s">
        <v>4018</v>
      </c>
      <c r="R345" s="24" t="s">
        <v>4019</v>
      </c>
      <c r="S345" s="24" t="s">
        <v>4020</v>
      </c>
      <c r="T345" s="24" t="s">
        <v>4021</v>
      </c>
      <c r="U345" s="24" t="s">
        <v>4022</v>
      </c>
      <c r="V345" s="24"/>
      <c r="W345" s="24"/>
      <c r="X345" s="24"/>
      <c r="Y345" s="24" t="s">
        <v>4023</v>
      </c>
      <c r="Z345" s="24"/>
      <c r="AA345" s="24"/>
      <c r="AB345" s="25" t="n">
        <v>30</v>
      </c>
      <c r="AC345" s="24" t="s">
        <v>4024</v>
      </c>
      <c r="AD345" s="24" t="s">
        <v>4025</v>
      </c>
      <c r="AE345" s="24"/>
      <c r="AF345" s="24" t="s">
        <v>115</v>
      </c>
      <c r="AG345" s="24" t="s">
        <v>168</v>
      </c>
      <c r="AH345" s="24"/>
      <c r="AI345" s="25" t="n">
        <f aca="false">COUNTIF($B$2:$B$740,B345)</f>
        <v>1</v>
      </c>
    </row>
    <row r="346" customFormat="false" ht="76" hidden="false" customHeight="true" outlineLevel="0" collapsed="false">
      <c r="A346" s="21" t="n">
        <v>345</v>
      </c>
      <c r="B346" s="22" t="s">
        <v>4026</v>
      </c>
      <c r="C346" s="23" t="s">
        <v>9</v>
      </c>
      <c r="D346" s="23" t="s">
        <v>96</v>
      </c>
      <c r="E346" s="23" t="s">
        <v>3459</v>
      </c>
      <c r="F346" s="24" t="s">
        <v>50</v>
      </c>
      <c r="G346" s="24" t="s">
        <v>1407</v>
      </c>
      <c r="H346" s="24" t="s">
        <v>3460</v>
      </c>
      <c r="I346" s="24" t="s">
        <v>3461</v>
      </c>
      <c r="J346" s="24" t="s">
        <v>4027</v>
      </c>
      <c r="K346" s="24" t="s">
        <v>4000</v>
      </c>
      <c r="L346" s="24" t="s">
        <v>119</v>
      </c>
      <c r="M346" s="24" t="s">
        <v>4028</v>
      </c>
      <c r="N346" s="24"/>
      <c r="O346" s="24" t="s">
        <v>4029</v>
      </c>
      <c r="P346" s="24" t="s">
        <v>4030</v>
      </c>
      <c r="Q346" s="24" t="s">
        <v>4031</v>
      </c>
      <c r="R346" s="24" t="s">
        <v>4032</v>
      </c>
      <c r="S346" s="24" t="s">
        <v>4033</v>
      </c>
      <c r="T346" s="24" t="s">
        <v>3540</v>
      </c>
      <c r="U346" s="24"/>
      <c r="V346" s="24"/>
      <c r="W346" s="24"/>
      <c r="X346" s="24"/>
      <c r="Y346" s="24" t="s">
        <v>4034</v>
      </c>
      <c r="Z346" s="24"/>
      <c r="AA346" s="24"/>
      <c r="AB346" s="25" t="n">
        <v>30</v>
      </c>
      <c r="AC346" s="24" t="s">
        <v>4035</v>
      </c>
      <c r="AD346" s="24" t="s">
        <v>4036</v>
      </c>
      <c r="AE346" s="24"/>
      <c r="AF346" s="24" t="s">
        <v>115</v>
      </c>
      <c r="AG346" s="24" t="s">
        <v>168</v>
      </c>
      <c r="AH346" s="24"/>
      <c r="AI346" s="25" t="n">
        <f aca="false">COUNTIF($B$2:$B$740,B346)</f>
        <v>1</v>
      </c>
    </row>
    <row r="347" customFormat="false" ht="76" hidden="false" customHeight="true" outlineLevel="0" collapsed="false">
      <c r="A347" s="21" t="n">
        <v>346</v>
      </c>
      <c r="B347" s="22" t="s">
        <v>4037</v>
      </c>
      <c r="C347" s="23" t="s">
        <v>9</v>
      </c>
      <c r="D347" s="23" t="s">
        <v>96</v>
      </c>
      <c r="E347" s="23" t="s">
        <v>3459</v>
      </c>
      <c r="F347" s="24" t="s">
        <v>50</v>
      </c>
      <c r="G347" s="24" t="s">
        <v>1407</v>
      </c>
      <c r="H347" s="24" t="s">
        <v>3460</v>
      </c>
      <c r="I347" s="24" t="s">
        <v>3461</v>
      </c>
      <c r="J347" s="24" t="s">
        <v>4038</v>
      </c>
      <c r="K347" s="24" t="s">
        <v>4000</v>
      </c>
      <c r="L347" s="24" t="s">
        <v>119</v>
      </c>
      <c r="M347" s="24" t="s">
        <v>4039</v>
      </c>
      <c r="N347" s="24"/>
      <c r="O347" s="24" t="s">
        <v>4040</v>
      </c>
      <c r="P347" s="24" t="s">
        <v>4041</v>
      </c>
      <c r="Q347" s="24" t="s">
        <v>4042</v>
      </c>
      <c r="R347" s="24" t="s">
        <v>4043</v>
      </c>
      <c r="S347" s="24" t="s">
        <v>4044</v>
      </c>
      <c r="T347" s="24" t="s">
        <v>4045</v>
      </c>
      <c r="U347" s="24" t="s">
        <v>4046</v>
      </c>
      <c r="V347" s="24"/>
      <c r="W347" s="24"/>
      <c r="X347" s="24"/>
      <c r="Y347" s="24" t="s">
        <v>4047</v>
      </c>
      <c r="Z347" s="24"/>
      <c r="AA347" s="24" t="s">
        <v>4048</v>
      </c>
      <c r="AB347" s="25" t="n">
        <v>30</v>
      </c>
      <c r="AC347" s="24" t="s">
        <v>4049</v>
      </c>
      <c r="AD347" s="24" t="s">
        <v>4050</v>
      </c>
      <c r="AE347" s="24"/>
      <c r="AF347" s="24" t="s">
        <v>115</v>
      </c>
      <c r="AG347" s="24" t="s">
        <v>168</v>
      </c>
      <c r="AH347" s="24"/>
      <c r="AI347" s="25" t="n">
        <f aca="false">COUNTIF($B$2:$B$740,B347)</f>
        <v>1</v>
      </c>
    </row>
    <row r="348" customFormat="false" ht="76" hidden="false" customHeight="true" outlineLevel="0" collapsed="false">
      <c r="A348" s="21" t="n">
        <v>347</v>
      </c>
      <c r="B348" s="22" t="s">
        <v>4051</v>
      </c>
      <c r="C348" s="23" t="s">
        <v>9</v>
      </c>
      <c r="D348" s="23" t="s">
        <v>96</v>
      </c>
      <c r="E348" s="23" t="s">
        <v>3459</v>
      </c>
      <c r="F348" s="24" t="s">
        <v>50</v>
      </c>
      <c r="G348" s="24" t="s">
        <v>1407</v>
      </c>
      <c r="H348" s="24" t="s">
        <v>3460</v>
      </c>
      <c r="I348" s="24" t="s">
        <v>3461</v>
      </c>
      <c r="J348" s="24" t="s">
        <v>4052</v>
      </c>
      <c r="K348" s="24" t="s">
        <v>4000</v>
      </c>
      <c r="L348" s="24" t="s">
        <v>119</v>
      </c>
      <c r="M348" s="24" t="s">
        <v>4053</v>
      </c>
      <c r="N348" s="24"/>
      <c r="O348" s="24" t="s">
        <v>4054</v>
      </c>
      <c r="P348" s="24" t="s">
        <v>4055</v>
      </c>
      <c r="Q348" s="24" t="s">
        <v>4056</v>
      </c>
      <c r="R348" s="24" t="s">
        <v>4057</v>
      </c>
      <c r="S348" s="24" t="s">
        <v>4058</v>
      </c>
      <c r="T348" s="24" t="s">
        <v>3540</v>
      </c>
      <c r="U348" s="24"/>
      <c r="V348" s="24" t="s">
        <v>4059</v>
      </c>
      <c r="W348" s="24" t="s">
        <v>4060</v>
      </c>
      <c r="X348" s="24" t="s">
        <v>4061</v>
      </c>
      <c r="Y348" s="24" t="s">
        <v>4062</v>
      </c>
      <c r="Z348" s="24"/>
      <c r="AA348" s="24"/>
      <c r="AB348" s="25" t="n">
        <v>30</v>
      </c>
      <c r="AC348" s="24" t="s">
        <v>4063</v>
      </c>
      <c r="AD348" s="24" t="s">
        <v>4064</v>
      </c>
      <c r="AE348" s="24" t="s">
        <v>2441</v>
      </c>
      <c r="AF348" s="24" t="s">
        <v>115</v>
      </c>
      <c r="AG348" s="24" t="s">
        <v>168</v>
      </c>
      <c r="AH348" s="24"/>
      <c r="AI348" s="25" t="n">
        <f aca="false">COUNTIF($B$2:$B$740,B348)</f>
        <v>1</v>
      </c>
    </row>
    <row r="349" customFormat="false" ht="76" hidden="false" customHeight="true" outlineLevel="0" collapsed="false">
      <c r="A349" s="21" t="n">
        <v>348</v>
      </c>
      <c r="B349" s="22" t="s">
        <v>4065</v>
      </c>
      <c r="C349" s="23" t="s">
        <v>9</v>
      </c>
      <c r="D349" s="23" t="s">
        <v>96</v>
      </c>
      <c r="E349" s="23" t="s">
        <v>3459</v>
      </c>
      <c r="F349" s="24" t="s">
        <v>50</v>
      </c>
      <c r="G349" s="24" t="s">
        <v>1407</v>
      </c>
      <c r="H349" s="24" t="s">
        <v>3460</v>
      </c>
      <c r="I349" s="24" t="s">
        <v>3461</v>
      </c>
      <c r="J349" s="24" t="s">
        <v>4066</v>
      </c>
      <c r="K349" s="24" t="s">
        <v>4000</v>
      </c>
      <c r="L349" s="24" t="s">
        <v>119</v>
      </c>
      <c r="M349" s="24" t="s">
        <v>4067</v>
      </c>
      <c r="N349" s="24"/>
      <c r="O349" s="24" t="s">
        <v>4068</v>
      </c>
      <c r="P349" s="24" t="s">
        <v>4069</v>
      </c>
      <c r="Q349" s="24" t="s">
        <v>4070</v>
      </c>
      <c r="R349" s="24" t="s">
        <v>4071</v>
      </c>
      <c r="S349" s="24" t="s">
        <v>4072</v>
      </c>
      <c r="T349" s="24" t="s">
        <v>3540</v>
      </c>
      <c r="U349" s="24"/>
      <c r="V349" s="24"/>
      <c r="W349" s="24"/>
      <c r="X349" s="24"/>
      <c r="Y349" s="24" t="s">
        <v>4073</v>
      </c>
      <c r="Z349" s="24"/>
      <c r="AA349" s="24"/>
      <c r="AB349" s="25" t="n">
        <v>30</v>
      </c>
      <c r="AC349" s="24" t="s">
        <v>4074</v>
      </c>
      <c r="AD349" s="24" t="s">
        <v>4075</v>
      </c>
      <c r="AE349" s="24"/>
      <c r="AF349" s="24" t="s">
        <v>115</v>
      </c>
      <c r="AG349" s="24" t="s">
        <v>168</v>
      </c>
      <c r="AH349" s="24"/>
      <c r="AI349" s="25" t="n">
        <f aca="false">COUNTIF($B$2:$B$740,B349)</f>
        <v>1</v>
      </c>
    </row>
    <row r="350" customFormat="false" ht="76" hidden="false" customHeight="true" outlineLevel="0" collapsed="false">
      <c r="A350" s="21" t="n">
        <v>349</v>
      </c>
      <c r="B350" s="22" t="s">
        <v>4076</v>
      </c>
      <c r="C350" s="23" t="s">
        <v>9</v>
      </c>
      <c r="D350" s="23" t="s">
        <v>96</v>
      </c>
      <c r="E350" s="23" t="s">
        <v>3459</v>
      </c>
      <c r="F350" s="24" t="s">
        <v>50</v>
      </c>
      <c r="G350" s="24" t="s">
        <v>1407</v>
      </c>
      <c r="H350" s="24" t="s">
        <v>3460</v>
      </c>
      <c r="I350" s="24" t="s">
        <v>3461</v>
      </c>
      <c r="J350" s="24" t="s">
        <v>4077</v>
      </c>
      <c r="K350" s="24" t="s">
        <v>4000</v>
      </c>
      <c r="L350" s="24" t="s">
        <v>173</v>
      </c>
      <c r="M350" s="24" t="s">
        <v>4078</v>
      </c>
      <c r="N350" s="24"/>
      <c r="O350" s="24" t="s">
        <v>4079</v>
      </c>
      <c r="P350" s="24" t="s">
        <v>4080</v>
      </c>
      <c r="Q350" s="24" t="s">
        <v>4081</v>
      </c>
      <c r="R350" s="24" t="s">
        <v>4082</v>
      </c>
      <c r="S350" s="24" t="s">
        <v>4083</v>
      </c>
      <c r="T350" s="24" t="s">
        <v>3540</v>
      </c>
      <c r="U350" s="24"/>
      <c r="V350" s="24"/>
      <c r="W350" s="24"/>
      <c r="X350" s="24"/>
      <c r="Y350" s="24"/>
      <c r="Z350" s="24"/>
      <c r="AA350" s="24"/>
      <c r="AB350" s="25" t="n">
        <v>30</v>
      </c>
      <c r="AC350" s="24" t="s">
        <v>4084</v>
      </c>
      <c r="AD350" s="24" t="s">
        <v>4085</v>
      </c>
      <c r="AE350" s="24"/>
      <c r="AF350" s="24" t="s">
        <v>115</v>
      </c>
      <c r="AG350" s="24" t="s">
        <v>168</v>
      </c>
      <c r="AH350" s="24"/>
      <c r="AI350" s="25" t="n">
        <f aca="false">COUNTIF($B$2:$B$740,B350)</f>
        <v>1</v>
      </c>
    </row>
    <row r="351" customFormat="false" ht="76" hidden="false" customHeight="true" outlineLevel="0" collapsed="false">
      <c r="A351" s="21" t="n">
        <v>350</v>
      </c>
      <c r="B351" s="22" t="s">
        <v>4086</v>
      </c>
      <c r="C351" s="23" t="s">
        <v>9</v>
      </c>
      <c r="D351" s="23" t="s">
        <v>96</v>
      </c>
      <c r="E351" s="23" t="s">
        <v>3459</v>
      </c>
      <c r="F351" s="24" t="s">
        <v>50</v>
      </c>
      <c r="G351" s="24" t="s">
        <v>1407</v>
      </c>
      <c r="H351" s="24" t="s">
        <v>3460</v>
      </c>
      <c r="I351" s="24" t="s">
        <v>3461</v>
      </c>
      <c r="J351" s="24" t="s">
        <v>4087</v>
      </c>
      <c r="K351" s="24" t="s">
        <v>4000</v>
      </c>
      <c r="L351" s="24" t="s">
        <v>531</v>
      </c>
      <c r="M351" s="24" t="s">
        <v>4088</v>
      </c>
      <c r="N351" s="24"/>
      <c r="O351" s="24" t="s">
        <v>4089</v>
      </c>
      <c r="P351" s="24" t="s">
        <v>4090</v>
      </c>
      <c r="Q351" s="24" t="s">
        <v>4091</v>
      </c>
      <c r="R351" s="24" t="s">
        <v>4090</v>
      </c>
      <c r="S351" s="24" t="s">
        <v>4090</v>
      </c>
      <c r="T351" s="24" t="s">
        <v>3540</v>
      </c>
      <c r="U351" s="24" t="s">
        <v>4092</v>
      </c>
      <c r="V351" s="24"/>
      <c r="W351" s="24"/>
      <c r="X351" s="24"/>
      <c r="Y351" s="24"/>
      <c r="Z351" s="24"/>
      <c r="AA351" s="24"/>
      <c r="AB351" s="25" t="n">
        <v>30</v>
      </c>
      <c r="AC351" s="24" t="s">
        <v>4093</v>
      </c>
      <c r="AD351" s="24" t="s">
        <v>4094</v>
      </c>
      <c r="AE351" s="24"/>
      <c r="AF351" s="24" t="s">
        <v>115</v>
      </c>
      <c r="AG351" s="24" t="s">
        <v>168</v>
      </c>
      <c r="AH351" s="24"/>
      <c r="AI351" s="25" t="n">
        <f aca="false">COUNTIF($B$2:$B$740,B351)</f>
        <v>1</v>
      </c>
    </row>
    <row r="352" customFormat="false" ht="76" hidden="false" customHeight="true" outlineLevel="0" collapsed="false">
      <c r="A352" s="21" t="n">
        <v>351</v>
      </c>
      <c r="B352" s="22" t="s">
        <v>4095</v>
      </c>
      <c r="C352" s="23" t="s">
        <v>9</v>
      </c>
      <c r="D352" s="23" t="s">
        <v>96</v>
      </c>
      <c r="E352" s="23" t="s">
        <v>3459</v>
      </c>
      <c r="F352" s="24" t="s">
        <v>50</v>
      </c>
      <c r="G352" s="24" t="s">
        <v>1407</v>
      </c>
      <c r="H352" s="24" t="s">
        <v>3460</v>
      </c>
      <c r="I352" s="24" t="s">
        <v>3461</v>
      </c>
      <c r="J352" s="24" t="s">
        <v>4096</v>
      </c>
      <c r="K352" s="24" t="s">
        <v>4000</v>
      </c>
      <c r="L352" s="24" t="s">
        <v>119</v>
      </c>
      <c r="M352" s="24" t="s">
        <v>4097</v>
      </c>
      <c r="N352" s="24"/>
      <c r="O352" s="24" t="s">
        <v>4098</v>
      </c>
      <c r="P352" s="24" t="s">
        <v>4099</v>
      </c>
      <c r="Q352" s="24" t="s">
        <v>4100</v>
      </c>
      <c r="R352" s="24" t="s">
        <v>4101</v>
      </c>
      <c r="S352" s="24" t="s">
        <v>4102</v>
      </c>
      <c r="T352" s="24" t="s">
        <v>4103</v>
      </c>
      <c r="U352" s="24" t="s">
        <v>4104</v>
      </c>
      <c r="V352" s="24"/>
      <c r="W352" s="24"/>
      <c r="X352" s="24" t="s">
        <v>4103</v>
      </c>
      <c r="Y352" s="24" t="s">
        <v>4105</v>
      </c>
      <c r="Z352" s="24"/>
      <c r="AA352" s="24"/>
      <c r="AB352" s="25" t="n">
        <v>80</v>
      </c>
      <c r="AC352" s="24" t="s">
        <v>4106</v>
      </c>
      <c r="AD352" s="24" t="s">
        <v>4107</v>
      </c>
      <c r="AE352" s="24" t="s">
        <v>4108</v>
      </c>
      <c r="AF352" s="24" t="s">
        <v>168</v>
      </c>
      <c r="AG352" s="24" t="s">
        <v>168</v>
      </c>
      <c r="AH352" s="24" t="s">
        <v>941</v>
      </c>
      <c r="AI352" s="25" t="n">
        <f aca="false">COUNTIF($B$2:$B$740,B352)</f>
        <v>1</v>
      </c>
    </row>
    <row r="353" customFormat="false" ht="76" hidden="false" customHeight="true" outlineLevel="0" collapsed="false">
      <c r="A353" s="21" t="n">
        <v>352</v>
      </c>
      <c r="B353" s="22" t="s">
        <v>4109</v>
      </c>
      <c r="C353" s="23" t="s">
        <v>9</v>
      </c>
      <c r="D353" s="23" t="s">
        <v>96</v>
      </c>
      <c r="E353" s="23" t="s">
        <v>3459</v>
      </c>
      <c r="F353" s="24" t="s">
        <v>50</v>
      </c>
      <c r="G353" s="24" t="s">
        <v>1407</v>
      </c>
      <c r="H353" s="24" t="s">
        <v>3460</v>
      </c>
      <c r="I353" s="24" t="s">
        <v>3461</v>
      </c>
      <c r="J353" s="24" t="s">
        <v>4110</v>
      </c>
      <c r="K353" s="24" t="s">
        <v>4000</v>
      </c>
      <c r="L353" s="24" t="s">
        <v>119</v>
      </c>
      <c r="M353" s="24" t="s">
        <v>4111</v>
      </c>
      <c r="N353" s="24"/>
      <c r="O353" s="24" t="s">
        <v>4112</v>
      </c>
      <c r="P353" s="24" t="s">
        <v>4113</v>
      </c>
      <c r="Q353" s="24" t="s">
        <v>4114</v>
      </c>
      <c r="R353" s="24" t="s">
        <v>4115</v>
      </c>
      <c r="S353" s="24" t="s">
        <v>4113</v>
      </c>
      <c r="T353" s="24" t="s">
        <v>4116</v>
      </c>
      <c r="U353" s="24" t="s">
        <v>4112</v>
      </c>
      <c r="V353" s="24"/>
      <c r="W353" s="24"/>
      <c r="X353" s="24" t="s">
        <v>4117</v>
      </c>
      <c r="Y353" s="24" t="s">
        <v>4112</v>
      </c>
      <c r="Z353" s="24"/>
      <c r="AA353" s="24"/>
      <c r="AB353" s="25" t="n">
        <v>30</v>
      </c>
      <c r="AC353" s="24" t="s">
        <v>4118</v>
      </c>
      <c r="AD353" s="24" t="s">
        <v>2584</v>
      </c>
      <c r="AE353" s="24"/>
      <c r="AF353" s="24" t="s">
        <v>115</v>
      </c>
      <c r="AG353" s="24" t="s">
        <v>168</v>
      </c>
      <c r="AH353" s="24"/>
      <c r="AI353" s="25" t="n">
        <f aca="false">COUNTIF($B$2:$B$740,B353)</f>
        <v>1</v>
      </c>
    </row>
    <row r="354" customFormat="false" ht="76" hidden="false" customHeight="true" outlineLevel="0" collapsed="false">
      <c r="A354" s="21" t="n">
        <v>353</v>
      </c>
      <c r="B354" s="22" t="s">
        <v>4119</v>
      </c>
      <c r="C354" s="23" t="s">
        <v>9</v>
      </c>
      <c r="D354" s="23" t="s">
        <v>96</v>
      </c>
      <c r="E354" s="23" t="s">
        <v>3459</v>
      </c>
      <c r="F354" s="24" t="s">
        <v>59</v>
      </c>
      <c r="G354" s="24" t="s">
        <v>98</v>
      </c>
      <c r="H354" s="24" t="s">
        <v>3460</v>
      </c>
      <c r="I354" s="24" t="s">
        <v>3461</v>
      </c>
      <c r="J354" s="24" t="s">
        <v>4120</v>
      </c>
      <c r="K354" s="24" t="s">
        <v>4000</v>
      </c>
      <c r="L354" s="24" t="s">
        <v>119</v>
      </c>
      <c r="M354" s="24" t="s">
        <v>4121</v>
      </c>
      <c r="N354" s="24"/>
      <c r="O354" s="24" t="s">
        <v>4122</v>
      </c>
      <c r="P354" s="24" t="s">
        <v>4123</v>
      </c>
      <c r="Q354" s="24" t="s">
        <v>4124</v>
      </c>
      <c r="R354" s="24" t="s">
        <v>4123</v>
      </c>
      <c r="S354" s="24" t="s">
        <v>4123</v>
      </c>
      <c r="T354" s="24" t="s">
        <v>3540</v>
      </c>
      <c r="U354" s="24"/>
      <c r="V354" s="24"/>
      <c r="W354" s="24"/>
      <c r="X354" s="24"/>
      <c r="Y354" s="24"/>
      <c r="Z354" s="24"/>
      <c r="AA354" s="24"/>
      <c r="AB354" s="25" t="n">
        <v>30</v>
      </c>
      <c r="AC354" s="24" t="s">
        <v>4125</v>
      </c>
      <c r="AD354" s="24" t="s">
        <v>4126</v>
      </c>
      <c r="AE354" s="24"/>
      <c r="AF354" s="24" t="s">
        <v>115</v>
      </c>
      <c r="AG354" s="24" t="s">
        <v>168</v>
      </c>
      <c r="AH354" s="24"/>
      <c r="AI354" s="25" t="n">
        <f aca="false">COUNTIF($B$2:$B$740,B354)</f>
        <v>1</v>
      </c>
    </row>
    <row r="355" customFormat="false" ht="76" hidden="false" customHeight="true" outlineLevel="0" collapsed="false">
      <c r="A355" s="21" t="n">
        <v>354</v>
      </c>
      <c r="B355" s="22" t="s">
        <v>4127</v>
      </c>
      <c r="C355" s="23" t="s">
        <v>9</v>
      </c>
      <c r="D355" s="23" t="s">
        <v>96</v>
      </c>
      <c r="E355" s="23" t="s">
        <v>3459</v>
      </c>
      <c r="F355" s="24" t="s">
        <v>50</v>
      </c>
      <c r="G355" s="24" t="s">
        <v>1407</v>
      </c>
      <c r="H355" s="24" t="s">
        <v>3460</v>
      </c>
      <c r="I355" s="24" t="s">
        <v>3461</v>
      </c>
      <c r="J355" s="24" t="s">
        <v>4128</v>
      </c>
      <c r="K355" s="24" t="s">
        <v>4000</v>
      </c>
      <c r="L355" s="24" t="s">
        <v>119</v>
      </c>
      <c r="M355" s="24" t="s">
        <v>4129</v>
      </c>
      <c r="N355" s="24"/>
      <c r="O355" s="24" t="s">
        <v>4130</v>
      </c>
      <c r="P355" s="24" t="s">
        <v>4131</v>
      </c>
      <c r="Q355" s="24" t="s">
        <v>4132</v>
      </c>
      <c r="R355" s="24" t="s">
        <v>4133</v>
      </c>
      <c r="S355" s="24" t="s">
        <v>4134</v>
      </c>
      <c r="T355" s="24" t="s">
        <v>4135</v>
      </c>
      <c r="U355" s="24"/>
      <c r="V355" s="24" t="s">
        <v>4136</v>
      </c>
      <c r="W355" s="24" t="s">
        <v>4137</v>
      </c>
      <c r="X355" s="24"/>
      <c r="Y355" s="24" t="s">
        <v>4138</v>
      </c>
      <c r="Z355" s="24"/>
      <c r="AA355" s="24"/>
      <c r="AB355" s="25" t="n">
        <v>30</v>
      </c>
      <c r="AC355" s="24" t="s">
        <v>4139</v>
      </c>
      <c r="AD355" s="24" t="s">
        <v>4140</v>
      </c>
      <c r="AE355" s="24"/>
      <c r="AF355" s="24" t="s">
        <v>115</v>
      </c>
      <c r="AG355" s="24" t="s">
        <v>168</v>
      </c>
      <c r="AH355" s="24"/>
      <c r="AI355" s="25" t="n">
        <f aca="false">COUNTIF($B$2:$B$740,B355)</f>
        <v>1</v>
      </c>
    </row>
    <row r="356" customFormat="false" ht="76" hidden="false" customHeight="true" outlineLevel="0" collapsed="false">
      <c r="A356" s="21" t="n">
        <v>355</v>
      </c>
      <c r="B356" s="22" t="s">
        <v>4141</v>
      </c>
      <c r="C356" s="23" t="s">
        <v>9</v>
      </c>
      <c r="D356" s="23" t="s">
        <v>96</v>
      </c>
      <c r="E356" s="23" t="s">
        <v>3459</v>
      </c>
      <c r="F356" s="24" t="s">
        <v>50</v>
      </c>
      <c r="G356" s="24" t="s">
        <v>1407</v>
      </c>
      <c r="H356" s="24" t="s">
        <v>3460</v>
      </c>
      <c r="I356" s="24" t="s">
        <v>3461</v>
      </c>
      <c r="J356" s="24" t="s">
        <v>4142</v>
      </c>
      <c r="K356" s="24" t="s">
        <v>4000</v>
      </c>
      <c r="L356" s="24" t="s">
        <v>119</v>
      </c>
      <c r="M356" s="24" t="s">
        <v>4143</v>
      </c>
      <c r="N356" s="24"/>
      <c r="O356" s="24" t="s">
        <v>4144</v>
      </c>
      <c r="P356" s="24" t="s">
        <v>4145</v>
      </c>
      <c r="Q356" s="24" t="s">
        <v>4146</v>
      </c>
      <c r="R356" s="24" t="s">
        <v>4147</v>
      </c>
      <c r="S356" s="24" t="s">
        <v>4148</v>
      </c>
      <c r="T356" s="24" t="s">
        <v>3540</v>
      </c>
      <c r="U356" s="24"/>
      <c r="V356" s="24"/>
      <c r="W356" s="24"/>
      <c r="X356" s="24" t="s">
        <v>4149</v>
      </c>
      <c r="Y356" s="24" t="s">
        <v>4150</v>
      </c>
      <c r="Z356" s="24"/>
      <c r="AA356" s="24"/>
      <c r="AB356" s="25" t="n">
        <v>30</v>
      </c>
      <c r="AC356" s="24" t="s">
        <v>4151</v>
      </c>
      <c r="AD356" s="24" t="s">
        <v>4152</v>
      </c>
      <c r="AE356" s="24"/>
      <c r="AF356" s="24" t="s">
        <v>115</v>
      </c>
      <c r="AG356" s="24" t="s">
        <v>168</v>
      </c>
      <c r="AH356" s="24"/>
      <c r="AI356" s="25" t="n">
        <f aca="false">COUNTIF($B$2:$B$740,B356)</f>
        <v>1</v>
      </c>
    </row>
    <row r="357" customFormat="false" ht="76" hidden="false" customHeight="true" outlineLevel="0" collapsed="false">
      <c r="A357" s="21" t="n">
        <v>356</v>
      </c>
      <c r="B357" s="22" t="s">
        <v>4153</v>
      </c>
      <c r="C357" s="23" t="s">
        <v>9</v>
      </c>
      <c r="D357" s="23" t="s">
        <v>96</v>
      </c>
      <c r="E357" s="23" t="s">
        <v>3459</v>
      </c>
      <c r="F357" s="24" t="s">
        <v>50</v>
      </c>
      <c r="G357" s="24" t="s">
        <v>1407</v>
      </c>
      <c r="H357" s="24" t="s">
        <v>3460</v>
      </c>
      <c r="I357" s="24" t="s">
        <v>3461</v>
      </c>
      <c r="J357" s="24" t="s">
        <v>4154</v>
      </c>
      <c r="K357" s="24" t="s">
        <v>4000</v>
      </c>
      <c r="L357" s="24" t="s">
        <v>119</v>
      </c>
      <c r="M357" s="24" t="s">
        <v>4155</v>
      </c>
      <c r="N357" s="24"/>
      <c r="O357" s="24" t="s">
        <v>4156</v>
      </c>
      <c r="P357" s="24" t="s">
        <v>4157</v>
      </c>
      <c r="Q357" s="24" t="s">
        <v>4158</v>
      </c>
      <c r="R357" s="24" t="s">
        <v>4159</v>
      </c>
      <c r="S357" s="24" t="s">
        <v>4160</v>
      </c>
      <c r="T357" s="24" t="s">
        <v>3751</v>
      </c>
      <c r="U357" s="24" t="s">
        <v>4161</v>
      </c>
      <c r="V357" s="24"/>
      <c r="W357" s="24" t="s">
        <v>4162</v>
      </c>
      <c r="X357" s="24"/>
      <c r="Y357" s="24" t="s">
        <v>4161</v>
      </c>
      <c r="Z357" s="24"/>
      <c r="AA357" s="24"/>
      <c r="AB357" s="25" t="n">
        <v>30</v>
      </c>
      <c r="AC357" s="24" t="s">
        <v>4163</v>
      </c>
      <c r="AD357" s="24" t="s">
        <v>4164</v>
      </c>
      <c r="AE357" s="24"/>
      <c r="AF357" s="24" t="s">
        <v>115</v>
      </c>
      <c r="AG357" s="24" t="s">
        <v>168</v>
      </c>
      <c r="AH357" s="24"/>
      <c r="AI357" s="25" t="n">
        <f aca="false">COUNTIF($B$2:$B$740,B357)</f>
        <v>1</v>
      </c>
    </row>
    <row r="358" customFormat="false" ht="76" hidden="false" customHeight="true" outlineLevel="0" collapsed="false">
      <c r="A358" s="21" t="n">
        <v>357</v>
      </c>
      <c r="B358" s="22" t="s">
        <v>4165</v>
      </c>
      <c r="C358" s="23" t="s">
        <v>9</v>
      </c>
      <c r="D358" s="23" t="s">
        <v>96</v>
      </c>
      <c r="E358" s="23" t="s">
        <v>3459</v>
      </c>
      <c r="F358" s="24" t="s">
        <v>50</v>
      </c>
      <c r="G358" s="24" t="s">
        <v>1407</v>
      </c>
      <c r="H358" s="24" t="s">
        <v>3460</v>
      </c>
      <c r="I358" s="24" t="s">
        <v>3461</v>
      </c>
      <c r="J358" s="24" t="s">
        <v>4166</v>
      </c>
      <c r="K358" s="24" t="s">
        <v>4000</v>
      </c>
      <c r="L358" s="24" t="s">
        <v>103</v>
      </c>
      <c r="M358" s="24" t="s">
        <v>4167</v>
      </c>
      <c r="N358" s="24"/>
      <c r="O358" s="24" t="s">
        <v>4168</v>
      </c>
      <c r="P358" s="24" t="s">
        <v>4169</v>
      </c>
      <c r="Q358" s="24" t="s">
        <v>4170</v>
      </c>
      <c r="R358" s="24" t="s">
        <v>4171</v>
      </c>
      <c r="S358" s="24" t="s">
        <v>4172</v>
      </c>
      <c r="T358" s="24" t="s">
        <v>4173</v>
      </c>
      <c r="U358" s="24" t="s">
        <v>4174</v>
      </c>
      <c r="V358" s="24" t="s">
        <v>4175</v>
      </c>
      <c r="W358" s="24"/>
      <c r="X358" s="24"/>
      <c r="Y358" s="24" t="s">
        <v>4176</v>
      </c>
      <c r="Z358" s="24"/>
      <c r="AA358" s="24"/>
      <c r="AB358" s="25" t="n">
        <v>30</v>
      </c>
      <c r="AC358" s="24" t="s">
        <v>4177</v>
      </c>
      <c r="AD358" s="24" t="s">
        <v>4178</v>
      </c>
      <c r="AE358" s="24"/>
      <c r="AF358" s="24" t="s">
        <v>115</v>
      </c>
      <c r="AG358" s="24" t="s">
        <v>168</v>
      </c>
      <c r="AH358" s="24"/>
      <c r="AI358" s="25" t="n">
        <f aca="false">COUNTIF($B$2:$B$740,B358)</f>
        <v>1</v>
      </c>
    </row>
    <row r="359" customFormat="false" ht="76" hidden="false" customHeight="true" outlineLevel="0" collapsed="false">
      <c r="A359" s="21" t="n">
        <v>358</v>
      </c>
      <c r="B359" s="22" t="s">
        <v>4179</v>
      </c>
      <c r="C359" s="23" t="s">
        <v>9</v>
      </c>
      <c r="D359" s="23" t="s">
        <v>96</v>
      </c>
      <c r="E359" s="23" t="s">
        <v>3459</v>
      </c>
      <c r="F359" s="24" t="s">
        <v>50</v>
      </c>
      <c r="G359" s="24" t="s">
        <v>1407</v>
      </c>
      <c r="H359" s="24" t="s">
        <v>3460</v>
      </c>
      <c r="I359" s="24" t="s">
        <v>3461</v>
      </c>
      <c r="J359" s="24" t="s">
        <v>4180</v>
      </c>
      <c r="K359" s="24" t="s">
        <v>4000</v>
      </c>
      <c r="L359" s="24" t="s">
        <v>119</v>
      </c>
      <c r="M359" s="24" t="s">
        <v>2162</v>
      </c>
      <c r="N359" s="24"/>
      <c r="O359" s="24" t="s">
        <v>4181</v>
      </c>
      <c r="P359" s="24" t="s">
        <v>4182</v>
      </c>
      <c r="Q359" s="24" t="s">
        <v>4183</v>
      </c>
      <c r="R359" s="24" t="s">
        <v>4184</v>
      </c>
      <c r="S359" s="24" t="s">
        <v>4185</v>
      </c>
      <c r="T359" s="24" t="s">
        <v>3540</v>
      </c>
      <c r="U359" s="24"/>
      <c r="V359" s="24" t="s">
        <v>4186</v>
      </c>
      <c r="W359" s="24" t="s">
        <v>4187</v>
      </c>
      <c r="X359" s="24"/>
      <c r="Y359" s="24" t="s">
        <v>4188</v>
      </c>
      <c r="Z359" s="24"/>
      <c r="AA359" s="24"/>
      <c r="AB359" s="25" t="n">
        <v>30</v>
      </c>
      <c r="AC359" s="24" t="s">
        <v>4189</v>
      </c>
      <c r="AD359" s="24" t="s">
        <v>4190</v>
      </c>
      <c r="AE359" s="24"/>
      <c r="AF359" s="24" t="s">
        <v>115</v>
      </c>
      <c r="AG359" s="24" t="s">
        <v>168</v>
      </c>
      <c r="AH359" s="24"/>
      <c r="AI359" s="25" t="n">
        <f aca="false">COUNTIF($B$2:$B$740,B359)</f>
        <v>1</v>
      </c>
    </row>
    <row r="360" customFormat="false" ht="76" hidden="false" customHeight="true" outlineLevel="0" collapsed="false">
      <c r="A360" s="21" t="n">
        <v>359</v>
      </c>
      <c r="B360" s="22" t="s">
        <v>4191</v>
      </c>
      <c r="C360" s="23" t="s">
        <v>9</v>
      </c>
      <c r="D360" s="23" t="s">
        <v>96</v>
      </c>
      <c r="E360" s="23" t="s">
        <v>3459</v>
      </c>
      <c r="F360" s="24" t="s">
        <v>50</v>
      </c>
      <c r="G360" s="24" t="s">
        <v>1407</v>
      </c>
      <c r="H360" s="24" t="s">
        <v>3460</v>
      </c>
      <c r="I360" s="24" t="s">
        <v>3461</v>
      </c>
      <c r="J360" s="24" t="s">
        <v>4192</v>
      </c>
      <c r="K360" s="24" t="s">
        <v>4000</v>
      </c>
      <c r="L360" s="24" t="s">
        <v>119</v>
      </c>
      <c r="M360" s="24" t="s">
        <v>4193</v>
      </c>
      <c r="N360" s="24"/>
      <c r="O360" s="24" t="s">
        <v>4194</v>
      </c>
      <c r="P360" s="24" t="s">
        <v>4195</v>
      </c>
      <c r="Q360" s="24" t="s">
        <v>4196</v>
      </c>
      <c r="R360" s="24" t="s">
        <v>4197</v>
      </c>
      <c r="S360" s="24" t="s">
        <v>4198</v>
      </c>
      <c r="T360" s="24" t="s">
        <v>3540</v>
      </c>
      <c r="U360" s="24" t="s">
        <v>4199</v>
      </c>
      <c r="V360" s="24" t="s">
        <v>4200</v>
      </c>
      <c r="W360" s="24"/>
      <c r="X360" s="24"/>
      <c r="Y360" s="24" t="s">
        <v>4201</v>
      </c>
      <c r="Z360" s="24"/>
      <c r="AA360" s="24"/>
      <c r="AB360" s="25" t="n">
        <v>30</v>
      </c>
      <c r="AC360" s="24" t="s">
        <v>4202</v>
      </c>
      <c r="AD360" s="24" t="s">
        <v>4203</v>
      </c>
      <c r="AE360" s="24"/>
      <c r="AF360" s="24" t="s">
        <v>115</v>
      </c>
      <c r="AG360" s="24" t="s">
        <v>168</v>
      </c>
      <c r="AH360" s="24"/>
      <c r="AI360" s="25" t="n">
        <f aca="false">COUNTIF($B$2:$B$740,B360)</f>
        <v>1</v>
      </c>
    </row>
    <row r="361" customFormat="false" ht="76" hidden="false" customHeight="true" outlineLevel="0" collapsed="false">
      <c r="A361" s="21" t="n">
        <v>360</v>
      </c>
      <c r="B361" s="22" t="s">
        <v>4204</v>
      </c>
      <c r="C361" s="23" t="s">
        <v>9</v>
      </c>
      <c r="D361" s="23" t="s">
        <v>96</v>
      </c>
      <c r="E361" s="23" t="s">
        <v>3459</v>
      </c>
      <c r="F361" s="24" t="s">
        <v>50</v>
      </c>
      <c r="G361" s="24" t="s">
        <v>1407</v>
      </c>
      <c r="H361" s="24" t="s">
        <v>3460</v>
      </c>
      <c r="I361" s="24" t="s">
        <v>3461</v>
      </c>
      <c r="J361" s="24" t="s">
        <v>4205</v>
      </c>
      <c r="K361" s="24" t="s">
        <v>4000</v>
      </c>
      <c r="L361" s="24" t="s">
        <v>119</v>
      </c>
      <c r="M361" s="24" t="s">
        <v>4206</v>
      </c>
      <c r="N361" s="24"/>
      <c r="O361" s="24" t="s">
        <v>4207</v>
      </c>
      <c r="P361" s="24" t="s">
        <v>4208</v>
      </c>
      <c r="Q361" s="24" t="s">
        <v>4209</v>
      </c>
      <c r="R361" s="24" t="s">
        <v>4210</v>
      </c>
      <c r="S361" s="24" t="s">
        <v>4211</v>
      </c>
      <c r="T361" s="24" t="s">
        <v>4212</v>
      </c>
      <c r="U361" s="24" t="s">
        <v>4213</v>
      </c>
      <c r="V361" s="24"/>
      <c r="W361" s="24"/>
      <c r="X361" s="24"/>
      <c r="Y361" s="24" t="s">
        <v>4214</v>
      </c>
      <c r="Z361" s="24"/>
      <c r="AA361" s="24"/>
      <c r="AB361" s="25" t="n">
        <v>30</v>
      </c>
      <c r="AC361" s="24" t="s">
        <v>4215</v>
      </c>
      <c r="AD361" s="24" t="s">
        <v>4216</v>
      </c>
      <c r="AE361" s="24"/>
      <c r="AF361" s="24" t="s">
        <v>115</v>
      </c>
      <c r="AG361" s="24" t="s">
        <v>168</v>
      </c>
      <c r="AH361" s="24"/>
      <c r="AI361" s="25" t="n">
        <f aca="false">COUNTIF($B$2:$B$740,B361)</f>
        <v>1</v>
      </c>
    </row>
    <row r="362" customFormat="false" ht="76" hidden="false" customHeight="true" outlineLevel="0" collapsed="false">
      <c r="A362" s="21" t="n">
        <v>361</v>
      </c>
      <c r="B362" s="22" t="s">
        <v>4217</v>
      </c>
      <c r="C362" s="23" t="s">
        <v>9</v>
      </c>
      <c r="D362" s="23" t="s">
        <v>96</v>
      </c>
      <c r="E362" s="23" t="s">
        <v>3459</v>
      </c>
      <c r="F362" s="24" t="s">
        <v>50</v>
      </c>
      <c r="G362" s="24" t="s">
        <v>1407</v>
      </c>
      <c r="H362" s="24" t="s">
        <v>3460</v>
      </c>
      <c r="I362" s="24" t="s">
        <v>3461</v>
      </c>
      <c r="J362" s="24" t="s">
        <v>4218</v>
      </c>
      <c r="K362" s="24" t="s">
        <v>4000</v>
      </c>
      <c r="L362" s="24" t="s">
        <v>119</v>
      </c>
      <c r="M362" s="24" t="s">
        <v>4219</v>
      </c>
      <c r="N362" s="24"/>
      <c r="O362" s="24" t="s">
        <v>4220</v>
      </c>
      <c r="P362" s="24" t="s">
        <v>4221</v>
      </c>
      <c r="Q362" s="24" t="s">
        <v>4222</v>
      </c>
      <c r="R362" s="24" t="s">
        <v>4223</v>
      </c>
      <c r="S362" s="24" t="s">
        <v>4224</v>
      </c>
      <c r="T362" s="24" t="s">
        <v>3540</v>
      </c>
      <c r="U362" s="24"/>
      <c r="V362" s="24" t="s">
        <v>3487</v>
      </c>
      <c r="W362" s="24"/>
      <c r="X362" s="24"/>
      <c r="Y362" s="24" t="s">
        <v>4225</v>
      </c>
      <c r="Z362" s="24"/>
      <c r="AA362" s="24"/>
      <c r="AB362" s="25" t="n">
        <v>30</v>
      </c>
      <c r="AC362" s="24" t="s">
        <v>4226</v>
      </c>
      <c r="AD362" s="24" t="s">
        <v>4227</v>
      </c>
      <c r="AE362" s="24" t="s">
        <v>4228</v>
      </c>
      <c r="AF362" s="24" t="s">
        <v>115</v>
      </c>
      <c r="AG362" s="24" t="s">
        <v>168</v>
      </c>
      <c r="AH362" s="24"/>
      <c r="AI362" s="25" t="n">
        <f aca="false">COUNTIF($B$2:$B$740,B362)</f>
        <v>1</v>
      </c>
    </row>
    <row r="363" customFormat="false" ht="76" hidden="false" customHeight="true" outlineLevel="0" collapsed="false">
      <c r="A363" s="21" t="n">
        <v>362</v>
      </c>
      <c r="B363" s="22" t="s">
        <v>4229</v>
      </c>
      <c r="C363" s="23" t="s">
        <v>9</v>
      </c>
      <c r="D363" s="23" t="s">
        <v>96</v>
      </c>
      <c r="E363" s="23" t="s">
        <v>3459</v>
      </c>
      <c r="F363" s="24" t="s">
        <v>54</v>
      </c>
      <c r="G363" s="24" t="s">
        <v>1714</v>
      </c>
      <c r="H363" s="24" t="s">
        <v>3460</v>
      </c>
      <c r="I363" s="24" t="s">
        <v>3461</v>
      </c>
      <c r="J363" s="24" t="s">
        <v>4230</v>
      </c>
      <c r="K363" s="24" t="s">
        <v>4000</v>
      </c>
      <c r="L363" s="24" t="s">
        <v>1183</v>
      </c>
      <c r="M363" s="24" t="s">
        <v>1195</v>
      </c>
      <c r="N363" s="24"/>
      <c r="O363" s="24" t="s">
        <v>4231</v>
      </c>
      <c r="P363" s="24" t="s">
        <v>4232</v>
      </c>
      <c r="Q363" s="24" t="s">
        <v>4233</v>
      </c>
      <c r="R363" s="24" t="s">
        <v>4234</v>
      </c>
      <c r="S363" s="24" t="s">
        <v>4235</v>
      </c>
      <c r="T363" s="24" t="s">
        <v>4236</v>
      </c>
      <c r="U363" s="24"/>
      <c r="V363" s="24" t="s">
        <v>4237</v>
      </c>
      <c r="W363" s="24"/>
      <c r="X363" s="24" t="s">
        <v>4238</v>
      </c>
      <c r="Y363" s="24" t="s">
        <v>4239</v>
      </c>
      <c r="Z363" s="24" t="s">
        <v>4240</v>
      </c>
      <c r="AA363" s="24"/>
      <c r="AB363" s="25" t="n">
        <v>30</v>
      </c>
      <c r="AC363" s="24" t="s">
        <v>4241</v>
      </c>
      <c r="AD363" s="24" t="s">
        <v>4242</v>
      </c>
      <c r="AE363" s="24"/>
      <c r="AF363" s="24" t="s">
        <v>115</v>
      </c>
      <c r="AG363" s="24" t="s">
        <v>168</v>
      </c>
      <c r="AH363" s="24"/>
      <c r="AI363" s="25" t="n">
        <f aca="false">COUNTIF($B$2:$B$740,B363)</f>
        <v>1</v>
      </c>
    </row>
    <row r="364" customFormat="false" ht="86.4" hidden="false" customHeight="true" outlineLevel="0" collapsed="false">
      <c r="A364" s="26" t="n">
        <v>363</v>
      </c>
      <c r="B364" s="27" t="s">
        <v>4243</v>
      </c>
      <c r="C364" s="24" t="s">
        <v>9</v>
      </c>
      <c r="D364" s="24" t="s">
        <v>96</v>
      </c>
      <c r="E364" s="24" t="s">
        <v>3459</v>
      </c>
      <c r="F364" s="24" t="s">
        <v>59</v>
      </c>
      <c r="G364" s="24" t="s">
        <v>98</v>
      </c>
      <c r="H364" s="24" t="s">
        <v>3460</v>
      </c>
      <c r="I364" s="24" t="s">
        <v>4244</v>
      </c>
      <c r="J364" s="24" t="s">
        <v>4245</v>
      </c>
      <c r="K364" s="24" t="s">
        <v>4246</v>
      </c>
      <c r="L364" s="24" t="s">
        <v>103</v>
      </c>
      <c r="M364" s="24" t="s">
        <v>4247</v>
      </c>
      <c r="N364" s="24"/>
      <c r="O364" s="24" t="s">
        <v>4248</v>
      </c>
      <c r="P364" s="24" t="s">
        <v>4249</v>
      </c>
      <c r="Q364" s="24" t="s">
        <v>4250</v>
      </c>
      <c r="R364" s="24" t="s">
        <v>4251</v>
      </c>
      <c r="S364" s="24" t="s">
        <v>4252</v>
      </c>
      <c r="T364" s="24" t="s">
        <v>4253</v>
      </c>
      <c r="U364" s="24"/>
      <c r="V364" s="24"/>
      <c r="W364" s="24"/>
      <c r="X364" s="24" t="s">
        <v>4254</v>
      </c>
      <c r="Y364" s="24" t="s">
        <v>4255</v>
      </c>
      <c r="Z364" s="24"/>
      <c r="AA364" s="24" t="s">
        <v>4256</v>
      </c>
      <c r="AB364" s="25" t="n">
        <v>70</v>
      </c>
      <c r="AC364" s="24" t="s">
        <v>4257</v>
      </c>
      <c r="AD364" s="24" t="s">
        <v>4258</v>
      </c>
      <c r="AE364" s="24" t="s">
        <v>4259</v>
      </c>
      <c r="AF364" s="24" t="s">
        <v>168</v>
      </c>
      <c r="AG364" s="24" t="s">
        <v>168</v>
      </c>
      <c r="AH364" s="24" t="s">
        <v>1050</v>
      </c>
      <c r="AI364" s="25" t="n">
        <f aca="false">COUNTIF($B$2:$B$740,B364)</f>
        <v>1</v>
      </c>
    </row>
    <row r="365" customFormat="false" ht="307.2" hidden="false" customHeight="true" outlineLevel="0" collapsed="false">
      <c r="A365" s="26" t="n">
        <v>364</v>
      </c>
      <c r="B365" s="27" t="s">
        <v>4260</v>
      </c>
      <c r="C365" s="24" t="s">
        <v>9</v>
      </c>
      <c r="D365" s="24" t="s">
        <v>96</v>
      </c>
      <c r="E365" s="24" t="s">
        <v>3459</v>
      </c>
      <c r="F365" s="24" t="s">
        <v>59</v>
      </c>
      <c r="G365" s="24" t="s">
        <v>98</v>
      </c>
      <c r="H365" s="24" t="s">
        <v>3460</v>
      </c>
      <c r="I365" s="24" t="s">
        <v>4244</v>
      </c>
      <c r="J365" s="24" t="s">
        <v>4261</v>
      </c>
      <c r="K365" s="24" t="s">
        <v>4246</v>
      </c>
      <c r="L365" s="24" t="s">
        <v>531</v>
      </c>
      <c r="M365" s="24" t="s">
        <v>4262</v>
      </c>
      <c r="N365" s="24"/>
      <c r="O365" s="24" t="s">
        <v>4263</v>
      </c>
      <c r="P365" s="24" t="s">
        <v>4264</v>
      </c>
      <c r="Q365" s="24" t="s">
        <v>4265</v>
      </c>
      <c r="R365" s="24" t="s">
        <v>4266</v>
      </c>
      <c r="S365" s="24" t="s">
        <v>4267</v>
      </c>
      <c r="T365" s="24" t="s">
        <v>4268</v>
      </c>
      <c r="U365" s="24" t="s">
        <v>4269</v>
      </c>
      <c r="V365" s="24"/>
      <c r="W365" s="24"/>
      <c r="X365" s="24" t="s">
        <v>4270</v>
      </c>
      <c r="Y365" s="24" t="s">
        <v>4271</v>
      </c>
      <c r="Z365" s="24"/>
      <c r="AA365" s="24" t="s">
        <v>4272</v>
      </c>
      <c r="AB365" s="25" t="n">
        <v>70</v>
      </c>
      <c r="AC365" s="24" t="s">
        <v>4273</v>
      </c>
      <c r="AD365" s="24" t="s">
        <v>4274</v>
      </c>
      <c r="AE365" s="24" t="s">
        <v>4275</v>
      </c>
      <c r="AF365" s="24" t="s">
        <v>168</v>
      </c>
      <c r="AG365" s="24" t="s">
        <v>168</v>
      </c>
      <c r="AH365" s="24" t="s">
        <v>1050</v>
      </c>
      <c r="AI365" s="25" t="n">
        <f aca="false">COUNTIF($B$2:$B$740,B365)</f>
        <v>1</v>
      </c>
    </row>
    <row r="366" customFormat="false" ht="134.4" hidden="false" customHeight="true" outlineLevel="0" collapsed="false">
      <c r="A366" s="26" t="n">
        <v>365</v>
      </c>
      <c r="B366" s="27" t="s">
        <v>4276</v>
      </c>
      <c r="C366" s="24" t="s">
        <v>9</v>
      </c>
      <c r="D366" s="24" t="s">
        <v>96</v>
      </c>
      <c r="E366" s="24" t="s">
        <v>3459</v>
      </c>
      <c r="F366" s="24" t="s">
        <v>59</v>
      </c>
      <c r="G366" s="24" t="s">
        <v>98</v>
      </c>
      <c r="H366" s="24" t="s">
        <v>3460</v>
      </c>
      <c r="I366" s="24" t="s">
        <v>4244</v>
      </c>
      <c r="J366" s="24" t="s">
        <v>4277</v>
      </c>
      <c r="K366" s="24" t="s">
        <v>4246</v>
      </c>
      <c r="L366" s="24" t="s">
        <v>531</v>
      </c>
      <c r="M366" s="24" t="s">
        <v>4278</v>
      </c>
      <c r="N366" s="24"/>
      <c r="O366" s="24" t="s">
        <v>4279</v>
      </c>
      <c r="P366" s="24" t="s">
        <v>4280</v>
      </c>
      <c r="Q366" s="24" t="s">
        <v>4281</v>
      </c>
      <c r="R366" s="24" t="s">
        <v>4282</v>
      </c>
      <c r="S366" s="24" t="s">
        <v>4283</v>
      </c>
      <c r="T366" s="24" t="s">
        <v>4284</v>
      </c>
      <c r="U366" s="24"/>
      <c r="V366" s="24"/>
      <c r="W366" s="24" t="s">
        <v>4285</v>
      </c>
      <c r="X366" s="24"/>
      <c r="Y366" s="24" t="s">
        <v>4286</v>
      </c>
      <c r="Z366" s="24" t="s">
        <v>4287</v>
      </c>
      <c r="AA366" s="24" t="s">
        <v>4288</v>
      </c>
      <c r="AB366" s="25" t="n">
        <v>70</v>
      </c>
      <c r="AC366" s="24" t="s">
        <v>4289</v>
      </c>
      <c r="AD366" s="24" t="s">
        <v>4290</v>
      </c>
      <c r="AE366" s="24" t="s">
        <v>4291</v>
      </c>
      <c r="AF366" s="24" t="s">
        <v>168</v>
      </c>
      <c r="AG366" s="24" t="s">
        <v>168</v>
      </c>
      <c r="AH366" s="24" t="s">
        <v>1050</v>
      </c>
      <c r="AI366" s="25" t="n">
        <f aca="false">COUNTIF($B$2:$B$740,B366)</f>
        <v>1</v>
      </c>
    </row>
    <row r="367" customFormat="false" ht="76" hidden="false" customHeight="true" outlineLevel="0" collapsed="false">
      <c r="A367" s="21" t="n">
        <v>366</v>
      </c>
      <c r="B367" s="22" t="s">
        <v>4292</v>
      </c>
      <c r="C367" s="23" t="s">
        <v>9</v>
      </c>
      <c r="D367" s="23" t="s">
        <v>96</v>
      </c>
      <c r="E367" s="23" t="s">
        <v>3459</v>
      </c>
      <c r="F367" s="24" t="s">
        <v>59</v>
      </c>
      <c r="G367" s="24" t="s">
        <v>98</v>
      </c>
      <c r="H367" s="24" t="s">
        <v>3460</v>
      </c>
      <c r="I367" s="24" t="s">
        <v>4244</v>
      </c>
      <c r="J367" s="24" t="s">
        <v>4293</v>
      </c>
      <c r="K367" s="24" t="s">
        <v>4246</v>
      </c>
      <c r="L367" s="24" t="s">
        <v>103</v>
      </c>
      <c r="M367" s="24" t="s">
        <v>4294</v>
      </c>
      <c r="N367" s="24"/>
      <c r="O367" s="24" t="s">
        <v>4295</v>
      </c>
      <c r="P367" s="24" t="s">
        <v>4296</v>
      </c>
      <c r="Q367" s="24" t="s">
        <v>4297</v>
      </c>
      <c r="R367" s="24" t="s">
        <v>4298</v>
      </c>
      <c r="S367" s="24" t="s">
        <v>4299</v>
      </c>
      <c r="T367" s="24" t="s">
        <v>4300</v>
      </c>
      <c r="U367" s="24"/>
      <c r="V367" s="24"/>
      <c r="W367" s="24"/>
      <c r="X367" s="24"/>
      <c r="Y367" s="24" t="s">
        <v>4301</v>
      </c>
      <c r="Z367" s="24" t="s">
        <v>4302</v>
      </c>
      <c r="AA367" s="24" t="s">
        <v>4303</v>
      </c>
      <c r="AB367" s="25" t="n">
        <v>30</v>
      </c>
      <c r="AC367" s="24" t="s">
        <v>4304</v>
      </c>
      <c r="AD367" s="24" t="s">
        <v>4305</v>
      </c>
      <c r="AE367" s="24"/>
      <c r="AF367" s="24" t="s">
        <v>115</v>
      </c>
      <c r="AG367" s="24" t="s">
        <v>168</v>
      </c>
      <c r="AH367" s="24"/>
      <c r="AI367" s="25" t="n">
        <f aca="false">COUNTIF($B$2:$B$740,B367)</f>
        <v>1</v>
      </c>
    </row>
    <row r="368" customFormat="false" ht="316.8" hidden="false" customHeight="true" outlineLevel="0" collapsed="false">
      <c r="A368" s="26" t="n">
        <v>367</v>
      </c>
      <c r="B368" s="27" t="s">
        <v>4306</v>
      </c>
      <c r="C368" s="24" t="s">
        <v>9</v>
      </c>
      <c r="D368" s="24" t="s">
        <v>96</v>
      </c>
      <c r="E368" s="24" t="s">
        <v>3459</v>
      </c>
      <c r="F368" s="24" t="s">
        <v>59</v>
      </c>
      <c r="G368" s="24" t="s">
        <v>98</v>
      </c>
      <c r="H368" s="24" t="s">
        <v>3460</v>
      </c>
      <c r="I368" s="24" t="s">
        <v>4244</v>
      </c>
      <c r="J368" s="24" t="s">
        <v>4307</v>
      </c>
      <c r="K368" s="24" t="s">
        <v>4246</v>
      </c>
      <c r="L368" s="24" t="s">
        <v>103</v>
      </c>
      <c r="M368" s="24" t="s">
        <v>4308</v>
      </c>
      <c r="N368" s="24"/>
      <c r="O368" s="24" t="s">
        <v>4309</v>
      </c>
      <c r="P368" s="24" t="s">
        <v>4310</v>
      </c>
      <c r="Q368" s="24" t="s">
        <v>4311</v>
      </c>
      <c r="R368" s="24" t="s">
        <v>4312</v>
      </c>
      <c r="S368" s="24" t="s">
        <v>4313</v>
      </c>
      <c r="T368" s="24" t="s">
        <v>3540</v>
      </c>
      <c r="U368" s="24" t="s">
        <v>4314</v>
      </c>
      <c r="V368" s="24" t="s">
        <v>4315</v>
      </c>
      <c r="W368" s="24" t="s">
        <v>4316</v>
      </c>
      <c r="X368" s="24"/>
      <c r="Y368" s="24" t="s">
        <v>4317</v>
      </c>
      <c r="Z368" s="24" t="s">
        <v>4318</v>
      </c>
      <c r="AA368" s="24" t="s">
        <v>4319</v>
      </c>
      <c r="AB368" s="25" t="n">
        <v>70</v>
      </c>
      <c r="AC368" s="24" t="s">
        <v>4320</v>
      </c>
      <c r="AD368" s="24" t="s">
        <v>4321</v>
      </c>
      <c r="AE368" s="24" t="s">
        <v>4322</v>
      </c>
      <c r="AF368" s="24" t="s">
        <v>168</v>
      </c>
      <c r="AG368" s="24" t="s">
        <v>168</v>
      </c>
      <c r="AH368" s="24" t="s">
        <v>1050</v>
      </c>
      <c r="AI368" s="25" t="n">
        <f aca="false">COUNTIF($B$2:$B$740,B368)</f>
        <v>1</v>
      </c>
    </row>
    <row r="369" customFormat="false" ht="76" hidden="false" customHeight="true" outlineLevel="0" collapsed="false">
      <c r="A369" s="21" t="n">
        <v>368</v>
      </c>
      <c r="B369" s="22" t="s">
        <v>4323</v>
      </c>
      <c r="C369" s="23" t="s">
        <v>9</v>
      </c>
      <c r="D369" s="23" t="s">
        <v>96</v>
      </c>
      <c r="E369" s="23" t="s">
        <v>3459</v>
      </c>
      <c r="F369" s="24" t="s">
        <v>59</v>
      </c>
      <c r="G369" s="24" t="s">
        <v>98</v>
      </c>
      <c r="H369" s="24" t="s">
        <v>3460</v>
      </c>
      <c r="I369" s="24" t="s">
        <v>4244</v>
      </c>
      <c r="J369" s="24" t="s">
        <v>4324</v>
      </c>
      <c r="K369" s="24" t="s">
        <v>4246</v>
      </c>
      <c r="L369" s="24" t="s">
        <v>173</v>
      </c>
      <c r="M369" s="24" t="s">
        <v>4325</v>
      </c>
      <c r="N369" s="24"/>
      <c r="O369" s="24" t="s">
        <v>4326</v>
      </c>
      <c r="P369" s="24" t="s">
        <v>4327</v>
      </c>
      <c r="Q369" s="24" t="s">
        <v>4328</v>
      </c>
      <c r="R369" s="24" t="s">
        <v>4329</v>
      </c>
      <c r="S369" s="24" t="s">
        <v>4330</v>
      </c>
      <c r="T369" s="24" t="s">
        <v>3540</v>
      </c>
      <c r="U369" s="24"/>
      <c r="V369" s="24" t="s">
        <v>4331</v>
      </c>
      <c r="W369" s="24" t="s">
        <v>4332</v>
      </c>
      <c r="X369" s="24" t="s">
        <v>4333</v>
      </c>
      <c r="Y369" s="24" t="s">
        <v>4334</v>
      </c>
      <c r="Z369" s="24"/>
      <c r="AA369" s="24" t="s">
        <v>4335</v>
      </c>
      <c r="AB369" s="25" t="n">
        <v>30</v>
      </c>
      <c r="AC369" s="24" t="s">
        <v>4336</v>
      </c>
      <c r="AD369" s="24" t="s">
        <v>4337</v>
      </c>
      <c r="AE369" s="24" t="s">
        <v>4338</v>
      </c>
      <c r="AF369" s="24" t="s">
        <v>115</v>
      </c>
      <c r="AG369" s="24" t="s">
        <v>168</v>
      </c>
      <c r="AH369" s="24"/>
      <c r="AI369" s="25" t="n">
        <f aca="false">COUNTIF($B$2:$B$740,B369)</f>
        <v>1</v>
      </c>
    </row>
    <row r="370" customFormat="false" ht="76" hidden="false" customHeight="true" outlineLevel="0" collapsed="false">
      <c r="A370" s="21" t="n">
        <v>369</v>
      </c>
      <c r="B370" s="22" t="s">
        <v>4339</v>
      </c>
      <c r="C370" s="23" t="s">
        <v>9</v>
      </c>
      <c r="D370" s="23" t="s">
        <v>96</v>
      </c>
      <c r="E370" s="23" t="s">
        <v>3459</v>
      </c>
      <c r="F370" s="24" t="s">
        <v>59</v>
      </c>
      <c r="G370" s="24" t="s">
        <v>98</v>
      </c>
      <c r="H370" s="24" t="s">
        <v>3460</v>
      </c>
      <c r="I370" s="24" t="s">
        <v>4244</v>
      </c>
      <c r="J370" s="24" t="s">
        <v>4340</v>
      </c>
      <c r="K370" s="24" t="s">
        <v>4246</v>
      </c>
      <c r="L370" s="24" t="s">
        <v>173</v>
      </c>
      <c r="M370" s="24" t="s">
        <v>4341</v>
      </c>
      <c r="N370" s="24"/>
      <c r="O370" s="24" t="s">
        <v>4342</v>
      </c>
      <c r="P370" s="24" t="s">
        <v>4343</v>
      </c>
      <c r="Q370" s="24" t="s">
        <v>4344</v>
      </c>
      <c r="R370" s="24" t="s">
        <v>4345</v>
      </c>
      <c r="S370" s="24" t="s">
        <v>4346</v>
      </c>
      <c r="T370" s="24" t="s">
        <v>4347</v>
      </c>
      <c r="U370" s="24"/>
      <c r="V370" s="24"/>
      <c r="W370" s="24"/>
      <c r="X370" s="24"/>
      <c r="Y370" s="24" t="s">
        <v>4348</v>
      </c>
      <c r="Z370" s="24" t="s">
        <v>4349</v>
      </c>
      <c r="AA370" s="24"/>
      <c r="AB370" s="25" t="n">
        <v>30</v>
      </c>
      <c r="AC370" s="24" t="s">
        <v>4350</v>
      </c>
      <c r="AD370" s="24" t="s">
        <v>4351</v>
      </c>
      <c r="AE370" s="24" t="s">
        <v>4352</v>
      </c>
      <c r="AF370" s="24" t="s">
        <v>115</v>
      </c>
      <c r="AG370" s="24" t="s">
        <v>168</v>
      </c>
      <c r="AH370" s="24"/>
      <c r="AI370" s="25" t="n">
        <f aca="false">COUNTIF($B$2:$B$740,B370)</f>
        <v>1</v>
      </c>
    </row>
    <row r="371" customFormat="false" ht="163.2" hidden="false" customHeight="true" outlineLevel="0" collapsed="false">
      <c r="A371" s="26" t="n">
        <v>370</v>
      </c>
      <c r="B371" s="27" t="s">
        <v>4353</v>
      </c>
      <c r="C371" s="24" t="s">
        <v>9</v>
      </c>
      <c r="D371" s="24" t="s">
        <v>96</v>
      </c>
      <c r="E371" s="24" t="s">
        <v>3459</v>
      </c>
      <c r="F371" s="24" t="s">
        <v>59</v>
      </c>
      <c r="G371" s="24" t="s">
        <v>98</v>
      </c>
      <c r="H371" s="24" t="s">
        <v>3460</v>
      </c>
      <c r="I371" s="24" t="s">
        <v>4244</v>
      </c>
      <c r="J371" s="24" t="s">
        <v>4354</v>
      </c>
      <c r="K371" s="24" t="s">
        <v>4246</v>
      </c>
      <c r="L371" s="24" t="s">
        <v>173</v>
      </c>
      <c r="M371" s="24" t="s">
        <v>4355</v>
      </c>
      <c r="N371" s="24"/>
      <c r="O371" s="24" t="s">
        <v>4356</v>
      </c>
      <c r="P371" s="24" t="s">
        <v>4357</v>
      </c>
      <c r="Q371" s="24" t="s">
        <v>4358</v>
      </c>
      <c r="R371" s="24" t="s">
        <v>4359</v>
      </c>
      <c r="S371" s="24" t="s">
        <v>4360</v>
      </c>
      <c r="T371" s="24" t="s">
        <v>4361</v>
      </c>
      <c r="U371" s="24"/>
      <c r="V371" s="24" t="s">
        <v>4362</v>
      </c>
      <c r="W371" s="24" t="s">
        <v>4363</v>
      </c>
      <c r="X371" s="24"/>
      <c r="Y371" s="24" t="s">
        <v>4364</v>
      </c>
      <c r="Z371" s="24"/>
      <c r="AA371" s="24"/>
      <c r="AB371" s="25" t="n">
        <v>80</v>
      </c>
      <c r="AC371" s="24" t="s">
        <v>4365</v>
      </c>
      <c r="AD371" s="24" t="s">
        <v>4366</v>
      </c>
      <c r="AE371" s="24" t="s">
        <v>4367</v>
      </c>
      <c r="AF371" s="24" t="s">
        <v>168</v>
      </c>
      <c r="AG371" s="24" t="s">
        <v>168</v>
      </c>
      <c r="AH371" s="24" t="s">
        <v>941</v>
      </c>
      <c r="AI371" s="25" t="n">
        <f aca="false">COUNTIF($B$2:$B$740,B371)</f>
        <v>1</v>
      </c>
    </row>
    <row r="372" customFormat="false" ht="163.2" hidden="false" customHeight="true" outlineLevel="0" collapsed="false">
      <c r="A372" s="26" t="n">
        <v>371</v>
      </c>
      <c r="B372" s="27" t="s">
        <v>4368</v>
      </c>
      <c r="C372" s="24" t="s">
        <v>9</v>
      </c>
      <c r="D372" s="24" t="s">
        <v>96</v>
      </c>
      <c r="E372" s="24" t="s">
        <v>3459</v>
      </c>
      <c r="F372" s="24" t="s">
        <v>59</v>
      </c>
      <c r="G372" s="24" t="s">
        <v>98</v>
      </c>
      <c r="H372" s="24" t="s">
        <v>3460</v>
      </c>
      <c r="I372" s="24" t="s">
        <v>4244</v>
      </c>
      <c r="J372" s="24" t="s">
        <v>4369</v>
      </c>
      <c r="K372" s="24" t="s">
        <v>4246</v>
      </c>
      <c r="L372" s="24" t="s">
        <v>103</v>
      </c>
      <c r="M372" s="24" t="s">
        <v>4370</v>
      </c>
      <c r="N372" s="24"/>
      <c r="O372" s="24" t="s">
        <v>4371</v>
      </c>
      <c r="P372" s="24" t="s">
        <v>4372</v>
      </c>
      <c r="Q372" s="24" t="s">
        <v>4373</v>
      </c>
      <c r="R372" s="24" t="s">
        <v>4374</v>
      </c>
      <c r="S372" s="24" t="s">
        <v>4375</v>
      </c>
      <c r="T372" s="24" t="s">
        <v>3540</v>
      </c>
      <c r="U372" s="24"/>
      <c r="V372" s="24" t="s">
        <v>4376</v>
      </c>
      <c r="W372" s="24" t="s">
        <v>4377</v>
      </c>
      <c r="X372" s="24" t="s">
        <v>4378</v>
      </c>
      <c r="Y372" s="24" t="s">
        <v>4379</v>
      </c>
      <c r="Z372" s="24"/>
      <c r="AA372" s="24"/>
      <c r="AB372" s="25" t="n">
        <v>70</v>
      </c>
      <c r="AC372" s="24" t="s">
        <v>4380</v>
      </c>
      <c r="AD372" s="24" t="s">
        <v>4381</v>
      </c>
      <c r="AE372" s="24" t="s">
        <v>4382</v>
      </c>
      <c r="AF372" s="24" t="s">
        <v>168</v>
      </c>
      <c r="AG372" s="24" t="s">
        <v>168</v>
      </c>
      <c r="AH372" s="24" t="s">
        <v>1050</v>
      </c>
      <c r="AI372" s="25" t="n">
        <f aca="false">COUNTIF($B$2:$B$740,B372)</f>
        <v>1</v>
      </c>
    </row>
    <row r="373" customFormat="false" ht="288" hidden="false" customHeight="true" outlineLevel="0" collapsed="false">
      <c r="A373" s="26" t="n">
        <v>372</v>
      </c>
      <c r="B373" s="27" t="s">
        <v>4383</v>
      </c>
      <c r="C373" s="24" t="s">
        <v>9</v>
      </c>
      <c r="D373" s="24" t="s">
        <v>96</v>
      </c>
      <c r="E373" s="24" t="s">
        <v>3459</v>
      </c>
      <c r="F373" s="24" t="s">
        <v>59</v>
      </c>
      <c r="G373" s="24" t="s">
        <v>98</v>
      </c>
      <c r="H373" s="24" t="s">
        <v>3460</v>
      </c>
      <c r="I373" s="24" t="s">
        <v>4244</v>
      </c>
      <c r="J373" s="24" t="s">
        <v>4384</v>
      </c>
      <c r="K373" s="24" t="s">
        <v>4246</v>
      </c>
      <c r="L373" s="24" t="s">
        <v>531</v>
      </c>
      <c r="M373" s="24" t="s">
        <v>4385</v>
      </c>
      <c r="N373" s="24"/>
      <c r="O373" s="24" t="s">
        <v>4386</v>
      </c>
      <c r="P373" s="24" t="s">
        <v>4387</v>
      </c>
      <c r="Q373" s="24" t="s">
        <v>4388</v>
      </c>
      <c r="R373" s="24" t="s">
        <v>4389</v>
      </c>
      <c r="S373" s="24" t="s">
        <v>4390</v>
      </c>
      <c r="T373" s="24" t="s">
        <v>4391</v>
      </c>
      <c r="U373" s="24" t="s">
        <v>4392</v>
      </c>
      <c r="V373" s="24"/>
      <c r="W373" s="24"/>
      <c r="X373" s="24"/>
      <c r="Y373" s="24" t="s">
        <v>4392</v>
      </c>
      <c r="Z373" s="24"/>
      <c r="AA373" s="24"/>
      <c r="AB373" s="25" t="n">
        <v>70</v>
      </c>
      <c r="AC373" s="24" t="s">
        <v>4393</v>
      </c>
      <c r="AD373" s="24" t="s">
        <v>4394</v>
      </c>
      <c r="AE373" s="24" t="s">
        <v>4395</v>
      </c>
      <c r="AF373" s="24" t="s">
        <v>168</v>
      </c>
      <c r="AG373" s="24" t="s">
        <v>168</v>
      </c>
      <c r="AH373" s="24" t="s">
        <v>1050</v>
      </c>
      <c r="AI373" s="25" t="n">
        <f aca="false">COUNTIF($B$2:$B$740,B373)</f>
        <v>1</v>
      </c>
    </row>
    <row r="374" customFormat="false" ht="96" hidden="false" customHeight="true" outlineLevel="0" collapsed="false">
      <c r="A374" s="26" t="n">
        <v>373</v>
      </c>
      <c r="B374" s="27" t="s">
        <v>4396</v>
      </c>
      <c r="C374" s="24" t="s">
        <v>9</v>
      </c>
      <c r="D374" s="24" t="s">
        <v>96</v>
      </c>
      <c r="E374" s="24" t="s">
        <v>3459</v>
      </c>
      <c r="F374" s="24" t="s">
        <v>59</v>
      </c>
      <c r="G374" s="24" t="s">
        <v>98</v>
      </c>
      <c r="H374" s="24" t="s">
        <v>3460</v>
      </c>
      <c r="I374" s="24" t="s">
        <v>4244</v>
      </c>
      <c r="J374" s="24" t="s">
        <v>4397</v>
      </c>
      <c r="K374" s="24" t="s">
        <v>4246</v>
      </c>
      <c r="L374" s="24" t="s">
        <v>531</v>
      </c>
      <c r="M374" s="24" t="s">
        <v>4398</v>
      </c>
      <c r="N374" s="24"/>
      <c r="O374" s="24" t="s">
        <v>4399</v>
      </c>
      <c r="P374" s="24" t="s">
        <v>4400</v>
      </c>
      <c r="Q374" s="24" t="s">
        <v>4401</v>
      </c>
      <c r="R374" s="24" t="s">
        <v>4402</v>
      </c>
      <c r="S374" s="24" t="s">
        <v>4403</v>
      </c>
      <c r="T374" s="24" t="s">
        <v>3540</v>
      </c>
      <c r="U374" s="24"/>
      <c r="V374" s="24"/>
      <c r="W374" s="24"/>
      <c r="X374" s="24" t="s">
        <v>4404</v>
      </c>
      <c r="Y374" s="24" t="s">
        <v>4405</v>
      </c>
      <c r="Z374" s="24"/>
      <c r="AA374" s="24"/>
      <c r="AB374" s="25" t="n">
        <v>60</v>
      </c>
      <c r="AC374" s="24" t="s">
        <v>4406</v>
      </c>
      <c r="AD374" s="24" t="s">
        <v>4407</v>
      </c>
      <c r="AE374" s="24" t="s">
        <v>4408</v>
      </c>
      <c r="AF374" s="24" t="s">
        <v>168</v>
      </c>
      <c r="AG374" s="24" t="s">
        <v>168</v>
      </c>
      <c r="AH374" s="24" t="s">
        <v>228</v>
      </c>
      <c r="AI374" s="25" t="n">
        <f aca="false">COUNTIF($B$2:$B$740,B374)</f>
        <v>1</v>
      </c>
    </row>
    <row r="375" customFormat="false" ht="172.8" hidden="false" customHeight="true" outlineLevel="0" collapsed="false">
      <c r="A375" s="26" t="n">
        <v>374</v>
      </c>
      <c r="B375" s="27" t="s">
        <v>4409</v>
      </c>
      <c r="C375" s="24" t="s">
        <v>9</v>
      </c>
      <c r="D375" s="24" t="s">
        <v>96</v>
      </c>
      <c r="E375" s="24" t="s">
        <v>3459</v>
      </c>
      <c r="F375" s="24" t="s">
        <v>59</v>
      </c>
      <c r="G375" s="24" t="s">
        <v>98</v>
      </c>
      <c r="H375" s="24" t="s">
        <v>3460</v>
      </c>
      <c r="I375" s="24" t="s">
        <v>4244</v>
      </c>
      <c r="J375" s="24" t="s">
        <v>4410</v>
      </c>
      <c r="K375" s="24" t="s">
        <v>4246</v>
      </c>
      <c r="L375" s="24" t="s">
        <v>531</v>
      </c>
      <c r="M375" s="24" t="s">
        <v>4398</v>
      </c>
      <c r="N375" s="24"/>
      <c r="O375" s="24" t="s">
        <v>4411</v>
      </c>
      <c r="P375" s="24" t="s">
        <v>4412</v>
      </c>
      <c r="Q375" s="24" t="s">
        <v>4413</v>
      </c>
      <c r="R375" s="24" t="s">
        <v>4414</v>
      </c>
      <c r="S375" s="24" t="s">
        <v>4415</v>
      </c>
      <c r="T375" s="24" t="s">
        <v>4416</v>
      </c>
      <c r="U375" s="24" t="s">
        <v>4417</v>
      </c>
      <c r="V375" s="24"/>
      <c r="W375" s="24"/>
      <c r="X375" s="24" t="s">
        <v>4418</v>
      </c>
      <c r="Y375" s="24" t="s">
        <v>4417</v>
      </c>
      <c r="Z375" s="24"/>
      <c r="AA375" s="24"/>
      <c r="AB375" s="25" t="n">
        <v>60</v>
      </c>
      <c r="AC375" s="24" t="s">
        <v>4419</v>
      </c>
      <c r="AD375" s="24" t="s">
        <v>4420</v>
      </c>
      <c r="AE375" s="24" t="s">
        <v>4421</v>
      </c>
      <c r="AF375" s="24" t="s">
        <v>168</v>
      </c>
      <c r="AG375" s="24" t="s">
        <v>168</v>
      </c>
      <c r="AH375" s="24" t="s">
        <v>228</v>
      </c>
      <c r="AI375" s="25" t="n">
        <f aca="false">COUNTIF($B$2:$B$740,B375)</f>
        <v>1</v>
      </c>
    </row>
    <row r="376" customFormat="false" ht="76" hidden="false" customHeight="true" outlineLevel="0" collapsed="false">
      <c r="A376" s="21" t="n">
        <v>375</v>
      </c>
      <c r="B376" s="22" t="s">
        <v>4422</v>
      </c>
      <c r="C376" s="23" t="s">
        <v>9</v>
      </c>
      <c r="D376" s="23" t="s">
        <v>96</v>
      </c>
      <c r="E376" s="23" t="s">
        <v>3459</v>
      </c>
      <c r="F376" s="24" t="s">
        <v>59</v>
      </c>
      <c r="G376" s="24" t="s">
        <v>98</v>
      </c>
      <c r="H376" s="24" t="s">
        <v>3460</v>
      </c>
      <c r="I376" s="24" t="s">
        <v>4244</v>
      </c>
      <c r="J376" s="24" t="s">
        <v>4423</v>
      </c>
      <c r="K376" s="24" t="s">
        <v>4246</v>
      </c>
      <c r="L376" s="24" t="s">
        <v>531</v>
      </c>
      <c r="M376" s="24" t="s">
        <v>4424</v>
      </c>
      <c r="N376" s="24"/>
      <c r="O376" s="24" t="s">
        <v>4425</v>
      </c>
      <c r="P376" s="24" t="s">
        <v>4426</v>
      </c>
      <c r="Q376" s="24" t="s">
        <v>4427</v>
      </c>
      <c r="R376" s="24" t="s">
        <v>4426</v>
      </c>
      <c r="S376" s="24" t="s">
        <v>4426</v>
      </c>
      <c r="T376" s="24" t="s">
        <v>3540</v>
      </c>
      <c r="U376" s="24"/>
      <c r="V376" s="24"/>
      <c r="W376" s="24"/>
      <c r="X376" s="24"/>
      <c r="Y376" s="24"/>
      <c r="Z376" s="24"/>
      <c r="AA376" s="24"/>
      <c r="AB376" s="25" t="n">
        <v>30</v>
      </c>
      <c r="AC376" s="24" t="s">
        <v>4428</v>
      </c>
      <c r="AD376" s="24" t="s">
        <v>4429</v>
      </c>
      <c r="AE376" s="24" t="s">
        <v>4430</v>
      </c>
      <c r="AF376" s="24" t="s">
        <v>115</v>
      </c>
      <c r="AG376" s="24" t="s">
        <v>168</v>
      </c>
      <c r="AH376" s="24"/>
      <c r="AI376" s="25" t="n">
        <f aca="false">COUNTIF($B$2:$B$740,B376)</f>
        <v>1</v>
      </c>
    </row>
    <row r="377" customFormat="false" ht="76" hidden="false" customHeight="true" outlineLevel="0" collapsed="false">
      <c r="A377" s="21" t="n">
        <v>376</v>
      </c>
      <c r="B377" s="22" t="s">
        <v>4431</v>
      </c>
      <c r="C377" s="23" t="s">
        <v>9</v>
      </c>
      <c r="D377" s="23" t="s">
        <v>96</v>
      </c>
      <c r="E377" s="23" t="s">
        <v>3459</v>
      </c>
      <c r="F377" s="24" t="s">
        <v>59</v>
      </c>
      <c r="G377" s="24" t="s">
        <v>98</v>
      </c>
      <c r="H377" s="24" t="s">
        <v>3460</v>
      </c>
      <c r="I377" s="24" t="s">
        <v>4244</v>
      </c>
      <c r="J377" s="24" t="s">
        <v>4432</v>
      </c>
      <c r="K377" s="24" t="s">
        <v>4246</v>
      </c>
      <c r="L377" s="24" t="s">
        <v>531</v>
      </c>
      <c r="M377" s="24" t="s">
        <v>4433</v>
      </c>
      <c r="N377" s="24"/>
      <c r="O377" s="24" t="s">
        <v>4434</v>
      </c>
      <c r="P377" s="24" t="s">
        <v>4435</v>
      </c>
      <c r="Q377" s="24" t="s">
        <v>4436</v>
      </c>
      <c r="R377" s="24" t="s">
        <v>4437</v>
      </c>
      <c r="S377" s="24" t="s">
        <v>4438</v>
      </c>
      <c r="T377" s="24" t="s">
        <v>4439</v>
      </c>
      <c r="U377" s="24" t="s">
        <v>4440</v>
      </c>
      <c r="V377" s="24" t="s">
        <v>4441</v>
      </c>
      <c r="W377" s="24"/>
      <c r="X377" s="24"/>
      <c r="Y377" s="24" t="s">
        <v>4442</v>
      </c>
      <c r="Z377" s="24"/>
      <c r="AA377" s="24"/>
      <c r="AB377" s="25" t="n">
        <v>30</v>
      </c>
      <c r="AC377" s="24" t="s">
        <v>4443</v>
      </c>
      <c r="AD377" s="24" t="s">
        <v>4444</v>
      </c>
      <c r="AE377" s="24" t="s">
        <v>4445</v>
      </c>
      <c r="AF377" s="24" t="s">
        <v>115</v>
      </c>
      <c r="AG377" s="24" t="s">
        <v>168</v>
      </c>
      <c r="AH377" s="24"/>
      <c r="AI377" s="25" t="n">
        <f aca="false">COUNTIF($B$2:$B$740,B377)</f>
        <v>1</v>
      </c>
    </row>
    <row r="378" customFormat="false" ht="172.8" hidden="false" customHeight="true" outlineLevel="0" collapsed="false">
      <c r="A378" s="26" t="n">
        <v>377</v>
      </c>
      <c r="B378" s="27" t="s">
        <v>4446</v>
      </c>
      <c r="C378" s="24" t="s">
        <v>9</v>
      </c>
      <c r="D378" s="24" t="s">
        <v>96</v>
      </c>
      <c r="E378" s="24" t="s">
        <v>3459</v>
      </c>
      <c r="F378" s="24" t="s">
        <v>59</v>
      </c>
      <c r="G378" s="24" t="s">
        <v>98</v>
      </c>
      <c r="H378" s="24" t="s">
        <v>3460</v>
      </c>
      <c r="I378" s="24" t="s">
        <v>4244</v>
      </c>
      <c r="J378" s="24" t="s">
        <v>4447</v>
      </c>
      <c r="K378" s="24" t="s">
        <v>4246</v>
      </c>
      <c r="L378" s="24" t="s">
        <v>531</v>
      </c>
      <c r="M378" s="24" t="s">
        <v>4448</v>
      </c>
      <c r="N378" s="24"/>
      <c r="O378" s="24" t="s">
        <v>4449</v>
      </c>
      <c r="P378" s="24" t="s">
        <v>4450</v>
      </c>
      <c r="Q378" s="24" t="s">
        <v>4451</v>
      </c>
      <c r="R378" s="24" t="s">
        <v>4452</v>
      </c>
      <c r="S378" s="24" t="s">
        <v>4453</v>
      </c>
      <c r="T378" s="24" t="s">
        <v>4454</v>
      </c>
      <c r="U378" s="24" t="s">
        <v>4455</v>
      </c>
      <c r="V378" s="24"/>
      <c r="W378" s="24"/>
      <c r="X378" s="24"/>
      <c r="Y378" s="24" t="s">
        <v>4456</v>
      </c>
      <c r="Z378" s="24"/>
      <c r="AA378" s="24" t="s">
        <v>4457</v>
      </c>
      <c r="AB378" s="25" t="n">
        <v>70</v>
      </c>
      <c r="AC378" s="24" t="s">
        <v>4458</v>
      </c>
      <c r="AD378" s="24" t="s">
        <v>4459</v>
      </c>
      <c r="AE378" s="24" t="s">
        <v>4460</v>
      </c>
      <c r="AF378" s="24" t="s">
        <v>168</v>
      </c>
      <c r="AG378" s="24" t="s">
        <v>168</v>
      </c>
      <c r="AH378" s="24" t="s">
        <v>1050</v>
      </c>
      <c r="AI378" s="25" t="n">
        <f aca="false">COUNTIF($B$2:$B$740,B378)</f>
        <v>1</v>
      </c>
    </row>
    <row r="379" customFormat="false" ht="86.4" hidden="false" customHeight="true" outlineLevel="0" collapsed="false">
      <c r="A379" s="26" t="n">
        <v>378</v>
      </c>
      <c r="B379" s="27" t="s">
        <v>4461</v>
      </c>
      <c r="C379" s="24" t="s">
        <v>9</v>
      </c>
      <c r="D379" s="24" t="s">
        <v>96</v>
      </c>
      <c r="E379" s="24" t="s">
        <v>3459</v>
      </c>
      <c r="F379" s="24" t="s">
        <v>59</v>
      </c>
      <c r="G379" s="24" t="s">
        <v>98</v>
      </c>
      <c r="H379" s="24" t="s">
        <v>3460</v>
      </c>
      <c r="I379" s="24" t="s">
        <v>4244</v>
      </c>
      <c r="J379" s="24" t="s">
        <v>4462</v>
      </c>
      <c r="K379" s="24" t="s">
        <v>4463</v>
      </c>
      <c r="L379" s="24" t="s">
        <v>531</v>
      </c>
      <c r="M379" s="24" t="s">
        <v>4464</v>
      </c>
      <c r="N379" s="24"/>
      <c r="O379" s="24" t="s">
        <v>4465</v>
      </c>
      <c r="P379" s="24" t="s">
        <v>4466</v>
      </c>
      <c r="Q379" s="24" t="s">
        <v>4467</v>
      </c>
      <c r="R379" s="24" t="s">
        <v>4468</v>
      </c>
      <c r="S379" s="24" t="s">
        <v>4469</v>
      </c>
      <c r="T379" s="24" t="s">
        <v>4470</v>
      </c>
      <c r="U379" s="24"/>
      <c r="V379" s="24"/>
      <c r="W379" s="24"/>
      <c r="X379" s="24"/>
      <c r="Y379" s="24" t="s">
        <v>4471</v>
      </c>
      <c r="Z379" s="24"/>
      <c r="AA379" s="24"/>
      <c r="AB379" s="25" t="n">
        <v>70</v>
      </c>
      <c r="AC379" s="24" t="s">
        <v>4472</v>
      </c>
      <c r="AD379" s="24" t="s">
        <v>4473</v>
      </c>
      <c r="AE379" s="24" t="s">
        <v>4474</v>
      </c>
      <c r="AF379" s="24" t="s">
        <v>168</v>
      </c>
      <c r="AG379" s="24" t="s">
        <v>168</v>
      </c>
      <c r="AH379" s="24" t="s">
        <v>1050</v>
      </c>
      <c r="AI379" s="25" t="n">
        <f aca="false">COUNTIF($B$2:$B$740,B379)</f>
        <v>1</v>
      </c>
    </row>
    <row r="380" customFormat="false" ht="76" hidden="false" customHeight="true" outlineLevel="0" collapsed="false">
      <c r="A380" s="21" t="n">
        <v>379</v>
      </c>
      <c r="B380" s="22" t="s">
        <v>4475</v>
      </c>
      <c r="C380" s="23" t="s">
        <v>9</v>
      </c>
      <c r="D380" s="23" t="s">
        <v>96</v>
      </c>
      <c r="E380" s="23" t="s">
        <v>3459</v>
      </c>
      <c r="F380" s="24" t="s">
        <v>59</v>
      </c>
      <c r="G380" s="24" t="s">
        <v>98</v>
      </c>
      <c r="H380" s="24" t="s">
        <v>3460</v>
      </c>
      <c r="I380" s="24" t="s">
        <v>4244</v>
      </c>
      <c r="J380" s="24" t="s">
        <v>4476</v>
      </c>
      <c r="K380" s="24" t="s">
        <v>4463</v>
      </c>
      <c r="L380" s="24" t="s">
        <v>531</v>
      </c>
      <c r="M380" s="24" t="s">
        <v>4477</v>
      </c>
      <c r="N380" s="24"/>
      <c r="O380" s="24" t="s">
        <v>4478</v>
      </c>
      <c r="P380" s="24" t="s">
        <v>4479</v>
      </c>
      <c r="Q380" s="24" t="s">
        <v>4480</v>
      </c>
      <c r="R380" s="24" t="s">
        <v>4481</v>
      </c>
      <c r="S380" s="24" t="s">
        <v>4482</v>
      </c>
      <c r="T380" s="24" t="s">
        <v>4483</v>
      </c>
      <c r="U380" s="24"/>
      <c r="V380" s="24"/>
      <c r="W380" s="24"/>
      <c r="X380" s="24" t="s">
        <v>4484</v>
      </c>
      <c r="Y380" s="24"/>
      <c r="Z380" s="24" t="s">
        <v>4485</v>
      </c>
      <c r="AA380" s="24"/>
      <c r="AB380" s="25" t="n">
        <v>30</v>
      </c>
      <c r="AC380" s="24" t="s">
        <v>4486</v>
      </c>
      <c r="AD380" s="24" t="s">
        <v>4487</v>
      </c>
      <c r="AE380" s="24"/>
      <c r="AF380" s="24" t="s">
        <v>115</v>
      </c>
      <c r="AG380" s="24" t="s">
        <v>168</v>
      </c>
      <c r="AH380" s="24"/>
      <c r="AI380" s="25" t="n">
        <f aca="false">COUNTIF($B$2:$B$740,B380)</f>
        <v>1</v>
      </c>
    </row>
    <row r="381" customFormat="false" ht="144" hidden="false" customHeight="true" outlineLevel="0" collapsed="false">
      <c r="A381" s="26" t="n">
        <v>380</v>
      </c>
      <c r="B381" s="27" t="s">
        <v>4488</v>
      </c>
      <c r="C381" s="24" t="s">
        <v>9</v>
      </c>
      <c r="D381" s="24" t="s">
        <v>96</v>
      </c>
      <c r="E381" s="24" t="s">
        <v>3459</v>
      </c>
      <c r="F381" s="24" t="s">
        <v>59</v>
      </c>
      <c r="G381" s="24" t="s">
        <v>98</v>
      </c>
      <c r="H381" s="24" t="s">
        <v>3460</v>
      </c>
      <c r="I381" s="24" t="s">
        <v>4244</v>
      </c>
      <c r="J381" s="24" t="s">
        <v>4489</v>
      </c>
      <c r="K381" s="24" t="s">
        <v>4463</v>
      </c>
      <c r="L381" s="24" t="s">
        <v>173</v>
      </c>
      <c r="M381" s="24" t="s">
        <v>4490</v>
      </c>
      <c r="N381" s="24"/>
      <c r="O381" s="24" t="s">
        <v>4491</v>
      </c>
      <c r="P381" s="24" t="s">
        <v>4492</v>
      </c>
      <c r="Q381" s="24" t="s">
        <v>4493</v>
      </c>
      <c r="R381" s="24" t="s">
        <v>4494</v>
      </c>
      <c r="S381" s="24" t="s">
        <v>4495</v>
      </c>
      <c r="T381" s="24" t="s">
        <v>4496</v>
      </c>
      <c r="U381" s="24"/>
      <c r="V381" s="24" t="s">
        <v>4497</v>
      </c>
      <c r="W381" s="24"/>
      <c r="X381" s="24"/>
      <c r="Y381" s="24" t="s">
        <v>4498</v>
      </c>
      <c r="Z381" s="24"/>
      <c r="AA381" s="24" t="s">
        <v>4499</v>
      </c>
      <c r="AB381" s="25" t="n">
        <v>70</v>
      </c>
      <c r="AC381" s="24" t="s">
        <v>4500</v>
      </c>
      <c r="AD381" s="24" t="s">
        <v>4501</v>
      </c>
      <c r="AE381" s="24" t="s">
        <v>4502</v>
      </c>
      <c r="AF381" s="24" t="s">
        <v>168</v>
      </c>
      <c r="AG381" s="24" t="s">
        <v>168</v>
      </c>
      <c r="AH381" s="24" t="s">
        <v>1050</v>
      </c>
      <c r="AI381" s="25" t="n">
        <f aca="false">COUNTIF($B$2:$B$740,B381)</f>
        <v>1</v>
      </c>
    </row>
    <row r="382" customFormat="false" ht="76" hidden="false" customHeight="true" outlineLevel="0" collapsed="false">
      <c r="A382" s="21" t="n">
        <v>381</v>
      </c>
      <c r="B382" s="22" t="s">
        <v>4503</v>
      </c>
      <c r="C382" s="23" t="s">
        <v>9</v>
      </c>
      <c r="D382" s="23" t="s">
        <v>96</v>
      </c>
      <c r="E382" s="23" t="s">
        <v>3459</v>
      </c>
      <c r="F382" s="24" t="s">
        <v>59</v>
      </c>
      <c r="G382" s="24" t="s">
        <v>98</v>
      </c>
      <c r="H382" s="24" t="s">
        <v>3460</v>
      </c>
      <c r="I382" s="24" t="s">
        <v>4244</v>
      </c>
      <c r="J382" s="24" t="s">
        <v>4504</v>
      </c>
      <c r="K382" s="24" t="s">
        <v>4463</v>
      </c>
      <c r="L382" s="24" t="s">
        <v>531</v>
      </c>
      <c r="M382" s="24" t="s">
        <v>4505</v>
      </c>
      <c r="N382" s="24"/>
      <c r="O382" s="24" t="s">
        <v>4506</v>
      </c>
      <c r="P382" s="24" t="s">
        <v>4507</v>
      </c>
      <c r="Q382" s="24" t="s">
        <v>4508</v>
      </c>
      <c r="R382" s="24" t="s">
        <v>4509</v>
      </c>
      <c r="S382" s="24" t="s">
        <v>4510</v>
      </c>
      <c r="T382" s="24" t="s">
        <v>4511</v>
      </c>
      <c r="U382" s="24"/>
      <c r="V382" s="24"/>
      <c r="W382" s="24"/>
      <c r="X382" s="24"/>
      <c r="Y382" s="24" t="s">
        <v>4512</v>
      </c>
      <c r="Z382" s="24"/>
      <c r="AA382" s="24" t="s">
        <v>4513</v>
      </c>
      <c r="AB382" s="25" t="n">
        <v>30</v>
      </c>
      <c r="AC382" s="24" t="s">
        <v>4514</v>
      </c>
      <c r="AD382" s="24" t="s">
        <v>4515</v>
      </c>
      <c r="AE382" s="24"/>
      <c r="AF382" s="24" t="s">
        <v>115</v>
      </c>
      <c r="AG382" s="24" t="s">
        <v>168</v>
      </c>
      <c r="AH382" s="24"/>
      <c r="AI382" s="25" t="n">
        <f aca="false">COUNTIF($B$2:$B$740,B382)</f>
        <v>1</v>
      </c>
    </row>
    <row r="383" customFormat="false" ht="76" hidden="false" customHeight="true" outlineLevel="0" collapsed="false">
      <c r="A383" s="21" t="n">
        <v>382</v>
      </c>
      <c r="B383" s="22" t="s">
        <v>4516</v>
      </c>
      <c r="C383" s="23" t="s">
        <v>9</v>
      </c>
      <c r="D383" s="23" t="s">
        <v>96</v>
      </c>
      <c r="E383" s="23" t="s">
        <v>3459</v>
      </c>
      <c r="F383" s="24" t="s">
        <v>59</v>
      </c>
      <c r="G383" s="24" t="s">
        <v>98</v>
      </c>
      <c r="H383" s="24" t="s">
        <v>3460</v>
      </c>
      <c r="I383" s="24" t="s">
        <v>4244</v>
      </c>
      <c r="J383" s="24" t="s">
        <v>4517</v>
      </c>
      <c r="K383" s="24" t="s">
        <v>4463</v>
      </c>
      <c r="L383" s="24" t="s">
        <v>531</v>
      </c>
      <c r="M383" s="24" t="s">
        <v>4518</v>
      </c>
      <c r="N383" s="24"/>
      <c r="O383" s="24" t="s">
        <v>4519</v>
      </c>
      <c r="P383" s="24" t="s">
        <v>4520</v>
      </c>
      <c r="Q383" s="24" t="s">
        <v>4521</v>
      </c>
      <c r="R383" s="24" t="s">
        <v>4522</v>
      </c>
      <c r="S383" s="24" t="s">
        <v>4523</v>
      </c>
      <c r="T383" s="24" t="s">
        <v>3540</v>
      </c>
      <c r="U383" s="24" t="s">
        <v>4524</v>
      </c>
      <c r="V383" s="24"/>
      <c r="W383" s="24"/>
      <c r="X383" s="24" t="s">
        <v>4525</v>
      </c>
      <c r="Y383" s="24" t="s">
        <v>4526</v>
      </c>
      <c r="Z383" s="24"/>
      <c r="AA383" s="24" t="s">
        <v>4527</v>
      </c>
      <c r="AB383" s="25" t="n">
        <v>30</v>
      </c>
      <c r="AC383" s="24" t="s">
        <v>4528</v>
      </c>
      <c r="AD383" s="24" t="s">
        <v>4529</v>
      </c>
      <c r="AE383" s="24" t="s">
        <v>492</v>
      </c>
      <c r="AF383" s="24" t="s">
        <v>115</v>
      </c>
      <c r="AG383" s="24" t="s">
        <v>168</v>
      </c>
      <c r="AH383" s="24"/>
      <c r="AI383" s="25" t="n">
        <f aca="false">COUNTIF($B$2:$B$740,B383)</f>
        <v>1</v>
      </c>
    </row>
    <row r="384" customFormat="false" ht="76" hidden="false" customHeight="true" outlineLevel="0" collapsed="false">
      <c r="A384" s="21" t="n">
        <v>383</v>
      </c>
      <c r="B384" s="22" t="s">
        <v>4530</v>
      </c>
      <c r="C384" s="23" t="s">
        <v>9</v>
      </c>
      <c r="D384" s="23" t="s">
        <v>96</v>
      </c>
      <c r="E384" s="23" t="s">
        <v>3459</v>
      </c>
      <c r="F384" s="24" t="s">
        <v>59</v>
      </c>
      <c r="G384" s="24" t="s">
        <v>98</v>
      </c>
      <c r="H384" s="24" t="s">
        <v>3460</v>
      </c>
      <c r="I384" s="24" t="s">
        <v>4244</v>
      </c>
      <c r="J384" s="24" t="s">
        <v>4531</v>
      </c>
      <c r="K384" s="24" t="s">
        <v>4463</v>
      </c>
      <c r="L384" s="24" t="s">
        <v>531</v>
      </c>
      <c r="M384" s="24" t="s">
        <v>4532</v>
      </c>
      <c r="N384" s="24"/>
      <c r="O384" s="24" t="s">
        <v>4533</v>
      </c>
      <c r="P384" s="24" t="s">
        <v>4534</v>
      </c>
      <c r="Q384" s="24" t="s">
        <v>4535</v>
      </c>
      <c r="R384" s="24" t="s">
        <v>4536</v>
      </c>
      <c r="S384" s="24" t="s">
        <v>4537</v>
      </c>
      <c r="T384" s="24" t="s">
        <v>4538</v>
      </c>
      <c r="U384" s="24"/>
      <c r="V384" s="24"/>
      <c r="W384" s="24"/>
      <c r="X384" s="24"/>
      <c r="Y384" s="24" t="s">
        <v>4539</v>
      </c>
      <c r="Z384" s="24"/>
      <c r="AA384" s="24"/>
      <c r="AB384" s="25" t="n">
        <v>30</v>
      </c>
      <c r="AC384" s="24" t="s">
        <v>4540</v>
      </c>
      <c r="AD384" s="24" t="s">
        <v>4541</v>
      </c>
      <c r="AE384" s="24" t="s">
        <v>468</v>
      </c>
      <c r="AF384" s="24" t="s">
        <v>115</v>
      </c>
      <c r="AG384" s="24" t="s">
        <v>168</v>
      </c>
      <c r="AH384" s="24"/>
      <c r="AI384" s="25" t="n">
        <f aca="false">COUNTIF($B$2:$B$740,B384)</f>
        <v>1</v>
      </c>
    </row>
    <row r="385" customFormat="false" ht="134.4" hidden="false" customHeight="true" outlineLevel="0" collapsed="false">
      <c r="A385" s="26" t="n">
        <v>384</v>
      </c>
      <c r="B385" s="27" t="s">
        <v>4542</v>
      </c>
      <c r="C385" s="24" t="s">
        <v>9</v>
      </c>
      <c r="D385" s="24" t="s">
        <v>96</v>
      </c>
      <c r="E385" s="24" t="s">
        <v>3459</v>
      </c>
      <c r="F385" s="24" t="s">
        <v>59</v>
      </c>
      <c r="G385" s="24" t="s">
        <v>98</v>
      </c>
      <c r="H385" s="24" t="s">
        <v>3460</v>
      </c>
      <c r="I385" s="24" t="s">
        <v>4244</v>
      </c>
      <c r="J385" s="24" t="s">
        <v>4543</v>
      </c>
      <c r="K385" s="24" t="s">
        <v>4463</v>
      </c>
      <c r="L385" s="24" t="s">
        <v>531</v>
      </c>
      <c r="M385" s="24" t="s">
        <v>4544</v>
      </c>
      <c r="N385" s="24"/>
      <c r="O385" s="24" t="s">
        <v>4545</v>
      </c>
      <c r="P385" s="24" t="s">
        <v>4546</v>
      </c>
      <c r="Q385" s="24" t="s">
        <v>4547</v>
      </c>
      <c r="R385" s="24" t="s">
        <v>4548</v>
      </c>
      <c r="S385" s="24" t="s">
        <v>4549</v>
      </c>
      <c r="T385" s="24" t="s">
        <v>4550</v>
      </c>
      <c r="U385" s="24" t="s">
        <v>4551</v>
      </c>
      <c r="V385" s="24" t="s">
        <v>4552</v>
      </c>
      <c r="W385" s="24"/>
      <c r="X385" s="24"/>
      <c r="Y385" s="24" t="s">
        <v>4553</v>
      </c>
      <c r="Z385" s="24"/>
      <c r="AA385" s="24" t="s">
        <v>4554</v>
      </c>
      <c r="AB385" s="25" t="n">
        <v>70</v>
      </c>
      <c r="AC385" s="24" t="s">
        <v>4555</v>
      </c>
      <c r="AD385" s="24" t="s">
        <v>4556</v>
      </c>
      <c r="AE385" s="24" t="s">
        <v>4557</v>
      </c>
      <c r="AF385" s="24" t="s">
        <v>168</v>
      </c>
      <c r="AG385" s="24" t="s">
        <v>168</v>
      </c>
      <c r="AH385" s="24" t="s">
        <v>1050</v>
      </c>
      <c r="AI385" s="25" t="n">
        <f aca="false">COUNTIF($B$2:$B$740,B385)</f>
        <v>1</v>
      </c>
    </row>
    <row r="386" customFormat="false" ht="76" hidden="false" customHeight="true" outlineLevel="0" collapsed="false">
      <c r="A386" s="21" t="n">
        <v>385</v>
      </c>
      <c r="B386" s="22" t="s">
        <v>4558</v>
      </c>
      <c r="C386" s="23" t="s">
        <v>9</v>
      </c>
      <c r="D386" s="23" t="s">
        <v>96</v>
      </c>
      <c r="E386" s="23" t="s">
        <v>3459</v>
      </c>
      <c r="F386" s="24" t="s">
        <v>59</v>
      </c>
      <c r="G386" s="24" t="s">
        <v>98</v>
      </c>
      <c r="H386" s="24" t="s">
        <v>3460</v>
      </c>
      <c r="I386" s="24" t="s">
        <v>4244</v>
      </c>
      <c r="J386" s="24" t="s">
        <v>4559</v>
      </c>
      <c r="K386" s="24" t="s">
        <v>4560</v>
      </c>
      <c r="L386" s="24" t="s">
        <v>531</v>
      </c>
      <c r="M386" s="24" t="s">
        <v>4477</v>
      </c>
      <c r="N386" s="24"/>
      <c r="O386" s="24" t="s">
        <v>4561</v>
      </c>
      <c r="P386" s="24" t="s">
        <v>4562</v>
      </c>
      <c r="Q386" s="24" t="s">
        <v>4563</v>
      </c>
      <c r="R386" s="24" t="s">
        <v>4564</v>
      </c>
      <c r="S386" s="24" t="s">
        <v>4565</v>
      </c>
      <c r="T386" s="24" t="s">
        <v>3540</v>
      </c>
      <c r="U386" s="24" t="s">
        <v>4566</v>
      </c>
      <c r="V386" s="24"/>
      <c r="W386" s="24" t="s">
        <v>4567</v>
      </c>
      <c r="X386" s="24"/>
      <c r="Y386" s="24" t="s">
        <v>4568</v>
      </c>
      <c r="Z386" s="24"/>
      <c r="AA386" s="24" t="s">
        <v>4569</v>
      </c>
      <c r="AB386" s="25" t="n">
        <v>30</v>
      </c>
      <c r="AC386" s="24" t="s">
        <v>4570</v>
      </c>
      <c r="AD386" s="24" t="s">
        <v>4571</v>
      </c>
      <c r="AE386" s="24"/>
      <c r="AF386" s="24" t="s">
        <v>115</v>
      </c>
      <c r="AG386" s="24" t="s">
        <v>168</v>
      </c>
      <c r="AH386" s="24"/>
      <c r="AI386" s="25" t="n">
        <f aca="false">COUNTIF($B$2:$B$740,B386)</f>
        <v>1</v>
      </c>
    </row>
    <row r="387" customFormat="false" ht="76" hidden="false" customHeight="true" outlineLevel="0" collapsed="false">
      <c r="A387" s="21" t="n">
        <v>386</v>
      </c>
      <c r="B387" s="22" t="s">
        <v>4572</v>
      </c>
      <c r="C387" s="23" t="s">
        <v>9</v>
      </c>
      <c r="D387" s="23" t="s">
        <v>96</v>
      </c>
      <c r="E387" s="23" t="s">
        <v>3459</v>
      </c>
      <c r="F387" s="24" t="s">
        <v>59</v>
      </c>
      <c r="G387" s="24" t="s">
        <v>98</v>
      </c>
      <c r="H387" s="24" t="s">
        <v>3460</v>
      </c>
      <c r="I387" s="24" t="s">
        <v>4244</v>
      </c>
      <c r="J387" s="24" t="s">
        <v>4573</v>
      </c>
      <c r="K387" s="24" t="s">
        <v>4560</v>
      </c>
      <c r="L387" s="24" t="s">
        <v>531</v>
      </c>
      <c r="M387" s="24" t="s">
        <v>4574</v>
      </c>
      <c r="N387" s="24"/>
      <c r="O387" s="24" t="s">
        <v>4575</v>
      </c>
      <c r="P387" s="24" t="s">
        <v>4576</v>
      </c>
      <c r="Q387" s="24" t="s">
        <v>4577</v>
      </c>
      <c r="R387" s="24" t="s">
        <v>4578</v>
      </c>
      <c r="S387" s="24" t="s">
        <v>4579</v>
      </c>
      <c r="T387" s="24" t="s">
        <v>4580</v>
      </c>
      <c r="U387" s="24"/>
      <c r="V387" s="24" t="s">
        <v>4581</v>
      </c>
      <c r="W387" s="24"/>
      <c r="X387" s="24"/>
      <c r="Y387" s="24" t="s">
        <v>4582</v>
      </c>
      <c r="Z387" s="24"/>
      <c r="AA387" s="24"/>
      <c r="AB387" s="25" t="n">
        <v>30</v>
      </c>
      <c r="AC387" s="24" t="s">
        <v>4583</v>
      </c>
      <c r="AD387" s="24" t="s">
        <v>4584</v>
      </c>
      <c r="AE387" s="24" t="s">
        <v>4585</v>
      </c>
      <c r="AF387" s="24" t="s">
        <v>115</v>
      </c>
      <c r="AG387" s="24" t="s">
        <v>168</v>
      </c>
      <c r="AH387" s="24"/>
      <c r="AI387" s="25" t="n">
        <f aca="false">COUNTIF($B$2:$B$740,B387)</f>
        <v>1</v>
      </c>
    </row>
    <row r="388" customFormat="false" ht="76" hidden="false" customHeight="true" outlineLevel="0" collapsed="false">
      <c r="A388" s="21" t="n">
        <v>387</v>
      </c>
      <c r="B388" s="22" t="s">
        <v>4586</v>
      </c>
      <c r="C388" s="23" t="s">
        <v>9</v>
      </c>
      <c r="D388" s="23" t="s">
        <v>96</v>
      </c>
      <c r="E388" s="23" t="s">
        <v>3459</v>
      </c>
      <c r="F388" s="24" t="s">
        <v>59</v>
      </c>
      <c r="G388" s="24" t="s">
        <v>98</v>
      </c>
      <c r="H388" s="24" t="s">
        <v>3460</v>
      </c>
      <c r="I388" s="24" t="s">
        <v>4244</v>
      </c>
      <c r="J388" s="24" t="s">
        <v>4587</v>
      </c>
      <c r="K388" s="24" t="s">
        <v>4560</v>
      </c>
      <c r="L388" s="24" t="s">
        <v>531</v>
      </c>
      <c r="M388" s="24" t="s">
        <v>4588</v>
      </c>
      <c r="N388" s="24"/>
      <c r="O388" s="24" t="s">
        <v>4589</v>
      </c>
      <c r="P388" s="24" t="s">
        <v>4590</v>
      </c>
      <c r="Q388" s="24" t="s">
        <v>4591</v>
      </c>
      <c r="R388" s="24" t="s">
        <v>4592</v>
      </c>
      <c r="S388" s="24" t="s">
        <v>4593</v>
      </c>
      <c r="T388" s="24" t="s">
        <v>4594</v>
      </c>
      <c r="U388" s="24" t="s">
        <v>4595</v>
      </c>
      <c r="V388" s="24" t="s">
        <v>4596</v>
      </c>
      <c r="W388" s="24"/>
      <c r="X388" s="24" t="s">
        <v>4597</v>
      </c>
      <c r="Y388" s="24" t="s">
        <v>4598</v>
      </c>
      <c r="Z388" s="24" t="s">
        <v>4599</v>
      </c>
      <c r="AA388" s="24"/>
      <c r="AB388" s="25" t="n">
        <v>30</v>
      </c>
      <c r="AC388" s="24" t="s">
        <v>4600</v>
      </c>
      <c r="AD388" s="24" t="s">
        <v>4601</v>
      </c>
      <c r="AE388" s="24" t="s">
        <v>1357</v>
      </c>
      <c r="AF388" s="24" t="s">
        <v>115</v>
      </c>
      <c r="AG388" s="24" t="s">
        <v>168</v>
      </c>
      <c r="AH388" s="24"/>
      <c r="AI388" s="25" t="n">
        <f aca="false">COUNTIF($B$2:$B$740,B388)</f>
        <v>1</v>
      </c>
    </row>
    <row r="389" customFormat="false" ht="76" hidden="false" customHeight="true" outlineLevel="0" collapsed="false">
      <c r="A389" s="21" t="n">
        <v>388</v>
      </c>
      <c r="B389" s="22" t="s">
        <v>4602</v>
      </c>
      <c r="C389" s="23" t="s">
        <v>9</v>
      </c>
      <c r="D389" s="23" t="s">
        <v>96</v>
      </c>
      <c r="E389" s="23" t="s">
        <v>3459</v>
      </c>
      <c r="F389" s="24" t="s">
        <v>59</v>
      </c>
      <c r="G389" s="24" t="s">
        <v>98</v>
      </c>
      <c r="H389" s="24" t="s">
        <v>3460</v>
      </c>
      <c r="I389" s="24" t="s">
        <v>4244</v>
      </c>
      <c r="J389" s="24" t="s">
        <v>4603</v>
      </c>
      <c r="K389" s="24" t="s">
        <v>4560</v>
      </c>
      <c r="L389" s="24" t="s">
        <v>1183</v>
      </c>
      <c r="M389" s="24" t="s">
        <v>4604</v>
      </c>
      <c r="N389" s="24"/>
      <c r="O389" s="24" t="s">
        <v>4605</v>
      </c>
      <c r="P389" s="24" t="s">
        <v>4606</v>
      </c>
      <c r="Q389" s="24" t="s">
        <v>4607</v>
      </c>
      <c r="R389" s="24" t="s">
        <v>4608</v>
      </c>
      <c r="S389" s="24" t="s">
        <v>4609</v>
      </c>
      <c r="T389" s="24" t="s">
        <v>3540</v>
      </c>
      <c r="U389" s="24" t="s">
        <v>4610</v>
      </c>
      <c r="V389" s="24"/>
      <c r="W389" s="24"/>
      <c r="X389" s="24"/>
      <c r="Y389" s="24" t="s">
        <v>4611</v>
      </c>
      <c r="Z389" s="24"/>
      <c r="AA389" s="24"/>
      <c r="AB389" s="25" t="n">
        <v>30</v>
      </c>
      <c r="AC389" s="24" t="s">
        <v>4612</v>
      </c>
      <c r="AD389" s="24" t="s">
        <v>4613</v>
      </c>
      <c r="AE389" s="24" t="s">
        <v>4614</v>
      </c>
      <c r="AF389" s="24" t="s">
        <v>115</v>
      </c>
      <c r="AG389" s="24" t="s">
        <v>168</v>
      </c>
      <c r="AH389" s="24"/>
      <c r="AI389" s="25" t="n">
        <f aca="false">COUNTIF($B$2:$B$740,B389)</f>
        <v>1</v>
      </c>
    </row>
    <row r="390" customFormat="false" ht="76" hidden="false" customHeight="true" outlineLevel="0" collapsed="false">
      <c r="A390" s="21" t="n">
        <v>389</v>
      </c>
      <c r="B390" s="22" t="s">
        <v>4615</v>
      </c>
      <c r="C390" s="23" t="s">
        <v>9</v>
      </c>
      <c r="D390" s="23" t="s">
        <v>96</v>
      </c>
      <c r="E390" s="23" t="s">
        <v>3459</v>
      </c>
      <c r="F390" s="24" t="s">
        <v>59</v>
      </c>
      <c r="G390" s="24" t="s">
        <v>98</v>
      </c>
      <c r="H390" s="24" t="s">
        <v>3460</v>
      </c>
      <c r="I390" s="24" t="s">
        <v>4244</v>
      </c>
      <c r="J390" s="24" t="s">
        <v>4616</v>
      </c>
      <c r="K390" s="24" t="s">
        <v>4560</v>
      </c>
      <c r="L390" s="24" t="s">
        <v>531</v>
      </c>
      <c r="M390" s="24" t="s">
        <v>4617</v>
      </c>
      <c r="N390" s="24"/>
      <c r="O390" s="24" t="s">
        <v>4618</v>
      </c>
      <c r="P390" s="24" t="s">
        <v>4619</v>
      </c>
      <c r="Q390" s="24" t="s">
        <v>4620</v>
      </c>
      <c r="R390" s="24" t="s">
        <v>4621</v>
      </c>
      <c r="S390" s="24" t="s">
        <v>4622</v>
      </c>
      <c r="T390" s="24" t="s">
        <v>4623</v>
      </c>
      <c r="U390" s="24"/>
      <c r="V390" s="24"/>
      <c r="W390" s="24"/>
      <c r="X390" s="24"/>
      <c r="Y390" s="24" t="s">
        <v>4624</v>
      </c>
      <c r="Z390" s="24" t="s">
        <v>4625</v>
      </c>
      <c r="AA390" s="24" t="s">
        <v>4626</v>
      </c>
      <c r="AB390" s="25" t="n">
        <v>100</v>
      </c>
      <c r="AC390" s="24" t="s">
        <v>4627</v>
      </c>
      <c r="AD390" s="24" t="s">
        <v>4628</v>
      </c>
      <c r="AE390" s="24" t="s">
        <v>4629</v>
      </c>
      <c r="AF390" s="24" t="s">
        <v>115</v>
      </c>
      <c r="AG390" s="24" t="s">
        <v>168</v>
      </c>
      <c r="AH390" s="24" t="s">
        <v>545</v>
      </c>
      <c r="AI390" s="25" t="n">
        <f aca="false">COUNTIF($B$2:$B$740,B390)</f>
        <v>1</v>
      </c>
    </row>
    <row r="391" customFormat="false" ht="172.8" hidden="false" customHeight="true" outlineLevel="0" collapsed="false">
      <c r="A391" s="26" t="n">
        <v>390</v>
      </c>
      <c r="B391" s="27" t="s">
        <v>4630</v>
      </c>
      <c r="C391" s="24" t="s">
        <v>9</v>
      </c>
      <c r="D391" s="24" t="s">
        <v>96</v>
      </c>
      <c r="E391" s="24" t="s">
        <v>3459</v>
      </c>
      <c r="F391" s="24" t="s">
        <v>59</v>
      </c>
      <c r="G391" s="24" t="s">
        <v>98</v>
      </c>
      <c r="H391" s="24" t="s">
        <v>3460</v>
      </c>
      <c r="I391" s="24" t="s">
        <v>4244</v>
      </c>
      <c r="J391" s="24" t="s">
        <v>4631</v>
      </c>
      <c r="K391" s="24" t="s">
        <v>4560</v>
      </c>
      <c r="L391" s="24" t="s">
        <v>1183</v>
      </c>
      <c r="M391" s="24" t="s">
        <v>4632</v>
      </c>
      <c r="N391" s="24"/>
      <c r="O391" s="24" t="s">
        <v>4633</v>
      </c>
      <c r="P391" s="24" t="s">
        <v>4634</v>
      </c>
      <c r="Q391" s="24" t="s">
        <v>4635</v>
      </c>
      <c r="R391" s="24" t="s">
        <v>4636</v>
      </c>
      <c r="S391" s="24" t="s">
        <v>4637</v>
      </c>
      <c r="T391" s="24" t="s">
        <v>4638</v>
      </c>
      <c r="U391" s="24" t="s">
        <v>4639</v>
      </c>
      <c r="V391" s="24" t="s">
        <v>4640</v>
      </c>
      <c r="W391" s="24" t="s">
        <v>4641</v>
      </c>
      <c r="X391" s="24"/>
      <c r="Y391" s="24" t="s">
        <v>4642</v>
      </c>
      <c r="Z391" s="24" t="s">
        <v>4643</v>
      </c>
      <c r="AA391" s="24" t="s">
        <v>4644</v>
      </c>
      <c r="AB391" s="25" t="n">
        <v>70</v>
      </c>
      <c r="AC391" s="24" t="s">
        <v>4645</v>
      </c>
      <c r="AD391" s="24" t="s">
        <v>4646</v>
      </c>
      <c r="AE391" s="24" t="s">
        <v>4647</v>
      </c>
      <c r="AF391" s="24" t="s">
        <v>168</v>
      </c>
      <c r="AG391" s="24" t="s">
        <v>168</v>
      </c>
      <c r="AH391" s="24" t="s">
        <v>1050</v>
      </c>
      <c r="AI391" s="25" t="n">
        <f aca="false">COUNTIF($B$2:$B$740,B391)</f>
        <v>1</v>
      </c>
    </row>
    <row r="392" customFormat="false" ht="76" hidden="false" customHeight="true" outlineLevel="0" collapsed="false">
      <c r="A392" s="21" t="n">
        <v>391</v>
      </c>
      <c r="B392" s="22" t="s">
        <v>4648</v>
      </c>
      <c r="C392" s="23" t="s">
        <v>9</v>
      </c>
      <c r="D392" s="23" t="s">
        <v>96</v>
      </c>
      <c r="E392" s="23" t="s">
        <v>3459</v>
      </c>
      <c r="F392" s="24" t="s">
        <v>59</v>
      </c>
      <c r="G392" s="24" t="s">
        <v>98</v>
      </c>
      <c r="H392" s="24" t="s">
        <v>3460</v>
      </c>
      <c r="I392" s="24" t="s">
        <v>4244</v>
      </c>
      <c r="J392" s="24" t="s">
        <v>4649</v>
      </c>
      <c r="K392" s="24" t="s">
        <v>4560</v>
      </c>
      <c r="L392" s="24" t="s">
        <v>1183</v>
      </c>
      <c r="M392" s="24" t="s">
        <v>4650</v>
      </c>
      <c r="N392" s="24" t="s">
        <v>4651</v>
      </c>
      <c r="O392" s="24" t="s">
        <v>4652</v>
      </c>
      <c r="P392" s="24" t="s">
        <v>4653</v>
      </c>
      <c r="Q392" s="24" t="s">
        <v>4654</v>
      </c>
      <c r="R392" s="24" t="s">
        <v>4653</v>
      </c>
      <c r="S392" s="24" t="s">
        <v>4653</v>
      </c>
      <c r="T392" s="24" t="s">
        <v>4653</v>
      </c>
      <c r="U392" s="24" t="s">
        <v>4655</v>
      </c>
      <c r="V392" s="24"/>
      <c r="W392" s="24"/>
      <c r="X392" s="24"/>
      <c r="Y392" s="24" t="s">
        <v>4656</v>
      </c>
      <c r="Z392" s="24"/>
      <c r="AA392" s="24"/>
      <c r="AB392" s="25" t="n">
        <v>30</v>
      </c>
      <c r="AC392" s="24" t="s">
        <v>4657</v>
      </c>
      <c r="AD392" s="24" t="s">
        <v>4658</v>
      </c>
      <c r="AE392" s="24"/>
      <c r="AF392" s="24" t="s">
        <v>115</v>
      </c>
      <c r="AG392" s="24" t="s">
        <v>168</v>
      </c>
      <c r="AH392" s="24"/>
      <c r="AI392" s="25" t="n">
        <f aca="false">COUNTIF($B$2:$B$740,B392)</f>
        <v>1</v>
      </c>
    </row>
    <row r="393" customFormat="false" ht="76" hidden="false" customHeight="true" outlineLevel="0" collapsed="false">
      <c r="A393" s="21" t="n">
        <v>392</v>
      </c>
      <c r="B393" s="22" t="s">
        <v>4659</v>
      </c>
      <c r="C393" s="23" t="s">
        <v>9</v>
      </c>
      <c r="D393" s="23" t="s">
        <v>96</v>
      </c>
      <c r="E393" s="23" t="s">
        <v>3459</v>
      </c>
      <c r="F393" s="24" t="s">
        <v>59</v>
      </c>
      <c r="G393" s="24" t="s">
        <v>98</v>
      </c>
      <c r="H393" s="24" t="s">
        <v>3460</v>
      </c>
      <c r="I393" s="24" t="s">
        <v>4244</v>
      </c>
      <c r="J393" s="24" t="s">
        <v>4660</v>
      </c>
      <c r="K393" s="24" t="s">
        <v>4560</v>
      </c>
      <c r="L393" s="24" t="s">
        <v>531</v>
      </c>
      <c r="M393" s="24" t="s">
        <v>4661</v>
      </c>
      <c r="N393" s="24"/>
      <c r="O393" s="24" t="s">
        <v>4662</v>
      </c>
      <c r="P393" s="24" t="s">
        <v>4663</v>
      </c>
      <c r="Q393" s="24" t="s">
        <v>4664</v>
      </c>
      <c r="R393" s="24" t="s">
        <v>4665</v>
      </c>
      <c r="S393" s="24" t="s">
        <v>4666</v>
      </c>
      <c r="T393" s="24" t="s">
        <v>4667</v>
      </c>
      <c r="U393" s="24"/>
      <c r="V393" s="24"/>
      <c r="W393" s="24" t="s">
        <v>4668</v>
      </c>
      <c r="X393" s="24"/>
      <c r="Y393" s="24" t="s">
        <v>4669</v>
      </c>
      <c r="Z393" s="24" t="s">
        <v>4670</v>
      </c>
      <c r="AA393" s="24"/>
      <c r="AB393" s="25" t="n">
        <v>30</v>
      </c>
      <c r="AC393" s="24" t="s">
        <v>4671</v>
      </c>
      <c r="AD393" s="24" t="s">
        <v>4672</v>
      </c>
      <c r="AE393" s="24"/>
      <c r="AF393" s="24" t="s">
        <v>115</v>
      </c>
      <c r="AG393" s="24" t="s">
        <v>168</v>
      </c>
      <c r="AH393" s="24"/>
      <c r="AI393" s="25" t="n">
        <f aca="false">COUNTIF($B$2:$B$740,B393)</f>
        <v>1</v>
      </c>
    </row>
    <row r="394" customFormat="false" ht="76" hidden="false" customHeight="true" outlineLevel="0" collapsed="false">
      <c r="A394" s="21" t="n">
        <v>393</v>
      </c>
      <c r="B394" s="22" t="s">
        <v>4673</v>
      </c>
      <c r="C394" s="23" t="s">
        <v>9</v>
      </c>
      <c r="D394" s="23" t="s">
        <v>96</v>
      </c>
      <c r="E394" s="23" t="s">
        <v>3459</v>
      </c>
      <c r="F394" s="24" t="s">
        <v>59</v>
      </c>
      <c r="G394" s="24" t="s">
        <v>98</v>
      </c>
      <c r="H394" s="24" t="s">
        <v>3460</v>
      </c>
      <c r="I394" s="24" t="s">
        <v>4244</v>
      </c>
      <c r="J394" s="24" t="s">
        <v>4674</v>
      </c>
      <c r="K394" s="24" t="s">
        <v>4560</v>
      </c>
      <c r="L394" s="24" t="s">
        <v>531</v>
      </c>
      <c r="M394" s="24" t="s">
        <v>4675</v>
      </c>
      <c r="N394" s="24"/>
      <c r="O394" s="24" t="s">
        <v>4676</v>
      </c>
      <c r="P394" s="24" t="s">
        <v>4677</v>
      </c>
      <c r="Q394" s="24" t="s">
        <v>4678</v>
      </c>
      <c r="R394" s="24" t="s">
        <v>4679</v>
      </c>
      <c r="S394" s="24" t="s">
        <v>4680</v>
      </c>
      <c r="T394" s="24" t="s">
        <v>3540</v>
      </c>
      <c r="U394" s="24" t="s">
        <v>4681</v>
      </c>
      <c r="V394" s="24"/>
      <c r="W394" s="24"/>
      <c r="X394" s="24" t="s">
        <v>4682</v>
      </c>
      <c r="Y394" s="24" t="s">
        <v>4683</v>
      </c>
      <c r="Z394" s="24" t="s">
        <v>4682</v>
      </c>
      <c r="AA394" s="24" t="s">
        <v>4684</v>
      </c>
      <c r="AB394" s="25" t="n">
        <v>30</v>
      </c>
      <c r="AC394" s="24" t="s">
        <v>4685</v>
      </c>
      <c r="AD394" s="24" t="s">
        <v>4686</v>
      </c>
      <c r="AE394" s="24" t="s">
        <v>1343</v>
      </c>
      <c r="AF394" s="24" t="s">
        <v>115</v>
      </c>
      <c r="AG394" s="24" t="s">
        <v>168</v>
      </c>
      <c r="AH394" s="24"/>
      <c r="AI394" s="25" t="n">
        <f aca="false">COUNTIF($B$2:$B$740,B394)</f>
        <v>1</v>
      </c>
    </row>
    <row r="395" customFormat="false" ht="115.2" hidden="false" customHeight="true" outlineLevel="0" collapsed="false">
      <c r="A395" s="26" t="n">
        <v>394</v>
      </c>
      <c r="B395" s="27" t="s">
        <v>4687</v>
      </c>
      <c r="C395" s="24" t="s">
        <v>9</v>
      </c>
      <c r="D395" s="24" t="s">
        <v>96</v>
      </c>
      <c r="E395" s="24" t="s">
        <v>3459</v>
      </c>
      <c r="F395" s="24" t="s">
        <v>59</v>
      </c>
      <c r="G395" s="24" t="s">
        <v>98</v>
      </c>
      <c r="H395" s="24" t="s">
        <v>3460</v>
      </c>
      <c r="I395" s="24" t="s">
        <v>4244</v>
      </c>
      <c r="J395" s="24" t="s">
        <v>4688</v>
      </c>
      <c r="K395" s="24" t="s">
        <v>4560</v>
      </c>
      <c r="L395" s="24" t="s">
        <v>531</v>
      </c>
      <c r="M395" s="24" t="s">
        <v>4689</v>
      </c>
      <c r="N395" s="24"/>
      <c r="O395" s="24" t="s">
        <v>4690</v>
      </c>
      <c r="P395" s="24" t="s">
        <v>4691</v>
      </c>
      <c r="Q395" s="24" t="s">
        <v>4692</v>
      </c>
      <c r="R395" s="24" t="s">
        <v>4693</v>
      </c>
      <c r="S395" s="24" t="s">
        <v>4694</v>
      </c>
      <c r="T395" s="24" t="s">
        <v>3540</v>
      </c>
      <c r="U395" s="24" t="s">
        <v>4695</v>
      </c>
      <c r="V395" s="24"/>
      <c r="W395" s="24"/>
      <c r="X395" s="24" t="s">
        <v>4696</v>
      </c>
      <c r="Y395" s="24" t="s">
        <v>4697</v>
      </c>
      <c r="Z395" s="24" t="s">
        <v>4698</v>
      </c>
      <c r="AA395" s="24" t="s">
        <v>4699</v>
      </c>
      <c r="AB395" s="25" t="n">
        <v>80</v>
      </c>
      <c r="AC395" s="24" t="s">
        <v>4700</v>
      </c>
      <c r="AD395" s="24" t="s">
        <v>4701</v>
      </c>
      <c r="AE395" s="24" t="s">
        <v>4702</v>
      </c>
      <c r="AF395" s="24" t="s">
        <v>168</v>
      </c>
      <c r="AG395" s="24" t="s">
        <v>168</v>
      </c>
      <c r="AH395" s="24" t="s">
        <v>941</v>
      </c>
      <c r="AI395" s="25" t="n">
        <f aca="false">COUNTIF($B$2:$B$740,B395)</f>
        <v>1</v>
      </c>
    </row>
    <row r="396" customFormat="false" ht="115.2" hidden="false" customHeight="true" outlineLevel="0" collapsed="false">
      <c r="A396" s="26" t="n">
        <v>395</v>
      </c>
      <c r="B396" s="27" t="s">
        <v>4703</v>
      </c>
      <c r="C396" s="24" t="s">
        <v>9</v>
      </c>
      <c r="D396" s="24" t="s">
        <v>96</v>
      </c>
      <c r="E396" s="24" t="s">
        <v>3459</v>
      </c>
      <c r="F396" s="24" t="s">
        <v>59</v>
      </c>
      <c r="G396" s="24" t="s">
        <v>98</v>
      </c>
      <c r="H396" s="24" t="s">
        <v>3460</v>
      </c>
      <c r="I396" s="24" t="s">
        <v>4244</v>
      </c>
      <c r="J396" s="24" t="s">
        <v>4704</v>
      </c>
      <c r="K396" s="24" t="s">
        <v>4560</v>
      </c>
      <c r="L396" s="24" t="s">
        <v>1183</v>
      </c>
      <c r="M396" s="24" t="s">
        <v>4705</v>
      </c>
      <c r="N396" s="24"/>
      <c r="O396" s="24" t="s">
        <v>4706</v>
      </c>
      <c r="P396" s="24" t="s">
        <v>4707</v>
      </c>
      <c r="Q396" s="24" t="s">
        <v>4708</v>
      </c>
      <c r="R396" s="24" t="s">
        <v>4709</v>
      </c>
      <c r="S396" s="24" t="s">
        <v>4710</v>
      </c>
      <c r="T396" s="24" t="s">
        <v>3540</v>
      </c>
      <c r="U396" s="24"/>
      <c r="V396" s="24" t="s">
        <v>4711</v>
      </c>
      <c r="W396" s="24"/>
      <c r="X396" s="24" t="s">
        <v>4712</v>
      </c>
      <c r="Y396" s="24" t="s">
        <v>4713</v>
      </c>
      <c r="Z396" s="24"/>
      <c r="AA396" s="24"/>
      <c r="AB396" s="25" t="n">
        <v>80</v>
      </c>
      <c r="AC396" s="24" t="s">
        <v>4714</v>
      </c>
      <c r="AD396" s="24" t="s">
        <v>4715</v>
      </c>
      <c r="AE396" s="24" t="s">
        <v>4716</v>
      </c>
      <c r="AF396" s="24" t="s">
        <v>168</v>
      </c>
      <c r="AG396" s="24" t="s">
        <v>168</v>
      </c>
      <c r="AH396" s="24" t="s">
        <v>941</v>
      </c>
      <c r="AI396" s="25" t="n">
        <f aca="false">COUNTIF($B$2:$B$740,B396)</f>
        <v>1</v>
      </c>
    </row>
    <row r="397" customFormat="false" ht="201.6" hidden="false" customHeight="true" outlineLevel="0" collapsed="false">
      <c r="A397" s="26" t="n">
        <v>396</v>
      </c>
      <c r="B397" s="27" t="s">
        <v>4717</v>
      </c>
      <c r="C397" s="24" t="s">
        <v>9</v>
      </c>
      <c r="D397" s="24" t="s">
        <v>96</v>
      </c>
      <c r="E397" s="24" t="s">
        <v>3459</v>
      </c>
      <c r="F397" s="24" t="s">
        <v>59</v>
      </c>
      <c r="G397" s="24" t="s">
        <v>98</v>
      </c>
      <c r="H397" s="24" t="s">
        <v>3460</v>
      </c>
      <c r="I397" s="24" t="s">
        <v>4244</v>
      </c>
      <c r="J397" s="24" t="s">
        <v>4718</v>
      </c>
      <c r="K397" s="24" t="s">
        <v>4560</v>
      </c>
      <c r="L397" s="24" t="s">
        <v>1183</v>
      </c>
      <c r="M397" s="24" t="s">
        <v>4719</v>
      </c>
      <c r="N397" s="24"/>
      <c r="O397" s="24" t="s">
        <v>4720</v>
      </c>
      <c r="P397" s="24" t="s">
        <v>4721</v>
      </c>
      <c r="Q397" s="24" t="s">
        <v>4722</v>
      </c>
      <c r="R397" s="24" t="s">
        <v>4723</v>
      </c>
      <c r="S397" s="24" t="s">
        <v>4724</v>
      </c>
      <c r="T397" s="24" t="s">
        <v>3540</v>
      </c>
      <c r="U397" s="24" t="s">
        <v>4725</v>
      </c>
      <c r="V397" s="24" t="s">
        <v>4726</v>
      </c>
      <c r="W397" s="24"/>
      <c r="X397" s="24" t="s">
        <v>4727</v>
      </c>
      <c r="Y397" s="24" t="s">
        <v>4728</v>
      </c>
      <c r="Z397" s="24"/>
      <c r="AA397" s="24"/>
      <c r="AB397" s="25" t="n">
        <v>80</v>
      </c>
      <c r="AC397" s="24" t="s">
        <v>4729</v>
      </c>
      <c r="AD397" s="24" t="s">
        <v>4730</v>
      </c>
      <c r="AE397" s="24" t="s">
        <v>4731</v>
      </c>
      <c r="AF397" s="24" t="s">
        <v>168</v>
      </c>
      <c r="AG397" s="24" t="s">
        <v>168</v>
      </c>
      <c r="AH397" s="24" t="s">
        <v>941</v>
      </c>
      <c r="AI397" s="25" t="n">
        <f aca="false">COUNTIF($B$2:$B$740,B397)</f>
        <v>1</v>
      </c>
    </row>
    <row r="398" customFormat="false" ht="259.2" hidden="false" customHeight="true" outlineLevel="0" collapsed="false">
      <c r="A398" s="26" t="n">
        <v>397</v>
      </c>
      <c r="B398" s="27" t="s">
        <v>4732</v>
      </c>
      <c r="C398" s="24" t="s">
        <v>9</v>
      </c>
      <c r="D398" s="24" t="s">
        <v>96</v>
      </c>
      <c r="E398" s="24" t="s">
        <v>3459</v>
      </c>
      <c r="F398" s="24" t="s">
        <v>59</v>
      </c>
      <c r="G398" s="24" t="s">
        <v>98</v>
      </c>
      <c r="H398" s="24" t="s">
        <v>3460</v>
      </c>
      <c r="I398" s="24" t="s">
        <v>4244</v>
      </c>
      <c r="J398" s="24" t="s">
        <v>4733</v>
      </c>
      <c r="K398" s="24" t="s">
        <v>4560</v>
      </c>
      <c r="L398" s="24" t="s">
        <v>1183</v>
      </c>
      <c r="M398" s="24" t="s">
        <v>4734</v>
      </c>
      <c r="N398" s="24"/>
      <c r="O398" s="24" t="s">
        <v>4735</v>
      </c>
      <c r="P398" s="24" t="s">
        <v>4736</v>
      </c>
      <c r="Q398" s="24" t="s">
        <v>4737</v>
      </c>
      <c r="R398" s="24" t="s">
        <v>4738</v>
      </c>
      <c r="S398" s="24" t="s">
        <v>4739</v>
      </c>
      <c r="T398" s="24" t="s">
        <v>3540</v>
      </c>
      <c r="U398" s="24"/>
      <c r="V398" s="24"/>
      <c r="W398" s="24"/>
      <c r="X398" s="24"/>
      <c r="Y398" s="24" t="s">
        <v>4740</v>
      </c>
      <c r="Z398" s="24"/>
      <c r="AA398" s="24" t="s">
        <v>4741</v>
      </c>
      <c r="AB398" s="25" t="n">
        <v>70</v>
      </c>
      <c r="AC398" s="24" t="s">
        <v>4742</v>
      </c>
      <c r="AD398" s="24" t="s">
        <v>4743</v>
      </c>
      <c r="AE398" s="24" t="s">
        <v>4744</v>
      </c>
      <c r="AF398" s="24" t="s">
        <v>168</v>
      </c>
      <c r="AG398" s="24" t="s">
        <v>168</v>
      </c>
      <c r="AH398" s="24" t="s">
        <v>1050</v>
      </c>
      <c r="AI398" s="25" t="n">
        <f aca="false">COUNTIF($B$2:$B$740,B398)</f>
        <v>1</v>
      </c>
    </row>
    <row r="399" customFormat="false" ht="144" hidden="false" customHeight="true" outlineLevel="0" collapsed="false">
      <c r="A399" s="26" t="n">
        <v>398</v>
      </c>
      <c r="B399" s="27" t="s">
        <v>4745</v>
      </c>
      <c r="C399" s="24" t="s">
        <v>9</v>
      </c>
      <c r="D399" s="24" t="s">
        <v>96</v>
      </c>
      <c r="E399" s="24" t="s">
        <v>3459</v>
      </c>
      <c r="F399" s="24" t="s">
        <v>59</v>
      </c>
      <c r="G399" s="24" t="s">
        <v>98</v>
      </c>
      <c r="H399" s="24" t="s">
        <v>3460</v>
      </c>
      <c r="I399" s="24" t="s">
        <v>4244</v>
      </c>
      <c r="J399" s="24" t="s">
        <v>4746</v>
      </c>
      <c r="K399" s="24" t="s">
        <v>4560</v>
      </c>
      <c r="L399" s="24" t="s">
        <v>1183</v>
      </c>
      <c r="M399" s="24" t="s">
        <v>4734</v>
      </c>
      <c r="N399" s="24"/>
      <c r="O399" s="24" t="s">
        <v>4747</v>
      </c>
      <c r="P399" s="24" t="s">
        <v>4748</v>
      </c>
      <c r="Q399" s="24" t="s">
        <v>4749</v>
      </c>
      <c r="R399" s="24" t="s">
        <v>4750</v>
      </c>
      <c r="S399" s="24" t="s">
        <v>4751</v>
      </c>
      <c r="T399" s="24" t="s">
        <v>4752</v>
      </c>
      <c r="U399" s="24"/>
      <c r="V399" s="24" t="s">
        <v>4753</v>
      </c>
      <c r="W399" s="24"/>
      <c r="X399" s="24" t="s">
        <v>4754</v>
      </c>
      <c r="Y399" s="24"/>
      <c r="Z399" s="24"/>
      <c r="AA399" s="24" t="s">
        <v>4755</v>
      </c>
      <c r="AB399" s="25" t="n">
        <v>70</v>
      </c>
      <c r="AC399" s="24" t="s">
        <v>4756</v>
      </c>
      <c r="AD399" s="24" t="s">
        <v>4757</v>
      </c>
      <c r="AE399" s="24" t="s">
        <v>4758</v>
      </c>
      <c r="AF399" s="24" t="s">
        <v>168</v>
      </c>
      <c r="AG399" s="24" t="s">
        <v>168</v>
      </c>
      <c r="AH399" s="24" t="s">
        <v>1050</v>
      </c>
      <c r="AI399" s="25" t="n">
        <f aca="false">COUNTIF($B$2:$B$740,B399)</f>
        <v>1</v>
      </c>
    </row>
    <row r="400" customFormat="false" ht="76" hidden="false" customHeight="true" outlineLevel="0" collapsed="false">
      <c r="A400" s="21" t="n">
        <v>399</v>
      </c>
      <c r="B400" s="22" t="s">
        <v>4759</v>
      </c>
      <c r="C400" s="23" t="s">
        <v>9</v>
      </c>
      <c r="D400" s="23" t="s">
        <v>96</v>
      </c>
      <c r="E400" s="23" t="s">
        <v>3459</v>
      </c>
      <c r="F400" s="24" t="s">
        <v>59</v>
      </c>
      <c r="G400" s="24" t="s">
        <v>98</v>
      </c>
      <c r="H400" s="24" t="s">
        <v>3460</v>
      </c>
      <c r="I400" s="24" t="s">
        <v>4244</v>
      </c>
      <c r="J400" s="24" t="s">
        <v>4760</v>
      </c>
      <c r="K400" s="24" t="s">
        <v>4560</v>
      </c>
      <c r="L400" s="24" t="s">
        <v>531</v>
      </c>
      <c r="M400" s="24" t="s">
        <v>4761</v>
      </c>
      <c r="N400" s="24"/>
      <c r="O400" s="24" t="s">
        <v>4762</v>
      </c>
      <c r="P400" s="24" t="s">
        <v>4763</v>
      </c>
      <c r="Q400" s="24" t="s">
        <v>4764</v>
      </c>
      <c r="R400" s="24" t="s">
        <v>4765</v>
      </c>
      <c r="S400" s="24" t="s">
        <v>4766</v>
      </c>
      <c r="T400" s="24" t="s">
        <v>4767</v>
      </c>
      <c r="U400" s="24"/>
      <c r="V400" s="24"/>
      <c r="W400" s="24"/>
      <c r="X400" s="24"/>
      <c r="Y400" s="24" t="s">
        <v>4768</v>
      </c>
      <c r="Z400" s="24" t="s">
        <v>4769</v>
      </c>
      <c r="AA400" s="24"/>
      <c r="AB400" s="25" t="n">
        <v>30</v>
      </c>
      <c r="AC400" s="24" t="s">
        <v>4770</v>
      </c>
      <c r="AD400" s="24" t="s">
        <v>4771</v>
      </c>
      <c r="AE400" s="24" t="s">
        <v>4772</v>
      </c>
      <c r="AF400" s="24" t="s">
        <v>115</v>
      </c>
      <c r="AG400" s="24" t="s">
        <v>168</v>
      </c>
      <c r="AH400" s="24"/>
      <c r="AI400" s="25" t="n">
        <f aca="false">COUNTIF($B$2:$B$740,B400)</f>
        <v>1</v>
      </c>
    </row>
    <row r="401" customFormat="false" ht="76" hidden="false" customHeight="true" outlineLevel="0" collapsed="false">
      <c r="A401" s="21" t="n">
        <v>400</v>
      </c>
      <c r="B401" s="22" t="s">
        <v>4773</v>
      </c>
      <c r="C401" s="23" t="s">
        <v>9</v>
      </c>
      <c r="D401" s="23" t="s">
        <v>96</v>
      </c>
      <c r="E401" s="23" t="s">
        <v>3459</v>
      </c>
      <c r="F401" s="24" t="s">
        <v>59</v>
      </c>
      <c r="G401" s="24" t="s">
        <v>98</v>
      </c>
      <c r="H401" s="24" t="s">
        <v>3460</v>
      </c>
      <c r="I401" s="24" t="s">
        <v>4244</v>
      </c>
      <c r="J401" s="24" t="s">
        <v>4774</v>
      </c>
      <c r="K401" s="24" t="s">
        <v>4560</v>
      </c>
      <c r="L401" s="24" t="s">
        <v>531</v>
      </c>
      <c r="M401" s="24" t="s">
        <v>4775</v>
      </c>
      <c r="N401" s="24"/>
      <c r="O401" s="24" t="s">
        <v>4776</v>
      </c>
      <c r="P401" s="24" t="s">
        <v>4777</v>
      </c>
      <c r="Q401" s="24" t="s">
        <v>4778</v>
      </c>
      <c r="R401" s="24" t="s">
        <v>4779</v>
      </c>
      <c r="S401" s="24" t="s">
        <v>4780</v>
      </c>
      <c r="T401" s="24" t="s">
        <v>4781</v>
      </c>
      <c r="U401" s="24"/>
      <c r="V401" s="24"/>
      <c r="W401" s="24"/>
      <c r="X401" s="24"/>
      <c r="Y401" s="24" t="s">
        <v>4782</v>
      </c>
      <c r="Z401" s="24" t="s">
        <v>4783</v>
      </c>
      <c r="AA401" s="24"/>
      <c r="AB401" s="25" t="n">
        <v>30</v>
      </c>
      <c r="AC401" s="24" t="s">
        <v>4784</v>
      </c>
      <c r="AD401" s="24" t="s">
        <v>4785</v>
      </c>
      <c r="AE401" s="24" t="s">
        <v>1327</v>
      </c>
      <c r="AF401" s="24" t="s">
        <v>115</v>
      </c>
      <c r="AG401" s="24" t="s">
        <v>168</v>
      </c>
      <c r="AH401" s="24"/>
      <c r="AI401" s="25" t="n">
        <f aca="false">COUNTIF($B$2:$B$740,B401)</f>
        <v>1</v>
      </c>
    </row>
    <row r="402" customFormat="false" ht="76" hidden="false" customHeight="true" outlineLevel="0" collapsed="false">
      <c r="A402" s="21" t="n">
        <v>401</v>
      </c>
      <c r="B402" s="22" t="s">
        <v>4786</v>
      </c>
      <c r="C402" s="23" t="s">
        <v>9</v>
      </c>
      <c r="D402" s="23" t="s">
        <v>96</v>
      </c>
      <c r="E402" s="23" t="s">
        <v>3459</v>
      </c>
      <c r="F402" s="24" t="s">
        <v>59</v>
      </c>
      <c r="G402" s="24" t="s">
        <v>98</v>
      </c>
      <c r="H402" s="24" t="s">
        <v>3460</v>
      </c>
      <c r="I402" s="24" t="s">
        <v>4244</v>
      </c>
      <c r="J402" s="24" t="s">
        <v>4787</v>
      </c>
      <c r="K402" s="24" t="s">
        <v>4560</v>
      </c>
      <c r="L402" s="24" t="s">
        <v>531</v>
      </c>
      <c r="M402" s="24" t="s">
        <v>4788</v>
      </c>
      <c r="N402" s="24"/>
      <c r="O402" s="24" t="s">
        <v>4789</v>
      </c>
      <c r="P402" s="24" t="s">
        <v>4790</v>
      </c>
      <c r="Q402" s="24" t="s">
        <v>4791</v>
      </c>
      <c r="R402" s="24" t="s">
        <v>4792</v>
      </c>
      <c r="S402" s="24" t="s">
        <v>4790</v>
      </c>
      <c r="T402" s="24" t="s">
        <v>4793</v>
      </c>
      <c r="U402" s="24"/>
      <c r="V402" s="24"/>
      <c r="W402" s="24"/>
      <c r="X402" s="24" t="s">
        <v>4794</v>
      </c>
      <c r="Y402" s="24" t="s">
        <v>4795</v>
      </c>
      <c r="Z402" s="24" t="s">
        <v>4789</v>
      </c>
      <c r="AA402" s="24" t="s">
        <v>4796</v>
      </c>
      <c r="AB402" s="25" t="n">
        <v>100</v>
      </c>
      <c r="AC402" s="24" t="s">
        <v>4797</v>
      </c>
      <c r="AD402" s="24" t="s">
        <v>4798</v>
      </c>
      <c r="AE402" s="24" t="s">
        <v>562</v>
      </c>
      <c r="AF402" s="24" t="s">
        <v>115</v>
      </c>
      <c r="AG402" s="24" t="s">
        <v>168</v>
      </c>
      <c r="AH402" s="24" t="s">
        <v>545</v>
      </c>
      <c r="AI402" s="25" t="n">
        <f aca="false">COUNTIF($B$2:$B$740,B402)</f>
        <v>1</v>
      </c>
    </row>
    <row r="403" customFormat="false" ht="67.2" hidden="false" customHeight="true" outlineLevel="0" collapsed="false">
      <c r="A403" s="26" t="n">
        <v>402</v>
      </c>
      <c r="B403" s="27" t="s">
        <v>4799</v>
      </c>
      <c r="C403" s="24" t="s">
        <v>9</v>
      </c>
      <c r="D403" s="24" t="s">
        <v>96</v>
      </c>
      <c r="E403" s="24" t="s">
        <v>3459</v>
      </c>
      <c r="F403" s="24" t="s">
        <v>59</v>
      </c>
      <c r="G403" s="24" t="s">
        <v>98</v>
      </c>
      <c r="H403" s="24" t="s">
        <v>3460</v>
      </c>
      <c r="I403" s="24" t="s">
        <v>4244</v>
      </c>
      <c r="J403" s="24" t="s">
        <v>4800</v>
      </c>
      <c r="K403" s="24" t="s">
        <v>4560</v>
      </c>
      <c r="L403" s="24" t="s">
        <v>531</v>
      </c>
      <c r="M403" s="24" t="s">
        <v>4801</v>
      </c>
      <c r="N403" s="24"/>
      <c r="O403" s="24" t="s">
        <v>4802</v>
      </c>
      <c r="P403" s="24" t="s">
        <v>4803</v>
      </c>
      <c r="Q403" s="24" t="s">
        <v>4804</v>
      </c>
      <c r="R403" s="24" t="s">
        <v>4805</v>
      </c>
      <c r="S403" s="24" t="s">
        <v>4806</v>
      </c>
      <c r="T403" s="24" t="s">
        <v>4807</v>
      </c>
      <c r="U403" s="24" t="s">
        <v>4808</v>
      </c>
      <c r="V403" s="24"/>
      <c r="W403" s="24"/>
      <c r="X403" s="24" t="s">
        <v>4809</v>
      </c>
      <c r="Y403" s="24" t="s">
        <v>4810</v>
      </c>
      <c r="Z403" s="24"/>
      <c r="AA403" s="24"/>
      <c r="AB403" s="25" t="n">
        <v>80</v>
      </c>
      <c r="AC403" s="24" t="s">
        <v>4811</v>
      </c>
      <c r="AD403" s="24" t="s">
        <v>4812</v>
      </c>
      <c r="AE403" s="24" t="s">
        <v>4813</v>
      </c>
      <c r="AF403" s="24" t="s">
        <v>168</v>
      </c>
      <c r="AG403" s="24" t="s">
        <v>168</v>
      </c>
      <c r="AH403" s="24" t="s">
        <v>941</v>
      </c>
      <c r="AI403" s="25" t="n">
        <f aca="false">COUNTIF($B$2:$B$740,B403)</f>
        <v>1</v>
      </c>
    </row>
    <row r="404" customFormat="false" ht="76" hidden="false" customHeight="true" outlineLevel="0" collapsed="false">
      <c r="A404" s="21" t="n">
        <v>403</v>
      </c>
      <c r="B404" s="22" t="s">
        <v>4814</v>
      </c>
      <c r="C404" s="23" t="s">
        <v>9</v>
      </c>
      <c r="D404" s="23" t="s">
        <v>96</v>
      </c>
      <c r="E404" s="23" t="s">
        <v>3459</v>
      </c>
      <c r="F404" s="24" t="s">
        <v>59</v>
      </c>
      <c r="G404" s="24" t="s">
        <v>98</v>
      </c>
      <c r="H404" s="24" t="s">
        <v>3460</v>
      </c>
      <c r="I404" s="24" t="s">
        <v>4244</v>
      </c>
      <c r="J404" s="24" t="s">
        <v>4815</v>
      </c>
      <c r="K404" s="24" t="s">
        <v>4560</v>
      </c>
      <c r="L404" s="24" t="s">
        <v>1183</v>
      </c>
      <c r="M404" s="24" t="s">
        <v>4816</v>
      </c>
      <c r="N404" s="24"/>
      <c r="O404" s="24" t="s">
        <v>4817</v>
      </c>
      <c r="P404" s="24" t="s">
        <v>4818</v>
      </c>
      <c r="Q404" s="24" t="s">
        <v>4819</v>
      </c>
      <c r="R404" s="24" t="s">
        <v>4820</v>
      </c>
      <c r="S404" s="24" t="s">
        <v>4821</v>
      </c>
      <c r="T404" s="24" t="s">
        <v>4822</v>
      </c>
      <c r="U404" s="24" t="s">
        <v>4823</v>
      </c>
      <c r="V404" s="24" t="s">
        <v>4824</v>
      </c>
      <c r="W404" s="24"/>
      <c r="X404" s="24"/>
      <c r="Y404" s="24" t="s">
        <v>4825</v>
      </c>
      <c r="Z404" s="24"/>
      <c r="AA404" s="24" t="s">
        <v>4826</v>
      </c>
      <c r="AB404" s="25" t="n">
        <v>30</v>
      </c>
      <c r="AC404" s="24" t="s">
        <v>4827</v>
      </c>
      <c r="AD404" s="24" t="s">
        <v>4828</v>
      </c>
      <c r="AE404" s="24"/>
      <c r="AF404" s="24" t="s">
        <v>115</v>
      </c>
      <c r="AG404" s="24" t="s">
        <v>168</v>
      </c>
      <c r="AH404" s="24"/>
      <c r="AI404" s="25" t="n">
        <f aca="false">COUNTIF($B$2:$B$740,B404)</f>
        <v>1</v>
      </c>
    </row>
    <row r="405" customFormat="false" ht="76" hidden="false" customHeight="true" outlineLevel="0" collapsed="false">
      <c r="A405" s="21" t="n">
        <v>404</v>
      </c>
      <c r="B405" s="22" t="s">
        <v>4829</v>
      </c>
      <c r="C405" s="23" t="s">
        <v>9</v>
      </c>
      <c r="D405" s="23" t="s">
        <v>96</v>
      </c>
      <c r="E405" s="23" t="s">
        <v>3459</v>
      </c>
      <c r="F405" s="24" t="s">
        <v>59</v>
      </c>
      <c r="G405" s="24" t="s">
        <v>98</v>
      </c>
      <c r="H405" s="24" t="s">
        <v>3460</v>
      </c>
      <c r="I405" s="24" t="s">
        <v>4244</v>
      </c>
      <c r="J405" s="24" t="s">
        <v>4830</v>
      </c>
      <c r="K405" s="24" t="s">
        <v>4560</v>
      </c>
      <c r="L405" s="24" t="s">
        <v>531</v>
      </c>
      <c r="M405" s="24" t="s">
        <v>4831</v>
      </c>
      <c r="N405" s="24"/>
      <c r="O405" s="24" t="s">
        <v>4832</v>
      </c>
      <c r="P405" s="24" t="s">
        <v>4833</v>
      </c>
      <c r="Q405" s="24" t="s">
        <v>4834</v>
      </c>
      <c r="R405" s="24" t="s">
        <v>4835</v>
      </c>
      <c r="S405" s="24" t="s">
        <v>4836</v>
      </c>
      <c r="T405" s="24" t="s">
        <v>4837</v>
      </c>
      <c r="U405" s="24" t="s">
        <v>4838</v>
      </c>
      <c r="V405" s="24" t="s">
        <v>4839</v>
      </c>
      <c r="W405" s="24"/>
      <c r="X405" s="24" t="s">
        <v>4840</v>
      </c>
      <c r="Y405" s="24" t="s">
        <v>4838</v>
      </c>
      <c r="Z405" s="24"/>
      <c r="AA405" s="24" t="s">
        <v>4841</v>
      </c>
      <c r="AB405" s="25" t="n">
        <v>30</v>
      </c>
      <c r="AC405" s="24" t="s">
        <v>4842</v>
      </c>
      <c r="AD405" s="24" t="s">
        <v>4843</v>
      </c>
      <c r="AE405" s="24"/>
      <c r="AF405" s="24" t="s">
        <v>115</v>
      </c>
      <c r="AG405" s="24" t="s">
        <v>168</v>
      </c>
      <c r="AH405" s="24"/>
      <c r="AI405" s="25" t="n">
        <f aca="false">COUNTIF($B$2:$B$740,B405)</f>
        <v>1</v>
      </c>
    </row>
    <row r="406" customFormat="false" ht="48" hidden="false" customHeight="true" outlineLevel="0" collapsed="false">
      <c r="A406" s="26" t="n">
        <v>405</v>
      </c>
      <c r="B406" s="27" t="s">
        <v>4844</v>
      </c>
      <c r="C406" s="24" t="s">
        <v>9</v>
      </c>
      <c r="D406" s="24" t="s">
        <v>96</v>
      </c>
      <c r="E406" s="24" t="s">
        <v>3459</v>
      </c>
      <c r="F406" s="24" t="s">
        <v>59</v>
      </c>
      <c r="G406" s="24" t="s">
        <v>98</v>
      </c>
      <c r="H406" s="24" t="s">
        <v>3460</v>
      </c>
      <c r="I406" s="24" t="s">
        <v>4244</v>
      </c>
      <c r="J406" s="24" t="s">
        <v>4845</v>
      </c>
      <c r="K406" s="24" t="s">
        <v>4560</v>
      </c>
      <c r="L406" s="24" t="s">
        <v>1183</v>
      </c>
      <c r="M406" s="24" t="s">
        <v>1195</v>
      </c>
      <c r="N406" s="24" t="s">
        <v>4846</v>
      </c>
      <c r="O406" s="24" t="s">
        <v>4847</v>
      </c>
      <c r="P406" s="24" t="s">
        <v>4848</v>
      </c>
      <c r="Q406" s="24" t="s">
        <v>4849</v>
      </c>
      <c r="R406" s="24" t="s">
        <v>4850</v>
      </c>
      <c r="S406" s="24" t="s">
        <v>4851</v>
      </c>
      <c r="T406" s="24" t="s">
        <v>4852</v>
      </c>
      <c r="U406" s="24" t="s">
        <v>4853</v>
      </c>
      <c r="V406" s="24" t="s">
        <v>4854</v>
      </c>
      <c r="W406" s="24" t="s">
        <v>4855</v>
      </c>
      <c r="X406" s="24" t="s">
        <v>4856</v>
      </c>
      <c r="Y406" s="24" t="s">
        <v>4847</v>
      </c>
      <c r="Z406" s="24"/>
      <c r="AA406" s="24"/>
      <c r="AB406" s="25" t="n">
        <v>80</v>
      </c>
      <c r="AC406" s="24" t="s">
        <v>4857</v>
      </c>
      <c r="AD406" s="24" t="s">
        <v>4858</v>
      </c>
      <c r="AE406" s="24" t="s">
        <v>4859</v>
      </c>
      <c r="AF406" s="24" t="s">
        <v>168</v>
      </c>
      <c r="AG406" s="24" t="s">
        <v>168</v>
      </c>
      <c r="AH406" s="24" t="s">
        <v>941</v>
      </c>
      <c r="AI406" s="25" t="n">
        <f aca="false">COUNTIF($B$2:$B$740,B406)</f>
        <v>1</v>
      </c>
    </row>
    <row r="407" customFormat="false" ht="76" hidden="false" customHeight="true" outlineLevel="0" collapsed="false">
      <c r="A407" s="21" t="n">
        <v>406</v>
      </c>
      <c r="B407" s="22" t="s">
        <v>2656</v>
      </c>
      <c r="C407" s="23" t="s">
        <v>9</v>
      </c>
      <c r="D407" s="23" t="s">
        <v>96</v>
      </c>
      <c r="E407" s="23" t="s">
        <v>3459</v>
      </c>
      <c r="F407" s="24" t="s">
        <v>59</v>
      </c>
      <c r="G407" s="24" t="s">
        <v>98</v>
      </c>
      <c r="H407" s="24" t="s">
        <v>3460</v>
      </c>
      <c r="I407" s="24" t="s">
        <v>4860</v>
      </c>
      <c r="J407" s="24" t="s">
        <v>4861</v>
      </c>
      <c r="K407" s="24" t="s">
        <v>4862</v>
      </c>
      <c r="L407" s="24" t="s">
        <v>531</v>
      </c>
      <c r="M407" s="24" t="s">
        <v>4863</v>
      </c>
      <c r="N407" s="24"/>
      <c r="O407" s="24" t="s">
        <v>4864</v>
      </c>
      <c r="P407" s="24" t="s">
        <v>4865</v>
      </c>
      <c r="Q407" s="24" t="s">
        <v>4866</v>
      </c>
      <c r="R407" s="24" t="s">
        <v>4867</v>
      </c>
      <c r="S407" s="24" t="s">
        <v>4868</v>
      </c>
      <c r="T407" s="24" t="s">
        <v>3540</v>
      </c>
      <c r="U407" s="24"/>
      <c r="V407" s="24"/>
      <c r="W407" s="24" t="s">
        <v>4869</v>
      </c>
      <c r="X407" s="24"/>
      <c r="Y407" s="24" t="s">
        <v>4870</v>
      </c>
      <c r="Z407" s="24" t="s">
        <v>4871</v>
      </c>
      <c r="AA407" s="24"/>
      <c r="AB407" s="25" t="n">
        <v>40</v>
      </c>
      <c r="AC407" s="24" t="s">
        <v>4872</v>
      </c>
      <c r="AD407" s="24" t="s">
        <v>4873</v>
      </c>
      <c r="AE407" s="24" t="s">
        <v>4874</v>
      </c>
      <c r="AF407" s="24" t="s">
        <v>115</v>
      </c>
      <c r="AG407" s="24" t="s">
        <v>168</v>
      </c>
      <c r="AH407" s="24"/>
      <c r="AI407" s="25" t="n">
        <f aca="false">COUNTIF($B$2:$B$740,B407)</f>
        <v>1</v>
      </c>
    </row>
    <row r="408" customFormat="false" ht="76" hidden="false" customHeight="true" outlineLevel="0" collapsed="false">
      <c r="A408" s="21" t="n">
        <v>407</v>
      </c>
      <c r="B408" s="22" t="s">
        <v>4875</v>
      </c>
      <c r="C408" s="23" t="s">
        <v>9</v>
      </c>
      <c r="D408" s="23" t="s">
        <v>96</v>
      </c>
      <c r="E408" s="23" t="s">
        <v>3459</v>
      </c>
      <c r="F408" s="24" t="s">
        <v>59</v>
      </c>
      <c r="G408" s="24" t="s">
        <v>98</v>
      </c>
      <c r="H408" s="24" t="s">
        <v>3460</v>
      </c>
      <c r="I408" s="24" t="s">
        <v>4860</v>
      </c>
      <c r="J408" s="24" t="s">
        <v>4876</v>
      </c>
      <c r="K408" s="24" t="s">
        <v>4862</v>
      </c>
      <c r="L408" s="24" t="s">
        <v>531</v>
      </c>
      <c r="M408" s="24" t="s">
        <v>4877</v>
      </c>
      <c r="N408" s="24"/>
      <c r="O408" s="24" t="s">
        <v>4878</v>
      </c>
      <c r="P408" s="24" t="s">
        <v>4879</v>
      </c>
      <c r="Q408" s="24" t="s">
        <v>4880</v>
      </c>
      <c r="R408" s="24" t="s">
        <v>4881</v>
      </c>
      <c r="S408" s="24" t="s">
        <v>4882</v>
      </c>
      <c r="T408" s="24" t="s">
        <v>4879</v>
      </c>
      <c r="U408" s="24"/>
      <c r="V408" s="24"/>
      <c r="W408" s="24"/>
      <c r="X408" s="24" t="s">
        <v>4883</v>
      </c>
      <c r="Y408" s="24" t="s">
        <v>4884</v>
      </c>
      <c r="Z408" s="24"/>
      <c r="AA408" s="24" t="s">
        <v>4885</v>
      </c>
      <c r="AB408" s="25" t="n">
        <v>40</v>
      </c>
      <c r="AC408" s="24" t="s">
        <v>4886</v>
      </c>
      <c r="AD408" s="24" t="s">
        <v>4887</v>
      </c>
      <c r="AE408" s="24"/>
      <c r="AF408" s="24" t="s">
        <v>115</v>
      </c>
      <c r="AG408" s="24" t="s">
        <v>168</v>
      </c>
      <c r="AH408" s="24"/>
      <c r="AI408" s="25" t="n">
        <f aca="false">COUNTIF($B$2:$B$740,B408)</f>
        <v>1</v>
      </c>
    </row>
    <row r="409" customFormat="false" ht="182.4" hidden="false" customHeight="true" outlineLevel="0" collapsed="false">
      <c r="A409" s="26" t="n">
        <v>408</v>
      </c>
      <c r="B409" s="27" t="s">
        <v>4888</v>
      </c>
      <c r="C409" s="24" t="s">
        <v>9</v>
      </c>
      <c r="D409" s="24" t="s">
        <v>96</v>
      </c>
      <c r="E409" s="24" t="s">
        <v>3459</v>
      </c>
      <c r="F409" s="24" t="s">
        <v>55</v>
      </c>
      <c r="G409" s="24" t="s">
        <v>1396</v>
      </c>
      <c r="H409" s="24" t="s">
        <v>3460</v>
      </c>
      <c r="I409" s="24" t="s">
        <v>4860</v>
      </c>
      <c r="J409" s="24" t="s">
        <v>4889</v>
      </c>
      <c r="K409" s="24" t="s">
        <v>4862</v>
      </c>
      <c r="L409" s="24" t="s">
        <v>119</v>
      </c>
      <c r="M409" s="24" t="s">
        <v>4890</v>
      </c>
      <c r="N409" s="24"/>
      <c r="O409" s="24" t="s">
        <v>4891</v>
      </c>
      <c r="P409" s="24" t="s">
        <v>4892</v>
      </c>
      <c r="Q409" s="24" t="s">
        <v>4893</v>
      </c>
      <c r="R409" s="24" t="s">
        <v>4894</v>
      </c>
      <c r="S409" s="24" t="s">
        <v>4892</v>
      </c>
      <c r="T409" s="24" t="s">
        <v>3540</v>
      </c>
      <c r="U409" s="24"/>
      <c r="V409" s="24" t="s">
        <v>4895</v>
      </c>
      <c r="W409" s="24" t="s">
        <v>4896</v>
      </c>
      <c r="X409" s="24"/>
      <c r="Y409" s="24" t="s">
        <v>4897</v>
      </c>
      <c r="Z409" s="24"/>
      <c r="AA409" s="24"/>
      <c r="AB409" s="25" t="n">
        <v>60</v>
      </c>
      <c r="AC409" s="24" t="s">
        <v>4898</v>
      </c>
      <c r="AD409" s="24" t="s">
        <v>4899</v>
      </c>
      <c r="AE409" s="24" t="s">
        <v>4900</v>
      </c>
      <c r="AF409" s="24" t="s">
        <v>168</v>
      </c>
      <c r="AG409" s="24" t="s">
        <v>168</v>
      </c>
      <c r="AH409" s="24" t="s">
        <v>228</v>
      </c>
      <c r="AI409" s="25" t="n">
        <f aca="false">COUNTIF($B$2:$B$740,B409)</f>
        <v>1</v>
      </c>
    </row>
    <row r="410" customFormat="false" ht="163.2" hidden="false" customHeight="true" outlineLevel="0" collapsed="false">
      <c r="A410" s="26" t="n">
        <v>409</v>
      </c>
      <c r="B410" s="27" t="s">
        <v>4901</v>
      </c>
      <c r="C410" s="24" t="s">
        <v>9</v>
      </c>
      <c r="D410" s="24" t="s">
        <v>96</v>
      </c>
      <c r="E410" s="24" t="s">
        <v>3459</v>
      </c>
      <c r="F410" s="24" t="s">
        <v>59</v>
      </c>
      <c r="G410" s="24" t="s">
        <v>98</v>
      </c>
      <c r="H410" s="24" t="s">
        <v>3460</v>
      </c>
      <c r="I410" s="24" t="s">
        <v>4860</v>
      </c>
      <c r="J410" s="24" t="s">
        <v>4902</v>
      </c>
      <c r="K410" s="24" t="s">
        <v>4862</v>
      </c>
      <c r="L410" s="24" t="s">
        <v>531</v>
      </c>
      <c r="M410" s="24" t="s">
        <v>4903</v>
      </c>
      <c r="N410" s="24"/>
      <c r="O410" s="24" t="s">
        <v>4904</v>
      </c>
      <c r="P410" s="24" t="s">
        <v>4905</v>
      </c>
      <c r="Q410" s="24" t="s">
        <v>4906</v>
      </c>
      <c r="R410" s="24" t="s">
        <v>4907</v>
      </c>
      <c r="S410" s="24" t="s">
        <v>4908</v>
      </c>
      <c r="T410" s="24" t="s">
        <v>4909</v>
      </c>
      <c r="U410" s="24"/>
      <c r="V410" s="24" t="s">
        <v>4895</v>
      </c>
      <c r="W410" s="24" t="s">
        <v>4910</v>
      </c>
      <c r="X410" s="24" t="s">
        <v>4911</v>
      </c>
      <c r="Y410" s="24" t="s">
        <v>4912</v>
      </c>
      <c r="Z410" s="24"/>
      <c r="AA410" s="24"/>
      <c r="AB410" s="25" t="n">
        <v>60</v>
      </c>
      <c r="AC410" s="24" t="s">
        <v>4913</v>
      </c>
      <c r="AD410" s="24" t="s">
        <v>4914</v>
      </c>
      <c r="AE410" s="24" t="s">
        <v>4915</v>
      </c>
      <c r="AF410" s="24" t="s">
        <v>168</v>
      </c>
      <c r="AG410" s="24" t="s">
        <v>168</v>
      </c>
      <c r="AH410" s="24" t="s">
        <v>228</v>
      </c>
      <c r="AI410" s="25" t="n">
        <f aca="false">COUNTIF($B$2:$B$740,B410)</f>
        <v>1</v>
      </c>
    </row>
    <row r="411" customFormat="false" ht="76" hidden="false" customHeight="true" outlineLevel="0" collapsed="false">
      <c r="A411" s="21" t="n">
        <v>410</v>
      </c>
      <c r="B411" s="22" t="s">
        <v>4916</v>
      </c>
      <c r="C411" s="23" t="s">
        <v>9</v>
      </c>
      <c r="D411" s="23" t="s">
        <v>96</v>
      </c>
      <c r="E411" s="23" t="s">
        <v>3459</v>
      </c>
      <c r="F411" s="24" t="s">
        <v>55</v>
      </c>
      <c r="G411" s="24" t="s">
        <v>1396</v>
      </c>
      <c r="H411" s="24" t="s">
        <v>3460</v>
      </c>
      <c r="I411" s="24" t="s">
        <v>4860</v>
      </c>
      <c r="J411" s="24" t="s">
        <v>4917</v>
      </c>
      <c r="K411" s="24" t="s">
        <v>4862</v>
      </c>
      <c r="L411" s="24" t="s">
        <v>1183</v>
      </c>
      <c r="M411" s="24" t="s">
        <v>4918</v>
      </c>
      <c r="N411" s="24"/>
      <c r="O411" s="24" t="s">
        <v>4919</v>
      </c>
      <c r="P411" s="24" t="s">
        <v>4920</v>
      </c>
      <c r="Q411" s="24" t="s">
        <v>4921</v>
      </c>
      <c r="R411" s="24" t="s">
        <v>4922</v>
      </c>
      <c r="S411" s="24" t="s">
        <v>4923</v>
      </c>
      <c r="T411" s="24" t="s">
        <v>4924</v>
      </c>
      <c r="U411" s="24"/>
      <c r="V411" s="24"/>
      <c r="W411" s="24"/>
      <c r="X411" s="24"/>
      <c r="Y411" s="24" t="s">
        <v>4925</v>
      </c>
      <c r="Z411" s="24"/>
      <c r="AA411" s="24" t="s">
        <v>4926</v>
      </c>
      <c r="AB411" s="25" t="n">
        <v>40</v>
      </c>
      <c r="AC411" s="24" t="s">
        <v>4927</v>
      </c>
      <c r="AD411" s="24" t="s">
        <v>4928</v>
      </c>
      <c r="AE411" s="24"/>
      <c r="AF411" s="24" t="s">
        <v>115</v>
      </c>
      <c r="AG411" s="24" t="s">
        <v>168</v>
      </c>
      <c r="AH411" s="24"/>
      <c r="AI411" s="25" t="n">
        <f aca="false">COUNTIF($B$2:$B$740,B411)</f>
        <v>1</v>
      </c>
    </row>
    <row r="412" customFormat="false" ht="76" hidden="false" customHeight="true" outlineLevel="0" collapsed="false">
      <c r="A412" s="21" t="n">
        <v>411</v>
      </c>
      <c r="B412" s="22" t="s">
        <v>4929</v>
      </c>
      <c r="C412" s="23" t="s">
        <v>9</v>
      </c>
      <c r="D412" s="23" t="s">
        <v>96</v>
      </c>
      <c r="E412" s="23" t="s">
        <v>3459</v>
      </c>
      <c r="F412" s="24" t="s">
        <v>59</v>
      </c>
      <c r="G412" s="24" t="s">
        <v>98</v>
      </c>
      <c r="H412" s="24" t="s">
        <v>3460</v>
      </c>
      <c r="I412" s="24" t="s">
        <v>4860</v>
      </c>
      <c r="J412" s="24" t="s">
        <v>4930</v>
      </c>
      <c r="K412" s="24" t="s">
        <v>4862</v>
      </c>
      <c r="L412" s="24" t="s">
        <v>1183</v>
      </c>
      <c r="M412" s="24" t="s">
        <v>4931</v>
      </c>
      <c r="N412" s="24"/>
      <c r="O412" s="24" t="s">
        <v>4932</v>
      </c>
      <c r="P412" s="24" t="s">
        <v>4933</v>
      </c>
      <c r="Q412" s="24" t="s">
        <v>4934</v>
      </c>
      <c r="R412" s="24" t="s">
        <v>4935</v>
      </c>
      <c r="S412" s="24" t="s">
        <v>4936</v>
      </c>
      <c r="T412" s="24" t="s">
        <v>4937</v>
      </c>
      <c r="U412" s="24" t="s">
        <v>4938</v>
      </c>
      <c r="V412" s="24"/>
      <c r="W412" s="24" t="s">
        <v>4939</v>
      </c>
      <c r="X412" s="24"/>
      <c r="Y412" s="24" t="s">
        <v>4940</v>
      </c>
      <c r="Z412" s="24" t="s">
        <v>4941</v>
      </c>
      <c r="AA412" s="24"/>
      <c r="AB412" s="25" t="n">
        <v>40</v>
      </c>
      <c r="AC412" s="24" t="s">
        <v>4942</v>
      </c>
      <c r="AD412" s="24" t="s">
        <v>4943</v>
      </c>
      <c r="AE412" s="24"/>
      <c r="AF412" s="24" t="s">
        <v>115</v>
      </c>
      <c r="AG412" s="24" t="s">
        <v>168</v>
      </c>
      <c r="AH412" s="24"/>
      <c r="AI412" s="25" t="n">
        <f aca="false">COUNTIF($B$2:$B$740,B412)</f>
        <v>1</v>
      </c>
    </row>
    <row r="413" customFormat="false" ht="76" hidden="false" customHeight="true" outlineLevel="0" collapsed="false">
      <c r="A413" s="21" t="n">
        <v>412</v>
      </c>
      <c r="B413" s="22" t="s">
        <v>4944</v>
      </c>
      <c r="C413" s="23" t="s">
        <v>9</v>
      </c>
      <c r="D413" s="23" t="s">
        <v>96</v>
      </c>
      <c r="E413" s="23" t="s">
        <v>3459</v>
      </c>
      <c r="F413" s="24" t="s">
        <v>55</v>
      </c>
      <c r="G413" s="24" t="s">
        <v>1396</v>
      </c>
      <c r="H413" s="24" t="s">
        <v>3460</v>
      </c>
      <c r="I413" s="24" t="s">
        <v>4860</v>
      </c>
      <c r="J413" s="24" t="s">
        <v>4945</v>
      </c>
      <c r="K413" s="24" t="s">
        <v>4862</v>
      </c>
      <c r="L413" s="24" t="s">
        <v>1183</v>
      </c>
      <c r="M413" s="24" t="s">
        <v>1195</v>
      </c>
      <c r="N413" s="24"/>
      <c r="O413" s="24" t="s">
        <v>4946</v>
      </c>
      <c r="P413" s="24" t="s">
        <v>4947</v>
      </c>
      <c r="Q413" s="24" t="s">
        <v>4948</v>
      </c>
      <c r="R413" s="24" t="s">
        <v>4949</v>
      </c>
      <c r="S413" s="24" t="s">
        <v>4950</v>
      </c>
      <c r="T413" s="24" t="s">
        <v>3540</v>
      </c>
      <c r="U413" s="24" t="s">
        <v>4951</v>
      </c>
      <c r="V413" s="24"/>
      <c r="W413" s="24"/>
      <c r="X413" s="24" t="s">
        <v>4946</v>
      </c>
      <c r="Y413" s="24"/>
      <c r="Z413" s="24"/>
      <c r="AA413" s="24"/>
      <c r="AB413" s="25" t="n">
        <v>40</v>
      </c>
      <c r="AC413" s="24" t="s">
        <v>4952</v>
      </c>
      <c r="AD413" s="24" t="s">
        <v>4953</v>
      </c>
      <c r="AE413" s="24"/>
      <c r="AF413" s="24" t="s">
        <v>115</v>
      </c>
      <c r="AG413" s="24" t="s">
        <v>168</v>
      </c>
      <c r="AH413" s="24"/>
      <c r="AI413" s="25" t="n">
        <f aca="false">COUNTIF($B$2:$B$740,B413)</f>
        <v>1</v>
      </c>
    </row>
    <row r="414" customFormat="false" ht="76" hidden="false" customHeight="true" outlineLevel="0" collapsed="false">
      <c r="A414" s="21" t="n">
        <v>413</v>
      </c>
      <c r="B414" s="22" t="s">
        <v>4954</v>
      </c>
      <c r="C414" s="23" t="s">
        <v>9</v>
      </c>
      <c r="D414" s="23" t="s">
        <v>96</v>
      </c>
      <c r="E414" s="23" t="s">
        <v>3459</v>
      </c>
      <c r="F414" s="24" t="s">
        <v>55</v>
      </c>
      <c r="G414" s="24" t="s">
        <v>1396</v>
      </c>
      <c r="H414" s="24" t="s">
        <v>3460</v>
      </c>
      <c r="I414" s="24" t="s">
        <v>4860</v>
      </c>
      <c r="J414" s="24" t="s">
        <v>4955</v>
      </c>
      <c r="K414" s="24" t="s">
        <v>4862</v>
      </c>
      <c r="L414" s="24" t="s">
        <v>1183</v>
      </c>
      <c r="M414" s="24" t="s">
        <v>1195</v>
      </c>
      <c r="N414" s="24"/>
      <c r="O414" s="24" t="s">
        <v>4956</v>
      </c>
      <c r="P414" s="24" t="s">
        <v>4957</v>
      </c>
      <c r="Q414" s="24" t="s">
        <v>4958</v>
      </c>
      <c r="R414" s="24" t="s">
        <v>4959</v>
      </c>
      <c r="S414" s="24" t="s">
        <v>4960</v>
      </c>
      <c r="T414" s="24" t="s">
        <v>4961</v>
      </c>
      <c r="U414" s="24"/>
      <c r="V414" s="24"/>
      <c r="W414" s="24"/>
      <c r="X414" s="24"/>
      <c r="Y414" s="24" t="s">
        <v>4962</v>
      </c>
      <c r="Z414" s="24"/>
      <c r="AA414" s="24"/>
      <c r="AB414" s="25" t="n">
        <v>40</v>
      </c>
      <c r="AC414" s="24" t="s">
        <v>4963</v>
      </c>
      <c r="AD414" s="24" t="s">
        <v>4964</v>
      </c>
      <c r="AE414" s="24"/>
      <c r="AF414" s="24" t="s">
        <v>115</v>
      </c>
      <c r="AG414" s="24" t="s">
        <v>168</v>
      </c>
      <c r="AH414" s="24"/>
      <c r="AI414" s="25" t="n">
        <f aca="false">COUNTIF($B$2:$B$740,B414)</f>
        <v>1</v>
      </c>
    </row>
    <row r="415" customFormat="false" ht="76" hidden="false" customHeight="true" outlineLevel="0" collapsed="false">
      <c r="A415" s="21" t="n">
        <v>414</v>
      </c>
      <c r="B415" s="22" t="s">
        <v>4965</v>
      </c>
      <c r="C415" s="23" t="s">
        <v>9</v>
      </c>
      <c r="D415" s="23" t="s">
        <v>96</v>
      </c>
      <c r="E415" s="23" t="s">
        <v>3459</v>
      </c>
      <c r="F415" s="24" t="s">
        <v>55</v>
      </c>
      <c r="G415" s="24" t="s">
        <v>1396</v>
      </c>
      <c r="H415" s="24" t="s">
        <v>3460</v>
      </c>
      <c r="I415" s="24" t="s">
        <v>4860</v>
      </c>
      <c r="J415" s="24" t="s">
        <v>4966</v>
      </c>
      <c r="K415" s="24" t="s">
        <v>4862</v>
      </c>
      <c r="L415" s="24" t="s">
        <v>1183</v>
      </c>
      <c r="M415" s="24" t="s">
        <v>4967</v>
      </c>
      <c r="N415" s="24"/>
      <c r="O415" s="24" t="s">
        <v>4968</v>
      </c>
      <c r="P415" s="24" t="s">
        <v>4969</v>
      </c>
      <c r="Q415" s="24" t="s">
        <v>4970</v>
      </c>
      <c r="R415" s="24" t="s">
        <v>4971</v>
      </c>
      <c r="S415" s="24" t="s">
        <v>4972</v>
      </c>
      <c r="T415" s="24" t="s">
        <v>4973</v>
      </c>
      <c r="U415" s="24"/>
      <c r="V415" s="24" t="s">
        <v>4974</v>
      </c>
      <c r="W415" s="24"/>
      <c r="X415" s="24"/>
      <c r="Y415" s="24" t="s">
        <v>4975</v>
      </c>
      <c r="Z415" s="24"/>
      <c r="AA415" s="24"/>
      <c r="AB415" s="25" t="n">
        <v>40</v>
      </c>
      <c r="AC415" s="24" t="s">
        <v>4976</v>
      </c>
      <c r="AD415" s="24" t="s">
        <v>4977</v>
      </c>
      <c r="AE415" s="24"/>
      <c r="AF415" s="24" t="s">
        <v>115</v>
      </c>
      <c r="AG415" s="24" t="s">
        <v>168</v>
      </c>
      <c r="AH415" s="24"/>
      <c r="AI415" s="25" t="n">
        <f aca="false">COUNTIF($B$2:$B$740,B415)</f>
        <v>1</v>
      </c>
    </row>
    <row r="416" customFormat="false" ht="76" hidden="false" customHeight="true" outlineLevel="0" collapsed="false">
      <c r="A416" s="21" t="n">
        <v>415</v>
      </c>
      <c r="B416" s="22" t="s">
        <v>4978</v>
      </c>
      <c r="C416" s="23" t="s">
        <v>9</v>
      </c>
      <c r="D416" s="23" t="s">
        <v>96</v>
      </c>
      <c r="E416" s="23" t="s">
        <v>3459</v>
      </c>
      <c r="F416" s="24" t="s">
        <v>59</v>
      </c>
      <c r="G416" s="24" t="s">
        <v>98</v>
      </c>
      <c r="H416" s="24" t="s">
        <v>3460</v>
      </c>
      <c r="I416" s="24" t="s">
        <v>4860</v>
      </c>
      <c r="J416" s="24" t="s">
        <v>4979</v>
      </c>
      <c r="K416" s="24" t="s">
        <v>4862</v>
      </c>
      <c r="L416" s="24" t="s">
        <v>531</v>
      </c>
      <c r="M416" s="24" t="s">
        <v>4980</v>
      </c>
      <c r="N416" s="24"/>
      <c r="O416" s="24" t="s">
        <v>4981</v>
      </c>
      <c r="P416" s="24" t="s">
        <v>4982</v>
      </c>
      <c r="Q416" s="24" t="s">
        <v>4983</v>
      </c>
      <c r="R416" s="24" t="s">
        <v>4984</v>
      </c>
      <c r="S416" s="24" t="s">
        <v>4985</v>
      </c>
      <c r="T416" s="24" t="s">
        <v>3540</v>
      </c>
      <c r="U416" s="24"/>
      <c r="V416" s="24"/>
      <c r="W416" s="24"/>
      <c r="X416" s="24"/>
      <c r="Y416" s="24" t="s">
        <v>4986</v>
      </c>
      <c r="Z416" s="24" t="s">
        <v>4987</v>
      </c>
      <c r="AA416" s="24"/>
      <c r="AB416" s="25" t="n">
        <v>40</v>
      </c>
      <c r="AC416" s="24" t="s">
        <v>4988</v>
      </c>
      <c r="AD416" s="24" t="s">
        <v>4989</v>
      </c>
      <c r="AE416" s="24"/>
      <c r="AF416" s="24" t="s">
        <v>115</v>
      </c>
      <c r="AG416" s="24" t="s">
        <v>168</v>
      </c>
      <c r="AH416" s="24"/>
      <c r="AI416" s="25" t="n">
        <f aca="false">COUNTIF($B$2:$B$740,B416)</f>
        <v>1</v>
      </c>
    </row>
    <row r="417" customFormat="false" ht="76" hidden="false" customHeight="true" outlineLevel="0" collapsed="false">
      <c r="A417" s="21" t="n">
        <v>416</v>
      </c>
      <c r="B417" s="22" t="s">
        <v>4990</v>
      </c>
      <c r="C417" s="23" t="s">
        <v>9</v>
      </c>
      <c r="D417" s="23" t="s">
        <v>96</v>
      </c>
      <c r="E417" s="23" t="s">
        <v>3459</v>
      </c>
      <c r="F417" s="24" t="s">
        <v>59</v>
      </c>
      <c r="G417" s="24" t="s">
        <v>98</v>
      </c>
      <c r="H417" s="24" t="s">
        <v>3460</v>
      </c>
      <c r="I417" s="24" t="s">
        <v>4860</v>
      </c>
      <c r="J417" s="24" t="s">
        <v>4991</v>
      </c>
      <c r="K417" s="24" t="s">
        <v>4862</v>
      </c>
      <c r="L417" s="24" t="s">
        <v>531</v>
      </c>
      <c r="M417" s="24" t="s">
        <v>4992</v>
      </c>
      <c r="N417" s="24"/>
      <c r="O417" s="24" t="s">
        <v>4993</v>
      </c>
      <c r="P417" s="24" t="s">
        <v>4994</v>
      </c>
      <c r="Q417" s="24" t="s">
        <v>4995</v>
      </c>
      <c r="R417" s="24" t="s">
        <v>4996</v>
      </c>
      <c r="S417" s="24" t="s">
        <v>4997</v>
      </c>
      <c r="T417" s="24" t="s">
        <v>4998</v>
      </c>
      <c r="U417" s="24" t="s">
        <v>4999</v>
      </c>
      <c r="V417" s="24" t="s">
        <v>5000</v>
      </c>
      <c r="W417" s="24" t="s">
        <v>5001</v>
      </c>
      <c r="X417" s="24" t="s">
        <v>5002</v>
      </c>
      <c r="Y417" s="24" t="s">
        <v>5003</v>
      </c>
      <c r="Z417" s="24"/>
      <c r="AA417" s="24"/>
      <c r="AB417" s="25" t="n">
        <v>40</v>
      </c>
      <c r="AC417" s="24" t="s">
        <v>5004</v>
      </c>
      <c r="AD417" s="24" t="s">
        <v>5005</v>
      </c>
      <c r="AE417" s="24"/>
      <c r="AF417" s="24" t="s">
        <v>115</v>
      </c>
      <c r="AG417" s="24" t="s">
        <v>168</v>
      </c>
      <c r="AH417" s="24"/>
      <c r="AI417" s="25" t="n">
        <f aca="false">COUNTIF($B$2:$B$740,B417)</f>
        <v>1</v>
      </c>
    </row>
    <row r="418" customFormat="false" ht="76" hidden="false" customHeight="true" outlineLevel="0" collapsed="false">
      <c r="A418" s="21" t="n">
        <v>417</v>
      </c>
      <c r="B418" s="22" t="s">
        <v>5006</v>
      </c>
      <c r="C418" s="23" t="s">
        <v>9</v>
      </c>
      <c r="D418" s="23" t="s">
        <v>96</v>
      </c>
      <c r="E418" s="23" t="s">
        <v>3459</v>
      </c>
      <c r="F418" s="24" t="s">
        <v>55</v>
      </c>
      <c r="G418" s="24" t="s">
        <v>1396</v>
      </c>
      <c r="H418" s="24" t="s">
        <v>3460</v>
      </c>
      <c r="I418" s="24" t="s">
        <v>4860</v>
      </c>
      <c r="J418" s="24" t="s">
        <v>5007</v>
      </c>
      <c r="K418" s="24" t="s">
        <v>4862</v>
      </c>
      <c r="L418" s="24" t="s">
        <v>119</v>
      </c>
      <c r="M418" s="24" t="s">
        <v>5008</v>
      </c>
      <c r="N418" s="24"/>
      <c r="O418" s="24" t="s">
        <v>5009</v>
      </c>
      <c r="P418" s="24" t="s">
        <v>5010</v>
      </c>
      <c r="Q418" s="24" t="s">
        <v>5011</v>
      </c>
      <c r="R418" s="24" t="s">
        <v>5012</v>
      </c>
      <c r="S418" s="24" t="s">
        <v>5013</v>
      </c>
      <c r="T418" s="24" t="s">
        <v>5014</v>
      </c>
      <c r="U418" s="24"/>
      <c r="V418" s="24"/>
      <c r="W418" s="24"/>
      <c r="X418" s="24"/>
      <c r="Y418" s="24" t="s">
        <v>5015</v>
      </c>
      <c r="Z418" s="24"/>
      <c r="AA418" s="24"/>
      <c r="AB418" s="25" t="n">
        <v>40</v>
      </c>
      <c r="AC418" s="24" t="s">
        <v>5016</v>
      </c>
      <c r="AD418" s="24" t="s">
        <v>5017</v>
      </c>
      <c r="AE418" s="24" t="s">
        <v>5018</v>
      </c>
      <c r="AF418" s="24" t="s">
        <v>115</v>
      </c>
      <c r="AG418" s="24" t="s">
        <v>168</v>
      </c>
      <c r="AH418" s="24"/>
      <c r="AI418" s="25" t="n">
        <f aca="false">COUNTIF($B$2:$B$740,B418)</f>
        <v>1</v>
      </c>
    </row>
    <row r="419" customFormat="false" ht="76" hidden="false" customHeight="true" outlineLevel="0" collapsed="false">
      <c r="A419" s="21" t="n">
        <v>418</v>
      </c>
      <c r="B419" s="22" t="s">
        <v>5019</v>
      </c>
      <c r="C419" s="23" t="s">
        <v>9</v>
      </c>
      <c r="D419" s="23" t="s">
        <v>96</v>
      </c>
      <c r="E419" s="23" t="s">
        <v>3459</v>
      </c>
      <c r="F419" s="24" t="s">
        <v>55</v>
      </c>
      <c r="G419" s="24" t="s">
        <v>1396</v>
      </c>
      <c r="H419" s="24" t="s">
        <v>3460</v>
      </c>
      <c r="I419" s="24" t="s">
        <v>4860</v>
      </c>
      <c r="J419" s="24" t="s">
        <v>5020</v>
      </c>
      <c r="K419" s="24" t="s">
        <v>5021</v>
      </c>
      <c r="L419" s="24" t="s">
        <v>1183</v>
      </c>
      <c r="M419" s="24" t="s">
        <v>5022</v>
      </c>
      <c r="N419" s="24"/>
      <c r="O419" s="24" t="s">
        <v>5023</v>
      </c>
      <c r="P419" s="24" t="s">
        <v>5024</v>
      </c>
      <c r="Q419" s="24" t="s">
        <v>5025</v>
      </c>
      <c r="R419" s="24" t="s">
        <v>5026</v>
      </c>
      <c r="S419" s="24" t="s">
        <v>5027</v>
      </c>
      <c r="T419" s="24" t="s">
        <v>5028</v>
      </c>
      <c r="U419" s="24"/>
      <c r="V419" s="24" t="s">
        <v>5029</v>
      </c>
      <c r="W419" s="24"/>
      <c r="X419" s="24"/>
      <c r="Y419" s="24"/>
      <c r="Z419" s="24"/>
      <c r="AA419" s="24" t="s">
        <v>5030</v>
      </c>
      <c r="AB419" s="25" t="n">
        <v>40</v>
      </c>
      <c r="AC419" s="24" t="s">
        <v>5031</v>
      </c>
      <c r="AD419" s="24" t="s">
        <v>5032</v>
      </c>
      <c r="AE419" s="24" t="s">
        <v>1343</v>
      </c>
      <c r="AF419" s="24" t="s">
        <v>115</v>
      </c>
      <c r="AG419" s="24" t="s">
        <v>168</v>
      </c>
      <c r="AH419" s="24"/>
      <c r="AI419" s="25" t="n">
        <f aca="false">COUNTIF($B$2:$B$740,B419)</f>
        <v>1</v>
      </c>
    </row>
    <row r="420" customFormat="false" ht="67.2" hidden="false" customHeight="true" outlineLevel="0" collapsed="false">
      <c r="A420" s="26" t="n">
        <v>419</v>
      </c>
      <c r="B420" s="27" t="s">
        <v>5033</v>
      </c>
      <c r="C420" s="24" t="s">
        <v>9</v>
      </c>
      <c r="D420" s="24" t="s">
        <v>96</v>
      </c>
      <c r="E420" s="24" t="s">
        <v>3459</v>
      </c>
      <c r="F420" s="24" t="s">
        <v>59</v>
      </c>
      <c r="G420" s="24" t="s">
        <v>98</v>
      </c>
      <c r="H420" s="24" t="s">
        <v>3460</v>
      </c>
      <c r="I420" s="24" t="s">
        <v>4860</v>
      </c>
      <c r="J420" s="24" t="s">
        <v>5034</v>
      </c>
      <c r="K420" s="24" t="s">
        <v>5021</v>
      </c>
      <c r="L420" s="24" t="s">
        <v>531</v>
      </c>
      <c r="M420" s="24" t="s">
        <v>5035</v>
      </c>
      <c r="N420" s="24"/>
      <c r="O420" s="24" t="s">
        <v>5036</v>
      </c>
      <c r="P420" s="24" t="s">
        <v>5037</v>
      </c>
      <c r="Q420" s="24" t="s">
        <v>5038</v>
      </c>
      <c r="R420" s="24" t="s">
        <v>5039</v>
      </c>
      <c r="S420" s="24" t="s">
        <v>5040</v>
      </c>
      <c r="T420" s="24" t="s">
        <v>3540</v>
      </c>
      <c r="U420" s="24" t="s">
        <v>5041</v>
      </c>
      <c r="V420" s="24" t="s">
        <v>5042</v>
      </c>
      <c r="W420" s="24"/>
      <c r="X420" s="24"/>
      <c r="Y420" s="24" t="s">
        <v>5043</v>
      </c>
      <c r="Z420" s="24"/>
      <c r="AA420" s="24"/>
      <c r="AB420" s="25" t="n">
        <v>70</v>
      </c>
      <c r="AC420" s="24" t="s">
        <v>5044</v>
      </c>
      <c r="AD420" s="24" t="s">
        <v>5045</v>
      </c>
      <c r="AE420" s="24" t="s">
        <v>5046</v>
      </c>
      <c r="AF420" s="24" t="s">
        <v>168</v>
      </c>
      <c r="AG420" s="24" t="s">
        <v>168</v>
      </c>
      <c r="AH420" s="24" t="s">
        <v>1050</v>
      </c>
      <c r="AI420" s="25" t="n">
        <f aca="false">COUNTIF($B$2:$B$740,B420)</f>
        <v>1</v>
      </c>
    </row>
    <row r="421" customFormat="false" ht="76" hidden="false" customHeight="true" outlineLevel="0" collapsed="false">
      <c r="A421" s="21" t="n">
        <v>420</v>
      </c>
      <c r="B421" s="22" t="s">
        <v>5047</v>
      </c>
      <c r="C421" s="23" t="s">
        <v>9</v>
      </c>
      <c r="D421" s="23" t="s">
        <v>96</v>
      </c>
      <c r="E421" s="23" t="s">
        <v>3459</v>
      </c>
      <c r="F421" s="24" t="s">
        <v>55</v>
      </c>
      <c r="G421" s="24" t="s">
        <v>1396</v>
      </c>
      <c r="H421" s="24" t="s">
        <v>3460</v>
      </c>
      <c r="I421" s="24" t="s">
        <v>4860</v>
      </c>
      <c r="J421" s="24" t="s">
        <v>5048</v>
      </c>
      <c r="K421" s="24" t="s">
        <v>5021</v>
      </c>
      <c r="L421" s="24" t="s">
        <v>531</v>
      </c>
      <c r="M421" s="24" t="s">
        <v>5049</v>
      </c>
      <c r="N421" s="24"/>
      <c r="O421" s="24" t="s">
        <v>5050</v>
      </c>
      <c r="P421" s="24" t="s">
        <v>5051</v>
      </c>
      <c r="Q421" s="24" t="s">
        <v>5052</v>
      </c>
      <c r="R421" s="24" t="s">
        <v>5053</v>
      </c>
      <c r="S421" s="24" t="s">
        <v>5054</v>
      </c>
      <c r="T421" s="24" t="s">
        <v>5055</v>
      </c>
      <c r="U421" s="24"/>
      <c r="V421" s="24" t="s">
        <v>5056</v>
      </c>
      <c r="W421" s="24" t="s">
        <v>5057</v>
      </c>
      <c r="X421" s="24"/>
      <c r="Y421" s="24" t="s">
        <v>5058</v>
      </c>
      <c r="Z421" s="24"/>
      <c r="AA421" s="24" t="s">
        <v>5059</v>
      </c>
      <c r="AB421" s="25" t="n">
        <v>40</v>
      </c>
      <c r="AC421" s="24" t="s">
        <v>5060</v>
      </c>
      <c r="AD421" s="24" t="s">
        <v>5061</v>
      </c>
      <c r="AE421" s="24" t="s">
        <v>1369</v>
      </c>
      <c r="AF421" s="24" t="s">
        <v>115</v>
      </c>
      <c r="AG421" s="24" t="s">
        <v>168</v>
      </c>
      <c r="AH421" s="24"/>
      <c r="AI421" s="25" t="n">
        <f aca="false">COUNTIF($B$2:$B$740,B421)</f>
        <v>1</v>
      </c>
    </row>
    <row r="422" customFormat="false" ht="48" hidden="false" customHeight="true" outlineLevel="0" collapsed="false">
      <c r="A422" s="26" t="n">
        <v>421</v>
      </c>
      <c r="B422" s="27" t="s">
        <v>5062</v>
      </c>
      <c r="C422" s="24" t="s">
        <v>9</v>
      </c>
      <c r="D422" s="24" t="s">
        <v>96</v>
      </c>
      <c r="E422" s="24" t="s">
        <v>3459</v>
      </c>
      <c r="F422" s="24" t="s">
        <v>55</v>
      </c>
      <c r="G422" s="24" t="s">
        <v>1396</v>
      </c>
      <c r="H422" s="24" t="s">
        <v>3460</v>
      </c>
      <c r="I422" s="24" t="s">
        <v>4860</v>
      </c>
      <c r="J422" s="24" t="s">
        <v>5063</v>
      </c>
      <c r="K422" s="24" t="s">
        <v>5021</v>
      </c>
      <c r="L422" s="24" t="s">
        <v>531</v>
      </c>
      <c r="M422" s="24" t="s">
        <v>5064</v>
      </c>
      <c r="N422" s="24"/>
      <c r="O422" s="24" t="s">
        <v>5065</v>
      </c>
      <c r="P422" s="24" t="s">
        <v>5066</v>
      </c>
      <c r="Q422" s="24" t="s">
        <v>5067</v>
      </c>
      <c r="R422" s="24" t="s">
        <v>5068</v>
      </c>
      <c r="S422" s="24" t="s">
        <v>5069</v>
      </c>
      <c r="T422" s="24" t="s">
        <v>5070</v>
      </c>
      <c r="U422" s="24"/>
      <c r="V422" s="24"/>
      <c r="W422" s="24"/>
      <c r="X422" s="24" t="s">
        <v>5071</v>
      </c>
      <c r="Y422" s="24"/>
      <c r="Z422" s="24"/>
      <c r="AA422" s="24"/>
      <c r="AB422" s="25" t="n">
        <v>70</v>
      </c>
      <c r="AC422" s="24" t="s">
        <v>5072</v>
      </c>
      <c r="AD422" s="24" t="s">
        <v>5073</v>
      </c>
      <c r="AE422" s="24" t="s">
        <v>5074</v>
      </c>
      <c r="AF422" s="24" t="s">
        <v>168</v>
      </c>
      <c r="AG422" s="24" t="s">
        <v>168</v>
      </c>
      <c r="AH422" s="24" t="s">
        <v>1050</v>
      </c>
      <c r="AI422" s="25" t="n">
        <f aca="false">COUNTIF($B$2:$B$740,B422)</f>
        <v>1</v>
      </c>
    </row>
    <row r="423" customFormat="false" ht="76" hidden="false" customHeight="true" outlineLevel="0" collapsed="false">
      <c r="A423" s="21" t="n">
        <v>422</v>
      </c>
      <c r="B423" s="22" t="s">
        <v>5075</v>
      </c>
      <c r="C423" s="23" t="s">
        <v>9</v>
      </c>
      <c r="D423" s="23" t="s">
        <v>96</v>
      </c>
      <c r="E423" s="23" t="s">
        <v>3459</v>
      </c>
      <c r="F423" s="24" t="s">
        <v>55</v>
      </c>
      <c r="G423" s="24" t="s">
        <v>1396</v>
      </c>
      <c r="H423" s="24" t="s">
        <v>3460</v>
      </c>
      <c r="I423" s="24" t="s">
        <v>4860</v>
      </c>
      <c r="J423" s="24" t="s">
        <v>5076</v>
      </c>
      <c r="K423" s="24" t="s">
        <v>5021</v>
      </c>
      <c r="L423" s="24" t="s">
        <v>1183</v>
      </c>
      <c r="M423" s="24" t="s">
        <v>5077</v>
      </c>
      <c r="N423" s="24"/>
      <c r="O423" s="24" t="s">
        <v>5078</v>
      </c>
      <c r="P423" s="24" t="s">
        <v>5079</v>
      </c>
      <c r="Q423" s="24" t="s">
        <v>5080</v>
      </c>
      <c r="R423" s="24" t="s">
        <v>5081</v>
      </c>
      <c r="S423" s="24" t="s">
        <v>5082</v>
      </c>
      <c r="T423" s="24" t="s">
        <v>5083</v>
      </c>
      <c r="U423" s="24"/>
      <c r="V423" s="24" t="s">
        <v>5084</v>
      </c>
      <c r="W423" s="24"/>
      <c r="X423" s="24"/>
      <c r="Y423" s="24" t="s">
        <v>5085</v>
      </c>
      <c r="Z423" s="24"/>
      <c r="AA423" s="24"/>
      <c r="AB423" s="25" t="n">
        <v>40</v>
      </c>
      <c r="AC423" s="24" t="s">
        <v>5086</v>
      </c>
      <c r="AD423" s="24" t="s">
        <v>5087</v>
      </c>
      <c r="AE423" s="24" t="s">
        <v>5088</v>
      </c>
      <c r="AF423" s="24" t="s">
        <v>115</v>
      </c>
      <c r="AG423" s="24" t="s">
        <v>168</v>
      </c>
      <c r="AH423" s="24"/>
      <c r="AI423" s="25" t="n">
        <f aca="false">COUNTIF($B$2:$B$740,B423)</f>
        <v>1</v>
      </c>
    </row>
    <row r="424" customFormat="false" ht="153.6" hidden="false" customHeight="true" outlineLevel="0" collapsed="false">
      <c r="A424" s="26" t="n">
        <v>423</v>
      </c>
      <c r="B424" s="27" t="s">
        <v>5089</v>
      </c>
      <c r="C424" s="24" t="s">
        <v>9</v>
      </c>
      <c r="D424" s="24" t="s">
        <v>96</v>
      </c>
      <c r="E424" s="24" t="s">
        <v>3459</v>
      </c>
      <c r="F424" s="24" t="s">
        <v>55</v>
      </c>
      <c r="G424" s="24" t="s">
        <v>1396</v>
      </c>
      <c r="H424" s="24" t="s">
        <v>3460</v>
      </c>
      <c r="I424" s="24" t="s">
        <v>4860</v>
      </c>
      <c r="J424" s="24" t="s">
        <v>5090</v>
      </c>
      <c r="K424" s="24" t="s">
        <v>5021</v>
      </c>
      <c r="L424" s="24" t="s">
        <v>531</v>
      </c>
      <c r="M424" s="24" t="s">
        <v>5091</v>
      </c>
      <c r="N424" s="24"/>
      <c r="O424" s="24" t="s">
        <v>5092</v>
      </c>
      <c r="P424" s="24" t="s">
        <v>5093</v>
      </c>
      <c r="Q424" s="24" t="s">
        <v>5094</v>
      </c>
      <c r="R424" s="24" t="s">
        <v>5095</v>
      </c>
      <c r="S424" s="24" t="s">
        <v>5096</v>
      </c>
      <c r="T424" s="24" t="s">
        <v>3540</v>
      </c>
      <c r="U424" s="24" t="s">
        <v>5097</v>
      </c>
      <c r="V424" s="24" t="s">
        <v>5098</v>
      </c>
      <c r="W424" s="24"/>
      <c r="X424" s="24"/>
      <c r="Y424" s="24" t="s">
        <v>5099</v>
      </c>
      <c r="Z424" s="24" t="s">
        <v>5100</v>
      </c>
      <c r="AA424" s="24"/>
      <c r="AB424" s="25" t="n">
        <v>70</v>
      </c>
      <c r="AC424" s="24" t="s">
        <v>5101</v>
      </c>
      <c r="AD424" s="24" t="s">
        <v>5102</v>
      </c>
      <c r="AE424" s="24" t="s">
        <v>5103</v>
      </c>
      <c r="AF424" s="24" t="s">
        <v>168</v>
      </c>
      <c r="AG424" s="24" t="s">
        <v>168</v>
      </c>
      <c r="AH424" s="24" t="s">
        <v>1050</v>
      </c>
      <c r="AI424" s="25" t="n">
        <f aca="false">COUNTIF($B$2:$B$740,B424)</f>
        <v>1</v>
      </c>
    </row>
    <row r="425" customFormat="false" ht="76" hidden="false" customHeight="true" outlineLevel="0" collapsed="false">
      <c r="A425" s="21" t="n">
        <v>424</v>
      </c>
      <c r="B425" s="22" t="s">
        <v>5104</v>
      </c>
      <c r="C425" s="23" t="s">
        <v>9</v>
      </c>
      <c r="D425" s="23" t="s">
        <v>96</v>
      </c>
      <c r="E425" s="23" t="s">
        <v>3459</v>
      </c>
      <c r="F425" s="24" t="s">
        <v>55</v>
      </c>
      <c r="G425" s="24" t="s">
        <v>1396</v>
      </c>
      <c r="H425" s="24" t="s">
        <v>3460</v>
      </c>
      <c r="I425" s="24" t="s">
        <v>4860</v>
      </c>
      <c r="J425" s="24" t="s">
        <v>5105</v>
      </c>
      <c r="K425" s="24" t="s">
        <v>5021</v>
      </c>
      <c r="L425" s="24" t="s">
        <v>531</v>
      </c>
      <c r="M425" s="24" t="s">
        <v>5106</v>
      </c>
      <c r="N425" s="24"/>
      <c r="O425" s="24" t="s">
        <v>5107</v>
      </c>
      <c r="P425" s="24" t="s">
        <v>5108</v>
      </c>
      <c r="Q425" s="24" t="s">
        <v>5109</v>
      </c>
      <c r="R425" s="24" t="s">
        <v>5110</v>
      </c>
      <c r="S425" s="24" t="s">
        <v>5111</v>
      </c>
      <c r="T425" s="24" t="s">
        <v>5112</v>
      </c>
      <c r="U425" s="24"/>
      <c r="V425" s="24" t="s">
        <v>5113</v>
      </c>
      <c r="W425" s="24"/>
      <c r="X425" s="24"/>
      <c r="Y425" s="24" t="s">
        <v>5114</v>
      </c>
      <c r="Z425" s="24"/>
      <c r="AA425" s="24" t="s">
        <v>5112</v>
      </c>
      <c r="AB425" s="25" t="n">
        <v>40</v>
      </c>
      <c r="AC425" s="24" t="s">
        <v>5115</v>
      </c>
      <c r="AD425" s="24" t="s">
        <v>5116</v>
      </c>
      <c r="AE425" s="24" t="s">
        <v>5117</v>
      </c>
      <c r="AF425" s="24" t="s">
        <v>115</v>
      </c>
      <c r="AG425" s="24" t="s">
        <v>168</v>
      </c>
      <c r="AH425" s="24"/>
      <c r="AI425" s="25" t="n">
        <f aca="false">COUNTIF($B$2:$B$740,B425)</f>
        <v>1</v>
      </c>
    </row>
    <row r="426" customFormat="false" ht="76" hidden="false" customHeight="true" outlineLevel="0" collapsed="false">
      <c r="A426" s="21" t="n">
        <v>425</v>
      </c>
      <c r="B426" s="22" t="s">
        <v>5118</v>
      </c>
      <c r="C426" s="23" t="s">
        <v>9</v>
      </c>
      <c r="D426" s="23" t="s">
        <v>96</v>
      </c>
      <c r="E426" s="23" t="s">
        <v>3459</v>
      </c>
      <c r="F426" s="24" t="s">
        <v>59</v>
      </c>
      <c r="G426" s="24" t="s">
        <v>98</v>
      </c>
      <c r="H426" s="24" t="s">
        <v>3460</v>
      </c>
      <c r="I426" s="24" t="s">
        <v>4860</v>
      </c>
      <c r="J426" s="24" t="s">
        <v>5119</v>
      </c>
      <c r="K426" s="24" t="s">
        <v>5021</v>
      </c>
      <c r="L426" s="24" t="s">
        <v>1183</v>
      </c>
      <c r="M426" s="24" t="s">
        <v>5120</v>
      </c>
      <c r="N426" s="24"/>
      <c r="O426" s="24" t="s">
        <v>5121</v>
      </c>
      <c r="P426" s="24" t="s">
        <v>5122</v>
      </c>
      <c r="Q426" s="24" t="s">
        <v>5123</v>
      </c>
      <c r="R426" s="24" t="s">
        <v>5124</v>
      </c>
      <c r="S426" s="24" t="s">
        <v>5125</v>
      </c>
      <c r="T426" s="24" t="s">
        <v>3540</v>
      </c>
      <c r="U426" s="24"/>
      <c r="V426" s="24"/>
      <c r="W426" s="24"/>
      <c r="X426" s="24" t="s">
        <v>5126</v>
      </c>
      <c r="Y426" s="24" t="s">
        <v>5127</v>
      </c>
      <c r="Z426" s="24"/>
      <c r="AA426" s="24"/>
      <c r="AB426" s="25" t="n">
        <v>40</v>
      </c>
      <c r="AC426" s="24" t="s">
        <v>5128</v>
      </c>
      <c r="AD426" s="24" t="s">
        <v>5129</v>
      </c>
      <c r="AE426" s="24" t="s">
        <v>5130</v>
      </c>
      <c r="AF426" s="24" t="s">
        <v>115</v>
      </c>
      <c r="AG426" s="24" t="s">
        <v>168</v>
      </c>
      <c r="AH426" s="24"/>
      <c r="AI426" s="25" t="n">
        <f aca="false">COUNTIF($B$2:$B$740,B426)</f>
        <v>1</v>
      </c>
    </row>
    <row r="427" customFormat="false" ht="76" hidden="false" customHeight="true" outlineLevel="0" collapsed="false">
      <c r="A427" s="21" t="n">
        <v>426</v>
      </c>
      <c r="B427" s="22" t="s">
        <v>5131</v>
      </c>
      <c r="C427" s="23" t="s">
        <v>9</v>
      </c>
      <c r="D427" s="23" t="s">
        <v>96</v>
      </c>
      <c r="E427" s="23" t="s">
        <v>3459</v>
      </c>
      <c r="F427" s="24" t="s">
        <v>55</v>
      </c>
      <c r="G427" s="24" t="s">
        <v>1396</v>
      </c>
      <c r="H427" s="24" t="s">
        <v>3460</v>
      </c>
      <c r="I427" s="24" t="s">
        <v>4860</v>
      </c>
      <c r="J427" s="24" t="s">
        <v>5132</v>
      </c>
      <c r="K427" s="24" t="s">
        <v>5021</v>
      </c>
      <c r="L427" s="24" t="s">
        <v>1183</v>
      </c>
      <c r="M427" s="24" t="s">
        <v>5133</v>
      </c>
      <c r="N427" s="24"/>
      <c r="O427" s="24" t="s">
        <v>5134</v>
      </c>
      <c r="P427" s="24" t="s">
        <v>5135</v>
      </c>
      <c r="Q427" s="24" t="s">
        <v>5136</v>
      </c>
      <c r="R427" s="24" t="s">
        <v>5137</v>
      </c>
      <c r="S427" s="24" t="s">
        <v>5138</v>
      </c>
      <c r="T427" s="24" t="s">
        <v>3540</v>
      </c>
      <c r="U427" s="24"/>
      <c r="V427" s="24" t="s">
        <v>5139</v>
      </c>
      <c r="W427" s="24"/>
      <c r="X427" s="24"/>
      <c r="Y427" s="24" t="s">
        <v>5140</v>
      </c>
      <c r="Z427" s="24"/>
      <c r="AA427" s="24"/>
      <c r="AB427" s="25" t="n">
        <v>40</v>
      </c>
      <c r="AC427" s="24" t="s">
        <v>5141</v>
      </c>
      <c r="AD427" s="24" t="s">
        <v>5142</v>
      </c>
      <c r="AE427" s="24" t="s">
        <v>5143</v>
      </c>
      <c r="AF427" s="24" t="s">
        <v>115</v>
      </c>
      <c r="AG427" s="24" t="s">
        <v>168</v>
      </c>
      <c r="AH427" s="24"/>
      <c r="AI427" s="25" t="n">
        <f aca="false">COUNTIF($B$2:$B$740,B427)</f>
        <v>1</v>
      </c>
    </row>
    <row r="428" customFormat="false" ht="76" hidden="false" customHeight="true" outlineLevel="0" collapsed="false">
      <c r="A428" s="21" t="n">
        <v>427</v>
      </c>
      <c r="B428" s="22" t="s">
        <v>5144</v>
      </c>
      <c r="C428" s="23" t="s">
        <v>9</v>
      </c>
      <c r="D428" s="23" t="s">
        <v>96</v>
      </c>
      <c r="E428" s="23" t="s">
        <v>3459</v>
      </c>
      <c r="F428" s="24" t="s">
        <v>55</v>
      </c>
      <c r="G428" s="24" t="s">
        <v>1396</v>
      </c>
      <c r="H428" s="24" t="s">
        <v>3460</v>
      </c>
      <c r="I428" s="24" t="s">
        <v>4860</v>
      </c>
      <c r="J428" s="24" t="s">
        <v>5145</v>
      </c>
      <c r="K428" s="24" t="s">
        <v>5021</v>
      </c>
      <c r="L428" s="24" t="s">
        <v>531</v>
      </c>
      <c r="M428" s="24" t="s">
        <v>5146</v>
      </c>
      <c r="N428" s="24"/>
      <c r="O428" s="24" t="s">
        <v>5147</v>
      </c>
      <c r="P428" s="24" t="s">
        <v>5148</v>
      </c>
      <c r="Q428" s="24" t="s">
        <v>5149</v>
      </c>
      <c r="R428" s="24" t="s">
        <v>5150</v>
      </c>
      <c r="S428" s="24" t="s">
        <v>5151</v>
      </c>
      <c r="T428" s="24" t="s">
        <v>3540</v>
      </c>
      <c r="U428" s="24"/>
      <c r="V428" s="24" t="s">
        <v>5152</v>
      </c>
      <c r="W428" s="24"/>
      <c r="X428" s="24" t="s">
        <v>5153</v>
      </c>
      <c r="Y428" s="24" t="s">
        <v>5154</v>
      </c>
      <c r="Z428" s="24"/>
      <c r="AA428" s="24"/>
      <c r="AB428" s="25" t="n">
        <v>40</v>
      </c>
      <c r="AC428" s="24" t="s">
        <v>5155</v>
      </c>
      <c r="AD428" s="24" t="s">
        <v>5156</v>
      </c>
      <c r="AE428" s="24" t="s">
        <v>5157</v>
      </c>
      <c r="AF428" s="24" t="s">
        <v>115</v>
      </c>
      <c r="AG428" s="24" t="s">
        <v>168</v>
      </c>
      <c r="AH428" s="24"/>
      <c r="AI428" s="25" t="n">
        <f aca="false">COUNTIF($B$2:$B$740,B428)</f>
        <v>1</v>
      </c>
    </row>
    <row r="429" customFormat="false" ht="76" hidden="false" customHeight="true" outlineLevel="0" collapsed="false">
      <c r="A429" s="21" t="n">
        <v>428</v>
      </c>
      <c r="B429" s="22" t="s">
        <v>5158</v>
      </c>
      <c r="C429" s="23" t="s">
        <v>9</v>
      </c>
      <c r="D429" s="23" t="s">
        <v>96</v>
      </c>
      <c r="E429" s="23" t="s">
        <v>3459</v>
      </c>
      <c r="F429" s="24" t="s">
        <v>53</v>
      </c>
      <c r="G429" s="24" t="s">
        <v>5159</v>
      </c>
      <c r="H429" s="24" t="s">
        <v>3460</v>
      </c>
      <c r="I429" s="24" t="s">
        <v>4860</v>
      </c>
      <c r="J429" s="24" t="s">
        <v>5160</v>
      </c>
      <c r="K429" s="24" t="s">
        <v>5021</v>
      </c>
      <c r="L429" s="24" t="s">
        <v>531</v>
      </c>
      <c r="M429" s="24" t="s">
        <v>5161</v>
      </c>
      <c r="N429" s="24"/>
      <c r="O429" s="24" t="s">
        <v>5162</v>
      </c>
      <c r="P429" s="24" t="s">
        <v>5163</v>
      </c>
      <c r="Q429" s="24" t="s">
        <v>5164</v>
      </c>
      <c r="R429" s="24" t="s">
        <v>5165</v>
      </c>
      <c r="S429" s="24" t="s">
        <v>5166</v>
      </c>
      <c r="T429" s="24" t="s">
        <v>3540</v>
      </c>
      <c r="U429" s="24" t="s">
        <v>5167</v>
      </c>
      <c r="V429" s="24" t="s">
        <v>5168</v>
      </c>
      <c r="W429" s="24" t="s">
        <v>5169</v>
      </c>
      <c r="X429" s="24"/>
      <c r="Y429" s="24" t="s">
        <v>5170</v>
      </c>
      <c r="Z429" s="24" t="s">
        <v>5171</v>
      </c>
      <c r="AA429" s="24" t="s">
        <v>5172</v>
      </c>
      <c r="AB429" s="25" t="n">
        <v>40</v>
      </c>
      <c r="AC429" s="24" t="s">
        <v>5173</v>
      </c>
      <c r="AD429" s="24" t="s">
        <v>5174</v>
      </c>
      <c r="AE429" s="24" t="s">
        <v>1406</v>
      </c>
      <c r="AF429" s="24" t="s">
        <v>115</v>
      </c>
      <c r="AG429" s="24" t="s">
        <v>168</v>
      </c>
      <c r="AH429" s="24"/>
      <c r="AI429" s="25" t="n">
        <f aca="false">COUNTIF($B$2:$B$740,B429)</f>
        <v>1</v>
      </c>
    </row>
    <row r="430" customFormat="false" ht="76" hidden="false" customHeight="true" outlineLevel="0" collapsed="false">
      <c r="A430" s="21" t="n">
        <v>429</v>
      </c>
      <c r="B430" s="22" t="s">
        <v>5175</v>
      </c>
      <c r="C430" s="23" t="s">
        <v>9</v>
      </c>
      <c r="D430" s="23" t="s">
        <v>96</v>
      </c>
      <c r="E430" s="23" t="s">
        <v>3459</v>
      </c>
      <c r="F430" s="24" t="s">
        <v>55</v>
      </c>
      <c r="G430" s="24" t="s">
        <v>1396</v>
      </c>
      <c r="H430" s="24" t="s">
        <v>3460</v>
      </c>
      <c r="I430" s="24" t="s">
        <v>4860</v>
      </c>
      <c r="J430" s="24" t="s">
        <v>5176</v>
      </c>
      <c r="K430" s="24" t="s">
        <v>5021</v>
      </c>
      <c r="L430" s="24" t="s">
        <v>531</v>
      </c>
      <c r="M430" s="24" t="s">
        <v>5177</v>
      </c>
      <c r="N430" s="24"/>
      <c r="O430" s="24" t="s">
        <v>5178</v>
      </c>
      <c r="P430" s="24" t="s">
        <v>5179</v>
      </c>
      <c r="Q430" s="24" t="s">
        <v>5180</v>
      </c>
      <c r="R430" s="24" t="s">
        <v>5181</v>
      </c>
      <c r="S430" s="24" t="s">
        <v>5182</v>
      </c>
      <c r="T430" s="24" t="s">
        <v>3540</v>
      </c>
      <c r="U430" s="24"/>
      <c r="V430" s="24"/>
      <c r="W430" s="24"/>
      <c r="X430" s="24" t="s">
        <v>5183</v>
      </c>
      <c r="Y430" s="24" t="s">
        <v>5184</v>
      </c>
      <c r="Z430" s="24"/>
      <c r="AA430" s="24"/>
      <c r="AB430" s="25" t="n">
        <v>40</v>
      </c>
      <c r="AC430" s="24" t="s">
        <v>5185</v>
      </c>
      <c r="AD430" s="24" t="s">
        <v>5186</v>
      </c>
      <c r="AE430" s="24" t="s">
        <v>1420</v>
      </c>
      <c r="AF430" s="24" t="s">
        <v>115</v>
      </c>
      <c r="AG430" s="24" t="s">
        <v>168</v>
      </c>
      <c r="AH430" s="24"/>
      <c r="AI430" s="25" t="n">
        <f aca="false">COUNTIF($B$2:$B$740,B430)</f>
        <v>1</v>
      </c>
    </row>
    <row r="431" customFormat="false" ht="76" hidden="false" customHeight="true" outlineLevel="0" collapsed="false">
      <c r="A431" s="21" t="n">
        <v>430</v>
      </c>
      <c r="B431" s="22" t="s">
        <v>5187</v>
      </c>
      <c r="C431" s="23" t="s">
        <v>9</v>
      </c>
      <c r="D431" s="23" t="s">
        <v>96</v>
      </c>
      <c r="E431" s="23" t="s">
        <v>3459</v>
      </c>
      <c r="F431" s="24" t="s">
        <v>55</v>
      </c>
      <c r="G431" s="24" t="s">
        <v>1396</v>
      </c>
      <c r="H431" s="24" t="s">
        <v>3460</v>
      </c>
      <c r="I431" s="24" t="s">
        <v>4860</v>
      </c>
      <c r="J431" s="24" t="s">
        <v>5188</v>
      </c>
      <c r="K431" s="24" t="s">
        <v>5021</v>
      </c>
      <c r="L431" s="24" t="s">
        <v>1183</v>
      </c>
      <c r="M431" s="24" t="s">
        <v>5189</v>
      </c>
      <c r="N431" s="24"/>
      <c r="O431" s="24" t="s">
        <v>5190</v>
      </c>
      <c r="P431" s="24" t="s">
        <v>5191</v>
      </c>
      <c r="Q431" s="24" t="s">
        <v>5192</v>
      </c>
      <c r="R431" s="24" t="s">
        <v>5193</v>
      </c>
      <c r="S431" s="24" t="s">
        <v>5194</v>
      </c>
      <c r="T431" s="24" t="s">
        <v>5195</v>
      </c>
      <c r="U431" s="24"/>
      <c r="V431" s="24" t="s">
        <v>5196</v>
      </c>
      <c r="W431" s="24" t="s">
        <v>5197</v>
      </c>
      <c r="X431" s="24" t="s">
        <v>5198</v>
      </c>
      <c r="Y431" s="24" t="s">
        <v>5199</v>
      </c>
      <c r="Z431" s="24"/>
      <c r="AA431" s="24" t="s">
        <v>5200</v>
      </c>
      <c r="AB431" s="25" t="n">
        <v>40</v>
      </c>
      <c r="AC431" s="24" t="s">
        <v>5201</v>
      </c>
      <c r="AD431" s="24" t="s">
        <v>5202</v>
      </c>
      <c r="AE431" s="24" t="s">
        <v>1432</v>
      </c>
      <c r="AF431" s="24" t="s">
        <v>115</v>
      </c>
      <c r="AG431" s="24" t="s">
        <v>168</v>
      </c>
      <c r="AH431" s="24"/>
      <c r="AI431" s="25" t="n">
        <f aca="false">COUNTIF($B$2:$B$740,B431)</f>
        <v>1</v>
      </c>
    </row>
    <row r="432" customFormat="false" ht="76" hidden="false" customHeight="true" outlineLevel="0" collapsed="false">
      <c r="A432" s="21" t="n">
        <v>431</v>
      </c>
      <c r="B432" s="22" t="s">
        <v>5203</v>
      </c>
      <c r="C432" s="23" t="s">
        <v>9</v>
      </c>
      <c r="D432" s="23" t="s">
        <v>96</v>
      </c>
      <c r="E432" s="23" t="s">
        <v>3459</v>
      </c>
      <c r="F432" s="24" t="s">
        <v>55</v>
      </c>
      <c r="G432" s="24" t="s">
        <v>1396</v>
      </c>
      <c r="H432" s="24" t="s">
        <v>3460</v>
      </c>
      <c r="I432" s="24" t="s">
        <v>4860</v>
      </c>
      <c r="J432" s="24" t="s">
        <v>5204</v>
      </c>
      <c r="K432" s="24" t="s">
        <v>5205</v>
      </c>
      <c r="L432" s="24" t="s">
        <v>531</v>
      </c>
      <c r="M432" s="24" t="s">
        <v>5206</v>
      </c>
      <c r="N432" s="24"/>
      <c r="O432" s="24" t="s">
        <v>5207</v>
      </c>
      <c r="P432" s="24" t="s">
        <v>5208</v>
      </c>
      <c r="Q432" s="24" t="s">
        <v>5209</v>
      </c>
      <c r="R432" s="24" t="s">
        <v>5210</v>
      </c>
      <c r="S432" s="24" t="s">
        <v>5211</v>
      </c>
      <c r="T432" s="24" t="s">
        <v>5212</v>
      </c>
      <c r="U432" s="24"/>
      <c r="V432" s="24"/>
      <c r="W432" s="24"/>
      <c r="X432" s="24"/>
      <c r="Y432" s="24" t="s">
        <v>5213</v>
      </c>
      <c r="Z432" s="24" t="s">
        <v>5214</v>
      </c>
      <c r="AA432" s="24"/>
      <c r="AB432" s="25" t="n">
        <v>40</v>
      </c>
      <c r="AC432" s="24" t="s">
        <v>5215</v>
      </c>
      <c r="AD432" s="24" t="s">
        <v>5216</v>
      </c>
      <c r="AE432" s="24"/>
      <c r="AF432" s="24" t="s">
        <v>115</v>
      </c>
      <c r="AG432" s="24" t="s">
        <v>168</v>
      </c>
      <c r="AH432" s="24"/>
      <c r="AI432" s="25" t="n">
        <f aca="false">COUNTIF($B$2:$B$740,B432)</f>
        <v>1</v>
      </c>
    </row>
    <row r="433" customFormat="false" ht="76" hidden="false" customHeight="true" outlineLevel="0" collapsed="false">
      <c r="A433" s="21" t="n">
        <v>432</v>
      </c>
      <c r="B433" s="22" t="s">
        <v>5217</v>
      </c>
      <c r="C433" s="23" t="s">
        <v>9</v>
      </c>
      <c r="D433" s="23" t="s">
        <v>96</v>
      </c>
      <c r="E433" s="23" t="s">
        <v>3459</v>
      </c>
      <c r="F433" s="24" t="s">
        <v>55</v>
      </c>
      <c r="G433" s="24" t="s">
        <v>1396</v>
      </c>
      <c r="H433" s="24" t="s">
        <v>3460</v>
      </c>
      <c r="I433" s="24" t="s">
        <v>4860</v>
      </c>
      <c r="J433" s="24" t="s">
        <v>5218</v>
      </c>
      <c r="K433" s="24" t="s">
        <v>5205</v>
      </c>
      <c r="L433" s="24" t="s">
        <v>531</v>
      </c>
      <c r="M433" s="24" t="s">
        <v>5219</v>
      </c>
      <c r="N433" s="24"/>
      <c r="O433" s="24" t="s">
        <v>5220</v>
      </c>
      <c r="P433" s="24" t="s">
        <v>5221</v>
      </c>
      <c r="Q433" s="24" t="s">
        <v>5222</v>
      </c>
      <c r="R433" s="24" t="s">
        <v>5223</v>
      </c>
      <c r="S433" s="24" t="s">
        <v>5224</v>
      </c>
      <c r="T433" s="24" t="s">
        <v>3540</v>
      </c>
      <c r="U433" s="24" t="s">
        <v>5225</v>
      </c>
      <c r="V433" s="24" t="s">
        <v>5226</v>
      </c>
      <c r="W433" s="24"/>
      <c r="X433" s="24" t="s">
        <v>5227</v>
      </c>
      <c r="Y433" s="24" t="s">
        <v>5228</v>
      </c>
      <c r="Z433" s="24" t="s">
        <v>5229</v>
      </c>
      <c r="AA433" s="24"/>
      <c r="AB433" s="25" t="n">
        <v>40</v>
      </c>
      <c r="AC433" s="24" t="s">
        <v>5230</v>
      </c>
      <c r="AD433" s="24" t="s">
        <v>5231</v>
      </c>
      <c r="AE433" s="24"/>
      <c r="AF433" s="24" t="s">
        <v>115</v>
      </c>
      <c r="AG433" s="24" t="s">
        <v>168</v>
      </c>
      <c r="AH433" s="24"/>
      <c r="AI433" s="25" t="n">
        <f aca="false">COUNTIF($B$2:$B$740,B433)</f>
        <v>1</v>
      </c>
    </row>
    <row r="434" customFormat="false" ht="76" hidden="false" customHeight="true" outlineLevel="0" collapsed="false">
      <c r="A434" s="21" t="n">
        <v>433</v>
      </c>
      <c r="B434" s="22" t="s">
        <v>5232</v>
      </c>
      <c r="C434" s="23" t="s">
        <v>9</v>
      </c>
      <c r="D434" s="23" t="s">
        <v>96</v>
      </c>
      <c r="E434" s="23" t="s">
        <v>3459</v>
      </c>
      <c r="F434" s="24" t="s">
        <v>55</v>
      </c>
      <c r="G434" s="24" t="s">
        <v>1396</v>
      </c>
      <c r="H434" s="24" t="s">
        <v>3460</v>
      </c>
      <c r="I434" s="24" t="s">
        <v>4860</v>
      </c>
      <c r="J434" s="24" t="s">
        <v>5233</v>
      </c>
      <c r="K434" s="24" t="s">
        <v>5205</v>
      </c>
      <c r="L434" s="24" t="s">
        <v>531</v>
      </c>
      <c r="M434" s="24" t="s">
        <v>5234</v>
      </c>
      <c r="N434" s="24"/>
      <c r="O434" s="24" t="s">
        <v>5235</v>
      </c>
      <c r="P434" s="24" t="s">
        <v>5236</v>
      </c>
      <c r="Q434" s="24" t="s">
        <v>5237</v>
      </c>
      <c r="R434" s="24" t="s">
        <v>5238</v>
      </c>
      <c r="S434" s="24" t="s">
        <v>5239</v>
      </c>
      <c r="T434" s="24" t="s">
        <v>5240</v>
      </c>
      <c r="U434" s="24"/>
      <c r="V434" s="24" t="s">
        <v>5241</v>
      </c>
      <c r="W434" s="24"/>
      <c r="X434" s="24"/>
      <c r="Y434" s="24" t="s">
        <v>5242</v>
      </c>
      <c r="Z434" s="24"/>
      <c r="AA434" s="24"/>
      <c r="AB434" s="25" t="n">
        <v>40</v>
      </c>
      <c r="AC434" s="24" t="s">
        <v>5243</v>
      </c>
      <c r="AD434" s="24" t="s">
        <v>5244</v>
      </c>
      <c r="AE434" s="24"/>
      <c r="AF434" s="24" t="s">
        <v>115</v>
      </c>
      <c r="AG434" s="24" t="s">
        <v>168</v>
      </c>
      <c r="AH434" s="24"/>
      <c r="AI434" s="25" t="n">
        <f aca="false">COUNTIF($B$2:$B$740,B434)</f>
        <v>1</v>
      </c>
    </row>
    <row r="435" customFormat="false" ht="76" hidden="false" customHeight="true" outlineLevel="0" collapsed="false">
      <c r="A435" s="21" t="n">
        <v>434</v>
      </c>
      <c r="B435" s="22" t="s">
        <v>5245</v>
      </c>
      <c r="C435" s="23" t="s">
        <v>9</v>
      </c>
      <c r="D435" s="23" t="s">
        <v>96</v>
      </c>
      <c r="E435" s="23" t="s">
        <v>3459</v>
      </c>
      <c r="F435" s="24" t="s">
        <v>55</v>
      </c>
      <c r="G435" s="24" t="s">
        <v>1396</v>
      </c>
      <c r="H435" s="24" t="s">
        <v>3460</v>
      </c>
      <c r="I435" s="24" t="s">
        <v>4860</v>
      </c>
      <c r="J435" s="24" t="s">
        <v>5246</v>
      </c>
      <c r="K435" s="24" t="s">
        <v>5205</v>
      </c>
      <c r="L435" s="24" t="s">
        <v>173</v>
      </c>
      <c r="M435" s="24" t="s">
        <v>5247</v>
      </c>
      <c r="N435" s="24"/>
      <c r="O435" s="24" t="s">
        <v>5248</v>
      </c>
      <c r="P435" s="24" t="s">
        <v>5249</v>
      </c>
      <c r="Q435" s="24" t="s">
        <v>5250</v>
      </c>
      <c r="R435" s="24" t="s">
        <v>5251</v>
      </c>
      <c r="S435" s="24" t="s">
        <v>5252</v>
      </c>
      <c r="T435" s="24" t="s">
        <v>3540</v>
      </c>
      <c r="U435" s="24" t="s">
        <v>5253</v>
      </c>
      <c r="V435" s="24" t="s">
        <v>5254</v>
      </c>
      <c r="W435" s="24"/>
      <c r="X435" s="24"/>
      <c r="Y435" s="24" t="s">
        <v>5253</v>
      </c>
      <c r="Z435" s="24"/>
      <c r="AA435" s="24"/>
      <c r="AB435" s="25" t="n">
        <v>40</v>
      </c>
      <c r="AC435" s="24" t="s">
        <v>5255</v>
      </c>
      <c r="AD435" s="24" t="s">
        <v>5256</v>
      </c>
      <c r="AE435" s="24"/>
      <c r="AF435" s="24" t="s">
        <v>115</v>
      </c>
      <c r="AG435" s="24" t="s">
        <v>168</v>
      </c>
      <c r="AH435" s="24"/>
      <c r="AI435" s="25" t="n">
        <f aca="false">COUNTIF($B$2:$B$740,B435)</f>
        <v>1</v>
      </c>
    </row>
    <row r="436" customFormat="false" ht="76" hidden="false" customHeight="true" outlineLevel="0" collapsed="false">
      <c r="A436" s="21" t="n">
        <v>435</v>
      </c>
      <c r="B436" s="22" t="s">
        <v>5257</v>
      </c>
      <c r="C436" s="23" t="s">
        <v>9</v>
      </c>
      <c r="D436" s="23" t="s">
        <v>96</v>
      </c>
      <c r="E436" s="23" t="s">
        <v>3459</v>
      </c>
      <c r="F436" s="24" t="s">
        <v>55</v>
      </c>
      <c r="G436" s="24" t="s">
        <v>1396</v>
      </c>
      <c r="H436" s="24" t="s">
        <v>3460</v>
      </c>
      <c r="I436" s="24" t="s">
        <v>4860</v>
      </c>
      <c r="J436" s="24" t="s">
        <v>5258</v>
      </c>
      <c r="K436" s="24" t="s">
        <v>5205</v>
      </c>
      <c r="L436" s="24" t="s">
        <v>531</v>
      </c>
      <c r="M436" s="24" t="s">
        <v>5259</v>
      </c>
      <c r="N436" s="24"/>
      <c r="O436" s="24" t="s">
        <v>5260</v>
      </c>
      <c r="P436" s="24" t="s">
        <v>5261</v>
      </c>
      <c r="Q436" s="24" t="s">
        <v>5262</v>
      </c>
      <c r="R436" s="24" t="s">
        <v>5263</v>
      </c>
      <c r="S436" s="24" t="s">
        <v>5264</v>
      </c>
      <c r="T436" s="24" t="s">
        <v>3540</v>
      </c>
      <c r="U436" s="24" t="s">
        <v>5265</v>
      </c>
      <c r="V436" s="24" t="s">
        <v>5266</v>
      </c>
      <c r="W436" s="24"/>
      <c r="X436" s="24"/>
      <c r="Y436" s="24" t="s">
        <v>5267</v>
      </c>
      <c r="Z436" s="24" t="s">
        <v>5268</v>
      </c>
      <c r="AA436" s="24"/>
      <c r="AB436" s="25" t="n">
        <v>40</v>
      </c>
      <c r="AC436" s="24" t="s">
        <v>5269</v>
      </c>
      <c r="AD436" s="24" t="s">
        <v>5270</v>
      </c>
      <c r="AE436" s="24"/>
      <c r="AF436" s="24" t="s">
        <v>115</v>
      </c>
      <c r="AG436" s="24" t="s">
        <v>168</v>
      </c>
      <c r="AH436" s="24"/>
      <c r="AI436" s="25" t="n">
        <f aca="false">COUNTIF($B$2:$B$740,B436)</f>
        <v>1</v>
      </c>
    </row>
    <row r="437" customFormat="false" ht="76" hidden="false" customHeight="true" outlineLevel="0" collapsed="false">
      <c r="A437" s="21" t="n">
        <v>436</v>
      </c>
      <c r="B437" s="22" t="s">
        <v>5271</v>
      </c>
      <c r="C437" s="23" t="s">
        <v>9</v>
      </c>
      <c r="D437" s="23" t="s">
        <v>96</v>
      </c>
      <c r="E437" s="23" t="s">
        <v>3459</v>
      </c>
      <c r="F437" s="24" t="s">
        <v>55</v>
      </c>
      <c r="G437" s="24" t="s">
        <v>1396</v>
      </c>
      <c r="H437" s="24" t="s">
        <v>3460</v>
      </c>
      <c r="I437" s="24" t="s">
        <v>4860</v>
      </c>
      <c r="J437" s="24" t="s">
        <v>5272</v>
      </c>
      <c r="K437" s="24" t="s">
        <v>5205</v>
      </c>
      <c r="L437" s="24" t="s">
        <v>173</v>
      </c>
      <c r="M437" s="24" t="s">
        <v>5273</v>
      </c>
      <c r="N437" s="24"/>
      <c r="O437" s="24" t="s">
        <v>5274</v>
      </c>
      <c r="P437" s="24" t="s">
        <v>5275</v>
      </c>
      <c r="Q437" s="24" t="s">
        <v>5276</v>
      </c>
      <c r="R437" s="24" t="s">
        <v>5277</v>
      </c>
      <c r="S437" s="24" t="s">
        <v>5278</v>
      </c>
      <c r="T437" s="24" t="s">
        <v>5279</v>
      </c>
      <c r="U437" s="24" t="s">
        <v>5280</v>
      </c>
      <c r="V437" s="24" t="s">
        <v>5281</v>
      </c>
      <c r="W437" s="24"/>
      <c r="X437" s="24"/>
      <c r="Y437" s="24" t="s">
        <v>5282</v>
      </c>
      <c r="Z437" s="24"/>
      <c r="AA437" s="24"/>
      <c r="AB437" s="25" t="n">
        <v>40</v>
      </c>
      <c r="AC437" s="24" t="s">
        <v>5283</v>
      </c>
      <c r="AD437" s="24" t="s">
        <v>5284</v>
      </c>
      <c r="AE437" s="24" t="s">
        <v>2192</v>
      </c>
      <c r="AF437" s="24" t="s">
        <v>115</v>
      </c>
      <c r="AG437" s="24" t="s">
        <v>168</v>
      </c>
      <c r="AH437" s="24"/>
      <c r="AI437" s="25" t="n">
        <f aca="false">COUNTIF($B$2:$B$740,B437)</f>
        <v>1</v>
      </c>
    </row>
    <row r="438" customFormat="false" ht="76" hidden="false" customHeight="true" outlineLevel="0" collapsed="false">
      <c r="A438" s="21" t="n">
        <v>437</v>
      </c>
      <c r="B438" s="22" t="s">
        <v>5285</v>
      </c>
      <c r="C438" s="23" t="s">
        <v>9</v>
      </c>
      <c r="D438" s="23" t="s">
        <v>96</v>
      </c>
      <c r="E438" s="23" t="s">
        <v>3459</v>
      </c>
      <c r="F438" s="24" t="s">
        <v>59</v>
      </c>
      <c r="G438" s="24" t="s">
        <v>98</v>
      </c>
      <c r="H438" s="24" t="s">
        <v>3460</v>
      </c>
      <c r="I438" s="24" t="s">
        <v>4860</v>
      </c>
      <c r="J438" s="24" t="s">
        <v>5286</v>
      </c>
      <c r="K438" s="24" t="s">
        <v>5205</v>
      </c>
      <c r="L438" s="24" t="s">
        <v>531</v>
      </c>
      <c r="M438" s="24" t="s">
        <v>5287</v>
      </c>
      <c r="N438" s="24"/>
      <c r="O438" s="24" t="s">
        <v>5288</v>
      </c>
      <c r="P438" s="24" t="s">
        <v>5289</v>
      </c>
      <c r="Q438" s="24" t="s">
        <v>5290</v>
      </c>
      <c r="R438" s="24" t="s">
        <v>5291</v>
      </c>
      <c r="S438" s="24" t="s">
        <v>5292</v>
      </c>
      <c r="T438" s="24" t="s">
        <v>5293</v>
      </c>
      <c r="U438" s="24" t="s">
        <v>5294</v>
      </c>
      <c r="V438" s="24" t="s">
        <v>5295</v>
      </c>
      <c r="W438" s="24"/>
      <c r="X438" s="24" t="s">
        <v>5296</v>
      </c>
      <c r="Y438" s="24" t="s">
        <v>5297</v>
      </c>
      <c r="Z438" s="24"/>
      <c r="AA438" s="24"/>
      <c r="AB438" s="25" t="n">
        <v>40</v>
      </c>
      <c r="AC438" s="24" t="s">
        <v>5298</v>
      </c>
      <c r="AD438" s="24" t="s">
        <v>5299</v>
      </c>
      <c r="AE438" s="24"/>
      <c r="AF438" s="24" t="s">
        <v>115</v>
      </c>
      <c r="AG438" s="24" t="s">
        <v>168</v>
      </c>
      <c r="AH438" s="24"/>
      <c r="AI438" s="25" t="n">
        <f aca="false">COUNTIF($B$2:$B$740,B438)</f>
        <v>1</v>
      </c>
    </row>
    <row r="439" customFormat="false" ht="76" hidden="false" customHeight="true" outlineLevel="0" collapsed="false">
      <c r="A439" s="21" t="n">
        <v>438</v>
      </c>
      <c r="B439" s="22" t="s">
        <v>5300</v>
      </c>
      <c r="C439" s="23" t="s">
        <v>9</v>
      </c>
      <c r="D439" s="23" t="s">
        <v>96</v>
      </c>
      <c r="E439" s="23" t="s">
        <v>3459</v>
      </c>
      <c r="F439" s="24" t="s">
        <v>55</v>
      </c>
      <c r="G439" s="24" t="s">
        <v>1396</v>
      </c>
      <c r="H439" s="24" t="s">
        <v>3460</v>
      </c>
      <c r="I439" s="24" t="s">
        <v>4860</v>
      </c>
      <c r="J439" s="24" t="s">
        <v>5301</v>
      </c>
      <c r="K439" s="24" t="s">
        <v>5205</v>
      </c>
      <c r="L439" s="24" t="s">
        <v>531</v>
      </c>
      <c r="M439" s="24" t="s">
        <v>5302</v>
      </c>
      <c r="N439" s="24"/>
      <c r="O439" s="24" t="s">
        <v>5303</v>
      </c>
      <c r="P439" s="24" t="s">
        <v>5304</v>
      </c>
      <c r="Q439" s="24" t="s">
        <v>5305</v>
      </c>
      <c r="R439" s="24" t="s">
        <v>5306</v>
      </c>
      <c r="S439" s="24" t="s">
        <v>5307</v>
      </c>
      <c r="T439" s="24" t="s">
        <v>5308</v>
      </c>
      <c r="U439" s="24" t="s">
        <v>5309</v>
      </c>
      <c r="V439" s="24" t="s">
        <v>5309</v>
      </c>
      <c r="W439" s="24"/>
      <c r="X439" s="24" t="s">
        <v>5308</v>
      </c>
      <c r="Y439" s="24" t="s">
        <v>5309</v>
      </c>
      <c r="Z439" s="24" t="s">
        <v>5310</v>
      </c>
      <c r="AA439" s="24" t="s">
        <v>5311</v>
      </c>
      <c r="AB439" s="25" t="n">
        <v>40</v>
      </c>
      <c r="AC439" s="24" t="s">
        <v>5312</v>
      </c>
      <c r="AD439" s="24" t="s">
        <v>5313</v>
      </c>
      <c r="AE439" s="24"/>
      <c r="AF439" s="24" t="s">
        <v>115</v>
      </c>
      <c r="AG439" s="24" t="s">
        <v>168</v>
      </c>
      <c r="AH439" s="24"/>
      <c r="AI439" s="25" t="n">
        <f aca="false">COUNTIF($B$2:$B$740,B439)</f>
        <v>1</v>
      </c>
    </row>
    <row r="440" customFormat="false" ht="76" hidden="false" customHeight="true" outlineLevel="0" collapsed="false">
      <c r="A440" s="21" t="n">
        <v>439</v>
      </c>
      <c r="B440" s="22" t="s">
        <v>5314</v>
      </c>
      <c r="C440" s="23" t="s">
        <v>9</v>
      </c>
      <c r="D440" s="23" t="s">
        <v>96</v>
      </c>
      <c r="E440" s="23" t="s">
        <v>3459</v>
      </c>
      <c r="F440" s="24" t="s">
        <v>55</v>
      </c>
      <c r="G440" s="24" t="s">
        <v>1396</v>
      </c>
      <c r="H440" s="24" t="s">
        <v>3460</v>
      </c>
      <c r="I440" s="24" t="s">
        <v>5315</v>
      </c>
      <c r="J440" s="24" t="s">
        <v>5316</v>
      </c>
      <c r="K440" s="24" t="s">
        <v>5317</v>
      </c>
      <c r="L440" s="24" t="s">
        <v>173</v>
      </c>
      <c r="M440" s="24" t="s">
        <v>5318</v>
      </c>
      <c r="N440" s="24"/>
      <c r="O440" s="24" t="s">
        <v>5319</v>
      </c>
      <c r="P440" s="24" t="s">
        <v>5320</v>
      </c>
      <c r="Q440" s="24" t="s">
        <v>5321</v>
      </c>
      <c r="R440" s="24" t="s">
        <v>5322</v>
      </c>
      <c r="S440" s="24" t="s">
        <v>5323</v>
      </c>
      <c r="T440" s="24" t="s">
        <v>5324</v>
      </c>
      <c r="U440" s="24" t="s">
        <v>5325</v>
      </c>
      <c r="V440" s="24"/>
      <c r="W440" s="24"/>
      <c r="X440" s="24"/>
      <c r="Y440" s="24" t="s">
        <v>5326</v>
      </c>
      <c r="Z440" s="24"/>
      <c r="AA440" s="24"/>
      <c r="AB440" s="25" t="n">
        <v>50</v>
      </c>
      <c r="AC440" s="24" t="s">
        <v>5327</v>
      </c>
      <c r="AD440" s="24" t="s">
        <v>5328</v>
      </c>
      <c r="AE440" s="24" t="s">
        <v>5329</v>
      </c>
      <c r="AF440" s="24" t="s">
        <v>115</v>
      </c>
      <c r="AG440" s="24" t="s">
        <v>168</v>
      </c>
      <c r="AH440" s="24"/>
      <c r="AI440" s="25" t="n">
        <f aca="false">COUNTIF($B$2:$B$740,B440)</f>
        <v>1</v>
      </c>
    </row>
    <row r="441" customFormat="false" ht="76" hidden="false" customHeight="true" outlineLevel="0" collapsed="false">
      <c r="A441" s="21" t="n">
        <v>440</v>
      </c>
      <c r="B441" s="22" t="s">
        <v>5330</v>
      </c>
      <c r="C441" s="23" t="s">
        <v>9</v>
      </c>
      <c r="D441" s="23" t="s">
        <v>96</v>
      </c>
      <c r="E441" s="23" t="s">
        <v>3459</v>
      </c>
      <c r="F441" s="24" t="s">
        <v>55</v>
      </c>
      <c r="G441" s="24" t="s">
        <v>1396</v>
      </c>
      <c r="H441" s="24" t="s">
        <v>3460</v>
      </c>
      <c r="I441" s="24" t="s">
        <v>5315</v>
      </c>
      <c r="J441" s="24" t="s">
        <v>5331</v>
      </c>
      <c r="K441" s="24" t="s">
        <v>5317</v>
      </c>
      <c r="L441" s="24" t="s">
        <v>119</v>
      </c>
      <c r="M441" s="24" t="s">
        <v>5332</v>
      </c>
      <c r="N441" s="24"/>
      <c r="O441" s="24" t="s">
        <v>5333</v>
      </c>
      <c r="P441" s="24" t="s">
        <v>5334</v>
      </c>
      <c r="Q441" s="24" t="s">
        <v>5335</v>
      </c>
      <c r="R441" s="24" t="s">
        <v>5336</v>
      </c>
      <c r="S441" s="24" t="s">
        <v>5337</v>
      </c>
      <c r="T441" s="24" t="s">
        <v>3540</v>
      </c>
      <c r="U441" s="24"/>
      <c r="V441" s="24" t="s">
        <v>5338</v>
      </c>
      <c r="W441" s="24" t="s">
        <v>5339</v>
      </c>
      <c r="X441" s="24" t="s">
        <v>5340</v>
      </c>
      <c r="Y441" s="24" t="s">
        <v>5341</v>
      </c>
      <c r="Z441" s="24"/>
      <c r="AA441" s="24"/>
      <c r="AB441" s="25" t="n">
        <v>50</v>
      </c>
      <c r="AC441" s="24" t="s">
        <v>5342</v>
      </c>
      <c r="AD441" s="24" t="s">
        <v>5343</v>
      </c>
      <c r="AE441" s="24" t="s">
        <v>5344</v>
      </c>
      <c r="AF441" s="24" t="s">
        <v>115</v>
      </c>
      <c r="AG441" s="24" t="s">
        <v>168</v>
      </c>
      <c r="AH441" s="24"/>
      <c r="AI441" s="25" t="n">
        <f aca="false">COUNTIF($B$2:$B$740,B441)</f>
        <v>1</v>
      </c>
    </row>
    <row r="442" customFormat="false" ht="76" hidden="false" customHeight="true" outlineLevel="0" collapsed="false">
      <c r="A442" s="21" t="n">
        <v>441</v>
      </c>
      <c r="B442" s="22" t="s">
        <v>5345</v>
      </c>
      <c r="C442" s="23" t="s">
        <v>9</v>
      </c>
      <c r="D442" s="23" t="s">
        <v>96</v>
      </c>
      <c r="E442" s="23" t="s">
        <v>3459</v>
      </c>
      <c r="F442" s="24" t="s">
        <v>55</v>
      </c>
      <c r="G442" s="24" t="s">
        <v>1396</v>
      </c>
      <c r="H442" s="24" t="s">
        <v>3460</v>
      </c>
      <c r="I442" s="24" t="s">
        <v>5315</v>
      </c>
      <c r="J442" s="24" t="s">
        <v>5346</v>
      </c>
      <c r="K442" s="24" t="s">
        <v>5347</v>
      </c>
      <c r="L442" s="24" t="s">
        <v>173</v>
      </c>
      <c r="M442" s="24" t="s">
        <v>5348</v>
      </c>
      <c r="N442" s="24"/>
      <c r="O442" s="24" t="s">
        <v>5349</v>
      </c>
      <c r="P442" s="24" t="s">
        <v>5350</v>
      </c>
      <c r="Q442" s="24" t="s">
        <v>5351</v>
      </c>
      <c r="R442" s="24" t="s">
        <v>5352</v>
      </c>
      <c r="S442" s="24" t="s">
        <v>5353</v>
      </c>
      <c r="T442" s="24" t="s">
        <v>5354</v>
      </c>
      <c r="U442" s="24" t="s">
        <v>5355</v>
      </c>
      <c r="V442" s="24" t="s">
        <v>5356</v>
      </c>
      <c r="W442" s="24" t="s">
        <v>5357</v>
      </c>
      <c r="X442" s="24"/>
      <c r="Y442" s="24" t="s">
        <v>5358</v>
      </c>
      <c r="Z442" s="24"/>
      <c r="AA442" s="24"/>
      <c r="AB442" s="25" t="n">
        <v>50</v>
      </c>
      <c r="AC442" s="24" t="s">
        <v>5359</v>
      </c>
      <c r="AD442" s="24" t="s">
        <v>5360</v>
      </c>
      <c r="AE442" s="24"/>
      <c r="AF442" s="24" t="s">
        <v>115</v>
      </c>
      <c r="AG442" s="24" t="s">
        <v>168</v>
      </c>
      <c r="AH442" s="24"/>
      <c r="AI442" s="25" t="n">
        <f aca="false">COUNTIF($B$2:$B$740,B442)</f>
        <v>1</v>
      </c>
    </row>
    <row r="443" customFormat="false" ht="76" hidden="false" customHeight="true" outlineLevel="0" collapsed="false">
      <c r="A443" s="21" t="n">
        <v>442</v>
      </c>
      <c r="B443" s="22" t="s">
        <v>5361</v>
      </c>
      <c r="C443" s="23" t="s">
        <v>12</v>
      </c>
      <c r="D443" s="23" t="s">
        <v>209</v>
      </c>
      <c r="E443" s="23" t="s">
        <v>97</v>
      </c>
      <c r="F443" s="24" t="s">
        <v>59</v>
      </c>
      <c r="G443" s="24" t="s">
        <v>98</v>
      </c>
      <c r="H443" s="24" t="s">
        <v>5362</v>
      </c>
      <c r="I443" s="24" t="s">
        <v>5363</v>
      </c>
      <c r="J443" s="24" t="s">
        <v>5364</v>
      </c>
      <c r="K443" s="24" t="s">
        <v>5365</v>
      </c>
      <c r="L443" s="24" t="s">
        <v>119</v>
      </c>
      <c r="M443" s="24" t="s">
        <v>5366</v>
      </c>
      <c r="N443" s="24" t="s">
        <v>506</v>
      </c>
      <c r="O443" s="24" t="s">
        <v>5367</v>
      </c>
      <c r="P443" s="24" t="s">
        <v>5368</v>
      </c>
      <c r="Q443" s="24" t="s">
        <v>5369</v>
      </c>
      <c r="R443" s="24" t="s">
        <v>5370</v>
      </c>
      <c r="S443" s="24" t="s">
        <v>5371</v>
      </c>
      <c r="T443" s="24" t="s">
        <v>5372</v>
      </c>
      <c r="U443" s="24" t="s">
        <v>5373</v>
      </c>
      <c r="V443" s="24"/>
      <c r="W443" s="24" t="s">
        <v>5374</v>
      </c>
      <c r="X443" s="24"/>
      <c r="Y443" s="24" t="s">
        <v>5375</v>
      </c>
      <c r="Z443" s="24"/>
      <c r="AA443" s="24"/>
      <c r="AB443" s="25" t="n">
        <v>10</v>
      </c>
      <c r="AC443" s="24" t="s">
        <v>5376</v>
      </c>
      <c r="AD443" s="24" t="s">
        <v>5377</v>
      </c>
      <c r="AE443" s="24"/>
      <c r="AF443" s="24" t="s">
        <v>168</v>
      </c>
      <c r="AG443" s="24"/>
      <c r="AH443" s="24"/>
      <c r="AI443" s="25" t="n">
        <f aca="false">COUNTIF($B$2:$B$740,B443)</f>
        <v>1</v>
      </c>
    </row>
    <row r="444" customFormat="false" ht="76" hidden="false" customHeight="true" outlineLevel="0" collapsed="false">
      <c r="A444" s="21" t="n">
        <v>443</v>
      </c>
      <c r="B444" s="22" t="s">
        <v>5378</v>
      </c>
      <c r="C444" s="23" t="s">
        <v>12</v>
      </c>
      <c r="D444" s="23" t="s">
        <v>209</v>
      </c>
      <c r="E444" s="23" t="s">
        <v>97</v>
      </c>
      <c r="F444" s="24" t="s">
        <v>59</v>
      </c>
      <c r="G444" s="24" t="s">
        <v>98</v>
      </c>
      <c r="H444" s="24" t="s">
        <v>5362</v>
      </c>
      <c r="I444" s="24" t="s">
        <v>5363</v>
      </c>
      <c r="J444" s="24" t="s">
        <v>5379</v>
      </c>
      <c r="K444" s="24" t="s">
        <v>771</v>
      </c>
      <c r="L444" s="24" t="s">
        <v>119</v>
      </c>
      <c r="M444" s="24" t="s">
        <v>5380</v>
      </c>
      <c r="N444" s="24" t="s">
        <v>5381</v>
      </c>
      <c r="O444" s="24" t="s">
        <v>5382</v>
      </c>
      <c r="P444" s="24" t="s">
        <v>5383</v>
      </c>
      <c r="Q444" s="24" t="s">
        <v>5384</v>
      </c>
      <c r="R444" s="24" t="s">
        <v>5385</v>
      </c>
      <c r="S444" s="24" t="s">
        <v>5386</v>
      </c>
      <c r="T444" s="24" t="s">
        <v>5387</v>
      </c>
      <c r="U444" s="24" t="s">
        <v>5388</v>
      </c>
      <c r="V444" s="24"/>
      <c r="W444" s="24" t="s">
        <v>5389</v>
      </c>
      <c r="X444" s="24"/>
      <c r="Y444" s="24" t="s">
        <v>5390</v>
      </c>
      <c r="Z444" s="24"/>
      <c r="AA444" s="24"/>
      <c r="AB444" s="25" t="n">
        <v>10</v>
      </c>
      <c r="AC444" s="24" t="s">
        <v>5376</v>
      </c>
      <c r="AD444" s="24" t="s">
        <v>5377</v>
      </c>
      <c r="AE444" s="24" t="s">
        <v>5361</v>
      </c>
      <c r="AF444" s="24" t="s">
        <v>168</v>
      </c>
      <c r="AG444" s="24"/>
      <c r="AH444" s="24"/>
      <c r="AI444" s="25" t="n">
        <f aca="false">COUNTIF($B$2:$B$740,B444)</f>
        <v>1</v>
      </c>
    </row>
    <row r="445" customFormat="false" ht="76" hidden="false" customHeight="true" outlineLevel="0" collapsed="false">
      <c r="A445" s="21" t="n">
        <v>444</v>
      </c>
      <c r="B445" s="22" t="s">
        <v>5391</v>
      </c>
      <c r="C445" s="23" t="s">
        <v>9</v>
      </c>
      <c r="D445" s="23" t="s">
        <v>96</v>
      </c>
      <c r="E445" s="23" t="s">
        <v>97</v>
      </c>
      <c r="F445" s="24" t="s">
        <v>59</v>
      </c>
      <c r="G445" s="24" t="s">
        <v>98</v>
      </c>
      <c r="H445" s="24" t="s">
        <v>5362</v>
      </c>
      <c r="I445" s="24" t="s">
        <v>5363</v>
      </c>
      <c r="J445" s="24" t="s">
        <v>5392</v>
      </c>
      <c r="K445" s="24" t="s">
        <v>5393</v>
      </c>
      <c r="L445" s="24" t="s">
        <v>103</v>
      </c>
      <c r="M445" s="24" t="s">
        <v>484</v>
      </c>
      <c r="N445" s="24" t="s">
        <v>5394</v>
      </c>
      <c r="O445" s="24" t="s">
        <v>5395</v>
      </c>
      <c r="P445" s="24" t="s">
        <v>5396</v>
      </c>
      <c r="Q445" s="24" t="s">
        <v>5397</v>
      </c>
      <c r="R445" s="24" t="s">
        <v>5398</v>
      </c>
      <c r="S445" s="24" t="s">
        <v>5399</v>
      </c>
      <c r="T445" s="24" t="s">
        <v>5400</v>
      </c>
      <c r="U445" s="24" t="s">
        <v>183</v>
      </c>
      <c r="V445" s="24"/>
      <c r="W445" s="24" t="s">
        <v>5396</v>
      </c>
      <c r="X445" s="24"/>
      <c r="Y445" s="24" t="s">
        <v>183</v>
      </c>
      <c r="Z445" s="24"/>
      <c r="AA445" s="24"/>
      <c r="AB445" s="25" t="n">
        <v>10</v>
      </c>
      <c r="AC445" s="24" t="s">
        <v>5401</v>
      </c>
      <c r="AD445" s="24" t="s">
        <v>5402</v>
      </c>
      <c r="AE445" s="24" t="s">
        <v>170</v>
      </c>
      <c r="AF445" s="24" t="s">
        <v>168</v>
      </c>
      <c r="AG445" s="24"/>
      <c r="AH445" s="24"/>
      <c r="AI445" s="25" t="n">
        <f aca="false">COUNTIF($B$2:$B$740,B445)</f>
        <v>1</v>
      </c>
    </row>
    <row r="446" customFormat="false" ht="76" hidden="false" customHeight="true" outlineLevel="0" collapsed="false">
      <c r="A446" s="21" t="n">
        <v>445</v>
      </c>
      <c r="B446" s="22" t="s">
        <v>5403</v>
      </c>
      <c r="C446" s="23" t="s">
        <v>12</v>
      </c>
      <c r="D446" s="23" t="s">
        <v>209</v>
      </c>
      <c r="E446" s="23" t="s">
        <v>97</v>
      </c>
      <c r="F446" s="24" t="s">
        <v>59</v>
      </c>
      <c r="G446" s="24" t="s">
        <v>98</v>
      </c>
      <c r="H446" s="24" t="s">
        <v>5362</v>
      </c>
      <c r="I446" s="24" t="s">
        <v>5363</v>
      </c>
      <c r="J446" s="24" t="s">
        <v>5404</v>
      </c>
      <c r="K446" s="24" t="s">
        <v>5405</v>
      </c>
      <c r="L446" s="24" t="s">
        <v>119</v>
      </c>
      <c r="M446" s="24" t="s">
        <v>5406</v>
      </c>
      <c r="N446" s="24" t="s">
        <v>5407</v>
      </c>
      <c r="O446" s="24" t="s">
        <v>5408</v>
      </c>
      <c r="P446" s="24" t="s">
        <v>5409</v>
      </c>
      <c r="Q446" s="24" t="s">
        <v>5410</v>
      </c>
      <c r="R446" s="24" t="s">
        <v>5411</v>
      </c>
      <c r="S446" s="24" t="s">
        <v>5412</v>
      </c>
      <c r="T446" s="24" t="s">
        <v>5413</v>
      </c>
      <c r="U446" s="24" t="s">
        <v>183</v>
      </c>
      <c r="V446" s="24" t="s">
        <v>5414</v>
      </c>
      <c r="W446" s="24" t="s">
        <v>5410</v>
      </c>
      <c r="X446" s="24"/>
      <c r="Y446" s="24" t="s">
        <v>5415</v>
      </c>
      <c r="Z446" s="24"/>
      <c r="AA446" s="24"/>
      <c r="AB446" s="25" t="n">
        <v>10</v>
      </c>
      <c r="AC446" s="24" t="s">
        <v>5416</v>
      </c>
      <c r="AD446" s="24" t="s">
        <v>5417</v>
      </c>
      <c r="AE446" s="24"/>
      <c r="AF446" s="24" t="s">
        <v>168</v>
      </c>
      <c r="AG446" s="24"/>
      <c r="AH446" s="24"/>
      <c r="AI446" s="25" t="n">
        <f aca="false">COUNTIF($B$2:$B$740,B446)</f>
        <v>1</v>
      </c>
    </row>
    <row r="447" customFormat="false" ht="76" hidden="false" customHeight="true" outlineLevel="0" collapsed="false">
      <c r="A447" s="21" t="n">
        <v>446</v>
      </c>
      <c r="B447" s="22" t="s">
        <v>5418</v>
      </c>
      <c r="C447" s="23" t="s">
        <v>12</v>
      </c>
      <c r="D447" s="23" t="s">
        <v>209</v>
      </c>
      <c r="E447" s="23" t="s">
        <v>97</v>
      </c>
      <c r="F447" s="24" t="s">
        <v>59</v>
      </c>
      <c r="G447" s="24" t="s">
        <v>98</v>
      </c>
      <c r="H447" s="24" t="s">
        <v>5362</v>
      </c>
      <c r="I447" s="24" t="s">
        <v>5363</v>
      </c>
      <c r="J447" s="24" t="s">
        <v>5419</v>
      </c>
      <c r="K447" s="24" t="s">
        <v>5405</v>
      </c>
      <c r="L447" s="24" t="s">
        <v>119</v>
      </c>
      <c r="M447" s="24" t="s">
        <v>5406</v>
      </c>
      <c r="N447" s="24" t="s">
        <v>5420</v>
      </c>
      <c r="O447" s="24" t="s">
        <v>5408</v>
      </c>
      <c r="P447" s="24" t="s">
        <v>5421</v>
      </c>
      <c r="Q447" s="24" t="s">
        <v>5422</v>
      </c>
      <c r="R447" s="24" t="s">
        <v>5423</v>
      </c>
      <c r="S447" s="24" t="s">
        <v>5424</v>
      </c>
      <c r="T447" s="24" t="s">
        <v>5425</v>
      </c>
      <c r="U447" s="24" t="s">
        <v>183</v>
      </c>
      <c r="V447" s="24" t="s">
        <v>5426</v>
      </c>
      <c r="W447" s="24" t="s">
        <v>5422</v>
      </c>
      <c r="X447" s="24"/>
      <c r="Y447" s="24" t="s">
        <v>183</v>
      </c>
      <c r="Z447" s="24"/>
      <c r="AA447" s="24"/>
      <c r="AB447" s="25" t="n">
        <v>10</v>
      </c>
      <c r="AC447" s="24" t="s">
        <v>5416</v>
      </c>
      <c r="AD447" s="24" t="s">
        <v>5417</v>
      </c>
      <c r="AE447" s="24"/>
      <c r="AF447" s="24" t="s">
        <v>168</v>
      </c>
      <c r="AG447" s="24"/>
      <c r="AH447" s="24"/>
      <c r="AI447" s="25" t="n">
        <f aca="false">COUNTIF($B$2:$B$740,B447)</f>
        <v>1</v>
      </c>
    </row>
    <row r="448" customFormat="false" ht="76.8" hidden="false" customHeight="true" outlineLevel="0" collapsed="false">
      <c r="A448" s="26" t="n">
        <v>447</v>
      </c>
      <c r="B448" s="27" t="s">
        <v>5427</v>
      </c>
      <c r="C448" s="24" t="s">
        <v>12</v>
      </c>
      <c r="D448" s="24" t="s">
        <v>209</v>
      </c>
      <c r="E448" s="24" t="s">
        <v>97</v>
      </c>
      <c r="F448" s="24" t="s">
        <v>59</v>
      </c>
      <c r="G448" s="24" t="s">
        <v>98</v>
      </c>
      <c r="H448" s="24" t="s">
        <v>5362</v>
      </c>
      <c r="I448" s="24" t="s">
        <v>5428</v>
      </c>
      <c r="J448" s="24" t="s">
        <v>5429</v>
      </c>
      <c r="K448" s="24" t="s">
        <v>212</v>
      </c>
      <c r="L448" s="24" t="s">
        <v>119</v>
      </c>
      <c r="M448" s="24" t="s">
        <v>213</v>
      </c>
      <c r="N448" s="24" t="s">
        <v>5430</v>
      </c>
      <c r="O448" s="24" t="s">
        <v>5431</v>
      </c>
      <c r="P448" s="24" t="s">
        <v>5432</v>
      </c>
      <c r="Q448" s="24" t="s">
        <v>5433</v>
      </c>
      <c r="R448" s="24" t="s">
        <v>5434</v>
      </c>
      <c r="S448" s="24" t="s">
        <v>5435</v>
      </c>
      <c r="T448" s="24" t="s">
        <v>5436</v>
      </c>
      <c r="U448" s="24" t="s">
        <v>183</v>
      </c>
      <c r="V448" s="24" t="s">
        <v>5432</v>
      </c>
      <c r="W448" s="24" t="s">
        <v>5437</v>
      </c>
      <c r="X448" s="24"/>
      <c r="Y448" s="24" t="s">
        <v>183</v>
      </c>
      <c r="Z448" s="24"/>
      <c r="AA448" s="24"/>
      <c r="AB448" s="25" t="n">
        <v>60</v>
      </c>
      <c r="AC448" s="24" t="s">
        <v>5438</v>
      </c>
      <c r="AD448" s="24" t="s">
        <v>226</v>
      </c>
      <c r="AE448" s="24" t="s">
        <v>5439</v>
      </c>
      <c r="AF448" s="24" t="s">
        <v>168</v>
      </c>
      <c r="AG448" s="24"/>
      <c r="AH448" s="24" t="s">
        <v>228</v>
      </c>
      <c r="AI448" s="25" t="n">
        <f aca="false">COUNTIF($B$2:$B$740,B448)</f>
        <v>1</v>
      </c>
    </row>
    <row r="449" customFormat="false" ht="67.2" hidden="false" customHeight="true" outlineLevel="0" collapsed="false">
      <c r="A449" s="26" t="n">
        <v>448</v>
      </c>
      <c r="B449" s="27" t="s">
        <v>5440</v>
      </c>
      <c r="C449" s="24" t="s">
        <v>9</v>
      </c>
      <c r="D449" s="24" t="s">
        <v>96</v>
      </c>
      <c r="E449" s="24" t="s">
        <v>97</v>
      </c>
      <c r="F449" s="24" t="s">
        <v>59</v>
      </c>
      <c r="G449" s="24" t="s">
        <v>98</v>
      </c>
      <c r="H449" s="24" t="s">
        <v>5362</v>
      </c>
      <c r="I449" s="24" t="s">
        <v>5428</v>
      </c>
      <c r="J449" s="24" t="s">
        <v>5441</v>
      </c>
      <c r="K449" s="24" t="s">
        <v>5442</v>
      </c>
      <c r="L449" s="24" t="s">
        <v>103</v>
      </c>
      <c r="M449" s="24" t="s">
        <v>398</v>
      </c>
      <c r="N449" s="24" t="s">
        <v>5443</v>
      </c>
      <c r="O449" s="24" t="s">
        <v>5444</v>
      </c>
      <c r="P449" s="24" t="s">
        <v>5445</v>
      </c>
      <c r="Q449" s="24" t="s">
        <v>5446</v>
      </c>
      <c r="R449" s="24" t="s">
        <v>5447</v>
      </c>
      <c r="S449" s="24" t="s">
        <v>5448</v>
      </c>
      <c r="T449" s="24" t="s">
        <v>5449</v>
      </c>
      <c r="U449" s="24" t="s">
        <v>5450</v>
      </c>
      <c r="V449" s="24"/>
      <c r="W449" s="24" t="s">
        <v>5451</v>
      </c>
      <c r="X449" s="24"/>
      <c r="Y449" s="24" t="s">
        <v>183</v>
      </c>
      <c r="Z449" s="24"/>
      <c r="AA449" s="24" t="s">
        <v>5452</v>
      </c>
      <c r="AB449" s="25" t="n">
        <v>60</v>
      </c>
      <c r="AC449" s="24" t="s">
        <v>5453</v>
      </c>
      <c r="AD449" s="24" t="s">
        <v>5454</v>
      </c>
      <c r="AE449" s="24" t="s">
        <v>5455</v>
      </c>
      <c r="AF449" s="24" t="s">
        <v>168</v>
      </c>
      <c r="AG449" s="24"/>
      <c r="AH449" s="24" t="s">
        <v>228</v>
      </c>
      <c r="AI449" s="25" t="n">
        <f aca="false">COUNTIF($B$2:$B$740,B449)</f>
        <v>1</v>
      </c>
    </row>
    <row r="450" customFormat="false" ht="67.2" hidden="false" customHeight="true" outlineLevel="0" collapsed="false">
      <c r="A450" s="26" t="n">
        <v>449</v>
      </c>
      <c r="B450" s="27" t="s">
        <v>5456</v>
      </c>
      <c r="C450" s="24" t="s">
        <v>9</v>
      </c>
      <c r="D450" s="24" t="s">
        <v>96</v>
      </c>
      <c r="E450" s="24" t="s">
        <v>97</v>
      </c>
      <c r="F450" s="24" t="s">
        <v>59</v>
      </c>
      <c r="G450" s="24" t="s">
        <v>98</v>
      </c>
      <c r="H450" s="24" t="s">
        <v>5362</v>
      </c>
      <c r="I450" s="24" t="s">
        <v>5428</v>
      </c>
      <c r="J450" s="24" t="s">
        <v>5457</v>
      </c>
      <c r="K450" s="24" t="s">
        <v>5458</v>
      </c>
      <c r="L450" s="24" t="s">
        <v>119</v>
      </c>
      <c r="M450" s="24" t="s">
        <v>232</v>
      </c>
      <c r="N450" s="24" t="s">
        <v>5459</v>
      </c>
      <c r="O450" s="24" t="s">
        <v>5460</v>
      </c>
      <c r="P450" s="24" t="s">
        <v>5461</v>
      </c>
      <c r="Q450" s="24" t="s">
        <v>5462</v>
      </c>
      <c r="R450" s="24" t="s">
        <v>5463</v>
      </c>
      <c r="S450" s="24" t="s">
        <v>5464</v>
      </c>
      <c r="T450" s="24" t="s">
        <v>5465</v>
      </c>
      <c r="U450" s="24" t="s">
        <v>183</v>
      </c>
      <c r="V450" s="24"/>
      <c r="W450" s="24"/>
      <c r="X450" s="24"/>
      <c r="Y450" s="24" t="s">
        <v>183</v>
      </c>
      <c r="Z450" s="24"/>
      <c r="AA450" s="24"/>
      <c r="AB450" s="25" t="n">
        <v>60</v>
      </c>
      <c r="AC450" s="24" t="s">
        <v>5466</v>
      </c>
      <c r="AD450" s="24" t="s">
        <v>5467</v>
      </c>
      <c r="AE450" s="24" t="s">
        <v>5468</v>
      </c>
      <c r="AF450" s="24" t="s">
        <v>168</v>
      </c>
      <c r="AG450" s="24"/>
      <c r="AH450" s="24" t="s">
        <v>228</v>
      </c>
      <c r="AI450" s="25" t="n">
        <f aca="false">COUNTIF($B$2:$B$740,B450)</f>
        <v>1</v>
      </c>
    </row>
    <row r="451" customFormat="false" ht="86.4" hidden="false" customHeight="true" outlineLevel="0" collapsed="false">
      <c r="A451" s="26" t="n">
        <v>450</v>
      </c>
      <c r="B451" s="27" t="s">
        <v>5469</v>
      </c>
      <c r="C451" s="24" t="s">
        <v>9</v>
      </c>
      <c r="D451" s="24" t="s">
        <v>96</v>
      </c>
      <c r="E451" s="24" t="s">
        <v>97</v>
      </c>
      <c r="F451" s="24" t="s">
        <v>59</v>
      </c>
      <c r="G451" s="24" t="s">
        <v>98</v>
      </c>
      <c r="H451" s="24" t="s">
        <v>5362</v>
      </c>
      <c r="I451" s="24" t="s">
        <v>5470</v>
      </c>
      <c r="J451" s="24" t="s">
        <v>5471</v>
      </c>
      <c r="K451" s="24" t="s">
        <v>299</v>
      </c>
      <c r="L451" s="24" t="s">
        <v>119</v>
      </c>
      <c r="M451" s="24" t="s">
        <v>300</v>
      </c>
      <c r="N451" s="24" t="s">
        <v>5472</v>
      </c>
      <c r="O451" s="24" t="s">
        <v>327</v>
      </c>
      <c r="P451" s="24" t="s">
        <v>5473</v>
      </c>
      <c r="Q451" s="24" t="s">
        <v>5474</v>
      </c>
      <c r="R451" s="24" t="s">
        <v>5475</v>
      </c>
      <c r="S451" s="24" t="s">
        <v>5476</v>
      </c>
      <c r="T451" s="24" t="s">
        <v>5477</v>
      </c>
      <c r="U451" s="24" t="s">
        <v>5478</v>
      </c>
      <c r="V451" s="24" t="s">
        <v>5479</v>
      </c>
      <c r="W451" s="24" t="s">
        <v>5480</v>
      </c>
      <c r="X451" s="24"/>
      <c r="Y451" s="24" t="s">
        <v>5481</v>
      </c>
      <c r="Z451" s="24"/>
      <c r="AA451" s="24" t="s">
        <v>5479</v>
      </c>
      <c r="AB451" s="25" t="n">
        <v>60</v>
      </c>
      <c r="AC451" s="24" t="s">
        <v>334</v>
      </c>
      <c r="AD451" s="24" t="s">
        <v>5482</v>
      </c>
      <c r="AE451" s="24" t="s">
        <v>323</v>
      </c>
      <c r="AF451" s="24" t="s">
        <v>168</v>
      </c>
      <c r="AG451" s="24"/>
      <c r="AH451" s="24" t="s">
        <v>228</v>
      </c>
      <c r="AI451" s="25" t="n">
        <f aca="false">COUNTIF($B$2:$B$740,B451)</f>
        <v>1</v>
      </c>
    </row>
    <row r="452" customFormat="false" ht="86.4" hidden="false" customHeight="true" outlineLevel="0" collapsed="false">
      <c r="A452" s="26" t="n">
        <v>451</v>
      </c>
      <c r="B452" s="27" t="s">
        <v>5483</v>
      </c>
      <c r="C452" s="24" t="s">
        <v>9</v>
      </c>
      <c r="D452" s="24" t="s">
        <v>96</v>
      </c>
      <c r="E452" s="24" t="s">
        <v>97</v>
      </c>
      <c r="F452" s="24" t="s">
        <v>59</v>
      </c>
      <c r="G452" s="24" t="s">
        <v>98</v>
      </c>
      <c r="H452" s="24" t="s">
        <v>5362</v>
      </c>
      <c r="I452" s="24" t="s">
        <v>5470</v>
      </c>
      <c r="J452" s="24" t="s">
        <v>5484</v>
      </c>
      <c r="K452" s="24" t="s">
        <v>5485</v>
      </c>
      <c r="L452" s="24" t="s">
        <v>119</v>
      </c>
      <c r="M452" s="24" t="s">
        <v>273</v>
      </c>
      <c r="N452" s="24" t="s">
        <v>5486</v>
      </c>
      <c r="O452" s="24" t="s">
        <v>275</v>
      </c>
      <c r="P452" s="24" t="s">
        <v>5487</v>
      </c>
      <c r="Q452" s="24" t="s">
        <v>5488</v>
      </c>
      <c r="R452" s="24" t="s">
        <v>5489</v>
      </c>
      <c r="S452" s="24" t="s">
        <v>5490</v>
      </c>
      <c r="T452" s="24" t="s">
        <v>5491</v>
      </c>
      <c r="U452" s="24" t="s">
        <v>5492</v>
      </c>
      <c r="V452" s="24"/>
      <c r="W452" s="24" t="s">
        <v>5493</v>
      </c>
      <c r="X452" s="24"/>
      <c r="Y452" s="24"/>
      <c r="Z452" s="24"/>
      <c r="AA452" s="24"/>
      <c r="AB452" s="25" t="n">
        <v>60</v>
      </c>
      <c r="AC452" s="24" t="s">
        <v>5494</v>
      </c>
      <c r="AD452" s="24" t="s">
        <v>5495</v>
      </c>
      <c r="AE452" s="24" t="s">
        <v>296</v>
      </c>
      <c r="AF452" s="24" t="s">
        <v>168</v>
      </c>
      <c r="AG452" s="24"/>
      <c r="AH452" s="24" t="s">
        <v>228</v>
      </c>
      <c r="AI452" s="25" t="n">
        <f aca="false">COUNTIF($B$2:$B$740,B452)</f>
        <v>1</v>
      </c>
    </row>
    <row r="453" customFormat="false" ht="67.2" hidden="false" customHeight="true" outlineLevel="0" collapsed="false">
      <c r="A453" s="26" t="n">
        <v>452</v>
      </c>
      <c r="B453" s="27" t="s">
        <v>5496</v>
      </c>
      <c r="C453" s="24" t="s">
        <v>9</v>
      </c>
      <c r="D453" s="24" t="s">
        <v>96</v>
      </c>
      <c r="E453" s="24" t="s">
        <v>97</v>
      </c>
      <c r="F453" s="24" t="s">
        <v>59</v>
      </c>
      <c r="G453" s="24" t="s">
        <v>98</v>
      </c>
      <c r="H453" s="24" t="s">
        <v>5362</v>
      </c>
      <c r="I453" s="24" t="s">
        <v>5470</v>
      </c>
      <c r="J453" s="24" t="s">
        <v>5497</v>
      </c>
      <c r="K453" s="24" t="s">
        <v>5485</v>
      </c>
      <c r="L453" s="24" t="s">
        <v>119</v>
      </c>
      <c r="M453" s="24" t="s">
        <v>273</v>
      </c>
      <c r="N453" s="24" t="s">
        <v>5498</v>
      </c>
      <c r="O453" s="24" t="s">
        <v>275</v>
      </c>
      <c r="P453" s="24" t="s">
        <v>5499</v>
      </c>
      <c r="Q453" s="24" t="s">
        <v>5500</v>
      </c>
      <c r="R453" s="24" t="s">
        <v>5501</v>
      </c>
      <c r="S453" s="24" t="s">
        <v>5502</v>
      </c>
      <c r="T453" s="24" t="s">
        <v>5503</v>
      </c>
      <c r="U453" s="24" t="s">
        <v>5504</v>
      </c>
      <c r="V453" s="24"/>
      <c r="W453" s="24" t="s">
        <v>5505</v>
      </c>
      <c r="X453" s="24"/>
      <c r="Y453" s="24"/>
      <c r="Z453" s="24"/>
      <c r="AA453" s="24"/>
      <c r="AB453" s="25" t="n">
        <v>60</v>
      </c>
      <c r="AC453" s="24" t="s">
        <v>5494</v>
      </c>
      <c r="AD453" s="24" t="s">
        <v>5495</v>
      </c>
      <c r="AE453" s="24" t="s">
        <v>5506</v>
      </c>
      <c r="AF453" s="24" t="s">
        <v>168</v>
      </c>
      <c r="AG453" s="24"/>
      <c r="AH453" s="24" t="s">
        <v>228</v>
      </c>
      <c r="AI453" s="25" t="n">
        <f aca="false">COUNTIF($B$2:$B$740,B453)</f>
        <v>1</v>
      </c>
    </row>
    <row r="454" customFormat="false" ht="67.2" hidden="false" customHeight="true" outlineLevel="0" collapsed="false">
      <c r="A454" s="26" t="n">
        <v>453</v>
      </c>
      <c r="B454" s="27" t="s">
        <v>5507</v>
      </c>
      <c r="C454" s="24" t="s">
        <v>9</v>
      </c>
      <c r="D454" s="24" t="s">
        <v>96</v>
      </c>
      <c r="E454" s="24" t="s">
        <v>97</v>
      </c>
      <c r="F454" s="24" t="s">
        <v>59</v>
      </c>
      <c r="G454" s="24" t="s">
        <v>98</v>
      </c>
      <c r="H454" s="24" t="s">
        <v>5362</v>
      </c>
      <c r="I454" s="24" t="s">
        <v>5470</v>
      </c>
      <c r="J454" s="24" t="s">
        <v>5508</v>
      </c>
      <c r="K454" s="24" t="s">
        <v>5485</v>
      </c>
      <c r="L454" s="24" t="s">
        <v>119</v>
      </c>
      <c r="M454" s="24" t="s">
        <v>273</v>
      </c>
      <c r="N454" s="24" t="s">
        <v>5509</v>
      </c>
      <c r="O454" s="24" t="s">
        <v>275</v>
      </c>
      <c r="P454" s="24" t="s">
        <v>5499</v>
      </c>
      <c r="Q454" s="24" t="s">
        <v>5500</v>
      </c>
      <c r="R454" s="24" t="s">
        <v>5510</v>
      </c>
      <c r="S454" s="24" t="s">
        <v>5502</v>
      </c>
      <c r="T454" s="24" t="s">
        <v>5503</v>
      </c>
      <c r="U454" s="24" t="s">
        <v>5511</v>
      </c>
      <c r="V454" s="24"/>
      <c r="W454" s="24" t="s">
        <v>5512</v>
      </c>
      <c r="X454" s="24"/>
      <c r="Y454" s="24"/>
      <c r="Z454" s="24"/>
      <c r="AA454" s="24"/>
      <c r="AB454" s="25" t="n">
        <v>60</v>
      </c>
      <c r="AC454" s="24" t="s">
        <v>5513</v>
      </c>
      <c r="AD454" s="24" t="s">
        <v>5495</v>
      </c>
      <c r="AE454" s="24" t="s">
        <v>5506</v>
      </c>
      <c r="AF454" s="24" t="s">
        <v>168</v>
      </c>
      <c r="AG454" s="24"/>
      <c r="AH454" s="24" t="s">
        <v>228</v>
      </c>
      <c r="AI454" s="25" t="n">
        <f aca="false">COUNTIF($B$2:$B$740,B454)</f>
        <v>1</v>
      </c>
    </row>
    <row r="455" customFormat="false" ht="48" hidden="false" customHeight="true" outlineLevel="0" collapsed="false">
      <c r="A455" s="26" t="n">
        <v>454</v>
      </c>
      <c r="B455" s="27" t="s">
        <v>2710</v>
      </c>
      <c r="C455" s="24" t="s">
        <v>9</v>
      </c>
      <c r="D455" s="24" t="s">
        <v>96</v>
      </c>
      <c r="E455" s="24" t="s">
        <v>97</v>
      </c>
      <c r="F455" s="24" t="s">
        <v>59</v>
      </c>
      <c r="G455" s="24" t="s">
        <v>98</v>
      </c>
      <c r="H455" s="24" t="s">
        <v>5362</v>
      </c>
      <c r="I455" s="24" t="s">
        <v>5470</v>
      </c>
      <c r="J455" s="24" t="s">
        <v>5514</v>
      </c>
      <c r="K455" s="24" t="s">
        <v>5515</v>
      </c>
      <c r="L455" s="24" t="s">
        <v>119</v>
      </c>
      <c r="M455" s="24" t="s">
        <v>300</v>
      </c>
      <c r="N455" s="24" t="s">
        <v>856</v>
      </c>
      <c r="O455" s="24" t="s">
        <v>5516</v>
      </c>
      <c r="P455" s="24" t="s">
        <v>5517</v>
      </c>
      <c r="Q455" s="24" t="s">
        <v>5518</v>
      </c>
      <c r="R455" s="24" t="s">
        <v>5519</v>
      </c>
      <c r="S455" s="24" t="s">
        <v>5520</v>
      </c>
      <c r="T455" s="24" t="s">
        <v>5521</v>
      </c>
      <c r="U455" s="24" t="s">
        <v>183</v>
      </c>
      <c r="V455" s="24"/>
      <c r="W455" s="24"/>
      <c r="X455" s="24" t="s">
        <v>5522</v>
      </c>
      <c r="Y455" s="24" t="s">
        <v>183</v>
      </c>
      <c r="Z455" s="24"/>
      <c r="AA455" s="24"/>
      <c r="AB455" s="25" t="n">
        <v>60</v>
      </c>
      <c r="AC455" s="24" t="s">
        <v>5523</v>
      </c>
      <c r="AD455" s="24" t="s">
        <v>5524</v>
      </c>
      <c r="AE455" s="24" t="s">
        <v>5455</v>
      </c>
      <c r="AF455" s="24" t="s">
        <v>168</v>
      </c>
      <c r="AG455" s="24"/>
      <c r="AH455" s="24" t="s">
        <v>228</v>
      </c>
      <c r="AI455" s="25" t="n">
        <f aca="false">COUNTIF($B$2:$B$740,B455)</f>
        <v>1</v>
      </c>
    </row>
    <row r="456" customFormat="false" ht="86.4" hidden="false" customHeight="true" outlineLevel="0" collapsed="false">
      <c r="A456" s="26" t="n">
        <v>455</v>
      </c>
      <c r="B456" s="27" t="s">
        <v>5525</v>
      </c>
      <c r="C456" s="24" t="s">
        <v>9</v>
      </c>
      <c r="D456" s="24" t="s">
        <v>96</v>
      </c>
      <c r="E456" s="24" t="s">
        <v>97</v>
      </c>
      <c r="F456" s="24" t="s">
        <v>59</v>
      </c>
      <c r="G456" s="24" t="s">
        <v>98</v>
      </c>
      <c r="H456" s="24" t="s">
        <v>5362</v>
      </c>
      <c r="I456" s="24" t="s">
        <v>5470</v>
      </c>
      <c r="J456" s="24" t="s">
        <v>5526</v>
      </c>
      <c r="K456" s="24" t="s">
        <v>337</v>
      </c>
      <c r="L456" s="24" t="s">
        <v>119</v>
      </c>
      <c r="M456" s="24" t="s">
        <v>338</v>
      </c>
      <c r="N456" s="24" t="s">
        <v>5527</v>
      </c>
      <c r="O456" s="24" t="s">
        <v>340</v>
      </c>
      <c r="P456" s="24" t="s">
        <v>5528</v>
      </c>
      <c r="Q456" s="24" t="s">
        <v>5529</v>
      </c>
      <c r="R456" s="24" t="s">
        <v>5530</v>
      </c>
      <c r="S456" s="24" t="s">
        <v>5531</v>
      </c>
      <c r="T456" s="24" t="s">
        <v>5532</v>
      </c>
      <c r="U456" s="24" t="s">
        <v>183</v>
      </c>
      <c r="V456" s="24" t="s">
        <v>5531</v>
      </c>
      <c r="W456" s="24" t="s">
        <v>5533</v>
      </c>
      <c r="X456" s="24"/>
      <c r="Y456" s="24" t="s">
        <v>5534</v>
      </c>
      <c r="Z456" s="24"/>
      <c r="AA456" s="24"/>
      <c r="AB456" s="25" t="n">
        <v>60</v>
      </c>
      <c r="AC456" s="24" t="s">
        <v>347</v>
      </c>
      <c r="AD456" s="24" t="s">
        <v>5535</v>
      </c>
      <c r="AE456" s="24" t="s">
        <v>296</v>
      </c>
      <c r="AF456" s="24" t="s">
        <v>168</v>
      </c>
      <c r="AG456" s="24"/>
      <c r="AH456" s="24" t="s">
        <v>228</v>
      </c>
      <c r="AI456" s="25" t="n">
        <f aca="false">COUNTIF($B$2:$B$740,B456)</f>
        <v>1</v>
      </c>
    </row>
    <row r="457" customFormat="false" ht="67.2" hidden="false" customHeight="true" outlineLevel="0" collapsed="false">
      <c r="A457" s="26" t="n">
        <v>456</v>
      </c>
      <c r="B457" s="27" t="s">
        <v>5536</v>
      </c>
      <c r="C457" s="24" t="s">
        <v>9</v>
      </c>
      <c r="D457" s="24" t="s">
        <v>96</v>
      </c>
      <c r="E457" s="24" t="s">
        <v>97</v>
      </c>
      <c r="F457" s="24" t="s">
        <v>59</v>
      </c>
      <c r="G457" s="24" t="s">
        <v>98</v>
      </c>
      <c r="H457" s="24" t="s">
        <v>5362</v>
      </c>
      <c r="I457" s="24" t="s">
        <v>5470</v>
      </c>
      <c r="J457" s="24" t="s">
        <v>5537</v>
      </c>
      <c r="K457" s="24" t="s">
        <v>337</v>
      </c>
      <c r="L457" s="24" t="s">
        <v>119</v>
      </c>
      <c r="M457" s="24" t="s">
        <v>338</v>
      </c>
      <c r="N457" s="24" t="s">
        <v>5538</v>
      </c>
      <c r="O457" s="24" t="s">
        <v>5539</v>
      </c>
      <c r="P457" s="24" t="s">
        <v>341</v>
      </c>
      <c r="Q457" s="24" t="s">
        <v>5540</v>
      </c>
      <c r="R457" s="24" t="s">
        <v>5541</v>
      </c>
      <c r="S457" s="24" t="s">
        <v>5542</v>
      </c>
      <c r="T457" s="24" t="s">
        <v>5543</v>
      </c>
      <c r="U457" s="24" t="s">
        <v>5544</v>
      </c>
      <c r="V457" s="24" t="s">
        <v>5545</v>
      </c>
      <c r="W457" s="24" t="s">
        <v>5546</v>
      </c>
      <c r="X457" s="24"/>
      <c r="Y457" s="24" t="s">
        <v>183</v>
      </c>
      <c r="Z457" s="24"/>
      <c r="AA457" s="24"/>
      <c r="AB457" s="25" t="n">
        <v>60</v>
      </c>
      <c r="AC457" s="24" t="s">
        <v>347</v>
      </c>
      <c r="AD457" s="24" t="s">
        <v>5547</v>
      </c>
      <c r="AE457" s="24" t="s">
        <v>296</v>
      </c>
      <c r="AF457" s="24" t="s">
        <v>168</v>
      </c>
      <c r="AG457" s="24"/>
      <c r="AH457" s="24" t="s">
        <v>228</v>
      </c>
      <c r="AI457" s="25" t="n">
        <f aca="false">COUNTIF($B$2:$B$740,B457)</f>
        <v>1</v>
      </c>
    </row>
    <row r="458" customFormat="false" ht="86.4" hidden="false" customHeight="true" outlineLevel="0" collapsed="false">
      <c r="A458" s="26" t="n">
        <v>457</v>
      </c>
      <c r="B458" s="27" t="s">
        <v>5548</v>
      </c>
      <c r="C458" s="24" t="s">
        <v>9</v>
      </c>
      <c r="D458" s="24" t="s">
        <v>96</v>
      </c>
      <c r="E458" s="24" t="s">
        <v>97</v>
      </c>
      <c r="F458" s="24" t="s">
        <v>59</v>
      </c>
      <c r="G458" s="24" t="s">
        <v>98</v>
      </c>
      <c r="H458" s="24" t="s">
        <v>5362</v>
      </c>
      <c r="I458" s="24" t="s">
        <v>5470</v>
      </c>
      <c r="J458" s="24" t="s">
        <v>5549</v>
      </c>
      <c r="K458" s="24" t="s">
        <v>337</v>
      </c>
      <c r="L458" s="24" t="s">
        <v>119</v>
      </c>
      <c r="M458" s="24" t="s">
        <v>338</v>
      </c>
      <c r="N458" s="24" t="s">
        <v>5550</v>
      </c>
      <c r="O458" s="24" t="s">
        <v>340</v>
      </c>
      <c r="P458" s="24" t="s">
        <v>5551</v>
      </c>
      <c r="Q458" s="24" t="s">
        <v>5552</v>
      </c>
      <c r="R458" s="24" t="s">
        <v>5553</v>
      </c>
      <c r="S458" s="24" t="s">
        <v>5554</v>
      </c>
      <c r="T458" s="24" t="s">
        <v>5555</v>
      </c>
      <c r="U458" s="24" t="s">
        <v>5556</v>
      </c>
      <c r="V458" s="24"/>
      <c r="W458" s="24" t="s">
        <v>5557</v>
      </c>
      <c r="X458" s="24"/>
      <c r="Y458" s="24" t="s">
        <v>5556</v>
      </c>
      <c r="Z458" s="24"/>
      <c r="AA458" s="24" t="s">
        <v>5558</v>
      </c>
      <c r="AB458" s="25" t="n">
        <v>60</v>
      </c>
      <c r="AC458" s="24" t="s">
        <v>358</v>
      </c>
      <c r="AD458" s="24" t="s">
        <v>5559</v>
      </c>
      <c r="AE458" s="24" t="s">
        <v>296</v>
      </c>
      <c r="AF458" s="24" t="s">
        <v>168</v>
      </c>
      <c r="AG458" s="24"/>
      <c r="AH458" s="24" t="s">
        <v>228</v>
      </c>
      <c r="AI458" s="25" t="n">
        <f aca="false">COUNTIF($B$2:$B$740,B458)</f>
        <v>1</v>
      </c>
    </row>
    <row r="459" customFormat="false" ht="86.4" hidden="false" customHeight="true" outlineLevel="0" collapsed="false">
      <c r="A459" s="26" t="n">
        <v>458</v>
      </c>
      <c r="B459" s="27" t="s">
        <v>5560</v>
      </c>
      <c r="C459" s="24" t="s">
        <v>9</v>
      </c>
      <c r="D459" s="24" t="s">
        <v>96</v>
      </c>
      <c r="E459" s="24" t="s">
        <v>97</v>
      </c>
      <c r="F459" s="24" t="s">
        <v>59</v>
      </c>
      <c r="G459" s="24" t="s">
        <v>98</v>
      </c>
      <c r="H459" s="24" t="s">
        <v>5362</v>
      </c>
      <c r="I459" s="24" t="s">
        <v>5470</v>
      </c>
      <c r="J459" s="24" t="s">
        <v>5561</v>
      </c>
      <c r="K459" s="24" t="s">
        <v>337</v>
      </c>
      <c r="L459" s="24" t="s">
        <v>119</v>
      </c>
      <c r="M459" s="24" t="s">
        <v>338</v>
      </c>
      <c r="N459" s="24" t="s">
        <v>5562</v>
      </c>
      <c r="O459" s="24" t="s">
        <v>340</v>
      </c>
      <c r="P459" s="24" t="s">
        <v>5551</v>
      </c>
      <c r="Q459" s="24" t="s">
        <v>364</v>
      </c>
      <c r="R459" s="24" t="s">
        <v>5563</v>
      </c>
      <c r="S459" s="24" t="s">
        <v>5564</v>
      </c>
      <c r="T459" s="24" t="s">
        <v>5565</v>
      </c>
      <c r="U459" s="24" t="s">
        <v>183</v>
      </c>
      <c r="V459" s="24"/>
      <c r="W459" s="24" t="s">
        <v>5566</v>
      </c>
      <c r="X459" s="24"/>
      <c r="Y459" s="24" t="s">
        <v>183</v>
      </c>
      <c r="Z459" s="24"/>
      <c r="AA459" s="24" t="s">
        <v>5558</v>
      </c>
      <c r="AB459" s="25" t="n">
        <v>60</v>
      </c>
      <c r="AC459" s="24" t="s">
        <v>5567</v>
      </c>
      <c r="AD459" s="24" t="s">
        <v>5559</v>
      </c>
      <c r="AE459" s="24" t="s">
        <v>296</v>
      </c>
      <c r="AF459" s="24" t="s">
        <v>168</v>
      </c>
      <c r="AG459" s="24"/>
      <c r="AH459" s="24" t="s">
        <v>228</v>
      </c>
      <c r="AI459" s="25" t="n">
        <f aca="false">COUNTIF($B$2:$B$740,B459)</f>
        <v>1</v>
      </c>
    </row>
    <row r="460" customFormat="false" ht="76.8" hidden="false" customHeight="true" outlineLevel="0" collapsed="false">
      <c r="A460" s="26" t="n">
        <v>459</v>
      </c>
      <c r="B460" s="27" t="s">
        <v>5568</v>
      </c>
      <c r="C460" s="24" t="s">
        <v>9</v>
      </c>
      <c r="D460" s="24" t="s">
        <v>96</v>
      </c>
      <c r="E460" s="24" t="s">
        <v>97</v>
      </c>
      <c r="F460" s="24" t="s">
        <v>59</v>
      </c>
      <c r="G460" s="24" t="s">
        <v>98</v>
      </c>
      <c r="H460" s="24" t="s">
        <v>5362</v>
      </c>
      <c r="I460" s="24" t="s">
        <v>5470</v>
      </c>
      <c r="J460" s="24" t="s">
        <v>5569</v>
      </c>
      <c r="K460" s="24" t="s">
        <v>337</v>
      </c>
      <c r="L460" s="24" t="s">
        <v>119</v>
      </c>
      <c r="M460" s="24" t="s">
        <v>338</v>
      </c>
      <c r="N460" s="24" t="s">
        <v>5570</v>
      </c>
      <c r="O460" s="24" t="s">
        <v>340</v>
      </c>
      <c r="P460" s="24" t="s">
        <v>5571</v>
      </c>
      <c r="Q460" s="24" t="s">
        <v>375</v>
      </c>
      <c r="R460" s="24" t="s">
        <v>5572</v>
      </c>
      <c r="S460" s="24" t="s">
        <v>1118</v>
      </c>
      <c r="T460" s="24" t="s">
        <v>5565</v>
      </c>
      <c r="U460" s="24" t="s">
        <v>183</v>
      </c>
      <c r="V460" s="24"/>
      <c r="W460" s="24" t="s">
        <v>5573</v>
      </c>
      <c r="X460" s="24"/>
      <c r="Y460" s="24" t="s">
        <v>183</v>
      </c>
      <c r="Z460" s="24"/>
      <c r="AA460" s="24" t="s">
        <v>5558</v>
      </c>
      <c r="AB460" s="25" t="n">
        <v>60</v>
      </c>
      <c r="AC460" s="24" t="s">
        <v>5567</v>
      </c>
      <c r="AD460" s="24" t="s">
        <v>5559</v>
      </c>
      <c r="AE460" s="24" t="s">
        <v>296</v>
      </c>
      <c r="AF460" s="24" t="s">
        <v>168</v>
      </c>
      <c r="AG460" s="24"/>
      <c r="AH460" s="24" t="s">
        <v>228</v>
      </c>
      <c r="AI460" s="25" t="n">
        <f aca="false">COUNTIF($B$2:$B$740,B460)</f>
        <v>1</v>
      </c>
    </row>
    <row r="461" customFormat="false" ht="76.8" hidden="false" customHeight="true" outlineLevel="0" collapsed="false">
      <c r="A461" s="26" t="n">
        <v>460</v>
      </c>
      <c r="B461" s="27" t="s">
        <v>5574</v>
      </c>
      <c r="C461" s="24" t="s">
        <v>9</v>
      </c>
      <c r="D461" s="24" t="s">
        <v>96</v>
      </c>
      <c r="E461" s="24" t="s">
        <v>97</v>
      </c>
      <c r="F461" s="24" t="s">
        <v>59</v>
      </c>
      <c r="G461" s="24" t="s">
        <v>98</v>
      </c>
      <c r="H461" s="24" t="s">
        <v>5362</v>
      </c>
      <c r="I461" s="24" t="s">
        <v>5470</v>
      </c>
      <c r="J461" s="24" t="s">
        <v>5575</v>
      </c>
      <c r="K461" s="24" t="s">
        <v>337</v>
      </c>
      <c r="L461" s="24" t="s">
        <v>119</v>
      </c>
      <c r="M461" s="24" t="s">
        <v>338</v>
      </c>
      <c r="N461" s="24" t="s">
        <v>5576</v>
      </c>
      <c r="O461" s="24" t="s">
        <v>340</v>
      </c>
      <c r="P461" s="24" t="s">
        <v>5571</v>
      </c>
      <c r="Q461" s="24" t="s">
        <v>375</v>
      </c>
      <c r="R461" s="24" t="s">
        <v>5577</v>
      </c>
      <c r="S461" s="24" t="s">
        <v>1118</v>
      </c>
      <c r="T461" s="24" t="s">
        <v>5565</v>
      </c>
      <c r="U461" s="24" t="s">
        <v>183</v>
      </c>
      <c r="V461" s="24"/>
      <c r="W461" s="24" t="s">
        <v>5578</v>
      </c>
      <c r="X461" s="24"/>
      <c r="Y461" s="24" t="s">
        <v>183</v>
      </c>
      <c r="Z461" s="24"/>
      <c r="AA461" s="24" t="s">
        <v>5558</v>
      </c>
      <c r="AB461" s="25" t="n">
        <v>60</v>
      </c>
      <c r="AC461" s="24" t="s">
        <v>5567</v>
      </c>
      <c r="AD461" s="24" t="s">
        <v>5559</v>
      </c>
      <c r="AE461" s="24" t="s">
        <v>296</v>
      </c>
      <c r="AF461" s="24" t="s">
        <v>168</v>
      </c>
      <c r="AG461" s="24"/>
      <c r="AH461" s="24" t="s">
        <v>228</v>
      </c>
      <c r="AI461" s="25" t="n">
        <f aca="false">COUNTIF($B$2:$B$740,B461)</f>
        <v>1</v>
      </c>
    </row>
    <row r="462" customFormat="false" ht="76.8" hidden="false" customHeight="true" outlineLevel="0" collapsed="false">
      <c r="A462" s="26" t="n">
        <v>461</v>
      </c>
      <c r="B462" s="27" t="s">
        <v>5579</v>
      </c>
      <c r="C462" s="24" t="s">
        <v>9</v>
      </c>
      <c r="D462" s="24" t="s">
        <v>96</v>
      </c>
      <c r="E462" s="24" t="s">
        <v>97</v>
      </c>
      <c r="F462" s="24" t="s">
        <v>59</v>
      </c>
      <c r="G462" s="24" t="s">
        <v>98</v>
      </c>
      <c r="H462" s="24" t="s">
        <v>5362</v>
      </c>
      <c r="I462" s="24" t="s">
        <v>5470</v>
      </c>
      <c r="J462" s="24" t="s">
        <v>5580</v>
      </c>
      <c r="K462" s="24" t="s">
        <v>337</v>
      </c>
      <c r="L462" s="24" t="s">
        <v>119</v>
      </c>
      <c r="M462" s="24" t="s">
        <v>338</v>
      </c>
      <c r="N462" s="24" t="s">
        <v>5581</v>
      </c>
      <c r="O462" s="24" t="s">
        <v>352</v>
      </c>
      <c r="P462" s="24" t="s">
        <v>5571</v>
      </c>
      <c r="Q462" s="24" t="s">
        <v>375</v>
      </c>
      <c r="R462" s="24" t="s">
        <v>5582</v>
      </c>
      <c r="S462" s="24" t="s">
        <v>1118</v>
      </c>
      <c r="T462" s="24" t="s">
        <v>5565</v>
      </c>
      <c r="U462" s="24" t="s">
        <v>183</v>
      </c>
      <c r="V462" s="24"/>
      <c r="W462" s="24" t="s">
        <v>5583</v>
      </c>
      <c r="X462" s="24"/>
      <c r="Y462" s="24" t="s">
        <v>183</v>
      </c>
      <c r="Z462" s="24"/>
      <c r="AA462" s="24" t="s">
        <v>5558</v>
      </c>
      <c r="AB462" s="25" t="n">
        <v>60</v>
      </c>
      <c r="AC462" s="24" t="s">
        <v>5567</v>
      </c>
      <c r="AD462" s="24" t="s">
        <v>5559</v>
      </c>
      <c r="AE462" s="24" t="s">
        <v>296</v>
      </c>
      <c r="AF462" s="24" t="s">
        <v>168</v>
      </c>
      <c r="AG462" s="24"/>
      <c r="AH462" s="24" t="s">
        <v>228</v>
      </c>
      <c r="AI462" s="25" t="n">
        <f aca="false">COUNTIF($B$2:$B$740,B462)</f>
        <v>1</v>
      </c>
    </row>
    <row r="463" customFormat="false" ht="76.8" hidden="false" customHeight="true" outlineLevel="0" collapsed="false">
      <c r="A463" s="26" t="n">
        <v>462</v>
      </c>
      <c r="B463" s="27" t="s">
        <v>5584</v>
      </c>
      <c r="C463" s="24" t="s">
        <v>9</v>
      </c>
      <c r="D463" s="24" t="s">
        <v>96</v>
      </c>
      <c r="E463" s="24" t="s">
        <v>97</v>
      </c>
      <c r="F463" s="24" t="s">
        <v>59</v>
      </c>
      <c r="G463" s="24" t="s">
        <v>98</v>
      </c>
      <c r="H463" s="24" t="s">
        <v>5362</v>
      </c>
      <c r="I463" s="24" t="s">
        <v>5470</v>
      </c>
      <c r="J463" s="24" t="s">
        <v>5585</v>
      </c>
      <c r="K463" s="24" t="s">
        <v>5586</v>
      </c>
      <c r="L463" s="24" t="s">
        <v>119</v>
      </c>
      <c r="M463" s="24" t="s">
        <v>5587</v>
      </c>
      <c r="N463" s="24" t="s">
        <v>248</v>
      </c>
      <c r="O463" s="24" t="s">
        <v>5588</v>
      </c>
      <c r="P463" s="24" t="s">
        <v>263</v>
      </c>
      <c r="Q463" s="24" t="s">
        <v>5589</v>
      </c>
      <c r="R463" s="24" t="s">
        <v>5590</v>
      </c>
      <c r="S463" s="24" t="s">
        <v>5591</v>
      </c>
      <c r="T463" s="24" t="s">
        <v>5592</v>
      </c>
      <c r="U463" s="24" t="s">
        <v>183</v>
      </c>
      <c r="V463" s="24" t="s">
        <v>5593</v>
      </c>
      <c r="W463" s="24" t="s">
        <v>5594</v>
      </c>
      <c r="X463" s="24"/>
      <c r="Y463" s="24" t="s">
        <v>183</v>
      </c>
      <c r="Z463" s="24"/>
      <c r="AA463" s="24" t="s">
        <v>5558</v>
      </c>
      <c r="AB463" s="25" t="n">
        <v>60</v>
      </c>
      <c r="AC463" s="24" t="s">
        <v>5595</v>
      </c>
      <c r="AD463" s="24" t="s">
        <v>5559</v>
      </c>
      <c r="AE463" s="24" t="s">
        <v>5596</v>
      </c>
      <c r="AF463" s="24" t="s">
        <v>168</v>
      </c>
      <c r="AG463" s="24"/>
      <c r="AH463" s="24" t="s">
        <v>228</v>
      </c>
      <c r="AI463" s="25" t="n">
        <f aca="false">COUNTIF($B$2:$B$740,B463)</f>
        <v>1</v>
      </c>
    </row>
    <row r="464" customFormat="false" ht="76.8" hidden="false" customHeight="true" outlineLevel="0" collapsed="false">
      <c r="A464" s="26" t="n">
        <v>463</v>
      </c>
      <c r="B464" s="27" t="s">
        <v>5597</v>
      </c>
      <c r="C464" s="24" t="s">
        <v>9</v>
      </c>
      <c r="D464" s="24" t="s">
        <v>96</v>
      </c>
      <c r="E464" s="24" t="s">
        <v>97</v>
      </c>
      <c r="F464" s="24" t="s">
        <v>59</v>
      </c>
      <c r="G464" s="24" t="s">
        <v>98</v>
      </c>
      <c r="H464" s="24" t="s">
        <v>5362</v>
      </c>
      <c r="I464" s="24" t="s">
        <v>5470</v>
      </c>
      <c r="J464" s="24" t="s">
        <v>5598</v>
      </c>
      <c r="K464" s="24" t="s">
        <v>5586</v>
      </c>
      <c r="L464" s="24" t="s">
        <v>119</v>
      </c>
      <c r="M464" s="24" t="s">
        <v>5587</v>
      </c>
      <c r="N464" s="24" t="s">
        <v>248</v>
      </c>
      <c r="O464" s="24" t="s">
        <v>5588</v>
      </c>
      <c r="P464" s="24" t="s">
        <v>263</v>
      </c>
      <c r="Q464" s="24" t="s">
        <v>375</v>
      </c>
      <c r="R464" s="24" t="s">
        <v>5599</v>
      </c>
      <c r="S464" s="24" t="s">
        <v>5600</v>
      </c>
      <c r="T464" s="24" t="s">
        <v>5565</v>
      </c>
      <c r="U464" s="24" t="s">
        <v>183</v>
      </c>
      <c r="V464" s="24" t="s">
        <v>5601</v>
      </c>
      <c r="W464" s="24" t="s">
        <v>5602</v>
      </c>
      <c r="X464" s="24"/>
      <c r="Y464" s="24" t="s">
        <v>183</v>
      </c>
      <c r="Z464" s="24"/>
      <c r="AA464" s="24" t="s">
        <v>5558</v>
      </c>
      <c r="AB464" s="25" t="n">
        <v>60</v>
      </c>
      <c r="AC464" s="24" t="s">
        <v>5595</v>
      </c>
      <c r="AD464" s="24" t="s">
        <v>5559</v>
      </c>
      <c r="AE464" s="24" t="s">
        <v>5603</v>
      </c>
      <c r="AF464" s="24" t="s">
        <v>168</v>
      </c>
      <c r="AG464" s="24"/>
      <c r="AH464" s="24" t="s">
        <v>228</v>
      </c>
      <c r="AI464" s="25" t="n">
        <f aca="false">COUNTIF($B$2:$B$740,B464)</f>
        <v>1</v>
      </c>
    </row>
    <row r="465" customFormat="false" ht="76.8" hidden="false" customHeight="true" outlineLevel="0" collapsed="false">
      <c r="A465" s="26" t="n">
        <v>464</v>
      </c>
      <c r="B465" s="27" t="s">
        <v>5604</v>
      </c>
      <c r="C465" s="24" t="s">
        <v>9</v>
      </c>
      <c r="D465" s="24" t="s">
        <v>96</v>
      </c>
      <c r="E465" s="24" t="s">
        <v>97</v>
      </c>
      <c r="F465" s="24" t="s">
        <v>59</v>
      </c>
      <c r="G465" s="24" t="s">
        <v>98</v>
      </c>
      <c r="H465" s="24" t="s">
        <v>5362</v>
      </c>
      <c r="I465" s="24" t="s">
        <v>5470</v>
      </c>
      <c r="J465" s="24" t="s">
        <v>5605</v>
      </c>
      <c r="K465" s="24" t="s">
        <v>5586</v>
      </c>
      <c r="L465" s="24" t="s">
        <v>119</v>
      </c>
      <c r="M465" s="24" t="s">
        <v>5587</v>
      </c>
      <c r="N465" s="24" t="s">
        <v>248</v>
      </c>
      <c r="O465" s="24" t="s">
        <v>5588</v>
      </c>
      <c r="P465" s="24" t="s">
        <v>263</v>
      </c>
      <c r="Q465" s="24" t="s">
        <v>5606</v>
      </c>
      <c r="R465" s="24" t="s">
        <v>5607</v>
      </c>
      <c r="S465" s="24" t="s">
        <v>5608</v>
      </c>
      <c r="T465" s="24" t="s">
        <v>5565</v>
      </c>
      <c r="U465" s="24" t="s">
        <v>183</v>
      </c>
      <c r="V465" s="24" t="s">
        <v>5609</v>
      </c>
      <c r="W465" s="24" t="s">
        <v>5610</v>
      </c>
      <c r="X465" s="24"/>
      <c r="Y465" s="24" t="s">
        <v>183</v>
      </c>
      <c r="Z465" s="24"/>
      <c r="AA465" s="24" t="s">
        <v>5558</v>
      </c>
      <c r="AB465" s="25" t="n">
        <v>60</v>
      </c>
      <c r="AC465" s="24" t="s">
        <v>5611</v>
      </c>
      <c r="AD465" s="24" t="s">
        <v>5559</v>
      </c>
      <c r="AE465" s="24" t="s">
        <v>296</v>
      </c>
      <c r="AF465" s="24" t="s">
        <v>168</v>
      </c>
      <c r="AG465" s="24"/>
      <c r="AH465" s="24" t="s">
        <v>228</v>
      </c>
      <c r="AI465" s="25" t="n">
        <f aca="false">COUNTIF($B$2:$B$740,B465)</f>
        <v>1</v>
      </c>
    </row>
    <row r="466" customFormat="false" ht="76.8" hidden="false" customHeight="true" outlineLevel="0" collapsed="false">
      <c r="A466" s="26" t="n">
        <v>465</v>
      </c>
      <c r="B466" s="27" t="s">
        <v>5612</v>
      </c>
      <c r="C466" s="24" t="s">
        <v>9</v>
      </c>
      <c r="D466" s="24" t="s">
        <v>96</v>
      </c>
      <c r="E466" s="24" t="s">
        <v>97</v>
      </c>
      <c r="F466" s="24" t="s">
        <v>59</v>
      </c>
      <c r="G466" s="24" t="s">
        <v>98</v>
      </c>
      <c r="H466" s="24" t="s">
        <v>5362</v>
      </c>
      <c r="I466" s="24" t="s">
        <v>5470</v>
      </c>
      <c r="J466" s="24" t="s">
        <v>5613</v>
      </c>
      <c r="K466" s="24" t="s">
        <v>5586</v>
      </c>
      <c r="L466" s="24" t="s">
        <v>119</v>
      </c>
      <c r="M466" s="24" t="s">
        <v>5587</v>
      </c>
      <c r="N466" s="24" t="s">
        <v>248</v>
      </c>
      <c r="O466" s="24" t="s">
        <v>5588</v>
      </c>
      <c r="P466" s="24" t="s">
        <v>263</v>
      </c>
      <c r="Q466" s="24" t="s">
        <v>5606</v>
      </c>
      <c r="R466" s="24" t="s">
        <v>5614</v>
      </c>
      <c r="S466" s="24" t="s">
        <v>5608</v>
      </c>
      <c r="T466" s="24" t="s">
        <v>5565</v>
      </c>
      <c r="U466" s="24" t="s">
        <v>183</v>
      </c>
      <c r="V466" s="24" t="s">
        <v>5615</v>
      </c>
      <c r="W466" s="24" t="s">
        <v>5616</v>
      </c>
      <c r="X466" s="24"/>
      <c r="Y466" s="24" t="s">
        <v>183</v>
      </c>
      <c r="Z466" s="24"/>
      <c r="AA466" s="24" t="s">
        <v>5558</v>
      </c>
      <c r="AB466" s="25" t="n">
        <v>60</v>
      </c>
      <c r="AC466" s="24" t="s">
        <v>5611</v>
      </c>
      <c r="AD466" s="24" t="s">
        <v>5559</v>
      </c>
      <c r="AE466" s="24" t="s">
        <v>296</v>
      </c>
      <c r="AF466" s="24" t="s">
        <v>168</v>
      </c>
      <c r="AG466" s="24"/>
      <c r="AH466" s="24" t="s">
        <v>228</v>
      </c>
      <c r="AI466" s="25" t="n">
        <f aca="false">COUNTIF($B$2:$B$740,B466)</f>
        <v>1</v>
      </c>
    </row>
    <row r="467" customFormat="false" ht="67.2" hidden="false" customHeight="true" outlineLevel="0" collapsed="false">
      <c r="A467" s="26" t="n">
        <v>466</v>
      </c>
      <c r="B467" s="27" t="s">
        <v>5617</v>
      </c>
      <c r="C467" s="24" t="s">
        <v>9</v>
      </c>
      <c r="D467" s="24" t="s">
        <v>96</v>
      </c>
      <c r="E467" s="24" t="s">
        <v>97</v>
      </c>
      <c r="F467" s="24" t="s">
        <v>59</v>
      </c>
      <c r="G467" s="24" t="s">
        <v>98</v>
      </c>
      <c r="H467" s="24" t="s">
        <v>5362</v>
      </c>
      <c r="I467" s="24" t="s">
        <v>5470</v>
      </c>
      <c r="J467" s="24" t="s">
        <v>5618</v>
      </c>
      <c r="K467" s="24" t="s">
        <v>5619</v>
      </c>
      <c r="L467" s="24" t="s">
        <v>119</v>
      </c>
      <c r="M467" s="24" t="s">
        <v>5620</v>
      </c>
      <c r="N467" s="24" t="s">
        <v>5621</v>
      </c>
      <c r="O467" s="24" t="s">
        <v>5622</v>
      </c>
      <c r="P467" s="24" t="s">
        <v>5623</v>
      </c>
      <c r="Q467" s="24" t="s">
        <v>5624</v>
      </c>
      <c r="R467" s="24" t="s">
        <v>5625</v>
      </c>
      <c r="S467" s="24" t="s">
        <v>5626</v>
      </c>
      <c r="T467" s="24" t="s">
        <v>5627</v>
      </c>
      <c r="U467" s="24"/>
      <c r="V467" s="24" t="s">
        <v>5628</v>
      </c>
      <c r="W467" s="24" t="s">
        <v>5629</v>
      </c>
      <c r="X467" s="24"/>
      <c r="Y467" s="24"/>
      <c r="Z467" s="24"/>
      <c r="AA467" s="24"/>
      <c r="AB467" s="25" t="n">
        <v>60</v>
      </c>
      <c r="AC467" s="24" t="s">
        <v>5630</v>
      </c>
      <c r="AD467" s="24" t="s">
        <v>5631</v>
      </c>
      <c r="AE467" s="24" t="s">
        <v>5632</v>
      </c>
      <c r="AF467" s="24" t="s">
        <v>168</v>
      </c>
      <c r="AG467" s="24"/>
      <c r="AH467" s="24" t="s">
        <v>228</v>
      </c>
      <c r="AI467" s="25" t="n">
        <f aca="false">COUNTIF($B$2:$B$740,B467)</f>
        <v>1</v>
      </c>
    </row>
    <row r="468" customFormat="false" ht="115.2" hidden="false" customHeight="true" outlineLevel="0" collapsed="false">
      <c r="A468" s="26" t="n">
        <v>467</v>
      </c>
      <c r="B468" s="27" t="s">
        <v>5633</v>
      </c>
      <c r="C468" s="24" t="s">
        <v>9</v>
      </c>
      <c r="D468" s="24" t="s">
        <v>96</v>
      </c>
      <c r="E468" s="24" t="s">
        <v>97</v>
      </c>
      <c r="F468" s="24" t="s">
        <v>59</v>
      </c>
      <c r="G468" s="24" t="s">
        <v>98</v>
      </c>
      <c r="H468" s="24" t="s">
        <v>5362</v>
      </c>
      <c r="I468" s="24" t="s">
        <v>5470</v>
      </c>
      <c r="J468" s="24" t="s">
        <v>5634</v>
      </c>
      <c r="K468" s="24" t="s">
        <v>5635</v>
      </c>
      <c r="L468" s="24" t="s">
        <v>119</v>
      </c>
      <c r="M468" s="24" t="s">
        <v>5620</v>
      </c>
      <c r="N468" s="24" t="s">
        <v>5636</v>
      </c>
      <c r="O468" s="24" t="s">
        <v>5637</v>
      </c>
      <c r="P468" s="24" t="s">
        <v>5638</v>
      </c>
      <c r="Q468" s="24" t="s">
        <v>5639</v>
      </c>
      <c r="R468" s="24" t="s">
        <v>5640</v>
      </c>
      <c r="S468" s="24" t="s">
        <v>5641</v>
      </c>
      <c r="T468" s="24" t="s">
        <v>5642</v>
      </c>
      <c r="U468" s="24" t="s">
        <v>5643</v>
      </c>
      <c r="V468" s="24" t="s">
        <v>5644</v>
      </c>
      <c r="W468" s="24" t="s">
        <v>5645</v>
      </c>
      <c r="X468" s="24"/>
      <c r="Y468" s="24" t="s">
        <v>5646</v>
      </c>
      <c r="Z468" s="24"/>
      <c r="AA468" s="24" t="s">
        <v>5558</v>
      </c>
      <c r="AB468" s="25" t="n">
        <v>60</v>
      </c>
      <c r="AC468" s="24" t="s">
        <v>5647</v>
      </c>
      <c r="AD468" s="24" t="s">
        <v>5648</v>
      </c>
      <c r="AE468" s="24" t="s">
        <v>323</v>
      </c>
      <c r="AF468" s="24" t="s">
        <v>168</v>
      </c>
      <c r="AG468" s="24"/>
      <c r="AH468" s="24" t="s">
        <v>228</v>
      </c>
      <c r="AI468" s="25" t="n">
        <f aca="false">COUNTIF($B$2:$B$740,B468)</f>
        <v>1</v>
      </c>
    </row>
    <row r="469" customFormat="false" ht="76" hidden="false" customHeight="true" outlineLevel="0" collapsed="false">
      <c r="A469" s="21" t="n">
        <v>468</v>
      </c>
      <c r="B469" s="22" t="s">
        <v>5649</v>
      </c>
      <c r="C469" s="23" t="s">
        <v>9</v>
      </c>
      <c r="D469" s="23" t="s">
        <v>96</v>
      </c>
      <c r="E469" s="23" t="s">
        <v>97</v>
      </c>
      <c r="F469" s="24" t="s">
        <v>59</v>
      </c>
      <c r="G469" s="24" t="s">
        <v>98</v>
      </c>
      <c r="H469" s="24" t="s">
        <v>5362</v>
      </c>
      <c r="I469" s="24" t="s">
        <v>5650</v>
      </c>
      <c r="J469" s="24" t="s">
        <v>5651</v>
      </c>
      <c r="K469" s="24" t="s">
        <v>411</v>
      </c>
      <c r="L469" s="24" t="s">
        <v>103</v>
      </c>
      <c r="M469" s="24" t="s">
        <v>398</v>
      </c>
      <c r="N469" s="24" t="s">
        <v>5652</v>
      </c>
      <c r="O469" s="24" t="s">
        <v>5653</v>
      </c>
      <c r="P469" s="24" t="s">
        <v>5654</v>
      </c>
      <c r="Q469" s="24" t="s">
        <v>5655</v>
      </c>
      <c r="R469" s="24" t="s">
        <v>5656</v>
      </c>
      <c r="S469" s="24" t="s">
        <v>417</v>
      </c>
      <c r="T469" s="24" t="s">
        <v>5657</v>
      </c>
      <c r="U469" s="24" t="s">
        <v>183</v>
      </c>
      <c r="V469" s="24"/>
      <c r="W469" s="24" t="s">
        <v>5658</v>
      </c>
      <c r="X469" s="24"/>
      <c r="Y469" s="24" t="s">
        <v>183</v>
      </c>
      <c r="Z469" s="24"/>
      <c r="AA469" s="24" t="s">
        <v>5659</v>
      </c>
      <c r="AB469" s="25" t="n">
        <v>10</v>
      </c>
      <c r="AC469" s="24" t="s">
        <v>407</v>
      </c>
      <c r="AD469" s="24" t="s">
        <v>5660</v>
      </c>
      <c r="AE469" s="24" t="s">
        <v>297</v>
      </c>
      <c r="AF469" s="24" t="s">
        <v>168</v>
      </c>
      <c r="AG469" s="24"/>
      <c r="AH469" s="24"/>
      <c r="AI469" s="25" t="n">
        <f aca="false">COUNTIF($B$2:$B$740,B469)</f>
        <v>1</v>
      </c>
    </row>
    <row r="470" customFormat="false" ht="76" hidden="false" customHeight="true" outlineLevel="0" collapsed="false">
      <c r="A470" s="21" t="n">
        <v>469</v>
      </c>
      <c r="B470" s="22" t="s">
        <v>5661</v>
      </c>
      <c r="C470" s="23" t="s">
        <v>9</v>
      </c>
      <c r="D470" s="23" t="s">
        <v>96</v>
      </c>
      <c r="E470" s="23" t="s">
        <v>97</v>
      </c>
      <c r="F470" s="24" t="s">
        <v>59</v>
      </c>
      <c r="G470" s="24" t="s">
        <v>98</v>
      </c>
      <c r="H470" s="24" t="s">
        <v>5362</v>
      </c>
      <c r="I470" s="24" t="s">
        <v>5650</v>
      </c>
      <c r="J470" s="24" t="s">
        <v>5662</v>
      </c>
      <c r="K470" s="24" t="s">
        <v>411</v>
      </c>
      <c r="L470" s="24" t="s">
        <v>103</v>
      </c>
      <c r="M470" s="24" t="s">
        <v>398</v>
      </c>
      <c r="N470" s="24" t="s">
        <v>5663</v>
      </c>
      <c r="O470" s="24" t="s">
        <v>5664</v>
      </c>
      <c r="P470" s="24" t="s">
        <v>5654</v>
      </c>
      <c r="Q470" s="24" t="s">
        <v>5665</v>
      </c>
      <c r="R470" s="24" t="s">
        <v>5666</v>
      </c>
      <c r="S470" s="24" t="s">
        <v>5667</v>
      </c>
      <c r="T470" s="24" t="s">
        <v>5668</v>
      </c>
      <c r="U470" s="24" t="s">
        <v>183</v>
      </c>
      <c r="V470" s="24"/>
      <c r="W470" s="24" t="s">
        <v>5669</v>
      </c>
      <c r="X470" s="24"/>
      <c r="Y470" s="24" t="s">
        <v>183</v>
      </c>
      <c r="Z470" s="24"/>
      <c r="AA470" s="24" t="s">
        <v>5670</v>
      </c>
      <c r="AB470" s="25" t="n">
        <v>10</v>
      </c>
      <c r="AC470" s="24" t="s">
        <v>407</v>
      </c>
      <c r="AD470" s="24" t="s">
        <v>5660</v>
      </c>
      <c r="AE470" s="24" t="s">
        <v>297</v>
      </c>
      <c r="AF470" s="24" t="s">
        <v>168</v>
      </c>
      <c r="AG470" s="24"/>
      <c r="AH470" s="24"/>
      <c r="AI470" s="25" t="n">
        <f aca="false">COUNTIF($B$2:$B$740,B470)</f>
        <v>1</v>
      </c>
    </row>
    <row r="471" customFormat="false" ht="76" hidden="false" customHeight="true" outlineLevel="0" collapsed="false">
      <c r="A471" s="21" t="n">
        <v>470</v>
      </c>
      <c r="B471" s="22" t="s">
        <v>5671</v>
      </c>
      <c r="C471" s="23" t="s">
        <v>9</v>
      </c>
      <c r="D471" s="23" t="s">
        <v>96</v>
      </c>
      <c r="E471" s="23" t="s">
        <v>97</v>
      </c>
      <c r="F471" s="24" t="s">
        <v>59</v>
      </c>
      <c r="G471" s="24" t="s">
        <v>98</v>
      </c>
      <c r="H471" s="24" t="s">
        <v>5362</v>
      </c>
      <c r="I471" s="24" t="s">
        <v>5650</v>
      </c>
      <c r="J471" s="24" t="s">
        <v>5672</v>
      </c>
      <c r="K471" s="24" t="s">
        <v>5673</v>
      </c>
      <c r="L471" s="24" t="s">
        <v>103</v>
      </c>
      <c r="M471" s="24" t="s">
        <v>398</v>
      </c>
      <c r="N471" s="24" t="s">
        <v>5674</v>
      </c>
      <c r="O471" s="24" t="s">
        <v>5675</v>
      </c>
      <c r="P471" s="24" t="s">
        <v>5676</v>
      </c>
      <c r="Q471" s="24" t="s">
        <v>5677</v>
      </c>
      <c r="R471" s="24" t="s">
        <v>5678</v>
      </c>
      <c r="S471" s="24" t="s">
        <v>5679</v>
      </c>
      <c r="T471" s="24" t="s">
        <v>5680</v>
      </c>
      <c r="U471" s="24" t="s">
        <v>183</v>
      </c>
      <c r="V471" s="24" t="s">
        <v>5681</v>
      </c>
      <c r="W471" s="24" t="s">
        <v>5682</v>
      </c>
      <c r="X471" s="24"/>
      <c r="Y471" s="24" t="s">
        <v>183</v>
      </c>
      <c r="Z471" s="24"/>
      <c r="AA471" s="24"/>
      <c r="AB471" s="25" t="n">
        <v>10</v>
      </c>
      <c r="AC471" s="24" t="s">
        <v>5683</v>
      </c>
      <c r="AD471" s="24" t="s">
        <v>5684</v>
      </c>
      <c r="AE471" s="24"/>
      <c r="AF471" s="24" t="s">
        <v>168</v>
      </c>
      <c r="AG471" s="24"/>
      <c r="AH471" s="24"/>
      <c r="AI471" s="25" t="n">
        <f aca="false">COUNTIF($B$2:$B$740,B471)</f>
        <v>1</v>
      </c>
    </row>
    <row r="472" customFormat="false" ht="76" hidden="false" customHeight="true" outlineLevel="0" collapsed="false">
      <c r="A472" s="21" t="n">
        <v>471</v>
      </c>
      <c r="B472" s="22" t="s">
        <v>5685</v>
      </c>
      <c r="C472" s="23" t="s">
        <v>9</v>
      </c>
      <c r="D472" s="23" t="s">
        <v>96</v>
      </c>
      <c r="E472" s="23" t="s">
        <v>97</v>
      </c>
      <c r="F472" s="24" t="s">
        <v>59</v>
      </c>
      <c r="G472" s="24" t="s">
        <v>98</v>
      </c>
      <c r="H472" s="24" t="s">
        <v>5362</v>
      </c>
      <c r="I472" s="24" t="s">
        <v>5650</v>
      </c>
      <c r="J472" s="24" t="s">
        <v>5686</v>
      </c>
      <c r="K472" s="24" t="s">
        <v>5687</v>
      </c>
      <c r="L472" s="24" t="s">
        <v>103</v>
      </c>
      <c r="M472" s="24" t="s">
        <v>398</v>
      </c>
      <c r="N472" s="24" t="s">
        <v>5688</v>
      </c>
      <c r="O472" s="24" t="s">
        <v>5689</v>
      </c>
      <c r="P472" s="24" t="s">
        <v>5690</v>
      </c>
      <c r="Q472" s="24" t="s">
        <v>5691</v>
      </c>
      <c r="R472" s="24" t="s">
        <v>5692</v>
      </c>
      <c r="S472" s="24" t="s">
        <v>5693</v>
      </c>
      <c r="T472" s="24" t="s">
        <v>5694</v>
      </c>
      <c r="U472" s="24" t="s">
        <v>183</v>
      </c>
      <c r="V472" s="24"/>
      <c r="W472" s="24"/>
      <c r="X472" s="24"/>
      <c r="Y472" s="24" t="s">
        <v>183</v>
      </c>
      <c r="Z472" s="24"/>
      <c r="AA472" s="24" t="s">
        <v>5695</v>
      </c>
      <c r="AB472" s="25" t="n">
        <v>10</v>
      </c>
      <c r="AC472" s="24" t="s">
        <v>5696</v>
      </c>
      <c r="AD472" s="24" t="s">
        <v>5697</v>
      </c>
      <c r="AE472" s="24"/>
      <c r="AF472" s="24" t="s">
        <v>168</v>
      </c>
      <c r="AG472" s="24"/>
      <c r="AH472" s="24"/>
      <c r="AI472" s="25" t="n">
        <f aca="false">COUNTIF($B$2:$B$740,B472)</f>
        <v>1</v>
      </c>
    </row>
    <row r="473" customFormat="false" ht="76" hidden="false" customHeight="true" outlineLevel="0" collapsed="false">
      <c r="A473" s="21" t="n">
        <v>472</v>
      </c>
      <c r="B473" s="22" t="s">
        <v>5698</v>
      </c>
      <c r="C473" s="23" t="s">
        <v>9</v>
      </c>
      <c r="D473" s="23" t="s">
        <v>96</v>
      </c>
      <c r="E473" s="23" t="s">
        <v>97</v>
      </c>
      <c r="F473" s="24" t="s">
        <v>59</v>
      </c>
      <c r="G473" s="24" t="s">
        <v>98</v>
      </c>
      <c r="H473" s="24" t="s">
        <v>5362</v>
      </c>
      <c r="I473" s="24" t="s">
        <v>5699</v>
      </c>
      <c r="J473" s="24" t="s">
        <v>5700</v>
      </c>
      <c r="K473" s="24" t="s">
        <v>5701</v>
      </c>
      <c r="L473" s="24" t="s">
        <v>531</v>
      </c>
      <c r="M473" s="24" t="s">
        <v>5702</v>
      </c>
      <c r="N473" s="24" t="s">
        <v>5703</v>
      </c>
      <c r="O473" s="24" t="s">
        <v>5704</v>
      </c>
      <c r="P473" s="24" t="s">
        <v>5705</v>
      </c>
      <c r="Q473" s="24" t="s">
        <v>5706</v>
      </c>
      <c r="R473" s="24" t="s">
        <v>5707</v>
      </c>
      <c r="S473" s="24" t="s">
        <v>5708</v>
      </c>
      <c r="T473" s="24" t="s">
        <v>5709</v>
      </c>
      <c r="U473" s="24" t="s">
        <v>5710</v>
      </c>
      <c r="V473" s="24" t="s">
        <v>5711</v>
      </c>
      <c r="W473" s="24" t="s">
        <v>5712</v>
      </c>
      <c r="X473" s="24" t="s">
        <v>5713</v>
      </c>
      <c r="Y473" s="24" t="s">
        <v>5714</v>
      </c>
      <c r="Z473" s="24"/>
      <c r="AA473" s="24" t="s">
        <v>5708</v>
      </c>
      <c r="AB473" s="25" t="n">
        <v>10</v>
      </c>
      <c r="AC473" s="24" t="s">
        <v>5715</v>
      </c>
      <c r="AD473" s="24" t="s">
        <v>5716</v>
      </c>
      <c r="AE473" s="24"/>
      <c r="AF473" s="24" t="s">
        <v>168</v>
      </c>
      <c r="AG473" s="24"/>
      <c r="AH473" s="24"/>
      <c r="AI473" s="25" t="n">
        <f aca="false">COUNTIF($B$2:$B$740,B473)</f>
        <v>1</v>
      </c>
    </row>
    <row r="474" customFormat="false" ht="76" hidden="false" customHeight="true" outlineLevel="0" collapsed="false">
      <c r="A474" s="21" t="n">
        <v>473</v>
      </c>
      <c r="B474" s="22" t="s">
        <v>185</v>
      </c>
      <c r="C474" s="23" t="s">
        <v>9</v>
      </c>
      <c r="D474" s="23" t="s">
        <v>96</v>
      </c>
      <c r="E474" s="23" t="s">
        <v>97</v>
      </c>
      <c r="F474" s="24" t="s">
        <v>59</v>
      </c>
      <c r="G474" s="24" t="s">
        <v>98</v>
      </c>
      <c r="H474" s="24" t="s">
        <v>5362</v>
      </c>
      <c r="I474" s="24" t="s">
        <v>5699</v>
      </c>
      <c r="J474" s="24" t="s">
        <v>5717</v>
      </c>
      <c r="K474" s="24" t="s">
        <v>5718</v>
      </c>
      <c r="L474" s="24" t="s">
        <v>119</v>
      </c>
      <c r="M474" s="24" t="s">
        <v>5719</v>
      </c>
      <c r="N474" s="24" t="s">
        <v>5720</v>
      </c>
      <c r="O474" s="24" t="s">
        <v>5721</v>
      </c>
      <c r="P474" s="24" t="s">
        <v>5722</v>
      </c>
      <c r="Q474" s="24" t="s">
        <v>5723</v>
      </c>
      <c r="R474" s="24" t="s">
        <v>5724</v>
      </c>
      <c r="S474" s="24" t="s">
        <v>5725</v>
      </c>
      <c r="T474" s="24" t="s">
        <v>5726</v>
      </c>
      <c r="U474" s="24" t="s">
        <v>5727</v>
      </c>
      <c r="V474" s="24" t="s">
        <v>5728</v>
      </c>
      <c r="W474" s="24" t="s">
        <v>5729</v>
      </c>
      <c r="X474" s="24"/>
      <c r="Y474" s="24" t="s">
        <v>183</v>
      </c>
      <c r="Z474" s="24"/>
      <c r="AA474" s="24"/>
      <c r="AB474" s="25" t="n">
        <v>10</v>
      </c>
      <c r="AC474" s="24" t="s">
        <v>5730</v>
      </c>
      <c r="AD474" s="24" t="s">
        <v>5731</v>
      </c>
      <c r="AE474" s="24" t="s">
        <v>454</v>
      </c>
      <c r="AF474" s="24" t="s">
        <v>168</v>
      </c>
      <c r="AG474" s="24"/>
      <c r="AH474" s="24"/>
      <c r="AI474" s="25" t="n">
        <f aca="false">COUNTIF($B$2:$B$740,B474)</f>
        <v>1</v>
      </c>
    </row>
    <row r="475" customFormat="false" ht="76" hidden="false" customHeight="true" outlineLevel="0" collapsed="false">
      <c r="A475" s="21" t="n">
        <v>474</v>
      </c>
      <c r="B475" s="22" t="s">
        <v>5732</v>
      </c>
      <c r="C475" s="23" t="s">
        <v>9</v>
      </c>
      <c r="D475" s="23" t="s">
        <v>96</v>
      </c>
      <c r="E475" s="23" t="s">
        <v>97</v>
      </c>
      <c r="F475" s="24" t="s">
        <v>59</v>
      </c>
      <c r="G475" s="24" t="s">
        <v>98</v>
      </c>
      <c r="H475" s="24" t="s">
        <v>5362</v>
      </c>
      <c r="I475" s="24" t="s">
        <v>5699</v>
      </c>
      <c r="J475" s="24" t="s">
        <v>5733</v>
      </c>
      <c r="K475" s="24" t="s">
        <v>5734</v>
      </c>
      <c r="L475" s="24" t="s">
        <v>119</v>
      </c>
      <c r="M475" s="24" t="s">
        <v>5735</v>
      </c>
      <c r="N475" s="24" t="s">
        <v>5736</v>
      </c>
      <c r="O475" s="24" t="s">
        <v>5737</v>
      </c>
      <c r="P475" s="24" t="s">
        <v>5738</v>
      </c>
      <c r="Q475" s="24" t="s">
        <v>5739</v>
      </c>
      <c r="R475" s="24" t="s">
        <v>5740</v>
      </c>
      <c r="S475" s="24" t="s">
        <v>5741</v>
      </c>
      <c r="T475" s="24" t="s">
        <v>5742</v>
      </c>
      <c r="U475" s="24" t="s">
        <v>5743</v>
      </c>
      <c r="V475" s="24" t="s">
        <v>5744</v>
      </c>
      <c r="W475" s="24" t="s">
        <v>5745</v>
      </c>
      <c r="X475" s="24"/>
      <c r="Y475" s="24" t="s">
        <v>5746</v>
      </c>
      <c r="Z475" s="24"/>
      <c r="AA475" s="24"/>
      <c r="AB475" s="25" t="n">
        <v>10</v>
      </c>
      <c r="AC475" s="24" t="s">
        <v>479</v>
      </c>
      <c r="AD475" s="24" t="s">
        <v>5747</v>
      </c>
      <c r="AE475" s="24" t="s">
        <v>454</v>
      </c>
      <c r="AF475" s="24" t="s">
        <v>168</v>
      </c>
      <c r="AG475" s="24"/>
      <c r="AH475" s="24"/>
      <c r="AI475" s="25" t="n">
        <f aca="false">COUNTIF($B$2:$B$740,B475)</f>
        <v>1</v>
      </c>
    </row>
    <row r="476" customFormat="false" ht="76" hidden="false" customHeight="true" outlineLevel="0" collapsed="false">
      <c r="A476" s="21" t="n">
        <v>475</v>
      </c>
      <c r="B476" s="22" t="s">
        <v>5748</v>
      </c>
      <c r="C476" s="23" t="s">
        <v>9</v>
      </c>
      <c r="D476" s="23" t="s">
        <v>96</v>
      </c>
      <c r="E476" s="23" t="s">
        <v>97</v>
      </c>
      <c r="F476" s="24" t="s">
        <v>59</v>
      </c>
      <c r="G476" s="24" t="s">
        <v>98</v>
      </c>
      <c r="H476" s="24" t="s">
        <v>5362</v>
      </c>
      <c r="I476" s="24" t="s">
        <v>5699</v>
      </c>
      <c r="J476" s="24" t="s">
        <v>5749</v>
      </c>
      <c r="K476" s="24" t="s">
        <v>5734</v>
      </c>
      <c r="L476" s="24" t="s">
        <v>119</v>
      </c>
      <c r="M476" s="24" t="s">
        <v>5750</v>
      </c>
      <c r="N476" s="24" t="s">
        <v>856</v>
      </c>
      <c r="O476" s="24" t="s">
        <v>5737</v>
      </c>
      <c r="P476" s="24" t="s">
        <v>5738</v>
      </c>
      <c r="Q476" s="24" t="s">
        <v>5751</v>
      </c>
      <c r="R476" s="24" t="s">
        <v>5752</v>
      </c>
      <c r="S476" s="24" t="s">
        <v>5753</v>
      </c>
      <c r="T476" s="24" t="s">
        <v>5754</v>
      </c>
      <c r="U476" s="24" t="s">
        <v>5755</v>
      </c>
      <c r="V476" s="24" t="s">
        <v>5744</v>
      </c>
      <c r="W476" s="24" t="s">
        <v>5756</v>
      </c>
      <c r="X476" s="24"/>
      <c r="Y476" s="24" t="s">
        <v>5757</v>
      </c>
      <c r="Z476" s="24"/>
      <c r="AA476" s="24"/>
      <c r="AB476" s="25" t="n">
        <v>10</v>
      </c>
      <c r="AC476" s="24" t="s">
        <v>479</v>
      </c>
      <c r="AD476" s="24" t="s">
        <v>5747</v>
      </c>
      <c r="AE476" s="24" t="s">
        <v>5758</v>
      </c>
      <c r="AF476" s="24" t="s">
        <v>168</v>
      </c>
      <c r="AG476" s="24"/>
      <c r="AH476" s="24"/>
      <c r="AI476" s="25" t="n">
        <f aca="false">COUNTIF($B$2:$B$740,B476)</f>
        <v>1</v>
      </c>
    </row>
    <row r="477" customFormat="false" ht="76" hidden="false" customHeight="true" outlineLevel="0" collapsed="false">
      <c r="A477" s="21" t="n">
        <v>476</v>
      </c>
      <c r="B477" s="22" t="s">
        <v>5759</v>
      </c>
      <c r="C477" s="23" t="s">
        <v>9</v>
      </c>
      <c r="D477" s="23" t="s">
        <v>96</v>
      </c>
      <c r="E477" s="23" t="s">
        <v>97</v>
      </c>
      <c r="F477" s="24" t="s">
        <v>59</v>
      </c>
      <c r="G477" s="24" t="s">
        <v>98</v>
      </c>
      <c r="H477" s="24" t="s">
        <v>5362</v>
      </c>
      <c r="I477" s="24" t="s">
        <v>5699</v>
      </c>
      <c r="J477" s="24" t="s">
        <v>5760</v>
      </c>
      <c r="K477" s="24" t="s">
        <v>5761</v>
      </c>
      <c r="L477" s="24" t="s">
        <v>103</v>
      </c>
      <c r="M477" s="24" t="s">
        <v>458</v>
      </c>
      <c r="N477" s="24" t="s">
        <v>5762</v>
      </c>
      <c r="O477" s="24" t="s">
        <v>472</v>
      </c>
      <c r="P477" s="24" t="s">
        <v>5763</v>
      </c>
      <c r="Q477" s="24" t="s">
        <v>5764</v>
      </c>
      <c r="R477" s="24" t="s">
        <v>5765</v>
      </c>
      <c r="S477" s="24" t="s">
        <v>5766</v>
      </c>
      <c r="T477" s="24" t="s">
        <v>5767</v>
      </c>
      <c r="U477" s="24" t="s">
        <v>183</v>
      </c>
      <c r="V477" s="24" t="s">
        <v>5768</v>
      </c>
      <c r="W477" s="24"/>
      <c r="X477" s="24"/>
      <c r="Y477" s="24" t="s">
        <v>183</v>
      </c>
      <c r="Z477" s="24"/>
      <c r="AA477" s="24"/>
      <c r="AB477" s="25" t="n">
        <v>10</v>
      </c>
      <c r="AC477" s="24" t="s">
        <v>479</v>
      </c>
      <c r="AD477" s="24" t="s">
        <v>5769</v>
      </c>
      <c r="AE477" s="24"/>
      <c r="AF477" s="24" t="s">
        <v>168</v>
      </c>
      <c r="AG477" s="24"/>
      <c r="AH477" s="24"/>
      <c r="AI477" s="25" t="n">
        <f aca="false">COUNTIF($B$2:$B$740,B477)</f>
        <v>1</v>
      </c>
    </row>
    <row r="478" customFormat="false" ht="76" hidden="false" customHeight="true" outlineLevel="0" collapsed="false">
      <c r="A478" s="21" t="n">
        <v>477</v>
      </c>
      <c r="B478" s="22" t="s">
        <v>5770</v>
      </c>
      <c r="C478" s="23" t="s">
        <v>9</v>
      </c>
      <c r="D478" s="23" t="s">
        <v>96</v>
      </c>
      <c r="E478" s="23" t="s">
        <v>97</v>
      </c>
      <c r="F478" s="24" t="s">
        <v>59</v>
      </c>
      <c r="G478" s="24" t="s">
        <v>98</v>
      </c>
      <c r="H478" s="24" t="s">
        <v>5362</v>
      </c>
      <c r="I478" s="24" t="s">
        <v>5699</v>
      </c>
      <c r="J478" s="24" t="s">
        <v>5771</v>
      </c>
      <c r="K478" s="24" t="s">
        <v>5772</v>
      </c>
      <c r="L478" s="24" t="s">
        <v>103</v>
      </c>
      <c r="M478" s="24" t="s">
        <v>398</v>
      </c>
      <c r="N478" s="24" t="s">
        <v>5773</v>
      </c>
      <c r="O478" s="24" t="s">
        <v>472</v>
      </c>
      <c r="P478" s="24" t="s">
        <v>5774</v>
      </c>
      <c r="Q478" s="24" t="s">
        <v>5775</v>
      </c>
      <c r="R478" s="24" t="s">
        <v>5776</v>
      </c>
      <c r="S478" s="24" t="s">
        <v>5777</v>
      </c>
      <c r="T478" s="24" t="s">
        <v>5778</v>
      </c>
      <c r="U478" s="24" t="s">
        <v>183</v>
      </c>
      <c r="V478" s="24" t="s">
        <v>5779</v>
      </c>
      <c r="W478" s="24" t="s">
        <v>5780</v>
      </c>
      <c r="X478" s="24"/>
      <c r="Y478" s="24" t="s">
        <v>183</v>
      </c>
      <c r="Z478" s="24"/>
      <c r="AA478" s="24"/>
      <c r="AB478" s="25" t="n">
        <v>10</v>
      </c>
      <c r="AC478" s="24" t="s">
        <v>479</v>
      </c>
      <c r="AD478" s="24" t="s">
        <v>5781</v>
      </c>
      <c r="AE478" s="24"/>
      <c r="AF478" s="24" t="s">
        <v>168</v>
      </c>
      <c r="AG478" s="24"/>
      <c r="AH478" s="24"/>
      <c r="AI478" s="25" t="n">
        <f aca="false">COUNTIF($B$2:$B$740,B478)</f>
        <v>1</v>
      </c>
    </row>
    <row r="479" customFormat="false" ht="76" hidden="false" customHeight="true" outlineLevel="0" collapsed="false">
      <c r="A479" s="21" t="n">
        <v>478</v>
      </c>
      <c r="B479" s="22" t="s">
        <v>5782</v>
      </c>
      <c r="C479" s="23" t="s">
        <v>9</v>
      </c>
      <c r="D479" s="23" t="s">
        <v>96</v>
      </c>
      <c r="E479" s="23" t="s">
        <v>97</v>
      </c>
      <c r="F479" s="24" t="s">
        <v>59</v>
      </c>
      <c r="G479" s="24" t="s">
        <v>98</v>
      </c>
      <c r="H479" s="24" t="s">
        <v>5362</v>
      </c>
      <c r="I479" s="24" t="s">
        <v>5699</v>
      </c>
      <c r="J479" s="24" t="s">
        <v>5783</v>
      </c>
      <c r="K479" s="24" t="s">
        <v>5784</v>
      </c>
      <c r="L479" s="24" t="s">
        <v>119</v>
      </c>
      <c r="M479" s="24" t="s">
        <v>484</v>
      </c>
      <c r="N479" s="24" t="s">
        <v>5785</v>
      </c>
      <c r="O479" s="24" t="s">
        <v>486</v>
      </c>
      <c r="P479" s="24" t="s">
        <v>496</v>
      </c>
      <c r="Q479" s="24" t="s">
        <v>5786</v>
      </c>
      <c r="R479" s="24" t="s">
        <v>5787</v>
      </c>
      <c r="S479" s="24" t="s">
        <v>5788</v>
      </c>
      <c r="T479" s="24" t="s">
        <v>5789</v>
      </c>
      <c r="U479" s="24" t="s">
        <v>183</v>
      </c>
      <c r="V479" s="24" t="s">
        <v>496</v>
      </c>
      <c r="W479" s="24" t="s">
        <v>5790</v>
      </c>
      <c r="X479" s="24"/>
      <c r="Y479" s="24" t="s">
        <v>5791</v>
      </c>
      <c r="Z479" s="24"/>
      <c r="AA479" s="24"/>
      <c r="AB479" s="25" t="n">
        <v>10</v>
      </c>
      <c r="AC479" s="24" t="s">
        <v>479</v>
      </c>
      <c r="AD479" s="24" t="s">
        <v>5792</v>
      </c>
      <c r="AE479" s="24"/>
      <c r="AF479" s="24" t="s">
        <v>168</v>
      </c>
      <c r="AG479" s="24"/>
      <c r="AH479" s="24"/>
      <c r="AI479" s="25" t="n">
        <f aca="false">COUNTIF($B$2:$B$740,B479)</f>
        <v>1</v>
      </c>
    </row>
    <row r="480" customFormat="false" ht="76" hidden="false" customHeight="true" outlineLevel="0" collapsed="false">
      <c r="A480" s="21" t="n">
        <v>479</v>
      </c>
      <c r="B480" s="22" t="s">
        <v>5793</v>
      </c>
      <c r="C480" s="23" t="s">
        <v>9</v>
      </c>
      <c r="D480" s="23" t="s">
        <v>96</v>
      </c>
      <c r="E480" s="23" t="s">
        <v>97</v>
      </c>
      <c r="F480" s="24" t="s">
        <v>59</v>
      </c>
      <c r="G480" s="24" t="s">
        <v>98</v>
      </c>
      <c r="H480" s="24" t="s">
        <v>5362</v>
      </c>
      <c r="I480" s="24" t="s">
        <v>5699</v>
      </c>
      <c r="J480" s="24" t="s">
        <v>5794</v>
      </c>
      <c r="K480" s="24" t="s">
        <v>494</v>
      </c>
      <c r="L480" s="24" t="s">
        <v>103</v>
      </c>
      <c r="M480" s="24" t="s">
        <v>484</v>
      </c>
      <c r="N480" s="24" t="s">
        <v>5795</v>
      </c>
      <c r="O480" s="24" t="s">
        <v>486</v>
      </c>
      <c r="P480" s="24" t="s">
        <v>487</v>
      </c>
      <c r="Q480" s="24" t="s">
        <v>5796</v>
      </c>
      <c r="R480" s="24" t="s">
        <v>5797</v>
      </c>
      <c r="S480" s="24" t="s">
        <v>5798</v>
      </c>
      <c r="T480" s="24" t="s">
        <v>5799</v>
      </c>
      <c r="U480" s="24" t="s">
        <v>5800</v>
      </c>
      <c r="V480" s="24" t="s">
        <v>487</v>
      </c>
      <c r="W480" s="24"/>
      <c r="X480" s="24"/>
      <c r="Y480" s="24" t="s">
        <v>5801</v>
      </c>
      <c r="Z480" s="24"/>
      <c r="AA480" s="24"/>
      <c r="AB480" s="25" t="n">
        <v>10</v>
      </c>
      <c r="AC480" s="24" t="s">
        <v>479</v>
      </c>
      <c r="AD480" s="24" t="s">
        <v>5802</v>
      </c>
      <c r="AE480" s="24" t="s">
        <v>1155</v>
      </c>
      <c r="AF480" s="24" t="s">
        <v>168</v>
      </c>
      <c r="AG480" s="24"/>
      <c r="AH480" s="24"/>
      <c r="AI480" s="25" t="n">
        <f aca="false">COUNTIF($B$2:$B$740,B480)</f>
        <v>1</v>
      </c>
    </row>
    <row r="481" customFormat="false" ht="76" hidden="false" customHeight="true" outlineLevel="0" collapsed="false">
      <c r="A481" s="21" t="n">
        <v>480</v>
      </c>
      <c r="B481" s="22" t="s">
        <v>5803</v>
      </c>
      <c r="C481" s="23" t="s">
        <v>9</v>
      </c>
      <c r="D481" s="23" t="s">
        <v>96</v>
      </c>
      <c r="E481" s="23" t="s">
        <v>97</v>
      </c>
      <c r="F481" s="24" t="s">
        <v>59</v>
      </c>
      <c r="G481" s="24" t="s">
        <v>98</v>
      </c>
      <c r="H481" s="24" t="s">
        <v>5362</v>
      </c>
      <c r="I481" s="24" t="s">
        <v>5699</v>
      </c>
      <c r="J481" s="24" t="s">
        <v>5804</v>
      </c>
      <c r="K481" s="24" t="s">
        <v>5805</v>
      </c>
      <c r="L481" s="24" t="s">
        <v>119</v>
      </c>
      <c r="M481" s="24" t="s">
        <v>484</v>
      </c>
      <c r="N481" s="24" t="s">
        <v>5806</v>
      </c>
      <c r="O481" s="24" t="s">
        <v>5807</v>
      </c>
      <c r="P481" s="24" t="s">
        <v>5808</v>
      </c>
      <c r="Q481" s="24" t="s">
        <v>5809</v>
      </c>
      <c r="R481" s="24" t="s">
        <v>5810</v>
      </c>
      <c r="S481" s="24" t="s">
        <v>5811</v>
      </c>
      <c r="T481" s="24" t="s">
        <v>5812</v>
      </c>
      <c r="U481" s="24" t="s">
        <v>5813</v>
      </c>
      <c r="V481" s="24" t="s">
        <v>5808</v>
      </c>
      <c r="W481" s="24"/>
      <c r="X481" s="24"/>
      <c r="Y481" s="24" t="s">
        <v>5814</v>
      </c>
      <c r="Z481" s="24"/>
      <c r="AA481" s="24"/>
      <c r="AB481" s="25" t="n">
        <v>10</v>
      </c>
      <c r="AC481" s="24" t="s">
        <v>479</v>
      </c>
      <c r="AD481" s="24" t="s">
        <v>5815</v>
      </c>
      <c r="AE481" s="24"/>
      <c r="AF481" s="24" t="s">
        <v>168</v>
      </c>
      <c r="AG481" s="24"/>
      <c r="AH481" s="24"/>
      <c r="AI481" s="25" t="n">
        <f aca="false">COUNTIF($B$2:$B$740,B481)</f>
        <v>1</v>
      </c>
    </row>
    <row r="482" customFormat="false" ht="76" hidden="false" customHeight="true" outlineLevel="0" collapsed="false">
      <c r="A482" s="21" t="n">
        <v>481</v>
      </c>
      <c r="B482" s="22" t="s">
        <v>5816</v>
      </c>
      <c r="C482" s="23" t="s">
        <v>9</v>
      </c>
      <c r="D482" s="23" t="s">
        <v>96</v>
      </c>
      <c r="E482" s="23" t="s">
        <v>97</v>
      </c>
      <c r="F482" s="24" t="s">
        <v>59</v>
      </c>
      <c r="G482" s="24" t="s">
        <v>98</v>
      </c>
      <c r="H482" s="24" t="s">
        <v>5362</v>
      </c>
      <c r="I482" s="24" t="s">
        <v>5817</v>
      </c>
      <c r="J482" s="24" t="s">
        <v>5818</v>
      </c>
      <c r="K482" s="24" t="s">
        <v>5819</v>
      </c>
      <c r="L482" s="24" t="s">
        <v>119</v>
      </c>
      <c r="M482" s="24" t="s">
        <v>458</v>
      </c>
      <c r="N482" s="24" t="s">
        <v>5820</v>
      </c>
      <c r="O482" s="24" t="s">
        <v>5821</v>
      </c>
      <c r="P482" s="24" t="s">
        <v>5822</v>
      </c>
      <c r="Q482" s="24" t="s">
        <v>5823</v>
      </c>
      <c r="R482" s="24" t="s">
        <v>5824</v>
      </c>
      <c r="S482" s="24" t="s">
        <v>5825</v>
      </c>
      <c r="T482" s="24" t="s">
        <v>5826</v>
      </c>
      <c r="U482" s="24" t="s">
        <v>183</v>
      </c>
      <c r="V482" s="24"/>
      <c r="W482" s="24"/>
      <c r="X482" s="24" t="s">
        <v>5827</v>
      </c>
      <c r="Y482" s="24" t="s">
        <v>5828</v>
      </c>
      <c r="Z482" s="24"/>
      <c r="AA482" s="24"/>
      <c r="AB482" s="25" t="n">
        <v>10</v>
      </c>
      <c r="AC482" s="24" t="s">
        <v>623</v>
      </c>
      <c r="AD482" s="24" t="s">
        <v>5829</v>
      </c>
      <c r="AE482" s="24"/>
      <c r="AF482" s="24" t="s">
        <v>168</v>
      </c>
      <c r="AG482" s="24"/>
      <c r="AH482" s="24"/>
      <c r="AI482" s="25" t="n">
        <f aca="false">COUNTIF($B$2:$B$740,B482)</f>
        <v>1</v>
      </c>
    </row>
    <row r="483" customFormat="false" ht="76" hidden="false" customHeight="true" outlineLevel="0" collapsed="false">
      <c r="A483" s="21" t="n">
        <v>482</v>
      </c>
      <c r="B483" s="22" t="s">
        <v>5830</v>
      </c>
      <c r="C483" s="23" t="s">
        <v>9</v>
      </c>
      <c r="D483" s="23" t="s">
        <v>96</v>
      </c>
      <c r="E483" s="23" t="s">
        <v>97</v>
      </c>
      <c r="F483" s="24" t="s">
        <v>59</v>
      </c>
      <c r="G483" s="24" t="s">
        <v>98</v>
      </c>
      <c r="H483" s="24" t="s">
        <v>5362</v>
      </c>
      <c r="I483" s="24" t="s">
        <v>5817</v>
      </c>
      <c r="J483" s="24" t="s">
        <v>5831</v>
      </c>
      <c r="K483" s="24" t="s">
        <v>5832</v>
      </c>
      <c r="L483" s="24" t="s">
        <v>103</v>
      </c>
      <c r="M483" s="24" t="s">
        <v>605</v>
      </c>
      <c r="N483" s="24" t="s">
        <v>5833</v>
      </c>
      <c r="O483" s="24" t="s">
        <v>5834</v>
      </c>
      <c r="P483" s="24" t="s">
        <v>552</v>
      </c>
      <c r="Q483" s="24" t="s">
        <v>5835</v>
      </c>
      <c r="R483" s="24" t="s">
        <v>5836</v>
      </c>
      <c r="S483" s="24" t="s">
        <v>5837</v>
      </c>
      <c r="T483" s="24" t="s">
        <v>5838</v>
      </c>
      <c r="U483" s="24" t="s">
        <v>183</v>
      </c>
      <c r="V483" s="24"/>
      <c r="W483" s="24" t="s">
        <v>5839</v>
      </c>
      <c r="X483" s="24"/>
      <c r="Y483" s="24" t="s">
        <v>183</v>
      </c>
      <c r="Z483" s="24"/>
      <c r="AA483" s="24"/>
      <c r="AB483" s="25" t="n">
        <v>10</v>
      </c>
      <c r="AC483" s="24" t="s">
        <v>590</v>
      </c>
      <c r="AD483" s="24" t="s">
        <v>5840</v>
      </c>
      <c r="AE483" s="24"/>
      <c r="AF483" s="24" t="s">
        <v>168</v>
      </c>
      <c r="AG483" s="24"/>
      <c r="AH483" s="24"/>
      <c r="AI483" s="25" t="n">
        <f aca="false">COUNTIF($B$2:$B$740,B483)</f>
        <v>1</v>
      </c>
    </row>
    <row r="484" customFormat="false" ht="86.4" hidden="false" customHeight="true" outlineLevel="0" collapsed="false">
      <c r="A484" s="26" t="n">
        <v>483</v>
      </c>
      <c r="B484" s="27" t="s">
        <v>5841</v>
      </c>
      <c r="C484" s="24" t="s">
        <v>9</v>
      </c>
      <c r="D484" s="24" t="s">
        <v>96</v>
      </c>
      <c r="E484" s="24" t="s">
        <v>97</v>
      </c>
      <c r="F484" s="24" t="s">
        <v>59</v>
      </c>
      <c r="G484" s="24" t="s">
        <v>98</v>
      </c>
      <c r="H484" s="24" t="s">
        <v>5362</v>
      </c>
      <c r="I484" s="24" t="s">
        <v>5817</v>
      </c>
      <c r="J484" s="24" t="s">
        <v>5842</v>
      </c>
      <c r="K484" s="24" t="s">
        <v>5843</v>
      </c>
      <c r="L484" s="24" t="s">
        <v>103</v>
      </c>
      <c r="M484" s="24" t="s">
        <v>605</v>
      </c>
      <c r="N484" s="24" t="s">
        <v>5844</v>
      </c>
      <c r="O484" s="24" t="s">
        <v>5845</v>
      </c>
      <c r="P484" s="24" t="s">
        <v>5846</v>
      </c>
      <c r="Q484" s="24" t="s">
        <v>5847</v>
      </c>
      <c r="R484" s="24" t="s">
        <v>5848</v>
      </c>
      <c r="S484" s="24" t="s">
        <v>5849</v>
      </c>
      <c r="T484" s="24" t="s">
        <v>5850</v>
      </c>
      <c r="U484" s="24" t="s">
        <v>5851</v>
      </c>
      <c r="V484" s="24"/>
      <c r="W484" s="24" t="s">
        <v>5852</v>
      </c>
      <c r="X484" s="24" t="s">
        <v>5853</v>
      </c>
      <c r="Y484" s="24" t="s">
        <v>183</v>
      </c>
      <c r="Z484" s="24"/>
      <c r="AA484" s="24" t="s">
        <v>5854</v>
      </c>
      <c r="AB484" s="25" t="n">
        <v>100</v>
      </c>
      <c r="AC484" s="24" t="s">
        <v>5855</v>
      </c>
      <c r="AD484" s="24" t="s">
        <v>5856</v>
      </c>
      <c r="AE484" s="24" t="s">
        <v>5857</v>
      </c>
      <c r="AF484" s="24" t="s">
        <v>168</v>
      </c>
      <c r="AG484" s="24" t="s">
        <v>168</v>
      </c>
      <c r="AH484" s="24" t="s">
        <v>545</v>
      </c>
      <c r="AI484" s="25" t="n">
        <f aca="false">COUNTIF($B$2:$B$740,B484)</f>
        <v>1</v>
      </c>
    </row>
    <row r="485" customFormat="false" ht="76" hidden="false" customHeight="true" outlineLevel="0" collapsed="false">
      <c r="A485" s="21" t="n">
        <v>484</v>
      </c>
      <c r="B485" s="22" t="s">
        <v>5858</v>
      </c>
      <c r="C485" s="23" t="s">
        <v>9</v>
      </c>
      <c r="D485" s="23" t="s">
        <v>96</v>
      </c>
      <c r="E485" s="23" t="s">
        <v>97</v>
      </c>
      <c r="F485" s="24" t="s">
        <v>59</v>
      </c>
      <c r="G485" s="24" t="s">
        <v>98</v>
      </c>
      <c r="H485" s="24" t="s">
        <v>5362</v>
      </c>
      <c r="I485" s="24" t="s">
        <v>5859</v>
      </c>
      <c r="J485" s="24" t="s">
        <v>5860</v>
      </c>
      <c r="K485" s="24" t="s">
        <v>5861</v>
      </c>
      <c r="L485" s="24" t="s">
        <v>103</v>
      </c>
      <c r="M485" s="24" t="s">
        <v>5862</v>
      </c>
      <c r="N485" s="24" t="s">
        <v>5863</v>
      </c>
      <c r="O485" s="24" t="s">
        <v>5864</v>
      </c>
      <c r="P485" s="24" t="s">
        <v>5865</v>
      </c>
      <c r="Q485" s="24" t="s">
        <v>5866</v>
      </c>
      <c r="R485" s="24" t="s">
        <v>5867</v>
      </c>
      <c r="S485" s="24" t="s">
        <v>5868</v>
      </c>
      <c r="T485" s="24" t="s">
        <v>5869</v>
      </c>
      <c r="U485" s="24" t="s">
        <v>5870</v>
      </c>
      <c r="V485" s="24"/>
      <c r="W485" s="24" t="s">
        <v>5871</v>
      </c>
      <c r="X485" s="24" t="s">
        <v>5872</v>
      </c>
      <c r="Y485" s="24" t="s">
        <v>5873</v>
      </c>
      <c r="Z485" s="24"/>
      <c r="AA485" s="24"/>
      <c r="AB485" s="25" t="n">
        <v>10</v>
      </c>
      <c r="AC485" s="24" t="s">
        <v>5874</v>
      </c>
      <c r="AD485" s="24" t="s">
        <v>5875</v>
      </c>
      <c r="AE485" s="24"/>
      <c r="AF485" s="24" t="s">
        <v>168</v>
      </c>
      <c r="AG485" s="24"/>
      <c r="AH485" s="24"/>
      <c r="AI485" s="25" t="n">
        <f aca="false">COUNTIF($B$2:$B$740,B485)</f>
        <v>1</v>
      </c>
    </row>
    <row r="486" customFormat="false" ht="76" hidden="false" customHeight="true" outlineLevel="0" collapsed="false">
      <c r="A486" s="21" t="n">
        <v>485</v>
      </c>
      <c r="B486" s="22" t="s">
        <v>5876</v>
      </c>
      <c r="C486" s="23" t="s">
        <v>9</v>
      </c>
      <c r="D486" s="23" t="s">
        <v>96</v>
      </c>
      <c r="E486" s="23" t="s">
        <v>97</v>
      </c>
      <c r="F486" s="24" t="s">
        <v>59</v>
      </c>
      <c r="G486" s="24" t="s">
        <v>98</v>
      </c>
      <c r="H486" s="24" t="s">
        <v>5362</v>
      </c>
      <c r="I486" s="24" t="s">
        <v>5859</v>
      </c>
      <c r="J486" s="24" t="s">
        <v>5877</v>
      </c>
      <c r="K486" s="24" t="s">
        <v>5878</v>
      </c>
      <c r="L486" s="24" t="s">
        <v>173</v>
      </c>
      <c r="M486" s="24" t="s">
        <v>5879</v>
      </c>
      <c r="N486" s="24"/>
      <c r="O486" s="24" t="s">
        <v>5880</v>
      </c>
      <c r="P486" s="24" t="s">
        <v>5881</v>
      </c>
      <c r="Q486" s="24" t="s">
        <v>5882</v>
      </c>
      <c r="R486" s="24" t="s">
        <v>5883</v>
      </c>
      <c r="S486" s="24" t="s">
        <v>5884</v>
      </c>
      <c r="T486" s="24" t="s">
        <v>5885</v>
      </c>
      <c r="U486" s="24" t="s">
        <v>5886</v>
      </c>
      <c r="V486" s="24"/>
      <c r="W486" s="24" t="s">
        <v>5882</v>
      </c>
      <c r="X486" s="24" t="s">
        <v>5872</v>
      </c>
      <c r="Y486" s="24" t="s">
        <v>5887</v>
      </c>
      <c r="Z486" s="24"/>
      <c r="AA486" s="24" t="s">
        <v>5881</v>
      </c>
      <c r="AB486" s="25" t="n">
        <v>10</v>
      </c>
      <c r="AC486" s="24" t="s">
        <v>710</v>
      </c>
      <c r="AD486" s="24" t="s">
        <v>5875</v>
      </c>
      <c r="AE486" s="24"/>
      <c r="AF486" s="24" t="s">
        <v>168</v>
      </c>
      <c r="AG486" s="24"/>
      <c r="AH486" s="24"/>
      <c r="AI486" s="25" t="n">
        <f aca="false">COUNTIF($B$2:$B$740,B486)</f>
        <v>1</v>
      </c>
    </row>
    <row r="487" customFormat="false" ht="76" hidden="false" customHeight="true" outlineLevel="0" collapsed="false">
      <c r="A487" s="21" t="n">
        <v>486</v>
      </c>
      <c r="B487" s="22" t="s">
        <v>5888</v>
      </c>
      <c r="C487" s="23" t="s">
        <v>9</v>
      </c>
      <c r="D487" s="23" t="s">
        <v>96</v>
      </c>
      <c r="E487" s="23" t="s">
        <v>97</v>
      </c>
      <c r="F487" s="24" t="s">
        <v>59</v>
      </c>
      <c r="G487" s="24" t="s">
        <v>98</v>
      </c>
      <c r="H487" s="24" t="s">
        <v>5362</v>
      </c>
      <c r="I487" s="24" t="s">
        <v>5859</v>
      </c>
      <c r="J487" s="24" t="s">
        <v>5889</v>
      </c>
      <c r="K487" s="24" t="s">
        <v>5890</v>
      </c>
      <c r="L487" s="24" t="s">
        <v>119</v>
      </c>
      <c r="M487" s="24" t="s">
        <v>796</v>
      </c>
      <c r="N487" s="24" t="s">
        <v>5891</v>
      </c>
      <c r="O487" s="24" t="s">
        <v>5892</v>
      </c>
      <c r="P487" s="24" t="s">
        <v>5893</v>
      </c>
      <c r="Q487" s="24" t="s">
        <v>5894</v>
      </c>
      <c r="R487" s="24" t="s">
        <v>5895</v>
      </c>
      <c r="S487" s="24" t="s">
        <v>5896</v>
      </c>
      <c r="T487" s="24" t="s">
        <v>5897</v>
      </c>
      <c r="U487" s="24" t="s">
        <v>5897</v>
      </c>
      <c r="V487" s="24"/>
      <c r="W487" s="24" t="s">
        <v>5895</v>
      </c>
      <c r="X487" s="24"/>
      <c r="Y487" s="24" t="s">
        <v>5898</v>
      </c>
      <c r="Z487" s="24"/>
      <c r="AA487" s="24"/>
      <c r="AB487" s="25" t="n">
        <v>10</v>
      </c>
      <c r="AC487" s="24" t="s">
        <v>1326</v>
      </c>
      <c r="AD487" s="24" t="s">
        <v>5899</v>
      </c>
      <c r="AE487" s="24"/>
      <c r="AF487" s="24" t="s">
        <v>168</v>
      </c>
      <c r="AG487" s="24"/>
      <c r="AH487" s="24"/>
      <c r="AI487" s="25" t="n">
        <f aca="false">COUNTIF($B$2:$B$740,B487)</f>
        <v>1</v>
      </c>
    </row>
    <row r="488" customFormat="false" ht="76" hidden="false" customHeight="true" outlineLevel="0" collapsed="false">
      <c r="A488" s="21" t="n">
        <v>487</v>
      </c>
      <c r="B488" s="22" t="s">
        <v>5900</v>
      </c>
      <c r="C488" s="23" t="s">
        <v>9</v>
      </c>
      <c r="D488" s="23" t="s">
        <v>96</v>
      </c>
      <c r="E488" s="23" t="s">
        <v>97</v>
      </c>
      <c r="F488" s="24" t="s">
        <v>59</v>
      </c>
      <c r="G488" s="24" t="s">
        <v>98</v>
      </c>
      <c r="H488" s="24" t="s">
        <v>5362</v>
      </c>
      <c r="I488" s="24" t="s">
        <v>5859</v>
      </c>
      <c r="J488" s="24" t="s">
        <v>5901</v>
      </c>
      <c r="K488" s="24" t="s">
        <v>771</v>
      </c>
      <c r="L488" s="24" t="s">
        <v>531</v>
      </c>
      <c r="M488" s="24" t="s">
        <v>532</v>
      </c>
      <c r="N488" s="24" t="s">
        <v>5902</v>
      </c>
      <c r="O488" s="24" t="s">
        <v>5903</v>
      </c>
      <c r="P488" s="24" t="s">
        <v>5904</v>
      </c>
      <c r="Q488" s="24" t="s">
        <v>5905</v>
      </c>
      <c r="R488" s="24" t="s">
        <v>5906</v>
      </c>
      <c r="S488" s="24" t="s">
        <v>5907</v>
      </c>
      <c r="T488" s="24" t="s">
        <v>5908</v>
      </c>
      <c r="U488" s="24" t="s">
        <v>5909</v>
      </c>
      <c r="V488" s="24"/>
      <c r="W488" s="24" t="s">
        <v>5910</v>
      </c>
      <c r="X488" s="24"/>
      <c r="Y488" s="24" t="s">
        <v>183</v>
      </c>
      <c r="Z488" s="24"/>
      <c r="AA488" s="24"/>
      <c r="AB488" s="25" t="n">
        <v>10</v>
      </c>
      <c r="AC488" s="24" t="s">
        <v>739</v>
      </c>
      <c r="AD488" s="24" t="s">
        <v>5911</v>
      </c>
      <c r="AE488" s="24"/>
      <c r="AF488" s="24" t="s">
        <v>168</v>
      </c>
      <c r="AG488" s="24"/>
      <c r="AH488" s="24"/>
      <c r="AI488" s="25" t="n">
        <f aca="false">COUNTIF($B$2:$B$740,B488)</f>
        <v>1</v>
      </c>
    </row>
    <row r="489" customFormat="false" ht="76" hidden="false" customHeight="true" outlineLevel="0" collapsed="false">
      <c r="A489" s="21" t="n">
        <v>488</v>
      </c>
      <c r="B489" s="22" t="s">
        <v>502</v>
      </c>
      <c r="C489" s="23" t="s">
        <v>9</v>
      </c>
      <c r="D489" s="23" t="s">
        <v>96</v>
      </c>
      <c r="E489" s="23" t="s">
        <v>97</v>
      </c>
      <c r="F489" s="24" t="s">
        <v>59</v>
      </c>
      <c r="G489" s="24" t="s">
        <v>98</v>
      </c>
      <c r="H489" s="24" t="s">
        <v>5362</v>
      </c>
      <c r="I489" s="24" t="s">
        <v>5859</v>
      </c>
      <c r="J489" s="24" t="s">
        <v>5912</v>
      </c>
      <c r="K489" s="24" t="s">
        <v>5913</v>
      </c>
      <c r="L489" s="24" t="s">
        <v>119</v>
      </c>
      <c r="M489" s="24" t="s">
        <v>5914</v>
      </c>
      <c r="N489" s="24" t="s">
        <v>5915</v>
      </c>
      <c r="O489" s="24" t="s">
        <v>5916</v>
      </c>
      <c r="P489" s="24" t="s">
        <v>5917</v>
      </c>
      <c r="Q489" s="24" t="s">
        <v>5918</v>
      </c>
      <c r="R489" s="24" t="s">
        <v>5919</v>
      </c>
      <c r="S489" s="24" t="s">
        <v>5920</v>
      </c>
      <c r="T489" s="24" t="s">
        <v>5921</v>
      </c>
      <c r="U489" s="24" t="s">
        <v>5922</v>
      </c>
      <c r="V489" s="24" t="s">
        <v>5923</v>
      </c>
      <c r="W489" s="24" t="s">
        <v>5924</v>
      </c>
      <c r="X489" s="24" t="s">
        <v>5925</v>
      </c>
      <c r="Y489" s="24" t="s">
        <v>5926</v>
      </c>
      <c r="Z489" s="24"/>
      <c r="AA489" s="24" t="s">
        <v>5927</v>
      </c>
      <c r="AB489" s="25" t="n">
        <v>10</v>
      </c>
      <c r="AC489" s="24" t="s">
        <v>825</v>
      </c>
      <c r="AD489" s="24" t="s">
        <v>5928</v>
      </c>
      <c r="AE489" s="24"/>
      <c r="AF489" s="24" t="s">
        <v>168</v>
      </c>
      <c r="AG489" s="24"/>
      <c r="AH489" s="24"/>
      <c r="AI489" s="25" t="n">
        <f aca="false">COUNTIF($B$2:$B$740,B489)</f>
        <v>1</v>
      </c>
    </row>
    <row r="490" customFormat="false" ht="76" hidden="false" customHeight="true" outlineLevel="0" collapsed="false">
      <c r="A490" s="21" t="n">
        <v>489</v>
      </c>
      <c r="B490" s="22" t="s">
        <v>5929</v>
      </c>
      <c r="C490" s="23" t="s">
        <v>12</v>
      </c>
      <c r="D490" s="23" t="s">
        <v>209</v>
      </c>
      <c r="E490" s="23" t="s">
        <v>97</v>
      </c>
      <c r="F490" s="24" t="s">
        <v>59</v>
      </c>
      <c r="G490" s="24" t="s">
        <v>98</v>
      </c>
      <c r="H490" s="24" t="s">
        <v>5362</v>
      </c>
      <c r="I490" s="24" t="s">
        <v>5930</v>
      </c>
      <c r="J490" s="24" t="s">
        <v>5931</v>
      </c>
      <c r="K490" s="24" t="s">
        <v>5932</v>
      </c>
      <c r="L490" s="24" t="s">
        <v>103</v>
      </c>
      <c r="M490" s="24" t="s">
        <v>5933</v>
      </c>
      <c r="N490" s="24" t="s">
        <v>930</v>
      </c>
      <c r="O490" s="24" t="s">
        <v>5934</v>
      </c>
      <c r="P490" s="24" t="s">
        <v>5935</v>
      </c>
      <c r="Q490" s="24" t="s">
        <v>5936</v>
      </c>
      <c r="R490" s="24" t="s">
        <v>5937</v>
      </c>
      <c r="S490" s="24" t="s">
        <v>5938</v>
      </c>
      <c r="T490" s="24" t="s">
        <v>5939</v>
      </c>
      <c r="U490" s="24" t="s">
        <v>5940</v>
      </c>
      <c r="V490" s="24"/>
      <c r="W490" s="24" t="s">
        <v>5941</v>
      </c>
      <c r="X490" s="24"/>
      <c r="Y490" s="24" t="s">
        <v>5940</v>
      </c>
      <c r="Z490" s="24"/>
      <c r="AA490" s="24"/>
      <c r="AB490" s="25" t="n">
        <v>10</v>
      </c>
      <c r="AC490" s="24" t="s">
        <v>5942</v>
      </c>
      <c r="AD490" s="24" t="s">
        <v>5943</v>
      </c>
      <c r="AE490" s="24"/>
      <c r="AF490" s="24" t="s">
        <v>168</v>
      </c>
      <c r="AG490" s="24"/>
      <c r="AH490" s="24"/>
      <c r="AI490" s="25" t="n">
        <f aca="false">COUNTIF($B$2:$B$740,B490)</f>
        <v>1</v>
      </c>
    </row>
    <row r="491" customFormat="false" ht="76" hidden="false" customHeight="true" outlineLevel="0" collapsed="false">
      <c r="A491" s="21" t="n">
        <v>490</v>
      </c>
      <c r="B491" s="22" t="s">
        <v>5944</v>
      </c>
      <c r="C491" s="23" t="s">
        <v>9</v>
      </c>
      <c r="D491" s="23" t="s">
        <v>96</v>
      </c>
      <c r="E491" s="23" t="s">
        <v>97</v>
      </c>
      <c r="F491" s="24" t="s">
        <v>59</v>
      </c>
      <c r="G491" s="24" t="s">
        <v>98</v>
      </c>
      <c r="H491" s="24" t="s">
        <v>5362</v>
      </c>
      <c r="I491" s="24" t="s">
        <v>5930</v>
      </c>
      <c r="J491" s="24" t="s">
        <v>5945</v>
      </c>
      <c r="K491" s="24" t="s">
        <v>891</v>
      </c>
      <c r="L491" s="24" t="s">
        <v>119</v>
      </c>
      <c r="M491" s="24" t="s">
        <v>5946</v>
      </c>
      <c r="N491" s="24" t="s">
        <v>856</v>
      </c>
      <c r="O491" s="24" t="s">
        <v>5947</v>
      </c>
      <c r="P491" s="24" t="s">
        <v>5948</v>
      </c>
      <c r="Q491" s="24" t="s">
        <v>5949</v>
      </c>
      <c r="R491" s="24" t="s">
        <v>5950</v>
      </c>
      <c r="S491" s="24" t="s">
        <v>5951</v>
      </c>
      <c r="T491" s="24" t="s">
        <v>5952</v>
      </c>
      <c r="U491" s="24" t="s">
        <v>5953</v>
      </c>
      <c r="V491" s="24" t="s">
        <v>5954</v>
      </c>
      <c r="W491" s="24" t="s">
        <v>5955</v>
      </c>
      <c r="X491" s="24" t="s">
        <v>5956</v>
      </c>
      <c r="Y491" s="24" t="s">
        <v>5957</v>
      </c>
      <c r="Z491" s="24"/>
      <c r="AA491" s="24"/>
      <c r="AB491" s="25" t="n">
        <v>10</v>
      </c>
      <c r="AC491" s="24" t="s">
        <v>900</v>
      </c>
      <c r="AD491" s="24" t="s">
        <v>5958</v>
      </c>
      <c r="AE491" s="24"/>
      <c r="AF491" s="24" t="s">
        <v>168</v>
      </c>
      <c r="AG491" s="24"/>
      <c r="AH491" s="24"/>
      <c r="AI491" s="25" t="n">
        <f aca="false">COUNTIF($B$2:$B$740,B491)</f>
        <v>1</v>
      </c>
    </row>
    <row r="492" customFormat="false" ht="76" hidden="false" customHeight="true" outlineLevel="0" collapsed="false">
      <c r="A492" s="21" t="n">
        <v>491</v>
      </c>
      <c r="B492" s="22" t="s">
        <v>5959</v>
      </c>
      <c r="C492" s="23" t="s">
        <v>9</v>
      </c>
      <c r="D492" s="23" t="s">
        <v>96</v>
      </c>
      <c r="E492" s="23" t="s">
        <v>97</v>
      </c>
      <c r="F492" s="24" t="s">
        <v>59</v>
      </c>
      <c r="G492" s="24" t="s">
        <v>98</v>
      </c>
      <c r="H492" s="24" t="s">
        <v>5362</v>
      </c>
      <c r="I492" s="24" t="s">
        <v>5930</v>
      </c>
      <c r="J492" s="24" t="s">
        <v>5960</v>
      </c>
      <c r="K492" s="24" t="s">
        <v>5961</v>
      </c>
      <c r="L492" s="24" t="s">
        <v>119</v>
      </c>
      <c r="M492" s="24" t="s">
        <v>5962</v>
      </c>
      <c r="N492" s="24" t="s">
        <v>856</v>
      </c>
      <c r="O492" s="24" t="s">
        <v>5963</v>
      </c>
      <c r="P492" s="24" t="s">
        <v>5964</v>
      </c>
      <c r="Q492" s="24" t="s">
        <v>5965</v>
      </c>
      <c r="R492" s="24" t="s">
        <v>5966</v>
      </c>
      <c r="S492" s="24" t="s">
        <v>5967</v>
      </c>
      <c r="T492" s="24" t="s">
        <v>5968</v>
      </c>
      <c r="U492" s="24" t="s">
        <v>183</v>
      </c>
      <c r="V492" s="24" t="s">
        <v>5967</v>
      </c>
      <c r="W492" s="24" t="s">
        <v>5969</v>
      </c>
      <c r="X492" s="24"/>
      <c r="Y492" s="24" t="s">
        <v>183</v>
      </c>
      <c r="Z492" s="24"/>
      <c r="AA492" s="24"/>
      <c r="AB492" s="25" t="n">
        <v>10</v>
      </c>
      <c r="AC492" s="24" t="s">
        <v>5970</v>
      </c>
      <c r="AD492" s="24" t="s">
        <v>5971</v>
      </c>
      <c r="AE492" s="24"/>
      <c r="AF492" s="24" t="s">
        <v>168</v>
      </c>
      <c r="AG492" s="24"/>
      <c r="AH492" s="24"/>
      <c r="AI492" s="25" t="n">
        <f aca="false">COUNTIF($B$2:$B$740,B492)</f>
        <v>1</v>
      </c>
    </row>
    <row r="493" customFormat="false" ht="76" hidden="false" customHeight="true" outlineLevel="0" collapsed="false">
      <c r="A493" s="21" t="n">
        <v>492</v>
      </c>
      <c r="B493" s="22" t="s">
        <v>5972</v>
      </c>
      <c r="C493" s="23" t="s">
        <v>9</v>
      </c>
      <c r="D493" s="23" t="s">
        <v>96</v>
      </c>
      <c r="E493" s="23" t="s">
        <v>97</v>
      </c>
      <c r="F493" s="24" t="s">
        <v>59</v>
      </c>
      <c r="G493" s="24" t="s">
        <v>98</v>
      </c>
      <c r="H493" s="24" t="s">
        <v>5362</v>
      </c>
      <c r="I493" s="24" t="s">
        <v>5930</v>
      </c>
      <c r="J493" s="24" t="s">
        <v>5973</v>
      </c>
      <c r="K493" s="24" t="s">
        <v>5974</v>
      </c>
      <c r="L493" s="24" t="s">
        <v>531</v>
      </c>
      <c r="M493" s="24" t="s">
        <v>5975</v>
      </c>
      <c r="N493" s="24" t="s">
        <v>5976</v>
      </c>
      <c r="O493" s="24" t="s">
        <v>5977</v>
      </c>
      <c r="P493" s="24" t="s">
        <v>5978</v>
      </c>
      <c r="Q493" s="24" t="s">
        <v>5979</v>
      </c>
      <c r="R493" s="24" t="s">
        <v>5980</v>
      </c>
      <c r="S493" s="24" t="s">
        <v>5981</v>
      </c>
      <c r="T493" s="24" t="s">
        <v>5982</v>
      </c>
      <c r="U493" s="24" t="s">
        <v>5983</v>
      </c>
      <c r="V493" s="24" t="s">
        <v>5984</v>
      </c>
      <c r="W493" s="24" t="s">
        <v>5985</v>
      </c>
      <c r="X493" s="24" t="s">
        <v>5986</v>
      </c>
      <c r="Y493" s="24" t="s">
        <v>5987</v>
      </c>
      <c r="Z493" s="24"/>
      <c r="AA493" s="24"/>
      <c r="AB493" s="25" t="n">
        <v>10</v>
      </c>
      <c r="AC493" s="24" t="s">
        <v>914</v>
      </c>
      <c r="AD493" s="24" t="s">
        <v>915</v>
      </c>
      <c r="AE493" s="24" t="s">
        <v>5525</v>
      </c>
      <c r="AF493" s="24" t="s">
        <v>168</v>
      </c>
      <c r="AG493" s="24"/>
      <c r="AH493" s="24"/>
      <c r="AI493" s="25" t="n">
        <f aca="false">COUNTIF($B$2:$B$740,B493)</f>
        <v>1</v>
      </c>
    </row>
    <row r="494" customFormat="false" ht="76" hidden="false" customHeight="true" outlineLevel="0" collapsed="false">
      <c r="A494" s="21" t="n">
        <v>493</v>
      </c>
      <c r="B494" s="22" t="s">
        <v>129</v>
      </c>
      <c r="C494" s="23" t="s">
        <v>9</v>
      </c>
      <c r="D494" s="23" t="s">
        <v>96</v>
      </c>
      <c r="E494" s="23" t="s">
        <v>97</v>
      </c>
      <c r="F494" s="24" t="s">
        <v>59</v>
      </c>
      <c r="G494" s="24" t="s">
        <v>98</v>
      </c>
      <c r="H494" s="24" t="s">
        <v>5362</v>
      </c>
      <c r="I494" s="24" t="s">
        <v>5930</v>
      </c>
      <c r="J494" s="24" t="s">
        <v>5988</v>
      </c>
      <c r="K494" s="24" t="s">
        <v>5989</v>
      </c>
      <c r="L494" s="24" t="s">
        <v>531</v>
      </c>
      <c r="M494" s="24" t="s">
        <v>5990</v>
      </c>
      <c r="N494" s="24" t="s">
        <v>5991</v>
      </c>
      <c r="O494" s="24" t="s">
        <v>5992</v>
      </c>
      <c r="P494" s="24" t="s">
        <v>5993</v>
      </c>
      <c r="Q494" s="24" t="s">
        <v>5994</v>
      </c>
      <c r="R494" s="24" t="s">
        <v>5995</v>
      </c>
      <c r="S494" s="24" t="s">
        <v>5996</v>
      </c>
      <c r="T494" s="24" t="s">
        <v>5997</v>
      </c>
      <c r="U494" s="24" t="s">
        <v>5998</v>
      </c>
      <c r="V494" s="24"/>
      <c r="W494" s="24" t="s">
        <v>5994</v>
      </c>
      <c r="X494" s="24"/>
      <c r="Y494" s="24" t="s">
        <v>5999</v>
      </c>
      <c r="Z494" s="24"/>
      <c r="AA494" s="24"/>
      <c r="AB494" s="25" t="n">
        <v>10</v>
      </c>
      <c r="AC494" s="24" t="s">
        <v>6000</v>
      </c>
      <c r="AD494" s="24" t="s">
        <v>6001</v>
      </c>
      <c r="AE494" s="24"/>
      <c r="AF494" s="24" t="s">
        <v>168</v>
      </c>
      <c r="AG494" s="24"/>
      <c r="AH494" s="24"/>
      <c r="AI494" s="25" t="n">
        <f aca="false">COUNTIF($B$2:$B$740,B494)</f>
        <v>1</v>
      </c>
    </row>
    <row r="495" customFormat="false" ht="76" hidden="false" customHeight="true" outlineLevel="0" collapsed="false">
      <c r="A495" s="21" t="n">
        <v>494</v>
      </c>
      <c r="B495" s="22" t="s">
        <v>6002</v>
      </c>
      <c r="C495" s="23" t="s">
        <v>12</v>
      </c>
      <c r="D495" s="23" t="s">
        <v>209</v>
      </c>
      <c r="E495" s="23" t="s">
        <v>97</v>
      </c>
      <c r="F495" s="24" t="s">
        <v>59</v>
      </c>
      <c r="G495" s="24" t="s">
        <v>98</v>
      </c>
      <c r="H495" s="24" t="s">
        <v>5362</v>
      </c>
      <c r="I495" s="24" t="s">
        <v>5930</v>
      </c>
      <c r="J495" s="24" t="s">
        <v>6003</v>
      </c>
      <c r="K495" s="24" t="s">
        <v>6004</v>
      </c>
      <c r="L495" s="24" t="s">
        <v>103</v>
      </c>
      <c r="M495" s="24" t="s">
        <v>6005</v>
      </c>
      <c r="N495" s="24" t="s">
        <v>6006</v>
      </c>
      <c r="O495" s="24" t="s">
        <v>6007</v>
      </c>
      <c r="P495" s="24" t="s">
        <v>6008</v>
      </c>
      <c r="Q495" s="24" t="s">
        <v>6009</v>
      </c>
      <c r="R495" s="24" t="s">
        <v>6010</v>
      </c>
      <c r="S495" s="24" t="s">
        <v>6011</v>
      </c>
      <c r="T495" s="24" t="s">
        <v>6012</v>
      </c>
      <c r="U495" s="24" t="s">
        <v>183</v>
      </c>
      <c r="V495" s="24"/>
      <c r="W495" s="24" t="s">
        <v>6013</v>
      </c>
      <c r="X495" s="24"/>
      <c r="Y495" s="24" t="s">
        <v>183</v>
      </c>
      <c r="Z495" s="24"/>
      <c r="AA495" s="24"/>
      <c r="AB495" s="25" t="n">
        <v>10</v>
      </c>
      <c r="AC495" s="24" t="s">
        <v>914</v>
      </c>
      <c r="AD495" s="24" t="s">
        <v>6014</v>
      </c>
      <c r="AE495" s="24"/>
      <c r="AF495" s="24" t="s">
        <v>168</v>
      </c>
      <c r="AG495" s="24"/>
      <c r="AH495" s="24"/>
      <c r="AI495" s="25" t="n">
        <f aca="false">COUNTIF($B$2:$B$740,B495)</f>
        <v>1</v>
      </c>
    </row>
    <row r="496" customFormat="false" ht="76" hidden="false" customHeight="true" outlineLevel="0" collapsed="false">
      <c r="A496" s="21" t="n">
        <v>495</v>
      </c>
      <c r="B496" s="22" t="s">
        <v>6015</v>
      </c>
      <c r="C496" s="23" t="s">
        <v>9</v>
      </c>
      <c r="D496" s="23" t="s">
        <v>96</v>
      </c>
      <c r="E496" s="23" t="s">
        <v>97</v>
      </c>
      <c r="F496" s="24" t="s">
        <v>59</v>
      </c>
      <c r="G496" s="24" t="s">
        <v>98</v>
      </c>
      <c r="H496" s="24" t="s">
        <v>5362</v>
      </c>
      <c r="I496" s="24" t="s">
        <v>5930</v>
      </c>
      <c r="J496" s="24" t="s">
        <v>6016</v>
      </c>
      <c r="K496" s="24" t="s">
        <v>6017</v>
      </c>
      <c r="L496" s="24" t="s">
        <v>119</v>
      </c>
      <c r="M496" s="24" t="s">
        <v>6018</v>
      </c>
      <c r="N496" s="24" t="s">
        <v>6019</v>
      </c>
      <c r="O496" s="24" t="s">
        <v>6020</v>
      </c>
      <c r="P496" s="24" t="s">
        <v>6021</v>
      </c>
      <c r="Q496" s="24" t="s">
        <v>6022</v>
      </c>
      <c r="R496" s="24" t="s">
        <v>6023</v>
      </c>
      <c r="S496" s="24" t="s">
        <v>6024</v>
      </c>
      <c r="T496" s="24" t="s">
        <v>6025</v>
      </c>
      <c r="U496" s="24" t="s">
        <v>183</v>
      </c>
      <c r="V496" s="24"/>
      <c r="W496" s="24" t="s">
        <v>6026</v>
      </c>
      <c r="X496" s="24"/>
      <c r="Y496" s="24" t="s">
        <v>183</v>
      </c>
      <c r="Z496" s="24"/>
      <c r="AA496" s="24" t="s">
        <v>6027</v>
      </c>
      <c r="AB496" s="25" t="n">
        <v>10</v>
      </c>
      <c r="AC496" s="24" t="s">
        <v>6028</v>
      </c>
      <c r="AD496" s="24" t="s">
        <v>6029</v>
      </c>
      <c r="AE496" s="24" t="s">
        <v>864</v>
      </c>
      <c r="AF496" s="24" t="s">
        <v>168</v>
      </c>
      <c r="AG496" s="24"/>
      <c r="AH496" s="24"/>
      <c r="AI496" s="25" t="n">
        <f aca="false">COUNTIF($B$2:$B$740,B496)</f>
        <v>1</v>
      </c>
    </row>
    <row r="497" customFormat="false" ht="76" hidden="false" customHeight="true" outlineLevel="0" collapsed="false">
      <c r="A497" s="21" t="n">
        <v>496</v>
      </c>
      <c r="B497" s="22" t="s">
        <v>6030</v>
      </c>
      <c r="C497" s="23" t="s">
        <v>9</v>
      </c>
      <c r="D497" s="23" t="s">
        <v>96</v>
      </c>
      <c r="E497" s="23" t="s">
        <v>97</v>
      </c>
      <c r="F497" s="24" t="s">
        <v>59</v>
      </c>
      <c r="G497" s="24" t="s">
        <v>98</v>
      </c>
      <c r="H497" s="24" t="s">
        <v>5362</v>
      </c>
      <c r="I497" s="24" t="s">
        <v>5930</v>
      </c>
      <c r="J497" s="24" t="s">
        <v>6031</v>
      </c>
      <c r="K497" s="24" t="s">
        <v>6032</v>
      </c>
      <c r="L497" s="24" t="s">
        <v>119</v>
      </c>
      <c r="M497" s="24" t="s">
        <v>458</v>
      </c>
      <c r="N497" s="24" t="s">
        <v>6033</v>
      </c>
      <c r="O497" s="24" t="s">
        <v>6034</v>
      </c>
      <c r="P497" s="24" t="s">
        <v>552</v>
      </c>
      <c r="Q497" s="24" t="s">
        <v>6035</v>
      </c>
      <c r="R497" s="24" t="s">
        <v>6036</v>
      </c>
      <c r="S497" s="24" t="s">
        <v>6037</v>
      </c>
      <c r="T497" s="24" t="s">
        <v>6038</v>
      </c>
      <c r="U497" s="24" t="s">
        <v>6039</v>
      </c>
      <c r="V497" s="24"/>
      <c r="W497" s="24" t="s">
        <v>6035</v>
      </c>
      <c r="X497" s="24"/>
      <c r="Y497" s="24" t="s">
        <v>6040</v>
      </c>
      <c r="Z497" s="24"/>
      <c r="AA497" s="24"/>
      <c r="AB497" s="25" t="n">
        <v>10</v>
      </c>
      <c r="AC497" s="24" t="s">
        <v>6041</v>
      </c>
      <c r="AD497" s="24" t="s">
        <v>6042</v>
      </c>
      <c r="AE497" s="24" t="s">
        <v>864</v>
      </c>
      <c r="AF497" s="24" t="s">
        <v>168</v>
      </c>
      <c r="AG497" s="24"/>
      <c r="AH497" s="24"/>
      <c r="AI497" s="25" t="n">
        <f aca="false">COUNTIF($B$2:$B$740,B497)</f>
        <v>1</v>
      </c>
    </row>
    <row r="498" customFormat="false" ht="76" hidden="false" customHeight="true" outlineLevel="0" collapsed="false">
      <c r="A498" s="21" t="n">
        <v>497</v>
      </c>
      <c r="B498" s="22" t="s">
        <v>6043</v>
      </c>
      <c r="C498" s="23" t="s">
        <v>12</v>
      </c>
      <c r="D498" s="23" t="s">
        <v>209</v>
      </c>
      <c r="E498" s="23" t="s">
        <v>97</v>
      </c>
      <c r="F498" s="24" t="s">
        <v>59</v>
      </c>
      <c r="G498" s="24" t="s">
        <v>98</v>
      </c>
      <c r="H498" s="24" t="s">
        <v>5362</v>
      </c>
      <c r="I498" s="24" t="s">
        <v>5930</v>
      </c>
      <c r="J498" s="24" t="s">
        <v>6044</v>
      </c>
      <c r="K498" s="24" t="s">
        <v>944</v>
      </c>
      <c r="L498" s="24" t="s">
        <v>119</v>
      </c>
      <c r="M498" s="24" t="s">
        <v>6045</v>
      </c>
      <c r="N498" s="24" t="s">
        <v>6046</v>
      </c>
      <c r="O498" s="24" t="s">
        <v>6047</v>
      </c>
      <c r="P498" s="24" t="s">
        <v>948</v>
      </c>
      <c r="Q498" s="24" t="s">
        <v>6048</v>
      </c>
      <c r="R498" s="24" t="s">
        <v>6049</v>
      </c>
      <c r="S498" s="24" t="s">
        <v>6050</v>
      </c>
      <c r="T498" s="24" t="s">
        <v>6051</v>
      </c>
      <c r="U498" s="24" t="s">
        <v>183</v>
      </c>
      <c r="V498" s="24"/>
      <c r="W498" s="24" t="s">
        <v>6048</v>
      </c>
      <c r="X498" s="24"/>
      <c r="Y498" s="24" t="s">
        <v>183</v>
      </c>
      <c r="Z498" s="24"/>
      <c r="AA498" s="24"/>
      <c r="AB498" s="25" t="n">
        <v>10</v>
      </c>
      <c r="AC498" s="24" t="s">
        <v>6052</v>
      </c>
      <c r="AD498" s="24" t="s">
        <v>6053</v>
      </c>
      <c r="AE498" s="24"/>
      <c r="AF498" s="24" t="s">
        <v>168</v>
      </c>
      <c r="AG498" s="24"/>
      <c r="AH498" s="24"/>
      <c r="AI498" s="25" t="n">
        <f aca="false">COUNTIF($B$2:$B$740,B498)</f>
        <v>1</v>
      </c>
    </row>
    <row r="499" customFormat="false" ht="76" hidden="false" customHeight="true" outlineLevel="0" collapsed="false">
      <c r="A499" s="21" t="n">
        <v>498</v>
      </c>
      <c r="B499" s="22" t="s">
        <v>6054</v>
      </c>
      <c r="C499" s="23" t="s">
        <v>12</v>
      </c>
      <c r="D499" s="23" t="s">
        <v>209</v>
      </c>
      <c r="E499" s="23" t="s">
        <v>97</v>
      </c>
      <c r="F499" s="24" t="s">
        <v>59</v>
      </c>
      <c r="G499" s="24" t="s">
        <v>98</v>
      </c>
      <c r="H499" s="24" t="s">
        <v>5362</v>
      </c>
      <c r="I499" s="24" t="s">
        <v>5930</v>
      </c>
      <c r="J499" s="24" t="s">
        <v>6055</v>
      </c>
      <c r="K499" s="24" t="s">
        <v>6056</v>
      </c>
      <c r="L499" s="24" t="s">
        <v>119</v>
      </c>
      <c r="M499" s="24" t="s">
        <v>6057</v>
      </c>
      <c r="N499" s="24" t="s">
        <v>6058</v>
      </c>
      <c r="O499" s="24" t="s">
        <v>6020</v>
      </c>
      <c r="P499" s="24" t="s">
        <v>6059</v>
      </c>
      <c r="Q499" s="24" t="s">
        <v>6060</v>
      </c>
      <c r="R499" s="24" t="s">
        <v>6061</v>
      </c>
      <c r="S499" s="24" t="s">
        <v>6062</v>
      </c>
      <c r="T499" s="24" t="s">
        <v>6063</v>
      </c>
      <c r="U499" s="24" t="s">
        <v>183</v>
      </c>
      <c r="V499" s="24"/>
      <c r="W499" s="24" t="s">
        <v>6064</v>
      </c>
      <c r="X499" s="24" t="s">
        <v>6065</v>
      </c>
      <c r="Y499" s="24" t="s">
        <v>183</v>
      </c>
      <c r="Z499" s="24"/>
      <c r="AA499" s="24"/>
      <c r="AB499" s="25" t="n">
        <v>10</v>
      </c>
      <c r="AC499" s="24" t="s">
        <v>6066</v>
      </c>
      <c r="AD499" s="24" t="s">
        <v>6067</v>
      </c>
      <c r="AE499" s="24" t="s">
        <v>864</v>
      </c>
      <c r="AF499" s="24" t="s">
        <v>168</v>
      </c>
      <c r="AG499" s="24"/>
      <c r="AH499" s="24"/>
      <c r="AI499" s="25" t="n">
        <f aca="false">COUNTIF($B$2:$B$740,B499)</f>
        <v>1</v>
      </c>
    </row>
    <row r="500" customFormat="false" ht="76" hidden="false" customHeight="true" outlineLevel="0" collapsed="false">
      <c r="A500" s="21" t="n">
        <v>499</v>
      </c>
      <c r="B500" s="22" t="s">
        <v>6068</v>
      </c>
      <c r="C500" s="23" t="s">
        <v>12</v>
      </c>
      <c r="D500" s="23" t="s">
        <v>209</v>
      </c>
      <c r="E500" s="23" t="s">
        <v>97</v>
      </c>
      <c r="F500" s="24" t="s">
        <v>59</v>
      </c>
      <c r="G500" s="24" t="s">
        <v>98</v>
      </c>
      <c r="H500" s="24" t="s">
        <v>5362</v>
      </c>
      <c r="I500" s="24" t="s">
        <v>5930</v>
      </c>
      <c r="J500" s="24" t="s">
        <v>6069</v>
      </c>
      <c r="K500" s="24" t="s">
        <v>6056</v>
      </c>
      <c r="L500" s="24" t="s">
        <v>119</v>
      </c>
      <c r="M500" s="24" t="s">
        <v>6057</v>
      </c>
      <c r="N500" s="24" t="s">
        <v>6070</v>
      </c>
      <c r="O500" s="24" t="s">
        <v>6071</v>
      </c>
      <c r="P500" s="24" t="s">
        <v>552</v>
      </c>
      <c r="Q500" s="24" t="s">
        <v>6072</v>
      </c>
      <c r="R500" s="24" t="s">
        <v>6073</v>
      </c>
      <c r="S500" s="24" t="s">
        <v>6074</v>
      </c>
      <c r="T500" s="24" t="s">
        <v>6075</v>
      </c>
      <c r="U500" s="24" t="s">
        <v>6076</v>
      </c>
      <c r="V500" s="24" t="s">
        <v>6074</v>
      </c>
      <c r="W500" s="24" t="s">
        <v>6077</v>
      </c>
      <c r="X500" s="24" t="s">
        <v>6078</v>
      </c>
      <c r="Y500" s="24" t="s">
        <v>6079</v>
      </c>
      <c r="Z500" s="24"/>
      <c r="AA500" s="24" t="s">
        <v>6080</v>
      </c>
      <c r="AB500" s="25" t="n">
        <v>10</v>
      </c>
      <c r="AC500" s="24" t="s">
        <v>6081</v>
      </c>
      <c r="AD500" s="24" t="s">
        <v>6082</v>
      </c>
      <c r="AE500" s="24" t="s">
        <v>864</v>
      </c>
      <c r="AF500" s="24" t="s">
        <v>168</v>
      </c>
      <c r="AG500" s="24"/>
      <c r="AH500" s="24"/>
      <c r="AI500" s="25" t="n">
        <f aca="false">COUNTIF($B$2:$B$740,B500)</f>
        <v>1</v>
      </c>
    </row>
    <row r="501" customFormat="false" ht="76" hidden="false" customHeight="true" outlineLevel="0" collapsed="false">
      <c r="A501" s="21" t="n">
        <v>500</v>
      </c>
      <c r="B501" s="22" t="s">
        <v>6083</v>
      </c>
      <c r="C501" s="23" t="s">
        <v>12</v>
      </c>
      <c r="D501" s="23" t="s">
        <v>209</v>
      </c>
      <c r="E501" s="23" t="s">
        <v>97</v>
      </c>
      <c r="F501" s="24" t="s">
        <v>59</v>
      </c>
      <c r="G501" s="24" t="s">
        <v>98</v>
      </c>
      <c r="H501" s="24" t="s">
        <v>5362</v>
      </c>
      <c r="I501" s="24" t="s">
        <v>6084</v>
      </c>
      <c r="J501" s="24" t="s">
        <v>6085</v>
      </c>
      <c r="K501" s="24" t="s">
        <v>988</v>
      </c>
      <c r="L501" s="24" t="s">
        <v>119</v>
      </c>
      <c r="M501" s="24" t="s">
        <v>300</v>
      </c>
      <c r="N501" s="24" t="s">
        <v>6086</v>
      </c>
      <c r="O501" s="24" t="s">
        <v>6087</v>
      </c>
      <c r="P501" s="24" t="s">
        <v>6088</v>
      </c>
      <c r="Q501" s="24" t="s">
        <v>6089</v>
      </c>
      <c r="R501" s="24" t="s">
        <v>6090</v>
      </c>
      <c r="S501" s="24" t="s">
        <v>6091</v>
      </c>
      <c r="T501" s="24" t="s">
        <v>6092</v>
      </c>
      <c r="U501" s="24" t="s">
        <v>183</v>
      </c>
      <c r="V501" s="24" t="s">
        <v>6093</v>
      </c>
      <c r="W501" s="24"/>
      <c r="X501" s="24"/>
      <c r="Y501" s="24" t="s">
        <v>183</v>
      </c>
      <c r="Z501" s="24"/>
      <c r="AA501" s="24"/>
      <c r="AB501" s="25" t="n">
        <v>10</v>
      </c>
      <c r="AC501" s="24" t="s">
        <v>6094</v>
      </c>
      <c r="AD501" s="24" t="s">
        <v>6095</v>
      </c>
      <c r="AE501" s="24"/>
      <c r="AF501" s="24" t="s">
        <v>168</v>
      </c>
      <c r="AG501" s="24"/>
      <c r="AH501" s="24"/>
      <c r="AI501" s="25" t="n">
        <f aca="false">COUNTIF($B$2:$B$740,B501)</f>
        <v>1</v>
      </c>
    </row>
    <row r="502" customFormat="false" ht="76" hidden="false" customHeight="true" outlineLevel="0" collapsed="false">
      <c r="A502" s="21" t="n">
        <v>501</v>
      </c>
      <c r="B502" s="22" t="s">
        <v>6096</v>
      </c>
      <c r="C502" s="23" t="s">
        <v>9</v>
      </c>
      <c r="D502" s="23" t="s">
        <v>96</v>
      </c>
      <c r="E502" s="23" t="s">
        <v>97</v>
      </c>
      <c r="F502" s="24" t="s">
        <v>59</v>
      </c>
      <c r="G502" s="24" t="s">
        <v>98</v>
      </c>
      <c r="H502" s="24" t="s">
        <v>5362</v>
      </c>
      <c r="I502" s="24" t="s">
        <v>6084</v>
      </c>
      <c r="J502" s="24" t="s">
        <v>6097</v>
      </c>
      <c r="K502" s="24" t="s">
        <v>6098</v>
      </c>
      <c r="L502" s="24" t="s">
        <v>173</v>
      </c>
      <c r="M502" s="24" t="s">
        <v>232</v>
      </c>
      <c r="N502" s="24" t="s">
        <v>6099</v>
      </c>
      <c r="O502" s="24" t="s">
        <v>6100</v>
      </c>
      <c r="P502" s="24" t="s">
        <v>6101</v>
      </c>
      <c r="Q502" s="24" t="s">
        <v>6102</v>
      </c>
      <c r="R502" s="24" t="s">
        <v>6103</v>
      </c>
      <c r="S502" s="24" t="s">
        <v>6104</v>
      </c>
      <c r="T502" s="24" t="s">
        <v>6105</v>
      </c>
      <c r="U502" s="24" t="s">
        <v>6106</v>
      </c>
      <c r="V502" s="24"/>
      <c r="W502" s="24" t="s">
        <v>6107</v>
      </c>
      <c r="X502" s="24" t="s">
        <v>6108</v>
      </c>
      <c r="Y502" s="24" t="s">
        <v>183</v>
      </c>
      <c r="Z502" s="24"/>
      <c r="AA502" s="24"/>
      <c r="AB502" s="25" t="n">
        <v>10</v>
      </c>
      <c r="AC502" s="24" t="s">
        <v>6109</v>
      </c>
      <c r="AD502" s="24" t="s">
        <v>6110</v>
      </c>
      <c r="AE502" s="24"/>
      <c r="AF502" s="24" t="s">
        <v>168</v>
      </c>
      <c r="AG502" s="24"/>
      <c r="AH502" s="24"/>
      <c r="AI502" s="25" t="n">
        <f aca="false">COUNTIF($B$2:$B$740,B502)</f>
        <v>1</v>
      </c>
    </row>
    <row r="503" customFormat="false" ht="124.8" hidden="false" customHeight="true" outlineLevel="0" collapsed="false">
      <c r="A503" s="26" t="n">
        <v>502</v>
      </c>
      <c r="B503" s="27" t="s">
        <v>6111</v>
      </c>
      <c r="C503" s="24" t="s">
        <v>9</v>
      </c>
      <c r="D503" s="24" t="s">
        <v>96</v>
      </c>
      <c r="E503" s="24" t="s">
        <v>97</v>
      </c>
      <c r="F503" s="24" t="s">
        <v>59</v>
      </c>
      <c r="G503" s="24" t="s">
        <v>98</v>
      </c>
      <c r="H503" s="24" t="s">
        <v>5362</v>
      </c>
      <c r="I503" s="24" t="s">
        <v>6084</v>
      </c>
      <c r="J503" s="24" t="s">
        <v>6112</v>
      </c>
      <c r="K503" s="24" t="s">
        <v>6098</v>
      </c>
      <c r="L503" s="24" t="s">
        <v>119</v>
      </c>
      <c r="M503" s="24" t="s">
        <v>232</v>
      </c>
      <c r="N503" s="24" t="s">
        <v>856</v>
      </c>
      <c r="O503" s="24" t="s">
        <v>6113</v>
      </c>
      <c r="P503" s="24" t="s">
        <v>6114</v>
      </c>
      <c r="Q503" s="24" t="s">
        <v>6115</v>
      </c>
      <c r="R503" s="24" t="s">
        <v>6116</v>
      </c>
      <c r="S503" s="24" t="s">
        <v>6117</v>
      </c>
      <c r="T503" s="24" t="s">
        <v>6118</v>
      </c>
      <c r="U503" s="24" t="s">
        <v>183</v>
      </c>
      <c r="V503" s="24"/>
      <c r="W503" s="24" t="s">
        <v>6119</v>
      </c>
      <c r="X503" s="24"/>
      <c r="Y503" s="24" t="s">
        <v>183</v>
      </c>
      <c r="Z503" s="24"/>
      <c r="AA503" s="24"/>
      <c r="AB503" s="25" t="n">
        <v>60</v>
      </c>
      <c r="AC503" s="24" t="s">
        <v>6120</v>
      </c>
      <c r="AD503" s="24" t="s">
        <v>6121</v>
      </c>
      <c r="AE503" s="24" t="s">
        <v>6122</v>
      </c>
      <c r="AF503" s="24" t="s">
        <v>168</v>
      </c>
      <c r="AG503" s="24"/>
      <c r="AH503" s="24" t="s">
        <v>228</v>
      </c>
      <c r="AI503" s="25" t="n">
        <f aca="false">COUNTIF($B$2:$B$740,B503)</f>
        <v>1</v>
      </c>
    </row>
    <row r="504" customFormat="false" ht="76" hidden="false" customHeight="true" outlineLevel="0" collapsed="false">
      <c r="A504" s="21" t="n">
        <v>503</v>
      </c>
      <c r="B504" s="22" t="s">
        <v>6123</v>
      </c>
      <c r="C504" s="23" t="s">
        <v>12</v>
      </c>
      <c r="D504" s="23" t="s">
        <v>209</v>
      </c>
      <c r="E504" s="23" t="s">
        <v>97</v>
      </c>
      <c r="F504" s="24" t="s">
        <v>59</v>
      </c>
      <c r="G504" s="24" t="s">
        <v>98</v>
      </c>
      <c r="H504" s="24" t="s">
        <v>5362</v>
      </c>
      <c r="I504" s="24" t="s">
        <v>6084</v>
      </c>
      <c r="J504" s="24" t="s">
        <v>6124</v>
      </c>
      <c r="K504" s="24" t="s">
        <v>6125</v>
      </c>
      <c r="L504" s="24" t="s">
        <v>103</v>
      </c>
      <c r="M504" s="24" t="s">
        <v>1002</v>
      </c>
      <c r="N504" s="24" t="s">
        <v>6126</v>
      </c>
      <c r="O504" s="24" t="s">
        <v>6127</v>
      </c>
      <c r="P504" s="24" t="s">
        <v>6128</v>
      </c>
      <c r="Q504" s="24" t="s">
        <v>6129</v>
      </c>
      <c r="R504" s="24" t="s">
        <v>6130</v>
      </c>
      <c r="S504" s="24" t="s">
        <v>6131</v>
      </c>
      <c r="T504" s="24" t="s">
        <v>6132</v>
      </c>
      <c r="U504" s="24" t="s">
        <v>183</v>
      </c>
      <c r="V504" s="24" t="s">
        <v>6131</v>
      </c>
      <c r="W504" s="24" t="s">
        <v>6133</v>
      </c>
      <c r="X504" s="24"/>
      <c r="Y504" s="24" t="s">
        <v>183</v>
      </c>
      <c r="Z504" s="24"/>
      <c r="AA504" s="24"/>
      <c r="AB504" s="25" t="n">
        <v>10</v>
      </c>
      <c r="AC504" s="24" t="s">
        <v>6134</v>
      </c>
      <c r="AD504" s="24" t="s">
        <v>6135</v>
      </c>
      <c r="AE504" s="24" t="s">
        <v>999</v>
      </c>
      <c r="AF504" s="24" t="s">
        <v>168</v>
      </c>
      <c r="AG504" s="24"/>
      <c r="AH504" s="24"/>
      <c r="AI504" s="25" t="n">
        <f aca="false">COUNTIF($B$2:$B$740,B504)</f>
        <v>1</v>
      </c>
    </row>
    <row r="505" customFormat="false" ht="76" hidden="false" customHeight="true" outlineLevel="0" collapsed="false">
      <c r="A505" s="21" t="n">
        <v>504</v>
      </c>
      <c r="B505" s="22" t="s">
        <v>6136</v>
      </c>
      <c r="C505" s="23" t="s">
        <v>9</v>
      </c>
      <c r="D505" s="23" t="s">
        <v>96</v>
      </c>
      <c r="E505" s="23" t="s">
        <v>97</v>
      </c>
      <c r="F505" s="24" t="s">
        <v>59</v>
      </c>
      <c r="G505" s="24" t="s">
        <v>98</v>
      </c>
      <c r="H505" s="24" t="s">
        <v>5362</v>
      </c>
      <c r="I505" s="24" t="s">
        <v>6084</v>
      </c>
      <c r="J505" s="24" t="s">
        <v>6137</v>
      </c>
      <c r="K505" s="24" t="s">
        <v>6138</v>
      </c>
      <c r="L505" s="24" t="s">
        <v>119</v>
      </c>
      <c r="M505" s="24" t="s">
        <v>868</v>
      </c>
      <c r="N505" s="24" t="s">
        <v>856</v>
      </c>
      <c r="O505" s="24" t="s">
        <v>6139</v>
      </c>
      <c r="P505" s="24" t="s">
        <v>6140</v>
      </c>
      <c r="Q505" s="24" t="s">
        <v>6141</v>
      </c>
      <c r="R505" s="24" t="s">
        <v>6142</v>
      </c>
      <c r="S505" s="24" t="s">
        <v>6143</v>
      </c>
      <c r="T505" s="24" t="s">
        <v>6144</v>
      </c>
      <c r="U505" s="24" t="s">
        <v>6145</v>
      </c>
      <c r="V505" s="24" t="s">
        <v>6146</v>
      </c>
      <c r="W505" s="24" t="s">
        <v>6141</v>
      </c>
      <c r="X505" s="24"/>
      <c r="Y505" s="24" t="s">
        <v>183</v>
      </c>
      <c r="Z505" s="24"/>
      <c r="AA505" s="24"/>
      <c r="AB505" s="25" t="n">
        <v>10</v>
      </c>
      <c r="AC505" s="24" t="s">
        <v>6147</v>
      </c>
      <c r="AD505" s="24" t="s">
        <v>6148</v>
      </c>
      <c r="AE505" s="24"/>
      <c r="AF505" s="24" t="s">
        <v>168</v>
      </c>
      <c r="AG505" s="24"/>
      <c r="AH505" s="24"/>
      <c r="AI505" s="25" t="n">
        <f aca="false">COUNTIF($B$2:$B$740,B505)</f>
        <v>1</v>
      </c>
    </row>
    <row r="506" customFormat="false" ht="76" hidden="false" customHeight="true" outlineLevel="0" collapsed="false">
      <c r="A506" s="21" t="n">
        <v>505</v>
      </c>
      <c r="B506" s="22" t="s">
        <v>6149</v>
      </c>
      <c r="C506" s="23" t="s">
        <v>9</v>
      </c>
      <c r="D506" s="23" t="s">
        <v>96</v>
      </c>
      <c r="E506" s="23" t="s">
        <v>97</v>
      </c>
      <c r="F506" s="24" t="s">
        <v>59</v>
      </c>
      <c r="G506" s="24" t="s">
        <v>98</v>
      </c>
      <c r="H506" s="24" t="s">
        <v>5362</v>
      </c>
      <c r="I506" s="24" t="s">
        <v>6084</v>
      </c>
      <c r="J506" s="24" t="s">
        <v>6150</v>
      </c>
      <c r="K506" s="24" t="s">
        <v>1081</v>
      </c>
      <c r="L506" s="24" t="s">
        <v>119</v>
      </c>
      <c r="M506" s="24" t="s">
        <v>868</v>
      </c>
      <c r="N506" s="24" t="s">
        <v>6151</v>
      </c>
      <c r="O506" s="24" t="s">
        <v>6152</v>
      </c>
      <c r="P506" s="24" t="s">
        <v>6153</v>
      </c>
      <c r="Q506" s="24" t="s">
        <v>6154</v>
      </c>
      <c r="R506" s="24" t="s">
        <v>6155</v>
      </c>
      <c r="S506" s="24" t="s">
        <v>6156</v>
      </c>
      <c r="T506" s="24" t="s">
        <v>6157</v>
      </c>
      <c r="U506" s="24" t="s">
        <v>6158</v>
      </c>
      <c r="V506" s="24"/>
      <c r="W506" s="24" t="s">
        <v>6159</v>
      </c>
      <c r="X506" s="24" t="s">
        <v>6160</v>
      </c>
      <c r="Y506" s="24" t="s">
        <v>183</v>
      </c>
      <c r="Z506" s="24"/>
      <c r="AA506" s="24"/>
      <c r="AB506" s="25" t="n">
        <v>10</v>
      </c>
      <c r="AC506" s="24" t="s">
        <v>6161</v>
      </c>
      <c r="AD506" s="24" t="s">
        <v>6162</v>
      </c>
      <c r="AE506" s="24" t="s">
        <v>6136</v>
      </c>
      <c r="AF506" s="24" t="s">
        <v>168</v>
      </c>
      <c r="AG506" s="24"/>
      <c r="AH506" s="24"/>
      <c r="AI506" s="25" t="n">
        <f aca="false">COUNTIF($B$2:$B$740,B506)</f>
        <v>1</v>
      </c>
    </row>
    <row r="507" customFormat="false" ht="76" hidden="false" customHeight="true" outlineLevel="0" collapsed="false">
      <c r="A507" s="21" t="n">
        <v>506</v>
      </c>
      <c r="B507" s="22" t="s">
        <v>6163</v>
      </c>
      <c r="C507" s="23" t="s">
        <v>9</v>
      </c>
      <c r="D507" s="23" t="s">
        <v>96</v>
      </c>
      <c r="E507" s="23" t="s">
        <v>97</v>
      </c>
      <c r="F507" s="24" t="s">
        <v>59</v>
      </c>
      <c r="G507" s="24" t="s">
        <v>98</v>
      </c>
      <c r="H507" s="24" t="s">
        <v>5362</v>
      </c>
      <c r="I507" s="24" t="s">
        <v>6084</v>
      </c>
      <c r="J507" s="24" t="s">
        <v>6164</v>
      </c>
      <c r="K507" s="24" t="s">
        <v>6165</v>
      </c>
      <c r="L507" s="24" t="s">
        <v>119</v>
      </c>
      <c r="M507" s="24" t="s">
        <v>868</v>
      </c>
      <c r="N507" s="24" t="s">
        <v>6151</v>
      </c>
      <c r="O507" s="24" t="s">
        <v>1004</v>
      </c>
      <c r="P507" s="24" t="s">
        <v>6166</v>
      </c>
      <c r="Q507" s="24" t="s">
        <v>6167</v>
      </c>
      <c r="R507" s="24" t="s">
        <v>6168</v>
      </c>
      <c r="S507" s="24" t="s">
        <v>6169</v>
      </c>
      <c r="T507" s="24" t="s">
        <v>6170</v>
      </c>
      <c r="U507" s="24" t="s">
        <v>6171</v>
      </c>
      <c r="V507" s="24" t="s">
        <v>6169</v>
      </c>
      <c r="W507" s="24" t="s">
        <v>6172</v>
      </c>
      <c r="X507" s="24"/>
      <c r="Y507" s="24" t="s">
        <v>6173</v>
      </c>
      <c r="Z507" s="24"/>
      <c r="AA507" s="24"/>
      <c r="AB507" s="25" t="n">
        <v>10</v>
      </c>
      <c r="AC507" s="24" t="s">
        <v>6174</v>
      </c>
      <c r="AD507" s="24" t="s">
        <v>6175</v>
      </c>
      <c r="AE507" s="24"/>
      <c r="AF507" s="24" t="s">
        <v>168</v>
      </c>
      <c r="AG507" s="24"/>
      <c r="AH507" s="24"/>
      <c r="AI507" s="25" t="n">
        <f aca="false">COUNTIF($B$2:$B$740,B507)</f>
        <v>1</v>
      </c>
    </row>
    <row r="508" customFormat="false" ht="76" hidden="false" customHeight="true" outlineLevel="0" collapsed="false">
      <c r="A508" s="21" t="n">
        <v>507</v>
      </c>
      <c r="B508" s="22" t="s">
        <v>6176</v>
      </c>
      <c r="C508" s="23" t="s">
        <v>9</v>
      </c>
      <c r="D508" s="23" t="s">
        <v>96</v>
      </c>
      <c r="E508" s="23" t="s">
        <v>97</v>
      </c>
      <c r="F508" s="24" t="s">
        <v>59</v>
      </c>
      <c r="G508" s="24" t="s">
        <v>98</v>
      </c>
      <c r="H508" s="24" t="s">
        <v>5362</v>
      </c>
      <c r="I508" s="24" t="s">
        <v>6084</v>
      </c>
      <c r="J508" s="24" t="s">
        <v>6177</v>
      </c>
      <c r="K508" s="24" t="s">
        <v>6178</v>
      </c>
      <c r="L508" s="24" t="s">
        <v>119</v>
      </c>
      <c r="M508" s="24" t="s">
        <v>868</v>
      </c>
      <c r="N508" s="24" t="s">
        <v>6179</v>
      </c>
      <c r="O508" s="24" t="s">
        <v>1083</v>
      </c>
      <c r="P508" s="24" t="s">
        <v>6153</v>
      </c>
      <c r="Q508" s="24" t="s">
        <v>552</v>
      </c>
      <c r="R508" s="24" t="s">
        <v>6180</v>
      </c>
      <c r="S508" s="24" t="s">
        <v>6181</v>
      </c>
      <c r="T508" s="24" t="s">
        <v>6182</v>
      </c>
      <c r="U508" s="24" t="s">
        <v>6183</v>
      </c>
      <c r="V508" s="24"/>
      <c r="W508" s="24"/>
      <c r="X508" s="24"/>
      <c r="Y508" s="24" t="s">
        <v>6184</v>
      </c>
      <c r="Z508" s="24"/>
      <c r="AA508" s="24"/>
      <c r="AB508" s="25" t="n">
        <v>10</v>
      </c>
      <c r="AC508" s="24" t="s">
        <v>6185</v>
      </c>
      <c r="AD508" s="24" t="s">
        <v>6186</v>
      </c>
      <c r="AE508" s="24" t="s">
        <v>6136</v>
      </c>
      <c r="AF508" s="24" t="s">
        <v>168</v>
      </c>
      <c r="AG508" s="24"/>
      <c r="AH508" s="24"/>
      <c r="AI508" s="25" t="n">
        <f aca="false">COUNTIF($B$2:$B$740,B508)</f>
        <v>1</v>
      </c>
    </row>
    <row r="509" customFormat="false" ht="76" hidden="false" customHeight="true" outlineLevel="0" collapsed="false">
      <c r="A509" s="21" t="n">
        <v>508</v>
      </c>
      <c r="B509" s="22" t="s">
        <v>6187</v>
      </c>
      <c r="C509" s="23" t="s">
        <v>9</v>
      </c>
      <c r="D509" s="23" t="s">
        <v>96</v>
      </c>
      <c r="E509" s="23" t="s">
        <v>97</v>
      </c>
      <c r="F509" s="24" t="s">
        <v>59</v>
      </c>
      <c r="G509" s="24" t="s">
        <v>98</v>
      </c>
      <c r="H509" s="24" t="s">
        <v>5362</v>
      </c>
      <c r="I509" s="24" t="s">
        <v>6084</v>
      </c>
      <c r="J509" s="24" t="s">
        <v>6188</v>
      </c>
      <c r="K509" s="24" t="s">
        <v>6189</v>
      </c>
      <c r="L509" s="24" t="s">
        <v>119</v>
      </c>
      <c r="M509" s="24" t="s">
        <v>868</v>
      </c>
      <c r="N509" s="24" t="s">
        <v>6190</v>
      </c>
      <c r="O509" s="24" t="s">
        <v>6191</v>
      </c>
      <c r="P509" s="24" t="s">
        <v>6192</v>
      </c>
      <c r="Q509" s="24" t="s">
        <v>6193</v>
      </c>
      <c r="R509" s="24" t="s">
        <v>6194</v>
      </c>
      <c r="S509" s="24" t="s">
        <v>6195</v>
      </c>
      <c r="T509" s="24" t="s">
        <v>6196</v>
      </c>
      <c r="U509" s="24" t="s">
        <v>6197</v>
      </c>
      <c r="V509" s="24"/>
      <c r="W509" s="24"/>
      <c r="X509" s="24"/>
      <c r="Y509" s="24" t="s">
        <v>183</v>
      </c>
      <c r="Z509" s="24"/>
      <c r="AA509" s="24"/>
      <c r="AB509" s="25" t="n">
        <v>10</v>
      </c>
      <c r="AC509" s="24" t="s">
        <v>6198</v>
      </c>
      <c r="AD509" s="24" t="s">
        <v>6199</v>
      </c>
      <c r="AE509" s="24"/>
      <c r="AF509" s="24" t="s">
        <v>168</v>
      </c>
      <c r="AG509" s="24"/>
      <c r="AH509" s="24"/>
      <c r="AI509" s="25" t="n">
        <f aca="false">COUNTIF($B$2:$B$740,B509)</f>
        <v>1</v>
      </c>
    </row>
    <row r="510" customFormat="false" ht="76" hidden="false" customHeight="true" outlineLevel="0" collapsed="false">
      <c r="A510" s="21" t="n">
        <v>509</v>
      </c>
      <c r="B510" s="22" t="s">
        <v>6200</v>
      </c>
      <c r="C510" s="23" t="s">
        <v>9</v>
      </c>
      <c r="D510" s="23" t="s">
        <v>96</v>
      </c>
      <c r="E510" s="23" t="s">
        <v>97</v>
      </c>
      <c r="F510" s="24" t="s">
        <v>59</v>
      </c>
      <c r="G510" s="24" t="s">
        <v>98</v>
      </c>
      <c r="H510" s="24" t="s">
        <v>5362</v>
      </c>
      <c r="I510" s="24" t="s">
        <v>6084</v>
      </c>
      <c r="J510" s="24" t="s">
        <v>6201</v>
      </c>
      <c r="K510" s="24" t="s">
        <v>6202</v>
      </c>
      <c r="L510" s="24" t="s">
        <v>119</v>
      </c>
      <c r="M510" s="24" t="s">
        <v>868</v>
      </c>
      <c r="N510" s="24" t="s">
        <v>856</v>
      </c>
      <c r="O510" s="24" t="s">
        <v>6203</v>
      </c>
      <c r="P510" s="24" t="s">
        <v>6204</v>
      </c>
      <c r="Q510" s="24" t="s">
        <v>6205</v>
      </c>
      <c r="R510" s="24" t="s">
        <v>6206</v>
      </c>
      <c r="S510" s="24" t="s">
        <v>6207</v>
      </c>
      <c r="T510" s="24" t="s">
        <v>6208</v>
      </c>
      <c r="U510" s="24" t="s">
        <v>6209</v>
      </c>
      <c r="V510" s="24"/>
      <c r="W510" s="24" t="s">
        <v>6210</v>
      </c>
      <c r="X510" s="24"/>
      <c r="Y510" s="24" t="s">
        <v>6211</v>
      </c>
      <c r="Z510" s="24"/>
      <c r="AA510" s="24"/>
      <c r="AB510" s="25" t="n">
        <v>10</v>
      </c>
      <c r="AC510" s="24" t="s">
        <v>6212</v>
      </c>
      <c r="AD510" s="24" t="s">
        <v>6213</v>
      </c>
      <c r="AE510" s="24"/>
      <c r="AF510" s="24" t="s">
        <v>168</v>
      </c>
      <c r="AG510" s="24"/>
      <c r="AH510" s="24"/>
      <c r="AI510" s="25" t="n">
        <f aca="false">COUNTIF($B$2:$B$740,B510)</f>
        <v>1</v>
      </c>
    </row>
    <row r="511" customFormat="false" ht="76" hidden="false" customHeight="true" outlineLevel="0" collapsed="false">
      <c r="A511" s="21" t="n">
        <v>510</v>
      </c>
      <c r="B511" s="22" t="s">
        <v>6214</v>
      </c>
      <c r="C511" s="23" t="s">
        <v>9</v>
      </c>
      <c r="D511" s="23" t="s">
        <v>96</v>
      </c>
      <c r="E511" s="23" t="s">
        <v>97</v>
      </c>
      <c r="F511" s="24" t="s">
        <v>59</v>
      </c>
      <c r="G511" s="24" t="s">
        <v>98</v>
      </c>
      <c r="H511" s="24" t="s">
        <v>5362</v>
      </c>
      <c r="I511" s="24" t="s">
        <v>6084</v>
      </c>
      <c r="J511" s="24" t="s">
        <v>6215</v>
      </c>
      <c r="K511" s="24" t="s">
        <v>6216</v>
      </c>
      <c r="L511" s="24" t="s">
        <v>119</v>
      </c>
      <c r="M511" s="24" t="s">
        <v>6217</v>
      </c>
      <c r="N511" s="24" t="s">
        <v>6218</v>
      </c>
      <c r="O511" s="24" t="s">
        <v>1117</v>
      </c>
      <c r="P511" s="24" t="s">
        <v>6219</v>
      </c>
      <c r="Q511" s="24" t="s">
        <v>6220</v>
      </c>
      <c r="R511" s="24" t="s">
        <v>6221</v>
      </c>
      <c r="S511" s="24" t="s">
        <v>6222</v>
      </c>
      <c r="T511" s="24" t="s">
        <v>6223</v>
      </c>
      <c r="U511" s="24"/>
      <c r="V511" s="24" t="s">
        <v>6223</v>
      </c>
      <c r="W511" s="24" t="s">
        <v>6220</v>
      </c>
      <c r="X511" s="24"/>
      <c r="Y511" s="24" t="s">
        <v>6219</v>
      </c>
      <c r="Z511" s="24"/>
      <c r="AA511" s="24"/>
      <c r="AB511" s="25" t="n">
        <v>10</v>
      </c>
      <c r="AC511" s="24" t="s">
        <v>6224</v>
      </c>
      <c r="AD511" s="24" t="s">
        <v>5631</v>
      </c>
      <c r="AE511" s="24"/>
      <c r="AF511" s="24" t="s">
        <v>168</v>
      </c>
      <c r="AG511" s="24"/>
      <c r="AH511" s="24"/>
      <c r="AI511" s="25" t="n">
        <f aca="false">COUNTIF($B$2:$B$740,B511)</f>
        <v>1</v>
      </c>
    </row>
    <row r="512" customFormat="false" ht="76" hidden="false" customHeight="true" outlineLevel="0" collapsed="false">
      <c r="A512" s="21" t="n">
        <v>511</v>
      </c>
      <c r="B512" s="22" t="s">
        <v>711</v>
      </c>
      <c r="C512" s="23" t="s">
        <v>9</v>
      </c>
      <c r="D512" s="23" t="s">
        <v>96</v>
      </c>
      <c r="E512" s="23" t="s">
        <v>97</v>
      </c>
      <c r="F512" s="24" t="s">
        <v>59</v>
      </c>
      <c r="G512" s="24" t="s">
        <v>98</v>
      </c>
      <c r="H512" s="24" t="s">
        <v>5362</v>
      </c>
      <c r="I512" s="24" t="s">
        <v>6084</v>
      </c>
      <c r="J512" s="24" t="s">
        <v>6225</v>
      </c>
      <c r="K512" s="24" t="s">
        <v>6216</v>
      </c>
      <c r="L512" s="24" t="s">
        <v>119</v>
      </c>
      <c r="M512" s="24" t="s">
        <v>796</v>
      </c>
      <c r="N512" s="24" t="s">
        <v>6218</v>
      </c>
      <c r="O512" s="24" t="s">
        <v>1117</v>
      </c>
      <c r="P512" s="24" t="s">
        <v>6226</v>
      </c>
      <c r="Q512" s="24" t="s">
        <v>6227</v>
      </c>
      <c r="R512" s="24" t="s">
        <v>6228</v>
      </c>
      <c r="S512" s="24" t="s">
        <v>6229</v>
      </c>
      <c r="T512" s="24" t="s">
        <v>6230</v>
      </c>
      <c r="U512" s="24" t="s">
        <v>6227</v>
      </c>
      <c r="V512" s="24" t="s">
        <v>6230</v>
      </c>
      <c r="W512" s="24" t="s">
        <v>6227</v>
      </c>
      <c r="X512" s="24"/>
      <c r="Y512" s="24" t="s">
        <v>6231</v>
      </c>
      <c r="Z512" s="24"/>
      <c r="AA512" s="24"/>
      <c r="AB512" s="25" t="n">
        <v>10</v>
      </c>
      <c r="AC512" s="24" t="s">
        <v>6224</v>
      </c>
      <c r="AD512" s="24" t="s">
        <v>5631</v>
      </c>
      <c r="AE512" s="24"/>
      <c r="AF512" s="24" t="s">
        <v>168</v>
      </c>
      <c r="AG512" s="24"/>
      <c r="AH512" s="24"/>
      <c r="AI512" s="25" t="n">
        <f aca="false">COUNTIF($B$2:$B$740,B512)</f>
        <v>1</v>
      </c>
    </row>
    <row r="513" customFormat="false" ht="76" hidden="false" customHeight="true" outlineLevel="0" collapsed="false">
      <c r="A513" s="21" t="n">
        <v>512</v>
      </c>
      <c r="B513" s="22" t="s">
        <v>408</v>
      </c>
      <c r="C513" s="23" t="s">
        <v>9</v>
      </c>
      <c r="D513" s="23" t="s">
        <v>96</v>
      </c>
      <c r="E513" s="23" t="s">
        <v>97</v>
      </c>
      <c r="F513" s="24" t="s">
        <v>59</v>
      </c>
      <c r="G513" s="24" t="s">
        <v>98</v>
      </c>
      <c r="H513" s="24" t="s">
        <v>5362</v>
      </c>
      <c r="I513" s="24" t="s">
        <v>6084</v>
      </c>
      <c r="J513" s="24" t="s">
        <v>6232</v>
      </c>
      <c r="K513" s="24" t="s">
        <v>5687</v>
      </c>
      <c r="L513" s="24" t="s">
        <v>103</v>
      </c>
      <c r="M513" s="24" t="s">
        <v>398</v>
      </c>
      <c r="N513" s="24" t="s">
        <v>6233</v>
      </c>
      <c r="O513" s="24" t="s">
        <v>6234</v>
      </c>
      <c r="P513" s="24" t="s">
        <v>6235</v>
      </c>
      <c r="Q513" s="24" t="s">
        <v>6236</v>
      </c>
      <c r="R513" s="24" t="s">
        <v>6237</v>
      </c>
      <c r="S513" s="24" t="s">
        <v>6238</v>
      </c>
      <c r="T513" s="24" t="s">
        <v>6239</v>
      </c>
      <c r="U513" s="24" t="s">
        <v>183</v>
      </c>
      <c r="V513" s="24"/>
      <c r="W513" s="24"/>
      <c r="X513" s="24"/>
      <c r="Y513" s="24" t="s">
        <v>183</v>
      </c>
      <c r="Z513" s="24"/>
      <c r="AA513" s="24" t="s">
        <v>6240</v>
      </c>
      <c r="AB513" s="25" t="n">
        <v>10</v>
      </c>
      <c r="AC513" s="24" t="s">
        <v>6241</v>
      </c>
      <c r="AD513" s="24" t="s">
        <v>6242</v>
      </c>
      <c r="AE513" s="24" t="s">
        <v>6243</v>
      </c>
      <c r="AF513" s="24" t="s">
        <v>168</v>
      </c>
      <c r="AG513" s="24"/>
      <c r="AH513" s="24"/>
      <c r="AI513" s="25" t="n">
        <f aca="false">COUNTIF($B$2:$B$740,B513)</f>
        <v>1</v>
      </c>
    </row>
    <row r="514" customFormat="false" ht="86.4" hidden="false" customHeight="true" outlineLevel="0" collapsed="false">
      <c r="A514" s="26" t="n">
        <v>513</v>
      </c>
      <c r="B514" s="27" t="s">
        <v>6244</v>
      </c>
      <c r="C514" s="24" t="s">
        <v>9</v>
      </c>
      <c r="D514" s="24" t="s">
        <v>96</v>
      </c>
      <c r="E514" s="24" t="s">
        <v>97</v>
      </c>
      <c r="F514" s="24" t="s">
        <v>59</v>
      </c>
      <c r="G514" s="24" t="s">
        <v>98</v>
      </c>
      <c r="H514" s="24" t="s">
        <v>5362</v>
      </c>
      <c r="I514" s="24" t="s">
        <v>6245</v>
      </c>
      <c r="J514" s="24" t="s">
        <v>6246</v>
      </c>
      <c r="K514" s="24" t="s">
        <v>6247</v>
      </c>
      <c r="L514" s="24" t="s">
        <v>173</v>
      </c>
      <c r="M514" s="24" t="s">
        <v>605</v>
      </c>
      <c r="N514" s="24" t="s">
        <v>6248</v>
      </c>
      <c r="O514" s="24" t="s">
        <v>6249</v>
      </c>
      <c r="P514" s="24" t="s">
        <v>6250</v>
      </c>
      <c r="Q514" s="24" t="s">
        <v>6251</v>
      </c>
      <c r="R514" s="24" t="s">
        <v>6252</v>
      </c>
      <c r="S514" s="24" t="s">
        <v>6253</v>
      </c>
      <c r="T514" s="24" t="s">
        <v>6254</v>
      </c>
      <c r="U514" s="24" t="s">
        <v>6255</v>
      </c>
      <c r="V514" s="24" t="s">
        <v>6256</v>
      </c>
      <c r="W514" s="24" t="s">
        <v>6257</v>
      </c>
      <c r="X514" s="24" t="s">
        <v>6250</v>
      </c>
      <c r="Y514" s="24" t="s">
        <v>6258</v>
      </c>
      <c r="Z514" s="24"/>
      <c r="AA514" s="24"/>
      <c r="AB514" s="25" t="n">
        <v>80</v>
      </c>
      <c r="AC514" s="24" t="s">
        <v>6259</v>
      </c>
      <c r="AD514" s="24" t="s">
        <v>6260</v>
      </c>
      <c r="AE514" s="24" t="s">
        <v>6261</v>
      </c>
      <c r="AF514" s="24" t="s">
        <v>168</v>
      </c>
      <c r="AG514" s="24"/>
      <c r="AH514" s="24" t="s">
        <v>941</v>
      </c>
      <c r="AI514" s="25" t="n">
        <f aca="false">COUNTIF($B$2:$B$740,B514)</f>
        <v>1</v>
      </c>
    </row>
    <row r="515" customFormat="false" ht="76" hidden="false" customHeight="true" outlineLevel="0" collapsed="false">
      <c r="A515" s="21" t="n">
        <v>514</v>
      </c>
      <c r="B515" s="22" t="s">
        <v>6262</v>
      </c>
      <c r="C515" s="23" t="s">
        <v>9</v>
      </c>
      <c r="D515" s="23" t="s">
        <v>96</v>
      </c>
      <c r="E515" s="23" t="s">
        <v>97</v>
      </c>
      <c r="F515" s="24" t="s">
        <v>59</v>
      </c>
      <c r="G515" s="24" t="s">
        <v>98</v>
      </c>
      <c r="H515" s="24" t="s">
        <v>5362</v>
      </c>
      <c r="I515" s="24" t="s">
        <v>6245</v>
      </c>
      <c r="J515" s="24" t="s">
        <v>6263</v>
      </c>
      <c r="K515" s="24" t="s">
        <v>6264</v>
      </c>
      <c r="L515" s="24" t="s">
        <v>119</v>
      </c>
      <c r="M515" s="24" t="s">
        <v>6265</v>
      </c>
      <c r="N515" s="24" t="s">
        <v>6266</v>
      </c>
      <c r="O515" s="24" t="s">
        <v>6267</v>
      </c>
      <c r="P515" s="24" t="s">
        <v>6268</v>
      </c>
      <c r="Q515" s="24" t="s">
        <v>6269</v>
      </c>
      <c r="R515" s="24" t="s">
        <v>6270</v>
      </c>
      <c r="S515" s="24" t="s">
        <v>6271</v>
      </c>
      <c r="T515" s="24" t="s">
        <v>6272</v>
      </c>
      <c r="U515" s="24" t="s">
        <v>6273</v>
      </c>
      <c r="V515" s="24"/>
      <c r="W515" s="24" t="s">
        <v>6274</v>
      </c>
      <c r="X515" s="24"/>
      <c r="Y515" s="24" t="s">
        <v>6275</v>
      </c>
      <c r="Z515" s="24"/>
      <c r="AA515" s="24" t="s">
        <v>6276</v>
      </c>
      <c r="AB515" s="25" t="n">
        <v>80</v>
      </c>
      <c r="AC515" s="24" t="s">
        <v>6277</v>
      </c>
      <c r="AD515" s="24" t="s">
        <v>6278</v>
      </c>
      <c r="AE515" s="24" t="s">
        <v>6279</v>
      </c>
      <c r="AF515" s="24" t="s">
        <v>168</v>
      </c>
      <c r="AG515" s="24"/>
      <c r="AH515" s="24" t="s">
        <v>941</v>
      </c>
      <c r="AI515" s="25" t="n">
        <f aca="false">COUNTIF($B$2:$B$740,B515)</f>
        <v>1</v>
      </c>
    </row>
    <row r="516" customFormat="false" ht="76" hidden="false" customHeight="true" outlineLevel="0" collapsed="false">
      <c r="A516" s="21" t="n">
        <v>515</v>
      </c>
      <c r="B516" s="22" t="s">
        <v>2451</v>
      </c>
      <c r="C516" s="23" t="s">
        <v>9</v>
      </c>
      <c r="D516" s="23" t="s">
        <v>96</v>
      </c>
      <c r="E516" s="23" t="s">
        <v>97</v>
      </c>
      <c r="F516" s="24" t="s">
        <v>59</v>
      </c>
      <c r="G516" s="24" t="s">
        <v>98</v>
      </c>
      <c r="H516" s="24" t="s">
        <v>5362</v>
      </c>
      <c r="I516" s="24" t="s">
        <v>6245</v>
      </c>
      <c r="J516" s="24" t="s">
        <v>6280</v>
      </c>
      <c r="K516" s="24" t="s">
        <v>6281</v>
      </c>
      <c r="L516" s="24" t="s">
        <v>119</v>
      </c>
      <c r="M516" s="24" t="s">
        <v>6265</v>
      </c>
      <c r="N516" s="24" t="s">
        <v>6282</v>
      </c>
      <c r="O516" s="24" t="s">
        <v>6283</v>
      </c>
      <c r="P516" s="24" t="s">
        <v>6284</v>
      </c>
      <c r="Q516" s="24" t="s">
        <v>6285</v>
      </c>
      <c r="R516" s="24" t="s">
        <v>6286</v>
      </c>
      <c r="S516" s="24" t="s">
        <v>6287</v>
      </c>
      <c r="T516" s="24" t="s">
        <v>6288</v>
      </c>
      <c r="U516" s="24" t="s">
        <v>6289</v>
      </c>
      <c r="V516" s="24"/>
      <c r="W516" s="24" t="s">
        <v>6290</v>
      </c>
      <c r="X516" s="24"/>
      <c r="Y516" s="24" t="s">
        <v>6258</v>
      </c>
      <c r="Z516" s="24"/>
      <c r="AA516" s="24"/>
      <c r="AB516" s="25" t="n">
        <v>10</v>
      </c>
      <c r="AC516" s="24" t="s">
        <v>1169</v>
      </c>
      <c r="AD516" s="24" t="s">
        <v>6291</v>
      </c>
      <c r="AE516" s="24"/>
      <c r="AF516" s="24" t="s">
        <v>168</v>
      </c>
      <c r="AG516" s="24"/>
      <c r="AH516" s="24"/>
      <c r="AI516" s="25" t="n">
        <f aca="false">COUNTIF($B$2:$B$740,B516)</f>
        <v>1</v>
      </c>
    </row>
    <row r="517" customFormat="false" ht="86.4" hidden="false" customHeight="true" outlineLevel="0" collapsed="false">
      <c r="A517" s="26" t="n">
        <v>516</v>
      </c>
      <c r="B517" s="27" t="s">
        <v>6292</v>
      </c>
      <c r="C517" s="24" t="s">
        <v>9</v>
      </c>
      <c r="D517" s="24" t="s">
        <v>96</v>
      </c>
      <c r="E517" s="24" t="s">
        <v>97</v>
      </c>
      <c r="F517" s="24" t="s">
        <v>59</v>
      </c>
      <c r="G517" s="24" t="s">
        <v>98</v>
      </c>
      <c r="H517" s="24" t="s">
        <v>5362</v>
      </c>
      <c r="I517" s="24" t="s">
        <v>6293</v>
      </c>
      <c r="J517" s="24" t="s">
        <v>6294</v>
      </c>
      <c r="K517" s="24" t="s">
        <v>6295</v>
      </c>
      <c r="L517" s="24" t="s">
        <v>103</v>
      </c>
      <c r="M517" s="24" t="s">
        <v>1292</v>
      </c>
      <c r="N517" s="24" t="s">
        <v>6296</v>
      </c>
      <c r="O517" s="24" t="s">
        <v>6297</v>
      </c>
      <c r="P517" s="24" t="s">
        <v>6298</v>
      </c>
      <c r="Q517" s="24" t="s">
        <v>6299</v>
      </c>
      <c r="R517" s="24" t="s">
        <v>6300</v>
      </c>
      <c r="S517" s="24" t="s">
        <v>6301</v>
      </c>
      <c r="T517" s="24" t="s">
        <v>6302</v>
      </c>
      <c r="U517" s="24" t="s">
        <v>183</v>
      </c>
      <c r="V517" s="24"/>
      <c r="W517" s="24"/>
      <c r="X517" s="24"/>
      <c r="Y517" s="24" t="s">
        <v>183</v>
      </c>
      <c r="Z517" s="24"/>
      <c r="AA517" s="24"/>
      <c r="AB517" s="25" t="n">
        <v>70</v>
      </c>
      <c r="AC517" s="24" t="s">
        <v>6303</v>
      </c>
      <c r="AD517" s="24" t="s">
        <v>6304</v>
      </c>
      <c r="AE517" s="24" t="s">
        <v>6305</v>
      </c>
      <c r="AF517" s="24" t="s">
        <v>168</v>
      </c>
      <c r="AG517" s="24"/>
      <c r="AH517" s="24" t="s">
        <v>1050</v>
      </c>
      <c r="AI517" s="25" t="n">
        <f aca="false">COUNTIF($B$2:$B$740,B517)</f>
        <v>1</v>
      </c>
    </row>
    <row r="518" customFormat="false" ht="76" hidden="false" customHeight="true" outlineLevel="0" collapsed="false">
      <c r="A518" s="21" t="n">
        <v>517</v>
      </c>
      <c r="B518" s="22" t="s">
        <v>6306</v>
      </c>
      <c r="C518" s="23" t="s">
        <v>9</v>
      </c>
      <c r="D518" s="23" t="s">
        <v>96</v>
      </c>
      <c r="E518" s="23" t="s">
        <v>97</v>
      </c>
      <c r="F518" s="24" t="s">
        <v>59</v>
      </c>
      <c r="G518" s="24" t="s">
        <v>98</v>
      </c>
      <c r="H518" s="24" t="s">
        <v>5362</v>
      </c>
      <c r="I518" s="24" t="s">
        <v>6293</v>
      </c>
      <c r="J518" s="24" t="s">
        <v>6307</v>
      </c>
      <c r="K518" s="24" t="s">
        <v>6308</v>
      </c>
      <c r="L518" s="24" t="s">
        <v>103</v>
      </c>
      <c r="M518" s="24" t="s">
        <v>1292</v>
      </c>
      <c r="N518" s="24" t="s">
        <v>6309</v>
      </c>
      <c r="O518" s="24" t="s">
        <v>6310</v>
      </c>
      <c r="P518" s="24" t="s">
        <v>552</v>
      </c>
      <c r="Q518" s="24" t="s">
        <v>6311</v>
      </c>
      <c r="R518" s="24" t="s">
        <v>6312</v>
      </c>
      <c r="S518" s="24" t="s">
        <v>6313</v>
      </c>
      <c r="T518" s="24" t="s">
        <v>6314</v>
      </c>
      <c r="U518" s="24" t="s">
        <v>183</v>
      </c>
      <c r="V518" s="24"/>
      <c r="W518" s="24" t="s">
        <v>6311</v>
      </c>
      <c r="X518" s="24" t="s">
        <v>6315</v>
      </c>
      <c r="Y518" s="24" t="s">
        <v>183</v>
      </c>
      <c r="Z518" s="24" t="s">
        <v>6316</v>
      </c>
      <c r="AA518" s="24"/>
      <c r="AB518" s="25" t="n">
        <v>10</v>
      </c>
      <c r="AC518" s="24" t="s">
        <v>6317</v>
      </c>
      <c r="AD518" s="24" t="s">
        <v>6318</v>
      </c>
      <c r="AE518" s="24"/>
      <c r="AF518" s="24" t="s">
        <v>168</v>
      </c>
      <c r="AG518" s="24"/>
      <c r="AH518" s="24"/>
      <c r="AI518" s="25" t="n">
        <f aca="false">COUNTIF($B$2:$B$740,B518)</f>
        <v>1</v>
      </c>
    </row>
    <row r="519" customFormat="false" ht="76" hidden="false" customHeight="true" outlineLevel="0" collapsed="false">
      <c r="A519" s="21" t="n">
        <v>518</v>
      </c>
      <c r="B519" s="22" t="s">
        <v>6319</v>
      </c>
      <c r="C519" s="23" t="s">
        <v>9</v>
      </c>
      <c r="D519" s="23" t="s">
        <v>96</v>
      </c>
      <c r="E519" s="23" t="s">
        <v>97</v>
      </c>
      <c r="F519" s="24" t="s">
        <v>59</v>
      </c>
      <c r="G519" s="24" t="s">
        <v>98</v>
      </c>
      <c r="H519" s="24" t="s">
        <v>5362</v>
      </c>
      <c r="I519" s="24" t="s">
        <v>6293</v>
      </c>
      <c r="J519" s="24" t="s">
        <v>6320</v>
      </c>
      <c r="K519" s="24" t="s">
        <v>6308</v>
      </c>
      <c r="L519" s="24" t="s">
        <v>103</v>
      </c>
      <c r="M519" s="24" t="s">
        <v>1292</v>
      </c>
      <c r="N519" s="24" t="s">
        <v>6321</v>
      </c>
      <c r="O519" s="24" t="s">
        <v>6322</v>
      </c>
      <c r="P519" s="24" t="s">
        <v>552</v>
      </c>
      <c r="Q519" s="24" t="s">
        <v>6323</v>
      </c>
      <c r="R519" s="24" t="s">
        <v>6324</v>
      </c>
      <c r="S519" s="24" t="s">
        <v>6325</v>
      </c>
      <c r="T519" s="24" t="s">
        <v>6326</v>
      </c>
      <c r="U519" s="24" t="s">
        <v>183</v>
      </c>
      <c r="V519" s="24"/>
      <c r="W519" s="24" t="s">
        <v>6323</v>
      </c>
      <c r="X519" s="24" t="s">
        <v>6327</v>
      </c>
      <c r="Y519" s="24" t="s">
        <v>183</v>
      </c>
      <c r="Z519" s="24" t="s">
        <v>6328</v>
      </c>
      <c r="AA519" s="24"/>
      <c r="AB519" s="25" t="n">
        <v>10</v>
      </c>
      <c r="AC519" s="24" t="s">
        <v>6329</v>
      </c>
      <c r="AD519" s="24" t="s">
        <v>6318</v>
      </c>
      <c r="AE519" s="24"/>
      <c r="AF519" s="24" t="s">
        <v>168</v>
      </c>
      <c r="AG519" s="24"/>
      <c r="AH519" s="24"/>
      <c r="AI519" s="25" t="n">
        <f aca="false">COUNTIF($B$2:$B$740,B519)</f>
        <v>1</v>
      </c>
    </row>
    <row r="520" customFormat="false" ht="76" hidden="false" customHeight="true" outlineLevel="0" collapsed="false">
      <c r="A520" s="21" t="n">
        <v>519</v>
      </c>
      <c r="B520" s="22" t="s">
        <v>6330</v>
      </c>
      <c r="C520" s="23" t="s">
        <v>9</v>
      </c>
      <c r="D520" s="23" t="s">
        <v>96</v>
      </c>
      <c r="E520" s="23" t="s">
        <v>97</v>
      </c>
      <c r="F520" s="24" t="s">
        <v>59</v>
      </c>
      <c r="G520" s="24" t="s">
        <v>98</v>
      </c>
      <c r="H520" s="24" t="s">
        <v>5362</v>
      </c>
      <c r="I520" s="24" t="s">
        <v>6293</v>
      </c>
      <c r="J520" s="24" t="s">
        <v>6331</v>
      </c>
      <c r="K520" s="24" t="s">
        <v>6308</v>
      </c>
      <c r="L520" s="24" t="s">
        <v>103</v>
      </c>
      <c r="M520" s="24" t="s">
        <v>1292</v>
      </c>
      <c r="N520" s="24" t="s">
        <v>6321</v>
      </c>
      <c r="O520" s="24" t="s">
        <v>6332</v>
      </c>
      <c r="P520" s="24" t="s">
        <v>552</v>
      </c>
      <c r="Q520" s="24" t="s">
        <v>6333</v>
      </c>
      <c r="R520" s="24" t="s">
        <v>6334</v>
      </c>
      <c r="S520" s="24" t="s">
        <v>6335</v>
      </c>
      <c r="T520" s="24" t="s">
        <v>6336</v>
      </c>
      <c r="U520" s="24" t="s">
        <v>183</v>
      </c>
      <c r="V520" s="24"/>
      <c r="W520" s="24" t="s">
        <v>6333</v>
      </c>
      <c r="X520" s="24" t="s">
        <v>6315</v>
      </c>
      <c r="Y520" s="24" t="s">
        <v>183</v>
      </c>
      <c r="Z520" s="24" t="s">
        <v>6337</v>
      </c>
      <c r="AA520" s="24"/>
      <c r="AB520" s="25" t="n">
        <v>10</v>
      </c>
      <c r="AC520" s="24" t="s">
        <v>6338</v>
      </c>
      <c r="AD520" s="24" t="s">
        <v>6339</v>
      </c>
      <c r="AE520" s="24"/>
      <c r="AF520" s="24" t="s">
        <v>168</v>
      </c>
      <c r="AG520" s="24"/>
      <c r="AH520" s="24"/>
      <c r="AI520" s="25" t="n">
        <f aca="false">COUNTIF($B$2:$B$740,B520)</f>
        <v>1</v>
      </c>
    </row>
    <row r="521" customFormat="false" ht="76.8" hidden="false" customHeight="true" outlineLevel="0" collapsed="false">
      <c r="A521" s="26" t="n">
        <v>520</v>
      </c>
      <c r="B521" s="27" t="s">
        <v>6340</v>
      </c>
      <c r="C521" s="24" t="s">
        <v>9</v>
      </c>
      <c r="D521" s="24" t="s">
        <v>96</v>
      </c>
      <c r="E521" s="24" t="s">
        <v>97</v>
      </c>
      <c r="F521" s="24" t="s">
        <v>59</v>
      </c>
      <c r="G521" s="24" t="s">
        <v>98</v>
      </c>
      <c r="H521" s="24" t="s">
        <v>5362</v>
      </c>
      <c r="I521" s="24" t="s">
        <v>6293</v>
      </c>
      <c r="J521" s="24" t="s">
        <v>6341</v>
      </c>
      <c r="K521" s="24" t="s">
        <v>6342</v>
      </c>
      <c r="L521" s="24" t="s">
        <v>103</v>
      </c>
      <c r="M521" s="24" t="s">
        <v>6343</v>
      </c>
      <c r="N521" s="24" t="s">
        <v>6344</v>
      </c>
      <c r="O521" s="24" t="s">
        <v>6345</v>
      </c>
      <c r="P521" s="24" t="s">
        <v>6346</v>
      </c>
      <c r="Q521" s="24" t="s">
        <v>6347</v>
      </c>
      <c r="R521" s="24" t="s">
        <v>6348</v>
      </c>
      <c r="S521" s="24" t="s">
        <v>6349</v>
      </c>
      <c r="T521" s="24" t="s">
        <v>6350</v>
      </c>
      <c r="U521" s="24" t="s">
        <v>183</v>
      </c>
      <c r="V521" s="24"/>
      <c r="W521" s="24" t="s">
        <v>6351</v>
      </c>
      <c r="X521" s="24"/>
      <c r="Y521" s="24" t="s">
        <v>183</v>
      </c>
      <c r="Z521" s="24"/>
      <c r="AA521" s="24"/>
      <c r="AB521" s="25" t="n">
        <v>100</v>
      </c>
      <c r="AC521" s="24" t="s">
        <v>6352</v>
      </c>
      <c r="AD521" s="24" t="s">
        <v>6353</v>
      </c>
      <c r="AE521" s="24" t="s">
        <v>6354</v>
      </c>
      <c r="AF521" s="24" t="s">
        <v>168</v>
      </c>
      <c r="AG521" s="24" t="s">
        <v>168</v>
      </c>
      <c r="AH521" s="24" t="s">
        <v>545</v>
      </c>
      <c r="AI521" s="25" t="n">
        <f aca="false">COUNTIF($B$2:$B$740,B521)</f>
        <v>1</v>
      </c>
    </row>
    <row r="522" customFormat="false" ht="76" hidden="false" customHeight="true" outlineLevel="0" collapsed="false">
      <c r="A522" s="21" t="n">
        <v>521</v>
      </c>
      <c r="B522" s="22" t="s">
        <v>6355</v>
      </c>
      <c r="C522" s="23" t="s">
        <v>9</v>
      </c>
      <c r="D522" s="23" t="s">
        <v>96</v>
      </c>
      <c r="E522" s="23" t="s">
        <v>97</v>
      </c>
      <c r="F522" s="24" t="s">
        <v>59</v>
      </c>
      <c r="G522" s="24" t="s">
        <v>98</v>
      </c>
      <c r="H522" s="24" t="s">
        <v>5362</v>
      </c>
      <c r="I522" s="24" t="s">
        <v>6293</v>
      </c>
      <c r="J522" s="24" t="s">
        <v>6356</v>
      </c>
      <c r="K522" s="24" t="s">
        <v>6357</v>
      </c>
      <c r="L522" s="24" t="s">
        <v>103</v>
      </c>
      <c r="M522" s="24" t="s">
        <v>605</v>
      </c>
      <c r="N522" s="24" t="s">
        <v>6358</v>
      </c>
      <c r="O522" s="24" t="s">
        <v>6359</v>
      </c>
      <c r="P522" s="24" t="s">
        <v>6360</v>
      </c>
      <c r="Q522" s="24" t="s">
        <v>6361</v>
      </c>
      <c r="R522" s="24" t="s">
        <v>6362</v>
      </c>
      <c r="S522" s="24" t="s">
        <v>6363</v>
      </c>
      <c r="T522" s="24" t="s">
        <v>6364</v>
      </c>
      <c r="U522" s="24" t="s">
        <v>183</v>
      </c>
      <c r="V522" s="24"/>
      <c r="W522" s="24" t="s">
        <v>6365</v>
      </c>
      <c r="X522" s="24"/>
      <c r="Y522" s="24" t="s">
        <v>183</v>
      </c>
      <c r="Z522" s="24"/>
      <c r="AA522" s="24"/>
      <c r="AB522" s="25" t="n">
        <v>10</v>
      </c>
      <c r="AC522" s="24" t="s">
        <v>6366</v>
      </c>
      <c r="AD522" s="24" t="s">
        <v>6367</v>
      </c>
      <c r="AE522" s="24"/>
      <c r="AF522" s="24" t="s">
        <v>168</v>
      </c>
      <c r="AG522" s="24"/>
      <c r="AH522" s="24"/>
      <c r="AI522" s="25" t="n">
        <f aca="false">COUNTIF($B$2:$B$740,B522)</f>
        <v>1</v>
      </c>
    </row>
    <row r="523" customFormat="false" ht="86.4" hidden="false" customHeight="true" outlineLevel="0" collapsed="false">
      <c r="A523" s="26" t="n">
        <v>522</v>
      </c>
      <c r="B523" s="27" t="s">
        <v>4430</v>
      </c>
      <c r="C523" s="24" t="s">
        <v>9</v>
      </c>
      <c r="D523" s="24" t="s">
        <v>96</v>
      </c>
      <c r="E523" s="24" t="s">
        <v>97</v>
      </c>
      <c r="F523" s="24" t="s">
        <v>59</v>
      </c>
      <c r="G523" s="24" t="s">
        <v>98</v>
      </c>
      <c r="H523" s="24" t="s">
        <v>5362</v>
      </c>
      <c r="I523" s="24" t="s">
        <v>6293</v>
      </c>
      <c r="J523" s="24" t="s">
        <v>6368</v>
      </c>
      <c r="K523" s="24" t="s">
        <v>1291</v>
      </c>
      <c r="L523" s="24" t="s">
        <v>531</v>
      </c>
      <c r="M523" s="24" t="s">
        <v>6369</v>
      </c>
      <c r="N523" s="24" t="s">
        <v>6370</v>
      </c>
      <c r="O523" s="24" t="s">
        <v>6371</v>
      </c>
      <c r="P523" s="24" t="s">
        <v>6372</v>
      </c>
      <c r="Q523" s="24" t="s">
        <v>6373</v>
      </c>
      <c r="R523" s="24" t="s">
        <v>6374</v>
      </c>
      <c r="S523" s="24" t="s">
        <v>6375</v>
      </c>
      <c r="T523" s="24" t="s">
        <v>6376</v>
      </c>
      <c r="U523" s="24" t="s">
        <v>183</v>
      </c>
      <c r="V523" s="24"/>
      <c r="W523" s="24" t="s">
        <v>6377</v>
      </c>
      <c r="X523" s="24" t="s">
        <v>6378</v>
      </c>
      <c r="Y523" s="24" t="s">
        <v>183</v>
      </c>
      <c r="Z523" s="24"/>
      <c r="AA523" s="24"/>
      <c r="AB523" s="25" t="n">
        <v>100</v>
      </c>
      <c r="AC523" s="24" t="s">
        <v>6379</v>
      </c>
      <c r="AD523" s="24" t="s">
        <v>6380</v>
      </c>
      <c r="AE523" s="24" t="s">
        <v>6381</v>
      </c>
      <c r="AF523" s="24" t="s">
        <v>168</v>
      </c>
      <c r="AG523" s="24" t="s">
        <v>168</v>
      </c>
      <c r="AH523" s="24" t="s">
        <v>545</v>
      </c>
      <c r="AI523" s="25" t="n">
        <f aca="false">COUNTIF($B$2:$B$740,B523)</f>
        <v>1</v>
      </c>
    </row>
    <row r="524" customFormat="false" ht="76" hidden="false" customHeight="true" outlineLevel="0" collapsed="false">
      <c r="A524" s="21" t="n">
        <v>523</v>
      </c>
      <c r="B524" s="22" t="s">
        <v>6382</v>
      </c>
      <c r="C524" s="23" t="s">
        <v>9</v>
      </c>
      <c r="D524" s="23" t="s">
        <v>96</v>
      </c>
      <c r="E524" s="23" t="s">
        <v>97</v>
      </c>
      <c r="F524" s="24" t="s">
        <v>59</v>
      </c>
      <c r="G524" s="24" t="s">
        <v>98</v>
      </c>
      <c r="H524" s="24" t="s">
        <v>5362</v>
      </c>
      <c r="I524" s="24" t="s">
        <v>6293</v>
      </c>
      <c r="J524" s="24" t="s">
        <v>6383</v>
      </c>
      <c r="K524" s="24" t="s">
        <v>6384</v>
      </c>
      <c r="L524" s="24" t="s">
        <v>103</v>
      </c>
      <c r="M524" s="24" t="s">
        <v>1245</v>
      </c>
      <c r="N524" s="24" t="s">
        <v>6385</v>
      </c>
      <c r="O524" s="24" t="s">
        <v>6386</v>
      </c>
      <c r="P524" s="24" t="s">
        <v>6387</v>
      </c>
      <c r="Q524" s="24" t="s">
        <v>6388</v>
      </c>
      <c r="R524" s="24" t="s">
        <v>6389</v>
      </c>
      <c r="S524" s="24" t="s">
        <v>6390</v>
      </c>
      <c r="T524" s="24" t="s">
        <v>6391</v>
      </c>
      <c r="U524" s="24" t="s">
        <v>183</v>
      </c>
      <c r="V524" s="24"/>
      <c r="W524" s="24"/>
      <c r="X524" s="24"/>
      <c r="Y524" s="24" t="s">
        <v>183</v>
      </c>
      <c r="Z524" s="24" t="s">
        <v>6392</v>
      </c>
      <c r="AA524" s="24"/>
      <c r="AB524" s="25" t="n">
        <v>10</v>
      </c>
      <c r="AC524" s="24" t="s">
        <v>6393</v>
      </c>
      <c r="AD524" s="24" t="s">
        <v>6394</v>
      </c>
      <c r="AE524" s="24" t="s">
        <v>6395</v>
      </c>
      <c r="AF524" s="24" t="s">
        <v>168</v>
      </c>
      <c r="AG524" s="24"/>
      <c r="AH524" s="24"/>
      <c r="AI524" s="25" t="n">
        <f aca="false">COUNTIF($B$2:$B$740,B524)</f>
        <v>1</v>
      </c>
    </row>
    <row r="525" customFormat="false" ht="76" hidden="false" customHeight="true" outlineLevel="0" collapsed="false">
      <c r="A525" s="21" t="n">
        <v>524</v>
      </c>
      <c r="B525" s="22" t="s">
        <v>6396</v>
      </c>
      <c r="C525" s="23" t="s">
        <v>9</v>
      </c>
      <c r="D525" s="23" t="s">
        <v>96</v>
      </c>
      <c r="E525" s="23" t="s">
        <v>97</v>
      </c>
      <c r="F525" s="24" t="s">
        <v>59</v>
      </c>
      <c r="G525" s="24" t="s">
        <v>98</v>
      </c>
      <c r="H525" s="24" t="s">
        <v>5362</v>
      </c>
      <c r="I525" s="24" t="s">
        <v>6293</v>
      </c>
      <c r="J525" s="24" t="s">
        <v>6397</v>
      </c>
      <c r="K525" s="24" t="s">
        <v>6398</v>
      </c>
      <c r="L525" s="24" t="s">
        <v>103</v>
      </c>
      <c r="M525" s="24" t="s">
        <v>605</v>
      </c>
      <c r="N525" s="24" t="s">
        <v>6399</v>
      </c>
      <c r="O525" s="24" t="s">
        <v>6400</v>
      </c>
      <c r="P525" s="24" t="s">
        <v>6401</v>
      </c>
      <c r="Q525" s="24" t="s">
        <v>6402</v>
      </c>
      <c r="R525" s="24" t="s">
        <v>6403</v>
      </c>
      <c r="S525" s="24" t="s">
        <v>6404</v>
      </c>
      <c r="T525" s="24" t="s">
        <v>6405</v>
      </c>
      <c r="U525" s="24" t="s">
        <v>183</v>
      </c>
      <c r="V525" s="24"/>
      <c r="W525" s="24"/>
      <c r="X525" s="24" t="s">
        <v>6406</v>
      </c>
      <c r="Y525" s="24" t="s">
        <v>183</v>
      </c>
      <c r="Z525" s="24"/>
      <c r="AA525" s="24"/>
      <c r="AB525" s="25" t="n">
        <v>10</v>
      </c>
      <c r="AC525" s="24" t="s">
        <v>6407</v>
      </c>
      <c r="AD525" s="24" t="s">
        <v>6408</v>
      </c>
      <c r="AE525" s="24"/>
      <c r="AF525" s="24" t="s">
        <v>168</v>
      </c>
      <c r="AG525" s="24"/>
      <c r="AH525" s="24"/>
      <c r="AI525" s="25" t="n">
        <f aca="false">COUNTIF($B$2:$B$740,B525)</f>
        <v>1</v>
      </c>
    </row>
    <row r="526" customFormat="false" ht="76" hidden="false" customHeight="true" outlineLevel="0" collapsed="false">
      <c r="A526" s="21" t="n">
        <v>525</v>
      </c>
      <c r="B526" s="22" t="s">
        <v>6409</v>
      </c>
      <c r="C526" s="23" t="s">
        <v>9</v>
      </c>
      <c r="D526" s="23" t="s">
        <v>96</v>
      </c>
      <c r="E526" s="23" t="s">
        <v>97</v>
      </c>
      <c r="F526" s="24" t="s">
        <v>50</v>
      </c>
      <c r="G526" s="24" t="s">
        <v>1407</v>
      </c>
      <c r="H526" s="24" t="s">
        <v>5362</v>
      </c>
      <c r="I526" s="24" t="s">
        <v>6410</v>
      </c>
      <c r="J526" s="24" t="s">
        <v>6411</v>
      </c>
      <c r="K526" s="24" t="s">
        <v>6412</v>
      </c>
      <c r="L526" s="24" t="s">
        <v>531</v>
      </c>
      <c r="M526" s="24" t="s">
        <v>6413</v>
      </c>
      <c r="N526" s="24" t="s">
        <v>6414</v>
      </c>
      <c r="O526" s="24" t="s">
        <v>6415</v>
      </c>
      <c r="P526" s="24" t="s">
        <v>6416</v>
      </c>
      <c r="Q526" s="24" t="s">
        <v>6417</v>
      </c>
      <c r="R526" s="24" t="s">
        <v>6418</v>
      </c>
      <c r="S526" s="24" t="s">
        <v>6419</v>
      </c>
      <c r="T526" s="24" t="s">
        <v>6420</v>
      </c>
      <c r="U526" s="24" t="s">
        <v>6421</v>
      </c>
      <c r="V526" s="24"/>
      <c r="W526" s="24"/>
      <c r="X526" s="24" t="s">
        <v>6422</v>
      </c>
      <c r="Y526" s="24" t="s">
        <v>6421</v>
      </c>
      <c r="Z526" s="24" t="s">
        <v>6423</v>
      </c>
      <c r="AA526" s="24"/>
      <c r="AB526" s="25" t="n">
        <v>10</v>
      </c>
      <c r="AC526" s="24" t="s">
        <v>1356</v>
      </c>
      <c r="AD526" s="24" t="s">
        <v>6424</v>
      </c>
      <c r="AE526" s="24"/>
      <c r="AF526" s="24" t="s">
        <v>168</v>
      </c>
      <c r="AG526" s="24"/>
      <c r="AH526" s="24"/>
      <c r="AI526" s="25" t="n">
        <f aca="false">COUNTIF($B$2:$B$740,B526)</f>
        <v>1</v>
      </c>
    </row>
    <row r="527" customFormat="false" ht="76" hidden="false" customHeight="true" outlineLevel="0" collapsed="false">
      <c r="A527" s="21" t="n">
        <v>526</v>
      </c>
      <c r="B527" s="22" t="s">
        <v>6425</v>
      </c>
      <c r="C527" s="23" t="s">
        <v>9</v>
      </c>
      <c r="D527" s="23" t="s">
        <v>96</v>
      </c>
      <c r="E527" s="23" t="s">
        <v>97</v>
      </c>
      <c r="F527" s="24" t="s">
        <v>50</v>
      </c>
      <c r="G527" s="24" t="s">
        <v>1407</v>
      </c>
      <c r="H527" s="24" t="s">
        <v>5362</v>
      </c>
      <c r="I527" s="24" t="s">
        <v>6410</v>
      </c>
      <c r="J527" s="24" t="s">
        <v>6426</v>
      </c>
      <c r="K527" s="24" t="s">
        <v>6427</v>
      </c>
      <c r="L527" s="24" t="s">
        <v>531</v>
      </c>
      <c r="M527" s="24" t="s">
        <v>605</v>
      </c>
      <c r="N527" s="24" t="s">
        <v>6428</v>
      </c>
      <c r="O527" s="24" t="s">
        <v>6429</v>
      </c>
      <c r="P527" s="24" t="s">
        <v>6430</v>
      </c>
      <c r="Q527" s="24" t="s">
        <v>6431</v>
      </c>
      <c r="R527" s="24" t="s">
        <v>6432</v>
      </c>
      <c r="S527" s="24" t="s">
        <v>6433</v>
      </c>
      <c r="T527" s="24" t="s">
        <v>6434</v>
      </c>
      <c r="U527" s="24" t="s">
        <v>6435</v>
      </c>
      <c r="V527" s="24"/>
      <c r="W527" s="24"/>
      <c r="X527" s="24" t="s">
        <v>6436</v>
      </c>
      <c r="Y527" s="24" t="s">
        <v>6435</v>
      </c>
      <c r="Z527" s="24" t="s">
        <v>6423</v>
      </c>
      <c r="AA527" s="24"/>
      <c r="AB527" s="25" t="n">
        <v>10</v>
      </c>
      <c r="AC527" s="24" t="s">
        <v>1356</v>
      </c>
      <c r="AD527" s="24" t="s">
        <v>6424</v>
      </c>
      <c r="AE527" s="24"/>
      <c r="AF527" s="24" t="s">
        <v>168</v>
      </c>
      <c r="AG527" s="24"/>
      <c r="AH527" s="24"/>
      <c r="AI527" s="25" t="n">
        <f aca="false">COUNTIF($B$2:$B$740,B527)</f>
        <v>1</v>
      </c>
    </row>
    <row r="528" customFormat="false" ht="76" hidden="false" customHeight="true" outlineLevel="0" collapsed="false">
      <c r="A528" s="21" t="n">
        <v>527</v>
      </c>
      <c r="B528" s="22" t="s">
        <v>2192</v>
      </c>
      <c r="C528" s="23" t="s">
        <v>9</v>
      </c>
      <c r="D528" s="23" t="s">
        <v>96</v>
      </c>
      <c r="E528" s="23" t="s">
        <v>97</v>
      </c>
      <c r="F528" s="24" t="s">
        <v>55</v>
      </c>
      <c r="G528" s="24" t="s">
        <v>1396</v>
      </c>
      <c r="H528" s="24" t="s">
        <v>5362</v>
      </c>
      <c r="I528" s="24" t="s">
        <v>6410</v>
      </c>
      <c r="J528" s="24" t="s">
        <v>6437</v>
      </c>
      <c r="K528" s="24" t="s">
        <v>6438</v>
      </c>
      <c r="L528" s="24" t="s">
        <v>531</v>
      </c>
      <c r="M528" s="24" t="s">
        <v>6439</v>
      </c>
      <c r="N528" s="24"/>
      <c r="O528" s="24" t="s">
        <v>6440</v>
      </c>
      <c r="P528" s="24" t="s">
        <v>6441</v>
      </c>
      <c r="Q528" s="24" t="s">
        <v>6442</v>
      </c>
      <c r="R528" s="24" t="s">
        <v>6443</v>
      </c>
      <c r="S528" s="24" t="s">
        <v>6444</v>
      </c>
      <c r="T528" s="24" t="s">
        <v>6445</v>
      </c>
      <c r="U528" s="24" t="s">
        <v>6446</v>
      </c>
      <c r="V528" s="24" t="s">
        <v>6447</v>
      </c>
      <c r="W528" s="24" t="s">
        <v>6448</v>
      </c>
      <c r="X528" s="24" t="s">
        <v>6449</v>
      </c>
      <c r="Y528" s="24" t="s">
        <v>6450</v>
      </c>
      <c r="Z528" s="24"/>
      <c r="AA528" s="24" t="s">
        <v>6442</v>
      </c>
      <c r="AB528" s="25" t="n">
        <v>10</v>
      </c>
      <c r="AC528" s="24" t="s">
        <v>1356</v>
      </c>
      <c r="AD528" s="24" t="s">
        <v>6451</v>
      </c>
      <c r="AE528" s="24" t="s">
        <v>6452</v>
      </c>
      <c r="AF528" s="24" t="s">
        <v>168</v>
      </c>
      <c r="AG528" s="24"/>
      <c r="AH528" s="24"/>
      <c r="AI528" s="25" t="n">
        <f aca="false">COUNTIF($B$2:$B$740,B528)</f>
        <v>1</v>
      </c>
    </row>
    <row r="529" customFormat="false" ht="76.8" hidden="false" customHeight="true" outlineLevel="0" collapsed="false">
      <c r="A529" s="26" t="n">
        <v>528</v>
      </c>
      <c r="B529" s="27" t="s">
        <v>1930</v>
      </c>
      <c r="C529" s="24" t="s">
        <v>9</v>
      </c>
      <c r="D529" s="24" t="s">
        <v>96</v>
      </c>
      <c r="E529" s="24" t="s">
        <v>97</v>
      </c>
      <c r="F529" s="24" t="s">
        <v>50</v>
      </c>
      <c r="G529" s="24" t="s">
        <v>1407</v>
      </c>
      <c r="H529" s="24" t="s">
        <v>5362</v>
      </c>
      <c r="I529" s="24" t="s">
        <v>6410</v>
      </c>
      <c r="J529" s="24" t="s">
        <v>6453</v>
      </c>
      <c r="K529" s="24" t="s">
        <v>593</v>
      </c>
      <c r="L529" s="24" t="s">
        <v>103</v>
      </c>
      <c r="M529" s="24" t="s">
        <v>1542</v>
      </c>
      <c r="N529" s="24"/>
      <c r="O529" s="24" t="s">
        <v>6454</v>
      </c>
      <c r="P529" s="24" t="s">
        <v>6455</v>
      </c>
      <c r="Q529" s="24" t="s">
        <v>6456</v>
      </c>
      <c r="R529" s="24" t="s">
        <v>6457</v>
      </c>
      <c r="S529" s="24" t="s">
        <v>6458</v>
      </c>
      <c r="T529" s="24" t="s">
        <v>6459</v>
      </c>
      <c r="U529" s="24" t="s">
        <v>183</v>
      </c>
      <c r="V529" s="24" t="s">
        <v>6460</v>
      </c>
      <c r="W529" s="24" t="s">
        <v>6461</v>
      </c>
      <c r="X529" s="24"/>
      <c r="Y529" s="24" t="s">
        <v>183</v>
      </c>
      <c r="Z529" s="24"/>
      <c r="AA529" s="24"/>
      <c r="AB529" s="25" t="n">
        <v>70</v>
      </c>
      <c r="AC529" s="24" t="s">
        <v>6462</v>
      </c>
      <c r="AD529" s="24" t="s">
        <v>6463</v>
      </c>
      <c r="AE529" s="24" t="s">
        <v>6464</v>
      </c>
      <c r="AF529" s="24" t="s">
        <v>168</v>
      </c>
      <c r="AG529" s="24"/>
      <c r="AH529" s="24" t="s">
        <v>1050</v>
      </c>
      <c r="AI529" s="25" t="n">
        <f aca="false">COUNTIF($B$2:$B$740,B529)</f>
        <v>1</v>
      </c>
    </row>
    <row r="530" customFormat="false" ht="76" hidden="false" customHeight="true" outlineLevel="0" collapsed="false">
      <c r="A530" s="21" t="n">
        <v>529</v>
      </c>
      <c r="B530" s="22" t="s">
        <v>5157</v>
      </c>
      <c r="C530" s="23" t="s">
        <v>9</v>
      </c>
      <c r="D530" s="23" t="s">
        <v>96</v>
      </c>
      <c r="E530" s="23" t="s">
        <v>97</v>
      </c>
      <c r="F530" s="24" t="s">
        <v>50</v>
      </c>
      <c r="G530" s="24" t="s">
        <v>1407</v>
      </c>
      <c r="H530" s="24" t="s">
        <v>5362</v>
      </c>
      <c r="I530" s="24" t="s">
        <v>6410</v>
      </c>
      <c r="J530" s="24" t="s">
        <v>6465</v>
      </c>
      <c r="K530" s="24" t="s">
        <v>6466</v>
      </c>
      <c r="L530" s="24" t="s">
        <v>119</v>
      </c>
      <c r="M530" s="24" t="s">
        <v>6467</v>
      </c>
      <c r="N530" s="24"/>
      <c r="O530" s="24" t="s">
        <v>6468</v>
      </c>
      <c r="P530" s="24" t="s">
        <v>6469</v>
      </c>
      <c r="Q530" s="24" t="s">
        <v>6470</v>
      </c>
      <c r="R530" s="24" t="s">
        <v>6471</v>
      </c>
      <c r="S530" s="24" t="s">
        <v>6472</v>
      </c>
      <c r="T530" s="24" t="s">
        <v>6473</v>
      </c>
      <c r="U530" s="24" t="s">
        <v>6474</v>
      </c>
      <c r="V530" s="24" t="s">
        <v>6475</v>
      </c>
      <c r="W530" s="24"/>
      <c r="X530" s="24"/>
      <c r="Y530" s="24" t="s">
        <v>6476</v>
      </c>
      <c r="Z530" s="24"/>
      <c r="AA530" s="24"/>
      <c r="AB530" s="25" t="n">
        <v>10</v>
      </c>
      <c r="AC530" s="24" t="s">
        <v>1356</v>
      </c>
      <c r="AD530" s="24" t="s">
        <v>6477</v>
      </c>
      <c r="AE530" s="24"/>
      <c r="AF530" s="24" t="s">
        <v>168</v>
      </c>
      <c r="AG530" s="24"/>
      <c r="AH530" s="24"/>
      <c r="AI530" s="25" t="n">
        <f aca="false">COUNTIF($B$2:$B$740,B530)</f>
        <v>1</v>
      </c>
    </row>
    <row r="531" customFormat="false" ht="76" hidden="false" customHeight="true" outlineLevel="0" collapsed="false">
      <c r="A531" s="21" t="n">
        <v>530</v>
      </c>
      <c r="B531" s="22" t="s">
        <v>6478</v>
      </c>
      <c r="C531" s="23" t="s">
        <v>9</v>
      </c>
      <c r="D531" s="23" t="s">
        <v>96</v>
      </c>
      <c r="E531" s="23" t="s">
        <v>97</v>
      </c>
      <c r="F531" s="24" t="s">
        <v>50</v>
      </c>
      <c r="G531" s="24" t="s">
        <v>1407</v>
      </c>
      <c r="H531" s="24" t="s">
        <v>5362</v>
      </c>
      <c r="I531" s="24" t="s">
        <v>6410</v>
      </c>
      <c r="J531" s="24" t="s">
        <v>6479</v>
      </c>
      <c r="K531" s="24" t="s">
        <v>1474</v>
      </c>
      <c r="L531" s="24" t="s">
        <v>119</v>
      </c>
      <c r="M531" s="24" t="s">
        <v>6480</v>
      </c>
      <c r="N531" s="24"/>
      <c r="O531" s="24" t="s">
        <v>6481</v>
      </c>
      <c r="P531" s="24" t="s">
        <v>6482</v>
      </c>
      <c r="Q531" s="24" t="s">
        <v>6483</v>
      </c>
      <c r="R531" s="24" t="s">
        <v>6484</v>
      </c>
      <c r="S531" s="24" t="s">
        <v>6485</v>
      </c>
      <c r="T531" s="24" t="s">
        <v>6486</v>
      </c>
      <c r="U531" s="24" t="s">
        <v>6487</v>
      </c>
      <c r="V531" s="24"/>
      <c r="W531" s="24" t="s">
        <v>6488</v>
      </c>
      <c r="X531" s="24" t="s">
        <v>6489</v>
      </c>
      <c r="Y531" s="24" t="s">
        <v>6487</v>
      </c>
      <c r="Z531" s="24"/>
      <c r="AA531" s="24"/>
      <c r="AB531" s="25" t="n">
        <v>10</v>
      </c>
      <c r="AC531" s="24" t="s">
        <v>1461</v>
      </c>
      <c r="AD531" s="24" t="s">
        <v>6490</v>
      </c>
      <c r="AE531" s="24"/>
      <c r="AF531" s="24" t="s">
        <v>168</v>
      </c>
      <c r="AG531" s="24"/>
      <c r="AH531" s="24"/>
      <c r="AI531" s="25" t="n">
        <f aca="false">COUNTIF($B$2:$B$740,B531)</f>
        <v>1</v>
      </c>
    </row>
    <row r="532" customFormat="false" ht="76" hidden="false" customHeight="true" outlineLevel="0" collapsed="false">
      <c r="A532" s="21" t="n">
        <v>531</v>
      </c>
      <c r="B532" s="22" t="s">
        <v>6491</v>
      </c>
      <c r="C532" s="23" t="s">
        <v>9</v>
      </c>
      <c r="D532" s="23" t="s">
        <v>96</v>
      </c>
      <c r="E532" s="23" t="s">
        <v>97</v>
      </c>
      <c r="F532" s="24" t="s">
        <v>50</v>
      </c>
      <c r="G532" s="24" t="s">
        <v>1407</v>
      </c>
      <c r="H532" s="24" t="s">
        <v>5362</v>
      </c>
      <c r="I532" s="24" t="s">
        <v>6410</v>
      </c>
      <c r="J532" s="24" t="s">
        <v>6492</v>
      </c>
      <c r="K532" s="24" t="s">
        <v>6493</v>
      </c>
      <c r="L532" s="24" t="s">
        <v>119</v>
      </c>
      <c r="M532" s="24" t="s">
        <v>6494</v>
      </c>
      <c r="N532" s="24"/>
      <c r="O532" s="24" t="s">
        <v>6495</v>
      </c>
      <c r="P532" s="24" t="s">
        <v>1658</v>
      </c>
      <c r="Q532" s="24" t="s">
        <v>6496</v>
      </c>
      <c r="R532" s="24" t="s">
        <v>6497</v>
      </c>
      <c r="S532" s="24" t="s">
        <v>6498</v>
      </c>
      <c r="T532" s="24" t="s">
        <v>6499</v>
      </c>
      <c r="U532" s="24" t="s">
        <v>183</v>
      </c>
      <c r="V532" s="24"/>
      <c r="W532" s="24" t="s">
        <v>6495</v>
      </c>
      <c r="X532" s="24"/>
      <c r="Y532" s="24" t="s">
        <v>183</v>
      </c>
      <c r="Z532" s="24"/>
      <c r="AA532" s="24"/>
      <c r="AB532" s="25" t="n">
        <v>10</v>
      </c>
      <c r="AC532" s="24" t="s">
        <v>1461</v>
      </c>
      <c r="AD532" s="24" t="s">
        <v>6500</v>
      </c>
      <c r="AE532" s="24"/>
      <c r="AF532" s="24" t="s">
        <v>168</v>
      </c>
      <c r="AG532" s="24"/>
      <c r="AH532" s="24"/>
      <c r="AI532" s="25" t="n">
        <f aca="false">COUNTIF($B$2:$B$740,B532)</f>
        <v>1</v>
      </c>
    </row>
    <row r="533" customFormat="false" ht="76" hidden="false" customHeight="true" outlineLevel="0" collapsed="false">
      <c r="A533" s="21" t="n">
        <v>532</v>
      </c>
      <c r="B533" s="22" t="s">
        <v>6501</v>
      </c>
      <c r="C533" s="23" t="s">
        <v>9</v>
      </c>
      <c r="D533" s="23" t="s">
        <v>96</v>
      </c>
      <c r="E533" s="23" t="s">
        <v>97</v>
      </c>
      <c r="F533" s="24" t="s">
        <v>50</v>
      </c>
      <c r="G533" s="24" t="s">
        <v>1407</v>
      </c>
      <c r="H533" s="24" t="s">
        <v>5362</v>
      </c>
      <c r="I533" s="24" t="s">
        <v>6502</v>
      </c>
      <c r="J533" s="24" t="s">
        <v>6503</v>
      </c>
      <c r="K533" s="24" t="s">
        <v>6504</v>
      </c>
      <c r="L533" s="24" t="s">
        <v>173</v>
      </c>
      <c r="M533" s="24" t="s">
        <v>1580</v>
      </c>
      <c r="N533" s="24" t="s">
        <v>6505</v>
      </c>
      <c r="O533" s="24" t="s">
        <v>6506</v>
      </c>
      <c r="P533" s="24" t="s">
        <v>6507</v>
      </c>
      <c r="Q533" s="24" t="s">
        <v>1612</v>
      </c>
      <c r="R533" s="24" t="s">
        <v>6508</v>
      </c>
      <c r="S533" s="24" t="s">
        <v>6509</v>
      </c>
      <c r="T533" s="24" t="s">
        <v>6510</v>
      </c>
      <c r="U533" s="24" t="s">
        <v>6511</v>
      </c>
      <c r="V533" s="24" t="s">
        <v>6512</v>
      </c>
      <c r="W533" s="24" t="s">
        <v>6513</v>
      </c>
      <c r="X533" s="24" t="s">
        <v>6514</v>
      </c>
      <c r="Y533" s="24" t="s">
        <v>6515</v>
      </c>
      <c r="Z533" s="24" t="s">
        <v>6506</v>
      </c>
      <c r="AA533" s="24" t="s">
        <v>6516</v>
      </c>
      <c r="AB533" s="25" t="n">
        <v>10</v>
      </c>
      <c r="AC533" s="24" t="s">
        <v>6517</v>
      </c>
      <c r="AD533" s="24" t="s">
        <v>6518</v>
      </c>
      <c r="AE533" s="24"/>
      <c r="AF533" s="24" t="s">
        <v>168</v>
      </c>
      <c r="AG533" s="24"/>
      <c r="AH533" s="24"/>
      <c r="AI533" s="25" t="n">
        <f aca="false">COUNTIF($B$2:$B$740,B533)</f>
        <v>1</v>
      </c>
    </row>
    <row r="534" customFormat="false" ht="76" hidden="false" customHeight="true" outlineLevel="0" collapsed="false">
      <c r="A534" s="21" t="n">
        <v>533</v>
      </c>
      <c r="B534" s="22" t="s">
        <v>6519</v>
      </c>
      <c r="C534" s="23" t="s">
        <v>9</v>
      </c>
      <c r="D534" s="23" t="s">
        <v>96</v>
      </c>
      <c r="E534" s="23" t="s">
        <v>97</v>
      </c>
      <c r="F534" s="24" t="s">
        <v>50</v>
      </c>
      <c r="G534" s="24" t="s">
        <v>1407</v>
      </c>
      <c r="H534" s="24" t="s">
        <v>5362</v>
      </c>
      <c r="I534" s="24" t="s">
        <v>6502</v>
      </c>
      <c r="J534" s="24" t="s">
        <v>6520</v>
      </c>
      <c r="K534" s="24" t="s">
        <v>6521</v>
      </c>
      <c r="L534" s="24" t="s">
        <v>103</v>
      </c>
      <c r="M534" s="24" t="s">
        <v>1580</v>
      </c>
      <c r="N534" s="24" t="s">
        <v>1581</v>
      </c>
      <c r="O534" s="24" t="s">
        <v>6522</v>
      </c>
      <c r="P534" s="24" t="s">
        <v>6523</v>
      </c>
      <c r="Q534" s="24" t="s">
        <v>1612</v>
      </c>
      <c r="R534" s="24" t="s">
        <v>6524</v>
      </c>
      <c r="S534" s="24" t="s">
        <v>6525</v>
      </c>
      <c r="T534" s="24" t="s">
        <v>6526</v>
      </c>
      <c r="U534" s="24" t="s">
        <v>6527</v>
      </c>
      <c r="V534" s="24" t="s">
        <v>6528</v>
      </c>
      <c r="W534" s="24" t="s">
        <v>6529</v>
      </c>
      <c r="X534" s="24" t="s">
        <v>6530</v>
      </c>
      <c r="Y534" s="24" t="s">
        <v>6531</v>
      </c>
      <c r="Z534" s="24"/>
      <c r="AA534" s="24"/>
      <c r="AB534" s="25" t="n">
        <v>10</v>
      </c>
      <c r="AC534" s="24" t="s">
        <v>6532</v>
      </c>
      <c r="AD534" s="24" t="s">
        <v>6533</v>
      </c>
      <c r="AE534" s="24"/>
      <c r="AF534" s="24" t="s">
        <v>168</v>
      </c>
      <c r="AG534" s="24"/>
      <c r="AH534" s="24"/>
      <c r="AI534" s="25" t="n">
        <f aca="false">COUNTIF($B$2:$B$740,B534)</f>
        <v>1</v>
      </c>
    </row>
    <row r="535" customFormat="false" ht="76" hidden="false" customHeight="true" outlineLevel="0" collapsed="false">
      <c r="A535" s="21" t="n">
        <v>534</v>
      </c>
      <c r="B535" s="22" t="s">
        <v>6534</v>
      </c>
      <c r="C535" s="23" t="s">
        <v>9</v>
      </c>
      <c r="D535" s="23" t="s">
        <v>96</v>
      </c>
      <c r="E535" s="23" t="s">
        <v>97</v>
      </c>
      <c r="F535" s="24" t="s">
        <v>50</v>
      </c>
      <c r="G535" s="24" t="s">
        <v>1407</v>
      </c>
      <c r="H535" s="24" t="s">
        <v>5362</v>
      </c>
      <c r="I535" s="24" t="s">
        <v>6502</v>
      </c>
      <c r="J535" s="24" t="s">
        <v>6535</v>
      </c>
      <c r="K535" s="24" t="s">
        <v>6536</v>
      </c>
      <c r="L535" s="24" t="s">
        <v>103</v>
      </c>
      <c r="M535" s="24" t="s">
        <v>1608</v>
      </c>
      <c r="N535" s="24" t="s">
        <v>6537</v>
      </c>
      <c r="O535" s="24" t="s">
        <v>6538</v>
      </c>
      <c r="P535" s="24" t="s">
        <v>6539</v>
      </c>
      <c r="Q535" s="24" t="s">
        <v>6540</v>
      </c>
      <c r="R535" s="24" t="s">
        <v>6541</v>
      </c>
      <c r="S535" s="24" t="s">
        <v>6542</v>
      </c>
      <c r="T535" s="24" t="s">
        <v>6543</v>
      </c>
      <c r="U535" s="24" t="s">
        <v>6544</v>
      </c>
      <c r="V535" s="24" t="s">
        <v>6545</v>
      </c>
      <c r="W535" s="24" t="s">
        <v>6546</v>
      </c>
      <c r="X535" s="24"/>
      <c r="Y535" s="24" t="s">
        <v>183</v>
      </c>
      <c r="Z535" s="24"/>
      <c r="AA535" s="24"/>
      <c r="AB535" s="25" t="n">
        <v>10</v>
      </c>
      <c r="AC535" s="24" t="s">
        <v>6547</v>
      </c>
      <c r="AD535" s="24" t="s">
        <v>6548</v>
      </c>
      <c r="AE535" s="24"/>
      <c r="AF535" s="24" t="s">
        <v>168</v>
      </c>
      <c r="AG535" s="24"/>
      <c r="AH535" s="24"/>
      <c r="AI535" s="25" t="n">
        <f aca="false">COUNTIF($B$2:$B$740,B535)</f>
        <v>1</v>
      </c>
    </row>
    <row r="536" customFormat="false" ht="76" hidden="false" customHeight="true" outlineLevel="0" collapsed="false">
      <c r="A536" s="21" t="n">
        <v>535</v>
      </c>
      <c r="B536" s="22" t="s">
        <v>6549</v>
      </c>
      <c r="C536" s="23" t="s">
        <v>9</v>
      </c>
      <c r="D536" s="23" t="s">
        <v>96</v>
      </c>
      <c r="E536" s="23" t="s">
        <v>97</v>
      </c>
      <c r="F536" s="24" t="s">
        <v>50</v>
      </c>
      <c r="G536" s="24" t="s">
        <v>1407</v>
      </c>
      <c r="H536" s="24" t="s">
        <v>5362</v>
      </c>
      <c r="I536" s="24" t="s">
        <v>6502</v>
      </c>
      <c r="J536" s="24" t="s">
        <v>6550</v>
      </c>
      <c r="K536" s="24" t="s">
        <v>6551</v>
      </c>
      <c r="L536" s="24" t="s">
        <v>103</v>
      </c>
      <c r="M536" s="24" t="s">
        <v>1580</v>
      </c>
      <c r="N536" s="24" t="s">
        <v>1581</v>
      </c>
      <c r="O536" s="24" t="s">
        <v>1899</v>
      </c>
      <c r="P536" s="24" t="s">
        <v>6552</v>
      </c>
      <c r="Q536" s="24" t="s">
        <v>6553</v>
      </c>
      <c r="R536" s="24" t="s">
        <v>6554</v>
      </c>
      <c r="S536" s="24" t="s">
        <v>6555</v>
      </c>
      <c r="T536" s="24" t="s">
        <v>6556</v>
      </c>
      <c r="U536" s="24" t="s">
        <v>6557</v>
      </c>
      <c r="V536" s="24" t="s">
        <v>6558</v>
      </c>
      <c r="W536" s="24" t="s">
        <v>6559</v>
      </c>
      <c r="X536" s="24" t="s">
        <v>6560</v>
      </c>
      <c r="Y536" s="24" t="s">
        <v>6561</v>
      </c>
      <c r="Z536" s="24"/>
      <c r="AA536" s="24"/>
      <c r="AB536" s="25" t="n">
        <v>60</v>
      </c>
      <c r="AC536" s="24" t="s">
        <v>6562</v>
      </c>
      <c r="AD536" s="24" t="s">
        <v>6563</v>
      </c>
      <c r="AE536" s="24" t="s">
        <v>6564</v>
      </c>
      <c r="AF536" s="24" t="s">
        <v>168</v>
      </c>
      <c r="AG536" s="24"/>
      <c r="AH536" s="24" t="s">
        <v>168</v>
      </c>
      <c r="AI536" s="25" t="n">
        <f aca="false">COUNTIF($B$2:$B$740,B536)</f>
        <v>1</v>
      </c>
    </row>
    <row r="537" customFormat="false" ht="76" hidden="false" customHeight="true" outlineLevel="0" collapsed="false">
      <c r="A537" s="21" t="n">
        <v>536</v>
      </c>
      <c r="B537" s="22" t="s">
        <v>6565</v>
      </c>
      <c r="C537" s="23" t="s">
        <v>9</v>
      </c>
      <c r="D537" s="23" t="s">
        <v>96</v>
      </c>
      <c r="E537" s="23" t="s">
        <v>97</v>
      </c>
      <c r="F537" s="24" t="s">
        <v>50</v>
      </c>
      <c r="G537" s="24" t="s">
        <v>1407</v>
      </c>
      <c r="H537" s="24" t="s">
        <v>5362</v>
      </c>
      <c r="I537" s="24" t="s">
        <v>6502</v>
      </c>
      <c r="J537" s="24" t="s">
        <v>6566</v>
      </c>
      <c r="K537" s="24" t="s">
        <v>6567</v>
      </c>
      <c r="L537" s="24" t="s">
        <v>173</v>
      </c>
      <c r="M537" s="24" t="s">
        <v>1608</v>
      </c>
      <c r="N537" s="24" t="s">
        <v>6568</v>
      </c>
      <c r="O537" s="24" t="s">
        <v>1899</v>
      </c>
      <c r="P537" s="24" t="s">
        <v>6569</v>
      </c>
      <c r="Q537" s="24" t="s">
        <v>6570</v>
      </c>
      <c r="R537" s="24" t="s">
        <v>6571</v>
      </c>
      <c r="S537" s="24" t="s">
        <v>6572</v>
      </c>
      <c r="T537" s="24" t="s">
        <v>6573</v>
      </c>
      <c r="U537" s="24" t="s">
        <v>6574</v>
      </c>
      <c r="V537" s="24" t="s">
        <v>6575</v>
      </c>
      <c r="W537" s="24" t="s">
        <v>6576</v>
      </c>
      <c r="X537" s="24"/>
      <c r="Y537" s="24" t="s">
        <v>183</v>
      </c>
      <c r="Z537" s="24"/>
      <c r="AA537" s="24"/>
      <c r="AB537" s="25" t="n">
        <v>10</v>
      </c>
      <c r="AC537" s="24" t="s">
        <v>6577</v>
      </c>
      <c r="AD537" s="24" t="s">
        <v>6578</v>
      </c>
      <c r="AE537" s="24"/>
      <c r="AF537" s="24" t="s">
        <v>168</v>
      </c>
      <c r="AG537" s="24"/>
      <c r="AH537" s="24"/>
      <c r="AI537" s="25" t="n">
        <f aca="false">COUNTIF($B$2:$B$740,B537)</f>
        <v>1</v>
      </c>
    </row>
    <row r="538" customFormat="false" ht="76" hidden="false" customHeight="true" outlineLevel="0" collapsed="false">
      <c r="A538" s="21" t="n">
        <v>537</v>
      </c>
      <c r="B538" s="22" t="s">
        <v>6579</v>
      </c>
      <c r="C538" s="23" t="s">
        <v>9</v>
      </c>
      <c r="D538" s="23" t="s">
        <v>96</v>
      </c>
      <c r="E538" s="23" t="s">
        <v>97</v>
      </c>
      <c r="F538" s="24" t="s">
        <v>50</v>
      </c>
      <c r="G538" s="24" t="s">
        <v>1407</v>
      </c>
      <c r="H538" s="24" t="s">
        <v>5362</v>
      </c>
      <c r="I538" s="24" t="s">
        <v>6502</v>
      </c>
      <c r="J538" s="24" t="s">
        <v>6580</v>
      </c>
      <c r="K538" s="24" t="s">
        <v>6581</v>
      </c>
      <c r="L538" s="24" t="s">
        <v>103</v>
      </c>
      <c r="M538" s="24" t="s">
        <v>1580</v>
      </c>
      <c r="N538" s="24" t="s">
        <v>1581</v>
      </c>
      <c r="O538" s="24" t="s">
        <v>6582</v>
      </c>
      <c r="P538" s="24" t="s">
        <v>1658</v>
      </c>
      <c r="Q538" s="24" t="s">
        <v>1612</v>
      </c>
      <c r="R538" s="24" t="s">
        <v>6583</v>
      </c>
      <c r="S538" s="24" t="s">
        <v>6584</v>
      </c>
      <c r="T538" s="24" t="s">
        <v>6585</v>
      </c>
      <c r="U538" s="24" t="s">
        <v>6586</v>
      </c>
      <c r="V538" s="24" t="s">
        <v>6587</v>
      </c>
      <c r="W538" s="24" t="s">
        <v>6588</v>
      </c>
      <c r="X538" s="24" t="s">
        <v>6489</v>
      </c>
      <c r="Y538" s="24" t="s">
        <v>6589</v>
      </c>
      <c r="Z538" s="24"/>
      <c r="AA538" s="24"/>
      <c r="AB538" s="25" t="n">
        <v>10</v>
      </c>
      <c r="AC538" s="24" t="s">
        <v>6590</v>
      </c>
      <c r="AD538" s="24" t="s">
        <v>6591</v>
      </c>
      <c r="AE538" s="24"/>
      <c r="AF538" s="24" t="s">
        <v>168</v>
      </c>
      <c r="AG538" s="24"/>
      <c r="AH538" s="24"/>
      <c r="AI538" s="25" t="n">
        <f aca="false">COUNTIF($B$2:$B$740,B538)</f>
        <v>1</v>
      </c>
    </row>
    <row r="539" customFormat="false" ht="76" hidden="false" customHeight="true" outlineLevel="0" collapsed="false">
      <c r="A539" s="21" t="n">
        <v>538</v>
      </c>
      <c r="B539" s="22" t="s">
        <v>6592</v>
      </c>
      <c r="C539" s="23" t="s">
        <v>9</v>
      </c>
      <c r="D539" s="23" t="s">
        <v>96</v>
      </c>
      <c r="E539" s="23" t="s">
        <v>97</v>
      </c>
      <c r="F539" s="24" t="s">
        <v>50</v>
      </c>
      <c r="G539" s="24" t="s">
        <v>1407</v>
      </c>
      <c r="H539" s="24" t="s">
        <v>5362</v>
      </c>
      <c r="I539" s="24" t="s">
        <v>6502</v>
      </c>
      <c r="J539" s="24" t="s">
        <v>6593</v>
      </c>
      <c r="K539" s="24" t="s">
        <v>6594</v>
      </c>
      <c r="L539" s="24" t="s">
        <v>103</v>
      </c>
      <c r="M539" s="24" t="s">
        <v>1608</v>
      </c>
      <c r="N539" s="24" t="s">
        <v>6595</v>
      </c>
      <c r="O539" s="24" t="s">
        <v>6596</v>
      </c>
      <c r="P539" s="24" t="s">
        <v>6597</v>
      </c>
      <c r="Q539" s="24" t="s">
        <v>6598</v>
      </c>
      <c r="R539" s="24" t="s">
        <v>6599</v>
      </c>
      <c r="S539" s="24" t="s">
        <v>6600</v>
      </c>
      <c r="T539" s="24" t="s">
        <v>6601</v>
      </c>
      <c r="U539" s="24" t="s">
        <v>6602</v>
      </c>
      <c r="V539" s="24" t="s">
        <v>6603</v>
      </c>
      <c r="W539" s="24" t="s">
        <v>6604</v>
      </c>
      <c r="X539" s="24"/>
      <c r="Y539" s="24" t="s">
        <v>6605</v>
      </c>
      <c r="Z539" s="24"/>
      <c r="AA539" s="24"/>
      <c r="AB539" s="25" t="n">
        <v>10</v>
      </c>
      <c r="AC539" s="24" t="s">
        <v>6606</v>
      </c>
      <c r="AD539" s="24" t="s">
        <v>6607</v>
      </c>
      <c r="AE539" s="24" t="s">
        <v>5759</v>
      </c>
      <c r="AF539" s="24" t="s">
        <v>168</v>
      </c>
      <c r="AG539" s="24"/>
      <c r="AH539" s="24"/>
      <c r="AI539" s="25" t="n">
        <f aca="false">COUNTIF($B$2:$B$740,B539)</f>
        <v>1</v>
      </c>
    </row>
    <row r="540" customFormat="false" ht="76" hidden="false" customHeight="true" outlineLevel="0" collapsed="false">
      <c r="A540" s="21" t="n">
        <v>539</v>
      </c>
      <c r="B540" s="22" t="s">
        <v>1641</v>
      </c>
      <c r="C540" s="23" t="s">
        <v>9</v>
      </c>
      <c r="D540" s="23" t="s">
        <v>96</v>
      </c>
      <c r="E540" s="23" t="s">
        <v>97</v>
      </c>
      <c r="F540" s="24" t="s">
        <v>50</v>
      </c>
      <c r="G540" s="24" t="s">
        <v>1407</v>
      </c>
      <c r="H540" s="24" t="s">
        <v>5362</v>
      </c>
      <c r="I540" s="24" t="s">
        <v>6502</v>
      </c>
      <c r="J540" s="24" t="s">
        <v>6608</v>
      </c>
      <c r="K540" s="24" t="s">
        <v>6609</v>
      </c>
      <c r="L540" s="24" t="s">
        <v>103</v>
      </c>
      <c r="M540" s="24" t="s">
        <v>2162</v>
      </c>
      <c r="N540" s="24" t="s">
        <v>6610</v>
      </c>
      <c r="O540" s="24" t="s">
        <v>6611</v>
      </c>
      <c r="P540" s="24" t="s">
        <v>6612</v>
      </c>
      <c r="Q540" s="24" t="s">
        <v>6613</v>
      </c>
      <c r="R540" s="24" t="s">
        <v>6614</v>
      </c>
      <c r="S540" s="24" t="s">
        <v>6615</v>
      </c>
      <c r="T540" s="24" t="s">
        <v>6616</v>
      </c>
      <c r="U540" s="24" t="s">
        <v>183</v>
      </c>
      <c r="V540" s="24" t="s">
        <v>6617</v>
      </c>
      <c r="W540" s="24"/>
      <c r="X540" s="24" t="s">
        <v>6615</v>
      </c>
      <c r="Y540" s="24" t="s">
        <v>6618</v>
      </c>
      <c r="Z540" s="24"/>
      <c r="AA540" s="24"/>
      <c r="AB540" s="25" t="n">
        <v>100</v>
      </c>
      <c r="AC540" s="24" t="s">
        <v>6619</v>
      </c>
      <c r="AD540" s="24" t="s">
        <v>6620</v>
      </c>
      <c r="AE540" s="24" t="s">
        <v>6621</v>
      </c>
      <c r="AF540" s="24" t="s">
        <v>168</v>
      </c>
      <c r="AG540" s="24" t="s">
        <v>168</v>
      </c>
      <c r="AH540" s="24" t="s">
        <v>545</v>
      </c>
      <c r="AI540" s="25" t="n">
        <f aca="false">COUNTIF($B$2:$B$740,B540)</f>
        <v>1</v>
      </c>
    </row>
    <row r="541" customFormat="false" ht="76" hidden="false" customHeight="true" outlineLevel="0" collapsed="false">
      <c r="A541" s="21" t="n">
        <v>540</v>
      </c>
      <c r="B541" s="22" t="s">
        <v>6622</v>
      </c>
      <c r="C541" s="23" t="s">
        <v>9</v>
      </c>
      <c r="D541" s="23" t="s">
        <v>96</v>
      </c>
      <c r="E541" s="23" t="s">
        <v>97</v>
      </c>
      <c r="F541" s="24" t="s">
        <v>50</v>
      </c>
      <c r="G541" s="24" t="s">
        <v>1407</v>
      </c>
      <c r="H541" s="24" t="s">
        <v>5362</v>
      </c>
      <c r="I541" s="24" t="s">
        <v>6502</v>
      </c>
      <c r="J541" s="24" t="s">
        <v>6623</v>
      </c>
      <c r="K541" s="24" t="s">
        <v>6624</v>
      </c>
      <c r="L541" s="24" t="s">
        <v>103</v>
      </c>
      <c r="M541" s="24" t="s">
        <v>1634</v>
      </c>
      <c r="N541" s="24" t="s">
        <v>6625</v>
      </c>
      <c r="O541" s="24" t="s">
        <v>6626</v>
      </c>
      <c r="P541" s="24" t="s">
        <v>6627</v>
      </c>
      <c r="Q541" s="24" t="s">
        <v>6628</v>
      </c>
      <c r="R541" s="24" t="s">
        <v>6629</v>
      </c>
      <c r="S541" s="24" t="s">
        <v>6630</v>
      </c>
      <c r="T541" s="24" t="s">
        <v>6631</v>
      </c>
      <c r="U541" s="24" t="s">
        <v>6632</v>
      </c>
      <c r="V541" s="24"/>
      <c r="W541" s="24"/>
      <c r="X541" s="24"/>
      <c r="Y541" s="24" t="s">
        <v>6632</v>
      </c>
      <c r="Z541" s="24"/>
      <c r="AA541" s="24"/>
      <c r="AB541" s="25" t="n">
        <v>10</v>
      </c>
      <c r="AC541" s="24" t="s">
        <v>6633</v>
      </c>
      <c r="AD541" s="24" t="s">
        <v>6634</v>
      </c>
      <c r="AE541" s="24"/>
      <c r="AF541" s="24" t="s">
        <v>168</v>
      </c>
      <c r="AG541" s="24"/>
      <c r="AH541" s="24"/>
      <c r="AI541" s="25" t="n">
        <f aca="false">COUNTIF($B$2:$B$740,B541)</f>
        <v>1</v>
      </c>
    </row>
    <row r="542" customFormat="false" ht="76" hidden="false" customHeight="true" outlineLevel="0" collapsed="false">
      <c r="A542" s="21" t="n">
        <v>541</v>
      </c>
      <c r="B542" s="22" t="s">
        <v>6635</v>
      </c>
      <c r="C542" s="23" t="s">
        <v>9</v>
      </c>
      <c r="D542" s="23" t="s">
        <v>96</v>
      </c>
      <c r="E542" s="23" t="s">
        <v>97</v>
      </c>
      <c r="F542" s="24" t="s">
        <v>52</v>
      </c>
      <c r="G542" s="24" t="s">
        <v>6636</v>
      </c>
      <c r="H542" s="24" t="s">
        <v>5362</v>
      </c>
      <c r="I542" s="24" t="s">
        <v>6502</v>
      </c>
      <c r="J542" s="24" t="s">
        <v>6637</v>
      </c>
      <c r="K542" s="24" t="s">
        <v>6638</v>
      </c>
      <c r="L542" s="24" t="s">
        <v>103</v>
      </c>
      <c r="M542" s="24" t="s">
        <v>6639</v>
      </c>
      <c r="N542" s="24" t="s">
        <v>6640</v>
      </c>
      <c r="O542" s="24" t="s">
        <v>6641</v>
      </c>
      <c r="P542" s="24" t="s">
        <v>6642</v>
      </c>
      <c r="Q542" s="24" t="s">
        <v>6643</v>
      </c>
      <c r="R542" s="24" t="s">
        <v>6644</v>
      </c>
      <c r="S542" s="24" t="s">
        <v>6645</v>
      </c>
      <c r="T542" s="24" t="s">
        <v>6646</v>
      </c>
      <c r="U542" s="24"/>
      <c r="V542" s="24" t="s">
        <v>6647</v>
      </c>
      <c r="W542" s="24"/>
      <c r="X542" s="24" t="s">
        <v>6648</v>
      </c>
      <c r="Y542" s="24"/>
      <c r="Z542" s="24"/>
      <c r="AA542" s="24" t="s">
        <v>6649</v>
      </c>
      <c r="AB542" s="25" t="n">
        <v>10</v>
      </c>
      <c r="AC542" s="24" t="s">
        <v>6650</v>
      </c>
      <c r="AD542" s="24" t="s">
        <v>5017</v>
      </c>
      <c r="AE542" s="24" t="s">
        <v>6651</v>
      </c>
      <c r="AF542" s="24" t="s">
        <v>115</v>
      </c>
      <c r="AG542" s="24"/>
      <c r="AH542" s="24"/>
      <c r="AI542" s="25" t="n">
        <f aca="false">COUNTIF($B$2:$B$740,B542)</f>
        <v>1</v>
      </c>
    </row>
    <row r="543" customFormat="false" ht="76" hidden="false" customHeight="true" outlineLevel="0" collapsed="false">
      <c r="A543" s="21" t="n">
        <v>542</v>
      </c>
      <c r="B543" s="22" t="s">
        <v>6652</v>
      </c>
      <c r="C543" s="23" t="s">
        <v>9</v>
      </c>
      <c r="D543" s="23" t="s">
        <v>96</v>
      </c>
      <c r="E543" s="23" t="s">
        <v>97</v>
      </c>
      <c r="F543" s="24" t="s">
        <v>50</v>
      </c>
      <c r="G543" s="24" t="s">
        <v>1407</v>
      </c>
      <c r="H543" s="24" t="s">
        <v>5362</v>
      </c>
      <c r="I543" s="24" t="s">
        <v>6502</v>
      </c>
      <c r="J543" s="24" t="s">
        <v>6653</v>
      </c>
      <c r="K543" s="24" t="s">
        <v>6654</v>
      </c>
      <c r="L543" s="24" t="s">
        <v>103</v>
      </c>
      <c r="M543" s="24" t="s">
        <v>1634</v>
      </c>
      <c r="N543" s="24" t="s">
        <v>6655</v>
      </c>
      <c r="O543" s="24" t="s">
        <v>6656</v>
      </c>
      <c r="P543" s="24" t="s">
        <v>6657</v>
      </c>
      <c r="Q543" s="24" t="s">
        <v>6658</v>
      </c>
      <c r="R543" s="24" t="s">
        <v>6659</v>
      </c>
      <c r="S543" s="24" t="s">
        <v>6660</v>
      </c>
      <c r="T543" s="24" t="s">
        <v>6661</v>
      </c>
      <c r="U543" s="24" t="s">
        <v>6662</v>
      </c>
      <c r="V543" s="24" t="s">
        <v>6663</v>
      </c>
      <c r="W543" s="24" t="s">
        <v>6664</v>
      </c>
      <c r="X543" s="24" t="s">
        <v>6489</v>
      </c>
      <c r="Y543" s="24" t="s">
        <v>6665</v>
      </c>
      <c r="Z543" s="24"/>
      <c r="AA543" s="24"/>
      <c r="AB543" s="25" t="n">
        <v>10</v>
      </c>
      <c r="AC543" s="24" t="s">
        <v>6666</v>
      </c>
      <c r="AD543" s="24" t="s">
        <v>6667</v>
      </c>
      <c r="AE543" s="24"/>
      <c r="AF543" s="24" t="s">
        <v>168</v>
      </c>
      <c r="AG543" s="24"/>
      <c r="AH543" s="24"/>
      <c r="AI543" s="25" t="n">
        <f aca="false">COUNTIF($B$2:$B$740,B543)</f>
        <v>1</v>
      </c>
    </row>
    <row r="544" customFormat="false" ht="76" hidden="false" customHeight="true" outlineLevel="0" collapsed="false">
      <c r="A544" s="21" t="n">
        <v>543</v>
      </c>
      <c r="B544" s="22" t="s">
        <v>6668</v>
      </c>
      <c r="C544" s="23" t="s">
        <v>9</v>
      </c>
      <c r="D544" s="23" t="s">
        <v>96</v>
      </c>
      <c r="E544" s="23" t="s">
        <v>97</v>
      </c>
      <c r="F544" s="24" t="s">
        <v>50</v>
      </c>
      <c r="G544" s="24" t="s">
        <v>1407</v>
      </c>
      <c r="H544" s="24" t="s">
        <v>5362</v>
      </c>
      <c r="I544" s="24" t="s">
        <v>6502</v>
      </c>
      <c r="J544" s="24" t="s">
        <v>6669</v>
      </c>
      <c r="K544" s="24" t="s">
        <v>6670</v>
      </c>
      <c r="L544" s="24" t="s">
        <v>103</v>
      </c>
      <c r="M544" s="24" t="s">
        <v>6639</v>
      </c>
      <c r="N544" s="24" t="s">
        <v>6671</v>
      </c>
      <c r="O544" s="24" t="s">
        <v>6672</v>
      </c>
      <c r="P544" s="24" t="s">
        <v>6673</v>
      </c>
      <c r="Q544" s="24" t="s">
        <v>6674</v>
      </c>
      <c r="R544" s="24" t="s">
        <v>6675</v>
      </c>
      <c r="S544" s="24" t="s">
        <v>6676</v>
      </c>
      <c r="T544" s="24" t="s">
        <v>6677</v>
      </c>
      <c r="U544" s="24" t="s">
        <v>6678</v>
      </c>
      <c r="V544" s="24" t="s">
        <v>6679</v>
      </c>
      <c r="W544" s="24" t="s">
        <v>6680</v>
      </c>
      <c r="X544" s="24"/>
      <c r="Y544" s="24" t="s">
        <v>6681</v>
      </c>
      <c r="Z544" s="24"/>
      <c r="AA544" s="24" t="s">
        <v>6682</v>
      </c>
      <c r="AB544" s="25" t="n">
        <v>10</v>
      </c>
      <c r="AC544" s="24" t="s">
        <v>6683</v>
      </c>
      <c r="AD544" s="24" t="s">
        <v>6684</v>
      </c>
      <c r="AE544" s="24"/>
      <c r="AF544" s="24" t="s">
        <v>168</v>
      </c>
      <c r="AG544" s="24"/>
      <c r="AH544" s="24"/>
      <c r="AI544" s="25" t="n">
        <f aca="false">COUNTIF($B$2:$B$740,B544)</f>
        <v>1</v>
      </c>
    </row>
    <row r="545" customFormat="false" ht="76" hidden="false" customHeight="true" outlineLevel="0" collapsed="false">
      <c r="A545" s="21" t="n">
        <v>544</v>
      </c>
      <c r="B545" s="22" t="s">
        <v>6685</v>
      </c>
      <c r="C545" s="23" t="s">
        <v>9</v>
      </c>
      <c r="D545" s="23" t="s">
        <v>96</v>
      </c>
      <c r="E545" s="23" t="s">
        <v>97</v>
      </c>
      <c r="F545" s="24" t="s">
        <v>50</v>
      </c>
      <c r="G545" s="24" t="s">
        <v>1407</v>
      </c>
      <c r="H545" s="24" t="s">
        <v>5362</v>
      </c>
      <c r="I545" s="24" t="s">
        <v>6502</v>
      </c>
      <c r="J545" s="24" t="s">
        <v>6686</v>
      </c>
      <c r="K545" s="24" t="s">
        <v>6687</v>
      </c>
      <c r="L545" s="24" t="s">
        <v>173</v>
      </c>
      <c r="M545" s="24" t="s">
        <v>1634</v>
      </c>
      <c r="N545" s="24" t="s">
        <v>856</v>
      </c>
      <c r="O545" s="24" t="s">
        <v>6672</v>
      </c>
      <c r="P545" s="24" t="s">
        <v>6688</v>
      </c>
      <c r="Q545" s="24" t="s">
        <v>6689</v>
      </c>
      <c r="R545" s="24" t="s">
        <v>6690</v>
      </c>
      <c r="S545" s="24" t="s">
        <v>6691</v>
      </c>
      <c r="T545" s="24" t="s">
        <v>6692</v>
      </c>
      <c r="U545" s="24" t="s">
        <v>6693</v>
      </c>
      <c r="V545" s="24" t="s">
        <v>6694</v>
      </c>
      <c r="W545" s="24" t="s">
        <v>6695</v>
      </c>
      <c r="X545" s="24"/>
      <c r="Y545" s="24" t="s">
        <v>183</v>
      </c>
      <c r="Z545" s="24"/>
      <c r="AA545" s="24"/>
      <c r="AB545" s="25" t="n">
        <v>10</v>
      </c>
      <c r="AC545" s="24" t="s">
        <v>6696</v>
      </c>
      <c r="AD545" s="24" t="s">
        <v>6697</v>
      </c>
      <c r="AE545" s="24"/>
      <c r="AF545" s="24" t="s">
        <v>168</v>
      </c>
      <c r="AG545" s="24"/>
      <c r="AH545" s="24"/>
      <c r="AI545" s="25" t="n">
        <f aca="false">COUNTIF($B$2:$B$740,B545)</f>
        <v>1</v>
      </c>
    </row>
    <row r="546" customFormat="false" ht="76" hidden="false" customHeight="true" outlineLevel="0" collapsed="false">
      <c r="A546" s="21" t="n">
        <v>545</v>
      </c>
      <c r="B546" s="22" t="s">
        <v>6698</v>
      </c>
      <c r="C546" s="23" t="s">
        <v>9</v>
      </c>
      <c r="D546" s="23" t="s">
        <v>96</v>
      </c>
      <c r="E546" s="23" t="s">
        <v>97</v>
      </c>
      <c r="F546" s="24" t="s">
        <v>50</v>
      </c>
      <c r="G546" s="24" t="s">
        <v>1407</v>
      </c>
      <c r="H546" s="24" t="s">
        <v>5362</v>
      </c>
      <c r="I546" s="24" t="s">
        <v>6502</v>
      </c>
      <c r="J546" s="24" t="s">
        <v>6699</v>
      </c>
      <c r="K546" s="24" t="s">
        <v>6700</v>
      </c>
      <c r="L546" s="24" t="s">
        <v>103</v>
      </c>
      <c r="M546" s="24" t="s">
        <v>1634</v>
      </c>
      <c r="N546" s="24" t="s">
        <v>893</v>
      </c>
      <c r="O546" s="24" t="s">
        <v>6701</v>
      </c>
      <c r="P546" s="24" t="s">
        <v>6702</v>
      </c>
      <c r="Q546" s="24" t="s">
        <v>6703</v>
      </c>
      <c r="R546" s="24" t="s">
        <v>6704</v>
      </c>
      <c r="S546" s="24" t="s">
        <v>6705</v>
      </c>
      <c r="T546" s="24" t="s">
        <v>6706</v>
      </c>
      <c r="U546" s="24" t="s">
        <v>6662</v>
      </c>
      <c r="V546" s="24" t="s">
        <v>6707</v>
      </c>
      <c r="W546" s="24" t="s">
        <v>6708</v>
      </c>
      <c r="X546" s="24" t="s">
        <v>6489</v>
      </c>
      <c r="Y546" s="24" t="s">
        <v>6709</v>
      </c>
      <c r="Z546" s="24"/>
      <c r="AA546" s="24"/>
      <c r="AB546" s="25" t="n">
        <v>10</v>
      </c>
      <c r="AC546" s="24" t="s">
        <v>6710</v>
      </c>
      <c r="AD546" s="24" t="s">
        <v>6711</v>
      </c>
      <c r="AE546" s="24"/>
      <c r="AF546" s="24" t="s">
        <v>168</v>
      </c>
      <c r="AG546" s="24"/>
      <c r="AH546" s="24"/>
      <c r="AI546" s="25" t="n">
        <f aca="false">COUNTIF($B$2:$B$740,B546)</f>
        <v>1</v>
      </c>
    </row>
    <row r="547" customFormat="false" ht="76" hidden="false" customHeight="true" outlineLevel="0" collapsed="false">
      <c r="A547" s="21" t="n">
        <v>546</v>
      </c>
      <c r="B547" s="22" t="s">
        <v>6712</v>
      </c>
      <c r="C547" s="23" t="s">
        <v>9</v>
      </c>
      <c r="D547" s="23" t="s">
        <v>96</v>
      </c>
      <c r="E547" s="23" t="s">
        <v>97</v>
      </c>
      <c r="F547" s="24" t="s">
        <v>50</v>
      </c>
      <c r="G547" s="24" t="s">
        <v>1407</v>
      </c>
      <c r="H547" s="24" t="s">
        <v>5362</v>
      </c>
      <c r="I547" s="24" t="s">
        <v>6502</v>
      </c>
      <c r="J547" s="24" t="s">
        <v>6713</v>
      </c>
      <c r="K547" s="24" t="s">
        <v>6714</v>
      </c>
      <c r="L547" s="24" t="s">
        <v>119</v>
      </c>
      <c r="M547" s="24" t="s">
        <v>1634</v>
      </c>
      <c r="N547" s="24" t="s">
        <v>856</v>
      </c>
      <c r="O547" s="24" t="s">
        <v>1594</v>
      </c>
      <c r="P547" s="24" t="s">
        <v>6715</v>
      </c>
      <c r="Q547" s="24" t="s">
        <v>6716</v>
      </c>
      <c r="R547" s="24" t="s">
        <v>6717</v>
      </c>
      <c r="S547" s="24" t="s">
        <v>6718</v>
      </c>
      <c r="T547" s="24" t="s">
        <v>6719</v>
      </c>
      <c r="U547" s="24" t="s">
        <v>6720</v>
      </c>
      <c r="V547" s="24" t="s">
        <v>1986</v>
      </c>
      <c r="W547" s="24" t="s">
        <v>6721</v>
      </c>
      <c r="X547" s="24"/>
      <c r="Y547" s="24" t="s">
        <v>6722</v>
      </c>
      <c r="Z547" s="24"/>
      <c r="AA547" s="24"/>
      <c r="AB547" s="25" t="n">
        <v>10</v>
      </c>
      <c r="AC547" s="24" t="s">
        <v>6723</v>
      </c>
      <c r="AD547" s="24" t="s">
        <v>6548</v>
      </c>
      <c r="AE547" s="24"/>
      <c r="AF547" s="24" t="s">
        <v>168</v>
      </c>
      <c r="AG547" s="24"/>
      <c r="AH547" s="24"/>
      <c r="AI547" s="25" t="n">
        <f aca="false">COUNTIF($B$2:$B$740,B547)</f>
        <v>1</v>
      </c>
    </row>
    <row r="548" customFormat="false" ht="76" hidden="false" customHeight="true" outlineLevel="0" collapsed="false">
      <c r="A548" s="21" t="n">
        <v>547</v>
      </c>
      <c r="B548" s="22" t="s">
        <v>6724</v>
      </c>
      <c r="C548" s="23" t="s">
        <v>9</v>
      </c>
      <c r="D548" s="23" t="s">
        <v>96</v>
      </c>
      <c r="E548" s="23" t="s">
        <v>97</v>
      </c>
      <c r="F548" s="24" t="s">
        <v>50</v>
      </c>
      <c r="G548" s="24" t="s">
        <v>1407</v>
      </c>
      <c r="H548" s="24" t="s">
        <v>5362</v>
      </c>
      <c r="I548" s="24" t="s">
        <v>6502</v>
      </c>
      <c r="J548" s="24" t="s">
        <v>6725</v>
      </c>
      <c r="K548" s="24" t="s">
        <v>6714</v>
      </c>
      <c r="L548" s="24" t="s">
        <v>103</v>
      </c>
      <c r="M548" s="24" t="s">
        <v>1634</v>
      </c>
      <c r="N548" s="24" t="s">
        <v>856</v>
      </c>
      <c r="O548" s="24" t="s">
        <v>6522</v>
      </c>
      <c r="P548" s="24" t="s">
        <v>6523</v>
      </c>
      <c r="Q548" s="24" t="s">
        <v>6726</v>
      </c>
      <c r="R548" s="24" t="s">
        <v>6727</v>
      </c>
      <c r="S548" s="24" t="s">
        <v>6728</v>
      </c>
      <c r="T548" s="24" t="s">
        <v>6719</v>
      </c>
      <c r="U548" s="24" t="s">
        <v>6729</v>
      </c>
      <c r="V548" s="24" t="s">
        <v>6730</v>
      </c>
      <c r="W548" s="24" t="s">
        <v>6731</v>
      </c>
      <c r="X548" s="24"/>
      <c r="Y548" s="24" t="s">
        <v>6732</v>
      </c>
      <c r="Z548" s="24"/>
      <c r="AA548" s="24"/>
      <c r="AB548" s="25" t="n">
        <v>10</v>
      </c>
      <c r="AC548" s="24" t="s">
        <v>6733</v>
      </c>
      <c r="AD548" s="24" t="s">
        <v>6548</v>
      </c>
      <c r="AE548" s="24"/>
      <c r="AF548" s="24" t="s">
        <v>168</v>
      </c>
      <c r="AG548" s="24"/>
      <c r="AH548" s="24"/>
      <c r="AI548" s="25" t="n">
        <f aca="false">COUNTIF($B$2:$B$740,B548)</f>
        <v>1</v>
      </c>
    </row>
    <row r="549" customFormat="false" ht="76" hidden="false" customHeight="true" outlineLevel="0" collapsed="false">
      <c r="A549" s="21" t="n">
        <v>548</v>
      </c>
      <c r="B549" s="22" t="s">
        <v>6734</v>
      </c>
      <c r="C549" s="23" t="s">
        <v>9</v>
      </c>
      <c r="D549" s="23" t="s">
        <v>96</v>
      </c>
      <c r="E549" s="23" t="s">
        <v>97</v>
      </c>
      <c r="F549" s="24" t="s">
        <v>50</v>
      </c>
      <c r="G549" s="24" t="s">
        <v>1407</v>
      </c>
      <c r="H549" s="24" t="s">
        <v>5362</v>
      </c>
      <c r="I549" s="24" t="s">
        <v>6502</v>
      </c>
      <c r="J549" s="24" t="s">
        <v>6735</v>
      </c>
      <c r="K549" s="24" t="s">
        <v>6736</v>
      </c>
      <c r="L549" s="24" t="s">
        <v>103</v>
      </c>
      <c r="M549" s="24" t="s">
        <v>1634</v>
      </c>
      <c r="N549" s="24" t="s">
        <v>893</v>
      </c>
      <c r="O549" s="24" t="s">
        <v>6701</v>
      </c>
      <c r="P549" s="24" t="s">
        <v>6737</v>
      </c>
      <c r="Q549" s="24" t="s">
        <v>6738</v>
      </c>
      <c r="R549" s="24" t="s">
        <v>6739</v>
      </c>
      <c r="S549" s="24" t="s">
        <v>6740</v>
      </c>
      <c r="T549" s="24" t="s">
        <v>6741</v>
      </c>
      <c r="U549" s="24" t="s">
        <v>6742</v>
      </c>
      <c r="V549" s="24" t="s">
        <v>6707</v>
      </c>
      <c r="W549" s="24" t="s">
        <v>6743</v>
      </c>
      <c r="X549" s="24" t="s">
        <v>6744</v>
      </c>
      <c r="Y549" s="24" t="s">
        <v>6745</v>
      </c>
      <c r="Z549" s="24"/>
      <c r="AA549" s="24"/>
      <c r="AB549" s="25" t="n">
        <v>10</v>
      </c>
      <c r="AC549" s="24" t="s">
        <v>6746</v>
      </c>
      <c r="AD549" s="24" t="s">
        <v>6747</v>
      </c>
      <c r="AE549" s="24"/>
      <c r="AF549" s="24" t="s">
        <v>168</v>
      </c>
      <c r="AG549" s="24"/>
      <c r="AH549" s="24"/>
      <c r="AI549" s="25" t="n">
        <f aca="false">COUNTIF($B$2:$B$740,B549)</f>
        <v>1</v>
      </c>
    </row>
    <row r="550" customFormat="false" ht="76" hidden="false" customHeight="true" outlineLevel="0" collapsed="false">
      <c r="A550" s="21" t="n">
        <v>549</v>
      </c>
      <c r="B550" s="22" t="s">
        <v>1652</v>
      </c>
      <c r="C550" s="23" t="s">
        <v>9</v>
      </c>
      <c r="D550" s="23" t="s">
        <v>96</v>
      </c>
      <c r="E550" s="23" t="s">
        <v>97</v>
      </c>
      <c r="F550" s="24" t="s">
        <v>50</v>
      </c>
      <c r="G550" s="24" t="s">
        <v>1407</v>
      </c>
      <c r="H550" s="24" t="s">
        <v>5362</v>
      </c>
      <c r="I550" s="24" t="s">
        <v>6502</v>
      </c>
      <c r="J550" s="24" t="s">
        <v>6748</v>
      </c>
      <c r="K550" s="24" t="s">
        <v>6749</v>
      </c>
      <c r="L550" s="24" t="s">
        <v>173</v>
      </c>
      <c r="M550" s="24" t="s">
        <v>1667</v>
      </c>
      <c r="N550" s="24" t="s">
        <v>6750</v>
      </c>
      <c r="O550" s="24" t="s">
        <v>6751</v>
      </c>
      <c r="P550" s="24" t="s">
        <v>1658</v>
      </c>
      <c r="Q550" s="24" t="s">
        <v>6752</v>
      </c>
      <c r="R550" s="24" t="s">
        <v>6753</v>
      </c>
      <c r="S550" s="24" t="s">
        <v>6754</v>
      </c>
      <c r="T550" s="24" t="s">
        <v>6755</v>
      </c>
      <c r="U550" s="24" t="s">
        <v>183</v>
      </c>
      <c r="V550" s="24"/>
      <c r="W550" s="24"/>
      <c r="X550" s="24"/>
      <c r="Y550" s="24" t="s">
        <v>183</v>
      </c>
      <c r="Z550" s="24"/>
      <c r="AA550" s="24"/>
      <c r="AB550" s="25" t="n">
        <v>10</v>
      </c>
      <c r="AC550" s="24" t="s">
        <v>6756</v>
      </c>
      <c r="AD550" s="24" t="s">
        <v>6757</v>
      </c>
      <c r="AE550" s="24"/>
      <c r="AF550" s="24" t="s">
        <v>168</v>
      </c>
      <c r="AG550" s="24"/>
      <c r="AH550" s="24"/>
      <c r="AI550" s="25" t="n">
        <f aca="false">COUNTIF($B$2:$B$740,B550)</f>
        <v>1</v>
      </c>
    </row>
    <row r="551" customFormat="false" ht="76" hidden="false" customHeight="true" outlineLevel="0" collapsed="false">
      <c r="A551" s="21" t="n">
        <v>550</v>
      </c>
      <c r="B551" s="22" t="s">
        <v>6758</v>
      </c>
      <c r="C551" s="23" t="s">
        <v>9</v>
      </c>
      <c r="D551" s="23" t="s">
        <v>96</v>
      </c>
      <c r="E551" s="23" t="s">
        <v>97</v>
      </c>
      <c r="F551" s="24" t="s">
        <v>50</v>
      </c>
      <c r="G551" s="24" t="s">
        <v>1407</v>
      </c>
      <c r="H551" s="24" t="s">
        <v>5362</v>
      </c>
      <c r="I551" s="24" t="s">
        <v>6502</v>
      </c>
      <c r="J551" s="24" t="s">
        <v>6759</v>
      </c>
      <c r="K551" s="24" t="s">
        <v>6760</v>
      </c>
      <c r="L551" s="24" t="s">
        <v>103</v>
      </c>
      <c r="M551" s="24" t="s">
        <v>1667</v>
      </c>
      <c r="N551" s="24" t="s">
        <v>6761</v>
      </c>
      <c r="O551" s="24" t="s">
        <v>6762</v>
      </c>
      <c r="P551" s="24" t="s">
        <v>6763</v>
      </c>
      <c r="Q551" s="24" t="s">
        <v>1749</v>
      </c>
      <c r="R551" s="24" t="s">
        <v>6764</v>
      </c>
      <c r="S551" s="24" t="s">
        <v>6765</v>
      </c>
      <c r="T551" s="24" t="s">
        <v>6766</v>
      </c>
      <c r="U551" s="24" t="s">
        <v>6767</v>
      </c>
      <c r="V551" s="24" t="s">
        <v>6768</v>
      </c>
      <c r="W551" s="24" t="s">
        <v>6769</v>
      </c>
      <c r="X551" s="24" t="s">
        <v>6762</v>
      </c>
      <c r="Y551" s="24" t="s">
        <v>183</v>
      </c>
      <c r="Z551" s="24"/>
      <c r="AA551" s="24"/>
      <c r="AB551" s="25" t="n">
        <v>10</v>
      </c>
      <c r="AC551" s="24" t="s">
        <v>6770</v>
      </c>
      <c r="AD551" s="24" t="s">
        <v>6771</v>
      </c>
      <c r="AE551" s="24"/>
      <c r="AF551" s="24" t="s">
        <v>168</v>
      </c>
      <c r="AG551" s="24"/>
      <c r="AH551" s="24"/>
      <c r="AI551" s="25" t="n">
        <f aca="false">COUNTIF($B$2:$B$740,B551)</f>
        <v>1</v>
      </c>
    </row>
    <row r="552" customFormat="false" ht="76" hidden="false" customHeight="true" outlineLevel="0" collapsed="false">
      <c r="A552" s="21" t="n">
        <v>551</v>
      </c>
      <c r="B552" s="22" t="s">
        <v>6772</v>
      </c>
      <c r="C552" s="23" t="s">
        <v>9</v>
      </c>
      <c r="D552" s="23" t="s">
        <v>96</v>
      </c>
      <c r="E552" s="23" t="s">
        <v>97</v>
      </c>
      <c r="F552" s="24" t="s">
        <v>50</v>
      </c>
      <c r="G552" s="24" t="s">
        <v>1407</v>
      </c>
      <c r="H552" s="24" t="s">
        <v>5362</v>
      </c>
      <c r="I552" s="24" t="s">
        <v>6502</v>
      </c>
      <c r="J552" s="24" t="s">
        <v>6773</v>
      </c>
      <c r="K552" s="24" t="s">
        <v>6774</v>
      </c>
      <c r="L552" s="24" t="s">
        <v>103</v>
      </c>
      <c r="M552" s="24" t="s">
        <v>1717</v>
      </c>
      <c r="N552" s="24" t="s">
        <v>6775</v>
      </c>
      <c r="O552" s="24" t="s">
        <v>6776</v>
      </c>
      <c r="P552" s="24" t="s">
        <v>6777</v>
      </c>
      <c r="Q552" s="24" t="s">
        <v>6778</v>
      </c>
      <c r="R552" s="24" t="s">
        <v>6779</v>
      </c>
      <c r="S552" s="24" t="s">
        <v>6780</v>
      </c>
      <c r="T552" s="24" t="s">
        <v>6781</v>
      </c>
      <c r="U552" s="24" t="s">
        <v>6782</v>
      </c>
      <c r="V552" s="24" t="s">
        <v>6783</v>
      </c>
      <c r="W552" s="24" t="s">
        <v>6784</v>
      </c>
      <c r="X552" s="24"/>
      <c r="Y552" s="24" t="s">
        <v>6785</v>
      </c>
      <c r="Z552" s="24"/>
      <c r="AA552" s="24"/>
      <c r="AB552" s="25" t="n">
        <v>10</v>
      </c>
      <c r="AC552" s="24" t="s">
        <v>6786</v>
      </c>
      <c r="AD552" s="24" t="s">
        <v>6787</v>
      </c>
      <c r="AE552" s="24"/>
      <c r="AF552" s="24" t="s">
        <v>168</v>
      </c>
      <c r="AG552" s="24"/>
      <c r="AH552" s="24"/>
      <c r="AI552" s="25" t="n">
        <f aca="false">COUNTIF($B$2:$B$740,B552)</f>
        <v>1</v>
      </c>
    </row>
    <row r="553" customFormat="false" ht="76" hidden="false" customHeight="true" outlineLevel="0" collapsed="false">
      <c r="A553" s="21" t="n">
        <v>552</v>
      </c>
      <c r="B553" s="22" t="s">
        <v>6788</v>
      </c>
      <c r="C553" s="23" t="s">
        <v>9</v>
      </c>
      <c r="D553" s="23" t="s">
        <v>96</v>
      </c>
      <c r="E553" s="23" t="s">
        <v>97</v>
      </c>
      <c r="F553" s="24" t="s">
        <v>50</v>
      </c>
      <c r="G553" s="24" t="s">
        <v>1407</v>
      </c>
      <c r="H553" s="24" t="s">
        <v>5362</v>
      </c>
      <c r="I553" s="24" t="s">
        <v>6502</v>
      </c>
      <c r="J553" s="24" t="s">
        <v>6789</v>
      </c>
      <c r="K553" s="24" t="s">
        <v>6790</v>
      </c>
      <c r="L553" s="24" t="s">
        <v>103</v>
      </c>
      <c r="M553" s="24" t="s">
        <v>1717</v>
      </c>
      <c r="N553" s="24" t="s">
        <v>6791</v>
      </c>
      <c r="O553" s="24" t="s">
        <v>6792</v>
      </c>
      <c r="P553" s="24" t="s">
        <v>6793</v>
      </c>
      <c r="Q553" s="24" t="s">
        <v>6794</v>
      </c>
      <c r="R553" s="24" t="s">
        <v>6795</v>
      </c>
      <c r="S553" s="24" t="s">
        <v>6796</v>
      </c>
      <c r="T553" s="24" t="s">
        <v>6797</v>
      </c>
      <c r="U553" s="24" t="s">
        <v>183</v>
      </c>
      <c r="V553" s="24" t="s">
        <v>6798</v>
      </c>
      <c r="W553" s="24" t="s">
        <v>6799</v>
      </c>
      <c r="X553" s="24" t="s">
        <v>6800</v>
      </c>
      <c r="Y553" s="24" t="s">
        <v>6801</v>
      </c>
      <c r="Z553" s="24"/>
      <c r="AA553" s="24"/>
      <c r="AB553" s="25" t="n">
        <v>10</v>
      </c>
      <c r="AC553" s="24" t="s">
        <v>6802</v>
      </c>
      <c r="AD553" s="24" t="s">
        <v>6803</v>
      </c>
      <c r="AE553" s="24"/>
      <c r="AF553" s="24" t="s">
        <v>168</v>
      </c>
      <c r="AG553" s="24"/>
      <c r="AH553" s="24"/>
      <c r="AI553" s="25" t="n">
        <f aca="false">COUNTIF($B$2:$B$740,B553)</f>
        <v>1</v>
      </c>
    </row>
    <row r="554" customFormat="false" ht="76" hidden="false" customHeight="true" outlineLevel="0" collapsed="false">
      <c r="A554" s="21" t="n">
        <v>553</v>
      </c>
      <c r="B554" s="22" t="s">
        <v>6804</v>
      </c>
      <c r="C554" s="23" t="s">
        <v>9</v>
      </c>
      <c r="D554" s="23" t="s">
        <v>96</v>
      </c>
      <c r="E554" s="23" t="s">
        <v>97</v>
      </c>
      <c r="F554" s="24" t="s">
        <v>50</v>
      </c>
      <c r="G554" s="24" t="s">
        <v>1407</v>
      </c>
      <c r="H554" s="24" t="s">
        <v>5362</v>
      </c>
      <c r="I554" s="24" t="s">
        <v>6502</v>
      </c>
      <c r="J554" s="24" t="s">
        <v>6805</v>
      </c>
      <c r="K554" s="24" t="s">
        <v>6806</v>
      </c>
      <c r="L554" s="24" t="s">
        <v>103</v>
      </c>
      <c r="M554" s="24" t="s">
        <v>1766</v>
      </c>
      <c r="N554" s="24" t="s">
        <v>2432</v>
      </c>
      <c r="O554" s="24" t="s">
        <v>6807</v>
      </c>
      <c r="P554" s="24" t="s">
        <v>6808</v>
      </c>
      <c r="Q554" s="24" t="s">
        <v>6809</v>
      </c>
      <c r="R554" s="24" t="s">
        <v>6810</v>
      </c>
      <c r="S554" s="24" t="s">
        <v>6811</v>
      </c>
      <c r="T554" s="24" t="s">
        <v>6812</v>
      </c>
      <c r="U554" s="24" t="s">
        <v>6813</v>
      </c>
      <c r="V554" s="24" t="s">
        <v>6814</v>
      </c>
      <c r="W554" s="24" t="s">
        <v>6815</v>
      </c>
      <c r="X554" s="24"/>
      <c r="Y554" s="24" t="s">
        <v>6816</v>
      </c>
      <c r="Z554" s="24"/>
      <c r="AA554" s="24"/>
      <c r="AB554" s="25" t="n">
        <v>10</v>
      </c>
      <c r="AC554" s="24" t="s">
        <v>6817</v>
      </c>
      <c r="AD554" s="24" t="s">
        <v>6818</v>
      </c>
      <c r="AE554" s="24"/>
      <c r="AF554" s="24" t="s">
        <v>168</v>
      </c>
      <c r="AG554" s="24"/>
      <c r="AH554" s="24"/>
      <c r="AI554" s="25" t="n">
        <f aca="false">COUNTIF($B$2:$B$740,B554)</f>
        <v>1</v>
      </c>
    </row>
    <row r="555" customFormat="false" ht="76" hidden="false" customHeight="true" outlineLevel="0" collapsed="false">
      <c r="A555" s="21" t="n">
        <v>554</v>
      </c>
      <c r="B555" s="22" t="s">
        <v>6819</v>
      </c>
      <c r="C555" s="23" t="s">
        <v>9</v>
      </c>
      <c r="D555" s="23" t="s">
        <v>96</v>
      </c>
      <c r="E555" s="23" t="s">
        <v>97</v>
      </c>
      <c r="F555" s="24" t="s">
        <v>50</v>
      </c>
      <c r="G555" s="24" t="s">
        <v>1407</v>
      </c>
      <c r="H555" s="24" t="s">
        <v>5362</v>
      </c>
      <c r="I555" s="24" t="s">
        <v>6502</v>
      </c>
      <c r="J555" s="24" t="s">
        <v>6820</v>
      </c>
      <c r="K555" s="24" t="s">
        <v>6821</v>
      </c>
      <c r="L555" s="24" t="s">
        <v>103</v>
      </c>
      <c r="M555" s="24" t="s">
        <v>1822</v>
      </c>
      <c r="N555" s="24" t="s">
        <v>6822</v>
      </c>
      <c r="O555" s="24" t="s">
        <v>6823</v>
      </c>
      <c r="P555" s="24" t="s">
        <v>6824</v>
      </c>
      <c r="Q555" s="24" t="s">
        <v>6825</v>
      </c>
      <c r="R555" s="24" t="s">
        <v>6826</v>
      </c>
      <c r="S555" s="24" t="s">
        <v>6827</v>
      </c>
      <c r="T555" s="24" t="s">
        <v>6828</v>
      </c>
      <c r="U555" s="24" t="s">
        <v>6829</v>
      </c>
      <c r="V555" s="24"/>
      <c r="W555" s="24"/>
      <c r="X555" s="24"/>
      <c r="Y555" s="24" t="s">
        <v>6829</v>
      </c>
      <c r="Z555" s="24"/>
      <c r="AA555" s="24"/>
      <c r="AB555" s="25" t="n">
        <v>10</v>
      </c>
      <c r="AC555" s="24" t="s">
        <v>6830</v>
      </c>
      <c r="AD555" s="24" t="s">
        <v>6831</v>
      </c>
      <c r="AE555" s="24"/>
      <c r="AF555" s="24" t="s">
        <v>168</v>
      </c>
      <c r="AG555" s="24"/>
      <c r="AH555" s="24"/>
      <c r="AI555" s="25" t="n">
        <f aca="false">COUNTIF($B$2:$B$740,B555)</f>
        <v>1</v>
      </c>
    </row>
    <row r="556" customFormat="false" ht="76" hidden="false" customHeight="true" outlineLevel="0" collapsed="false">
      <c r="A556" s="21" t="n">
        <v>555</v>
      </c>
      <c r="B556" s="22" t="s">
        <v>6832</v>
      </c>
      <c r="C556" s="23" t="s">
        <v>9</v>
      </c>
      <c r="D556" s="23" t="s">
        <v>96</v>
      </c>
      <c r="E556" s="23" t="s">
        <v>97</v>
      </c>
      <c r="F556" s="24" t="s">
        <v>50</v>
      </c>
      <c r="G556" s="24" t="s">
        <v>1407</v>
      </c>
      <c r="H556" s="24" t="s">
        <v>5362</v>
      </c>
      <c r="I556" s="24" t="s">
        <v>6502</v>
      </c>
      <c r="J556" s="24" t="s">
        <v>6833</v>
      </c>
      <c r="K556" s="24" t="s">
        <v>6834</v>
      </c>
      <c r="L556" s="24" t="s">
        <v>103</v>
      </c>
      <c r="M556" s="24" t="s">
        <v>1822</v>
      </c>
      <c r="N556" s="24" t="s">
        <v>6835</v>
      </c>
      <c r="O556" s="24" t="s">
        <v>6836</v>
      </c>
      <c r="P556" s="24" t="s">
        <v>1658</v>
      </c>
      <c r="Q556" s="24" t="s">
        <v>6837</v>
      </c>
      <c r="R556" s="24" t="s">
        <v>6838</v>
      </c>
      <c r="S556" s="24" t="s">
        <v>6839</v>
      </c>
      <c r="T556" s="24" t="s">
        <v>6840</v>
      </c>
      <c r="U556" s="24" t="s">
        <v>6841</v>
      </c>
      <c r="V556" s="24"/>
      <c r="W556" s="24"/>
      <c r="X556" s="24"/>
      <c r="Y556" s="24" t="s">
        <v>6841</v>
      </c>
      <c r="Z556" s="24"/>
      <c r="AA556" s="24"/>
      <c r="AB556" s="25" t="n">
        <v>10</v>
      </c>
      <c r="AC556" s="24" t="s">
        <v>6842</v>
      </c>
      <c r="AD556" s="24" t="s">
        <v>6843</v>
      </c>
      <c r="AE556" s="24"/>
      <c r="AF556" s="24" t="s">
        <v>168</v>
      </c>
      <c r="AG556" s="24"/>
      <c r="AH556" s="24"/>
      <c r="AI556" s="25" t="n">
        <f aca="false">COUNTIF($B$2:$B$740,B556)</f>
        <v>1</v>
      </c>
    </row>
    <row r="557" customFormat="false" ht="76" hidden="false" customHeight="true" outlineLevel="0" collapsed="false">
      <c r="A557" s="21" t="n">
        <v>556</v>
      </c>
      <c r="B557" s="22" t="s">
        <v>6844</v>
      </c>
      <c r="C557" s="23" t="s">
        <v>9</v>
      </c>
      <c r="D557" s="23" t="s">
        <v>96</v>
      </c>
      <c r="E557" s="23" t="s">
        <v>97</v>
      </c>
      <c r="F557" s="24" t="s">
        <v>50</v>
      </c>
      <c r="G557" s="24" t="s">
        <v>1407</v>
      </c>
      <c r="H557" s="24" t="s">
        <v>5362</v>
      </c>
      <c r="I557" s="24" t="s">
        <v>6502</v>
      </c>
      <c r="J557" s="24" t="s">
        <v>6845</v>
      </c>
      <c r="K557" s="24" t="s">
        <v>6846</v>
      </c>
      <c r="L557" s="24" t="s">
        <v>103</v>
      </c>
      <c r="M557" s="24" t="s">
        <v>1822</v>
      </c>
      <c r="N557" s="24" t="s">
        <v>6847</v>
      </c>
      <c r="O557" s="24" t="s">
        <v>1594</v>
      </c>
      <c r="P557" s="24" t="s">
        <v>6848</v>
      </c>
      <c r="Q557" s="24" t="s">
        <v>6849</v>
      </c>
      <c r="R557" s="24" t="s">
        <v>6850</v>
      </c>
      <c r="S557" s="24" t="s">
        <v>6851</v>
      </c>
      <c r="T557" s="24" t="s">
        <v>6852</v>
      </c>
      <c r="U557" s="24" t="s">
        <v>6853</v>
      </c>
      <c r="V557" s="24" t="s">
        <v>6854</v>
      </c>
      <c r="W557" s="24" t="s">
        <v>6855</v>
      </c>
      <c r="X557" s="24" t="s">
        <v>6856</v>
      </c>
      <c r="Y557" s="24" t="s">
        <v>6857</v>
      </c>
      <c r="Z557" s="24"/>
      <c r="AA557" s="24"/>
      <c r="AB557" s="25" t="n">
        <v>10</v>
      </c>
      <c r="AC557" s="24" t="s">
        <v>6858</v>
      </c>
      <c r="AD557" s="24" t="s">
        <v>6859</v>
      </c>
      <c r="AE557" s="24" t="s">
        <v>2710</v>
      </c>
      <c r="AF557" s="24" t="s">
        <v>168</v>
      </c>
      <c r="AG557" s="24"/>
      <c r="AH557" s="24"/>
      <c r="AI557" s="25" t="n">
        <f aca="false">COUNTIF($B$2:$B$740,B557)</f>
        <v>1</v>
      </c>
    </row>
    <row r="558" customFormat="false" ht="76" hidden="false" customHeight="true" outlineLevel="0" collapsed="false">
      <c r="A558" s="21" t="n">
        <v>557</v>
      </c>
      <c r="B558" s="22" t="s">
        <v>6860</v>
      </c>
      <c r="C558" s="23" t="s">
        <v>9</v>
      </c>
      <c r="D558" s="23" t="s">
        <v>96</v>
      </c>
      <c r="E558" s="23" t="s">
        <v>97</v>
      </c>
      <c r="F558" s="24" t="s">
        <v>59</v>
      </c>
      <c r="G558" s="24" t="s">
        <v>98</v>
      </c>
      <c r="H558" s="24" t="s">
        <v>5362</v>
      </c>
      <c r="I558" s="24" t="s">
        <v>6502</v>
      </c>
      <c r="J558" s="24" t="s">
        <v>6861</v>
      </c>
      <c r="K558" s="24" t="s">
        <v>6862</v>
      </c>
      <c r="L558" s="24" t="s">
        <v>103</v>
      </c>
      <c r="M558" s="24" t="s">
        <v>1815</v>
      </c>
      <c r="N558" s="24" t="s">
        <v>6863</v>
      </c>
      <c r="O558" s="24" t="s">
        <v>6864</v>
      </c>
      <c r="P558" s="24" t="s">
        <v>6865</v>
      </c>
      <c r="Q558" s="24" t="s">
        <v>6866</v>
      </c>
      <c r="R558" s="24" t="s">
        <v>6867</v>
      </c>
      <c r="S558" s="24" t="s">
        <v>6868</v>
      </c>
      <c r="T558" s="24" t="s">
        <v>6869</v>
      </c>
      <c r="U558" s="24" t="s">
        <v>183</v>
      </c>
      <c r="V558" s="24" t="s">
        <v>6870</v>
      </c>
      <c r="W558" s="24"/>
      <c r="X558" s="24"/>
      <c r="Y558" s="24" t="s">
        <v>6871</v>
      </c>
      <c r="Z558" s="24"/>
      <c r="AA558" s="24"/>
      <c r="AB558" s="25" t="n">
        <v>10</v>
      </c>
      <c r="AC558" s="24" t="s">
        <v>6872</v>
      </c>
      <c r="AD558" s="24" t="s">
        <v>6873</v>
      </c>
      <c r="AE558" s="24"/>
      <c r="AF558" s="24" t="s">
        <v>168</v>
      </c>
      <c r="AG558" s="24"/>
      <c r="AH558" s="24"/>
      <c r="AI558" s="25" t="n">
        <f aca="false">COUNTIF($B$2:$B$740,B558)</f>
        <v>1</v>
      </c>
    </row>
    <row r="559" customFormat="false" ht="76" hidden="false" customHeight="true" outlineLevel="0" collapsed="false">
      <c r="A559" s="21" t="n">
        <v>558</v>
      </c>
      <c r="B559" s="22" t="s">
        <v>6874</v>
      </c>
      <c r="C559" s="23" t="s">
        <v>9</v>
      </c>
      <c r="D559" s="23" t="s">
        <v>96</v>
      </c>
      <c r="E559" s="23" t="s">
        <v>97</v>
      </c>
      <c r="F559" s="24" t="s">
        <v>50</v>
      </c>
      <c r="G559" s="24" t="s">
        <v>1407</v>
      </c>
      <c r="H559" s="24" t="s">
        <v>5362</v>
      </c>
      <c r="I559" s="24" t="s">
        <v>6502</v>
      </c>
      <c r="J559" s="24" t="s">
        <v>6875</v>
      </c>
      <c r="K559" s="24" t="s">
        <v>6876</v>
      </c>
      <c r="L559" s="24" t="s">
        <v>173</v>
      </c>
      <c r="M559" s="24" t="s">
        <v>1822</v>
      </c>
      <c r="N559" s="24" t="s">
        <v>6877</v>
      </c>
      <c r="O559" s="24" t="s">
        <v>1735</v>
      </c>
      <c r="P559" s="24" t="s">
        <v>6878</v>
      </c>
      <c r="Q559" s="24" t="s">
        <v>6879</v>
      </c>
      <c r="R559" s="24" t="s">
        <v>6880</v>
      </c>
      <c r="S559" s="24" t="s">
        <v>6881</v>
      </c>
      <c r="T559" s="24" t="s">
        <v>6882</v>
      </c>
      <c r="U559" s="24" t="s">
        <v>6883</v>
      </c>
      <c r="V559" s="24" t="s">
        <v>6884</v>
      </c>
      <c r="W559" s="24" t="s">
        <v>6885</v>
      </c>
      <c r="X559" s="24"/>
      <c r="Y559" s="24" t="s">
        <v>183</v>
      </c>
      <c r="Z559" s="24"/>
      <c r="AA559" s="24"/>
      <c r="AB559" s="25" t="n">
        <v>10</v>
      </c>
      <c r="AC559" s="24" t="s">
        <v>6886</v>
      </c>
      <c r="AD559" s="24" t="s">
        <v>6887</v>
      </c>
      <c r="AE559" s="24"/>
      <c r="AF559" s="24" t="s">
        <v>168</v>
      </c>
      <c r="AG559" s="24"/>
      <c r="AH559" s="24"/>
      <c r="AI559" s="25" t="n">
        <f aca="false">COUNTIF($B$2:$B$740,B559)</f>
        <v>1</v>
      </c>
    </row>
    <row r="560" customFormat="false" ht="76" hidden="false" customHeight="true" outlineLevel="0" collapsed="false">
      <c r="A560" s="21" t="n">
        <v>559</v>
      </c>
      <c r="B560" s="22" t="s">
        <v>1938</v>
      </c>
      <c r="C560" s="23" t="s">
        <v>9</v>
      </c>
      <c r="D560" s="23" t="s">
        <v>96</v>
      </c>
      <c r="E560" s="23" t="s">
        <v>97</v>
      </c>
      <c r="F560" s="24" t="s">
        <v>50</v>
      </c>
      <c r="G560" s="24" t="s">
        <v>1407</v>
      </c>
      <c r="H560" s="24" t="s">
        <v>5362</v>
      </c>
      <c r="I560" s="24" t="s">
        <v>6502</v>
      </c>
      <c r="J560" s="24" t="s">
        <v>6888</v>
      </c>
      <c r="K560" s="24" t="s">
        <v>6609</v>
      </c>
      <c r="L560" s="24" t="s">
        <v>119</v>
      </c>
      <c r="M560" s="24" t="s">
        <v>1833</v>
      </c>
      <c r="N560" s="24" t="s">
        <v>6889</v>
      </c>
      <c r="O560" s="24" t="s">
        <v>6890</v>
      </c>
      <c r="P560" s="24" t="s">
        <v>6891</v>
      </c>
      <c r="Q560" s="24" t="s">
        <v>6892</v>
      </c>
      <c r="R560" s="24" t="s">
        <v>6893</v>
      </c>
      <c r="S560" s="24" t="s">
        <v>6894</v>
      </c>
      <c r="T560" s="24" t="s">
        <v>6895</v>
      </c>
      <c r="U560" s="24" t="s">
        <v>6487</v>
      </c>
      <c r="V560" s="24" t="s">
        <v>6896</v>
      </c>
      <c r="W560" s="24" t="s">
        <v>6897</v>
      </c>
      <c r="X560" s="24" t="s">
        <v>6489</v>
      </c>
      <c r="Y560" s="24" t="s">
        <v>6487</v>
      </c>
      <c r="Z560" s="24"/>
      <c r="AA560" s="24" t="s">
        <v>6898</v>
      </c>
      <c r="AB560" s="25" t="n">
        <v>100</v>
      </c>
      <c r="AC560" s="24" t="s">
        <v>6899</v>
      </c>
      <c r="AD560" s="24" t="s">
        <v>6900</v>
      </c>
      <c r="AE560" s="24" t="s">
        <v>6901</v>
      </c>
      <c r="AF560" s="24" t="s">
        <v>168</v>
      </c>
      <c r="AG560" s="24" t="s">
        <v>168</v>
      </c>
      <c r="AH560" s="24" t="s">
        <v>545</v>
      </c>
      <c r="AI560" s="25" t="n">
        <f aca="false">COUNTIF($B$2:$B$740,B560)</f>
        <v>1</v>
      </c>
    </row>
    <row r="561" customFormat="false" ht="76" hidden="false" customHeight="true" outlineLevel="0" collapsed="false">
      <c r="A561" s="21" t="n">
        <v>560</v>
      </c>
      <c r="B561" s="22" t="s">
        <v>1368</v>
      </c>
      <c r="C561" s="23" t="s">
        <v>9</v>
      </c>
      <c r="D561" s="23" t="s">
        <v>96</v>
      </c>
      <c r="E561" s="23" t="s">
        <v>97</v>
      </c>
      <c r="F561" s="24" t="s">
        <v>50</v>
      </c>
      <c r="G561" s="24" t="s">
        <v>1407</v>
      </c>
      <c r="H561" s="24" t="s">
        <v>5362</v>
      </c>
      <c r="I561" s="24" t="s">
        <v>6502</v>
      </c>
      <c r="J561" s="24" t="s">
        <v>6902</v>
      </c>
      <c r="K561" s="24" t="s">
        <v>6903</v>
      </c>
      <c r="L561" s="24" t="s">
        <v>173</v>
      </c>
      <c r="M561" s="24" t="s">
        <v>1833</v>
      </c>
      <c r="N561" s="24" t="s">
        <v>1581</v>
      </c>
      <c r="O561" s="24" t="s">
        <v>6904</v>
      </c>
      <c r="P561" s="24" t="s">
        <v>6905</v>
      </c>
      <c r="Q561" s="24" t="s">
        <v>6906</v>
      </c>
      <c r="R561" s="24" t="s">
        <v>6907</v>
      </c>
      <c r="S561" s="24" t="s">
        <v>6908</v>
      </c>
      <c r="T561" s="24" t="s">
        <v>6909</v>
      </c>
      <c r="U561" s="24" t="s">
        <v>183</v>
      </c>
      <c r="V561" s="24" t="s">
        <v>6910</v>
      </c>
      <c r="W561" s="24" t="s">
        <v>6911</v>
      </c>
      <c r="X561" s="24"/>
      <c r="Y561" s="24" t="s">
        <v>183</v>
      </c>
      <c r="Z561" s="24"/>
      <c r="AA561" s="24"/>
      <c r="AB561" s="25" t="n">
        <v>10</v>
      </c>
      <c r="AC561" s="24" t="s">
        <v>6912</v>
      </c>
      <c r="AD561" s="24" t="s">
        <v>6913</v>
      </c>
      <c r="AE561" s="24"/>
      <c r="AF561" s="24" t="s">
        <v>168</v>
      </c>
      <c r="AG561" s="24"/>
      <c r="AH561" s="24"/>
      <c r="AI561" s="25" t="n">
        <f aca="false">COUNTIF($B$2:$B$740,B561)</f>
        <v>1</v>
      </c>
    </row>
    <row r="562" customFormat="false" ht="76" hidden="false" customHeight="true" outlineLevel="0" collapsed="false">
      <c r="A562" s="21" t="n">
        <v>561</v>
      </c>
      <c r="B562" s="22" t="s">
        <v>6914</v>
      </c>
      <c r="C562" s="23" t="s">
        <v>9</v>
      </c>
      <c r="D562" s="23" t="s">
        <v>96</v>
      </c>
      <c r="E562" s="23" t="s">
        <v>97</v>
      </c>
      <c r="F562" s="24" t="s">
        <v>50</v>
      </c>
      <c r="G562" s="24" t="s">
        <v>1407</v>
      </c>
      <c r="H562" s="24" t="s">
        <v>5362</v>
      </c>
      <c r="I562" s="24" t="s">
        <v>6502</v>
      </c>
      <c r="J562" s="24" t="s">
        <v>6915</v>
      </c>
      <c r="K562" s="24" t="s">
        <v>6916</v>
      </c>
      <c r="L562" s="24" t="s">
        <v>103</v>
      </c>
      <c r="M562" s="24" t="s">
        <v>1855</v>
      </c>
      <c r="N562" s="24"/>
      <c r="O562" s="24" t="s">
        <v>6917</v>
      </c>
      <c r="P562" s="24" t="s">
        <v>6918</v>
      </c>
      <c r="Q562" s="24" t="s">
        <v>6919</v>
      </c>
      <c r="R562" s="24" t="s">
        <v>6920</v>
      </c>
      <c r="S562" s="24" t="s">
        <v>6921</v>
      </c>
      <c r="T562" s="24" t="s">
        <v>6922</v>
      </c>
      <c r="U562" s="24" t="s">
        <v>183</v>
      </c>
      <c r="V562" s="24" t="s">
        <v>6923</v>
      </c>
      <c r="W562" s="24" t="s">
        <v>6924</v>
      </c>
      <c r="X562" s="24"/>
      <c r="Y562" s="24" t="s">
        <v>183</v>
      </c>
      <c r="Z562" s="24"/>
      <c r="AA562" s="24"/>
      <c r="AB562" s="25" t="n">
        <v>10</v>
      </c>
      <c r="AC562" s="24" t="s">
        <v>6925</v>
      </c>
      <c r="AD562" s="24" t="s">
        <v>6926</v>
      </c>
      <c r="AE562" s="24"/>
      <c r="AF562" s="24" t="s">
        <v>168</v>
      </c>
      <c r="AG562" s="24"/>
      <c r="AH562" s="24"/>
      <c r="AI562" s="25" t="n">
        <f aca="false">COUNTIF($B$2:$B$740,B562)</f>
        <v>1</v>
      </c>
    </row>
    <row r="563" customFormat="false" ht="76" hidden="false" customHeight="true" outlineLevel="0" collapsed="false">
      <c r="A563" s="21" t="n">
        <v>562</v>
      </c>
      <c r="B563" s="22" t="s">
        <v>6927</v>
      </c>
      <c r="C563" s="23" t="s">
        <v>9</v>
      </c>
      <c r="D563" s="23" t="s">
        <v>96</v>
      </c>
      <c r="E563" s="23" t="s">
        <v>97</v>
      </c>
      <c r="F563" s="24" t="s">
        <v>50</v>
      </c>
      <c r="G563" s="24" t="s">
        <v>1407</v>
      </c>
      <c r="H563" s="24" t="s">
        <v>5362</v>
      </c>
      <c r="I563" s="24" t="s">
        <v>6502</v>
      </c>
      <c r="J563" s="24" t="s">
        <v>6928</v>
      </c>
      <c r="K563" s="24" t="s">
        <v>6929</v>
      </c>
      <c r="L563" s="24" t="s">
        <v>103</v>
      </c>
      <c r="M563" s="24" t="s">
        <v>1843</v>
      </c>
      <c r="N563" s="24" t="s">
        <v>6537</v>
      </c>
      <c r="O563" s="24" t="s">
        <v>6522</v>
      </c>
      <c r="P563" s="24" t="s">
        <v>6930</v>
      </c>
      <c r="Q563" s="24" t="s">
        <v>6931</v>
      </c>
      <c r="R563" s="24" t="s">
        <v>6932</v>
      </c>
      <c r="S563" s="24" t="s">
        <v>6933</v>
      </c>
      <c r="T563" s="24" t="s">
        <v>6934</v>
      </c>
      <c r="U563" s="24" t="s">
        <v>6935</v>
      </c>
      <c r="V563" s="24" t="s">
        <v>6522</v>
      </c>
      <c r="W563" s="24" t="s">
        <v>6931</v>
      </c>
      <c r="X563" s="24"/>
      <c r="Y563" s="24" t="s">
        <v>6936</v>
      </c>
      <c r="Z563" s="24"/>
      <c r="AA563" s="24"/>
      <c r="AB563" s="25" t="n">
        <v>10</v>
      </c>
      <c r="AC563" s="24" t="s">
        <v>6937</v>
      </c>
      <c r="AD563" s="24" t="s">
        <v>6938</v>
      </c>
      <c r="AE563" s="24"/>
      <c r="AF563" s="24" t="s">
        <v>168</v>
      </c>
      <c r="AG563" s="24"/>
      <c r="AH563" s="24"/>
      <c r="AI563" s="25" t="n">
        <f aca="false">COUNTIF($B$2:$B$740,B563)</f>
        <v>1</v>
      </c>
    </row>
    <row r="564" customFormat="false" ht="76" hidden="false" customHeight="true" outlineLevel="0" collapsed="false">
      <c r="A564" s="21" t="n">
        <v>563</v>
      </c>
      <c r="B564" s="22" t="s">
        <v>6939</v>
      </c>
      <c r="C564" s="23" t="s">
        <v>9</v>
      </c>
      <c r="D564" s="23" t="s">
        <v>96</v>
      </c>
      <c r="E564" s="23" t="s">
        <v>97</v>
      </c>
      <c r="F564" s="24" t="s">
        <v>50</v>
      </c>
      <c r="G564" s="24" t="s">
        <v>1407</v>
      </c>
      <c r="H564" s="24" t="s">
        <v>5362</v>
      </c>
      <c r="I564" s="24" t="s">
        <v>6502</v>
      </c>
      <c r="J564" s="24" t="s">
        <v>6940</v>
      </c>
      <c r="K564" s="24" t="s">
        <v>6941</v>
      </c>
      <c r="L564" s="24" t="s">
        <v>173</v>
      </c>
      <c r="M564" s="24" t="s">
        <v>1855</v>
      </c>
      <c r="N564" s="24"/>
      <c r="O564" s="24" t="s">
        <v>1747</v>
      </c>
      <c r="P564" s="24" t="s">
        <v>1748</v>
      </c>
      <c r="Q564" s="24" t="s">
        <v>6942</v>
      </c>
      <c r="R564" s="24" t="s">
        <v>6943</v>
      </c>
      <c r="S564" s="24" t="s">
        <v>6944</v>
      </c>
      <c r="T564" s="24" t="s">
        <v>6945</v>
      </c>
      <c r="U564" s="24" t="s">
        <v>6946</v>
      </c>
      <c r="V564" s="24" t="s">
        <v>1753</v>
      </c>
      <c r="W564" s="24"/>
      <c r="X564" s="24"/>
      <c r="Y564" s="24" t="s">
        <v>6947</v>
      </c>
      <c r="Z564" s="24"/>
      <c r="AA564" s="24"/>
      <c r="AB564" s="25" t="n">
        <v>10</v>
      </c>
      <c r="AC564" s="24" t="s">
        <v>6948</v>
      </c>
      <c r="AD564" s="24" t="s">
        <v>6949</v>
      </c>
      <c r="AE564" s="24" t="s">
        <v>6914</v>
      </c>
      <c r="AF564" s="24" t="s">
        <v>168</v>
      </c>
      <c r="AG564" s="24"/>
      <c r="AH564" s="24"/>
      <c r="AI564" s="25" t="n">
        <f aca="false">COUNTIF($B$2:$B$740,B564)</f>
        <v>1</v>
      </c>
    </row>
    <row r="565" customFormat="false" ht="76" hidden="false" customHeight="true" outlineLevel="0" collapsed="false">
      <c r="A565" s="21" t="n">
        <v>564</v>
      </c>
      <c r="B565" s="22" t="s">
        <v>6950</v>
      </c>
      <c r="C565" s="23" t="s">
        <v>9</v>
      </c>
      <c r="D565" s="23" t="s">
        <v>96</v>
      </c>
      <c r="E565" s="23" t="s">
        <v>97</v>
      </c>
      <c r="F565" s="24" t="s">
        <v>59</v>
      </c>
      <c r="G565" s="24" t="s">
        <v>98</v>
      </c>
      <c r="H565" s="24" t="s">
        <v>5362</v>
      </c>
      <c r="I565" s="24" t="s">
        <v>6502</v>
      </c>
      <c r="J565" s="24" t="s">
        <v>6951</v>
      </c>
      <c r="K565" s="24" t="s">
        <v>6952</v>
      </c>
      <c r="L565" s="24" t="s">
        <v>103</v>
      </c>
      <c r="M565" s="24" t="s">
        <v>1876</v>
      </c>
      <c r="N565" s="24" t="s">
        <v>6953</v>
      </c>
      <c r="O565" s="24" t="s">
        <v>6954</v>
      </c>
      <c r="P565" s="24" t="s">
        <v>6955</v>
      </c>
      <c r="Q565" s="24" t="s">
        <v>6956</v>
      </c>
      <c r="R565" s="24" t="s">
        <v>6957</v>
      </c>
      <c r="S565" s="24" t="s">
        <v>6958</v>
      </c>
      <c r="T565" s="24" t="s">
        <v>6959</v>
      </c>
      <c r="U565" s="24" t="s">
        <v>6960</v>
      </c>
      <c r="V565" s="24" t="s">
        <v>6961</v>
      </c>
      <c r="W565" s="24"/>
      <c r="X565" s="24"/>
      <c r="Y565" s="24" t="s">
        <v>6962</v>
      </c>
      <c r="Z565" s="24"/>
      <c r="AA565" s="24"/>
      <c r="AB565" s="25" t="n">
        <v>10</v>
      </c>
      <c r="AC565" s="24" t="s">
        <v>1894</v>
      </c>
      <c r="AD565" s="24" t="s">
        <v>6963</v>
      </c>
      <c r="AE565" s="24"/>
      <c r="AF565" s="24" t="s">
        <v>168</v>
      </c>
      <c r="AG565" s="24"/>
      <c r="AH565" s="24"/>
      <c r="AI565" s="25" t="n">
        <f aca="false">COUNTIF($B$2:$B$740,B565)</f>
        <v>1</v>
      </c>
    </row>
    <row r="566" customFormat="false" ht="76" hidden="false" customHeight="true" outlineLevel="0" collapsed="false">
      <c r="A566" s="21" t="n">
        <v>565</v>
      </c>
      <c r="B566" s="22" t="s">
        <v>6964</v>
      </c>
      <c r="C566" s="23" t="s">
        <v>9</v>
      </c>
      <c r="D566" s="23" t="s">
        <v>96</v>
      </c>
      <c r="E566" s="23" t="s">
        <v>97</v>
      </c>
      <c r="F566" s="24" t="s">
        <v>50</v>
      </c>
      <c r="G566" s="24" t="s">
        <v>1407</v>
      </c>
      <c r="H566" s="24" t="s">
        <v>5362</v>
      </c>
      <c r="I566" s="24" t="s">
        <v>6502</v>
      </c>
      <c r="J566" s="24" t="s">
        <v>6965</v>
      </c>
      <c r="K566" s="24" t="s">
        <v>6966</v>
      </c>
      <c r="L566" s="24" t="s">
        <v>119</v>
      </c>
      <c r="M566" s="24" t="s">
        <v>1898</v>
      </c>
      <c r="N566" s="24" t="s">
        <v>856</v>
      </c>
      <c r="O566" s="24" t="s">
        <v>6672</v>
      </c>
      <c r="P566" s="24" t="s">
        <v>1912</v>
      </c>
      <c r="Q566" s="24" t="s">
        <v>5410</v>
      </c>
      <c r="R566" s="24" t="s">
        <v>6967</v>
      </c>
      <c r="S566" s="24" t="s">
        <v>6968</v>
      </c>
      <c r="T566" s="24" t="s">
        <v>6969</v>
      </c>
      <c r="U566" s="24" t="s">
        <v>6970</v>
      </c>
      <c r="V566" s="24" t="s">
        <v>6971</v>
      </c>
      <c r="W566" s="24" t="s">
        <v>6972</v>
      </c>
      <c r="X566" s="24" t="s">
        <v>6973</v>
      </c>
      <c r="Y566" s="24" t="s">
        <v>6974</v>
      </c>
      <c r="Z566" s="24"/>
      <c r="AA566" s="24"/>
      <c r="AB566" s="25" t="n">
        <v>10</v>
      </c>
      <c r="AC566" s="24" t="s">
        <v>6975</v>
      </c>
      <c r="AD566" s="24" t="s">
        <v>6976</v>
      </c>
      <c r="AE566" s="24"/>
      <c r="AF566" s="24" t="s">
        <v>168</v>
      </c>
      <c r="AG566" s="24"/>
      <c r="AH566" s="24"/>
      <c r="AI566" s="25" t="n">
        <f aca="false">COUNTIF($B$2:$B$740,B566)</f>
        <v>1</v>
      </c>
    </row>
    <row r="567" customFormat="false" ht="76" hidden="false" customHeight="true" outlineLevel="0" collapsed="false">
      <c r="A567" s="21" t="n">
        <v>566</v>
      </c>
      <c r="B567" s="22" t="s">
        <v>6977</v>
      </c>
      <c r="C567" s="23" t="s">
        <v>9</v>
      </c>
      <c r="D567" s="23" t="s">
        <v>96</v>
      </c>
      <c r="E567" s="23" t="s">
        <v>97</v>
      </c>
      <c r="F567" s="24" t="s">
        <v>50</v>
      </c>
      <c r="G567" s="24" t="s">
        <v>1407</v>
      </c>
      <c r="H567" s="24" t="s">
        <v>5362</v>
      </c>
      <c r="I567" s="24" t="s">
        <v>6502</v>
      </c>
      <c r="J567" s="24" t="s">
        <v>6978</v>
      </c>
      <c r="K567" s="24" t="s">
        <v>2026</v>
      </c>
      <c r="L567" s="24" t="s">
        <v>119</v>
      </c>
      <c r="M567" s="24" t="s">
        <v>1898</v>
      </c>
      <c r="N567" s="24" t="s">
        <v>2084</v>
      </c>
      <c r="O567" s="24" t="s">
        <v>6979</v>
      </c>
      <c r="P567" s="24" t="s">
        <v>6980</v>
      </c>
      <c r="Q567" s="24" t="s">
        <v>5410</v>
      </c>
      <c r="R567" s="24" t="s">
        <v>6981</v>
      </c>
      <c r="S567" s="24" t="s">
        <v>6982</v>
      </c>
      <c r="T567" s="24" t="s">
        <v>6983</v>
      </c>
      <c r="U567" s="24" t="s">
        <v>6984</v>
      </c>
      <c r="V567" s="24" t="s">
        <v>6985</v>
      </c>
      <c r="W567" s="24" t="s">
        <v>6986</v>
      </c>
      <c r="X567" s="24" t="s">
        <v>6973</v>
      </c>
      <c r="Y567" s="24" t="s">
        <v>6987</v>
      </c>
      <c r="Z567" s="24"/>
      <c r="AA567" s="24"/>
      <c r="AB567" s="25" t="n">
        <v>10</v>
      </c>
      <c r="AC567" s="24" t="s">
        <v>6988</v>
      </c>
      <c r="AD567" s="24" t="s">
        <v>6976</v>
      </c>
      <c r="AE567" s="24"/>
      <c r="AF567" s="24" t="s">
        <v>168</v>
      </c>
      <c r="AG567" s="24"/>
      <c r="AH567" s="24"/>
      <c r="AI567" s="25" t="n">
        <f aca="false">COUNTIF($B$2:$B$740,B567)</f>
        <v>1</v>
      </c>
    </row>
    <row r="568" customFormat="false" ht="76" hidden="false" customHeight="true" outlineLevel="0" collapsed="false">
      <c r="A568" s="21" t="n">
        <v>567</v>
      </c>
      <c r="B568" s="22" t="s">
        <v>6989</v>
      </c>
      <c r="C568" s="23" t="s">
        <v>9</v>
      </c>
      <c r="D568" s="23" t="s">
        <v>96</v>
      </c>
      <c r="E568" s="23" t="s">
        <v>97</v>
      </c>
      <c r="F568" s="24" t="s">
        <v>50</v>
      </c>
      <c r="G568" s="24" t="s">
        <v>1407</v>
      </c>
      <c r="H568" s="24" t="s">
        <v>5362</v>
      </c>
      <c r="I568" s="24" t="s">
        <v>6502</v>
      </c>
      <c r="J568" s="24" t="s">
        <v>6990</v>
      </c>
      <c r="K568" s="24" t="s">
        <v>6991</v>
      </c>
      <c r="L568" s="24" t="s">
        <v>1183</v>
      </c>
      <c r="M568" s="24" t="s">
        <v>1912</v>
      </c>
      <c r="N568" s="24"/>
      <c r="O568" s="24" t="s">
        <v>6992</v>
      </c>
      <c r="P568" s="24" t="s">
        <v>6993</v>
      </c>
      <c r="Q568" s="24" t="s">
        <v>6994</v>
      </c>
      <c r="R568" s="24" t="s">
        <v>6995</v>
      </c>
      <c r="S568" s="24" t="s">
        <v>6996</v>
      </c>
      <c r="T568" s="24" t="s">
        <v>6997</v>
      </c>
      <c r="U568" s="24" t="s">
        <v>6998</v>
      </c>
      <c r="V568" s="24" t="s">
        <v>6999</v>
      </c>
      <c r="W568" s="24"/>
      <c r="X568" s="24"/>
      <c r="Y568" s="24" t="s">
        <v>7000</v>
      </c>
      <c r="Z568" s="24"/>
      <c r="AA568" s="24"/>
      <c r="AB568" s="25" t="n">
        <v>60</v>
      </c>
      <c r="AC568" s="24" t="s">
        <v>7001</v>
      </c>
      <c r="AD568" s="24" t="s">
        <v>7002</v>
      </c>
      <c r="AE568" s="24" t="s">
        <v>7003</v>
      </c>
      <c r="AF568" s="24" t="s">
        <v>168</v>
      </c>
      <c r="AG568" s="24"/>
      <c r="AH568" s="24" t="s">
        <v>168</v>
      </c>
      <c r="AI568" s="25" t="n">
        <f aca="false">COUNTIF($B$2:$B$740,B568)</f>
        <v>1</v>
      </c>
    </row>
    <row r="569" customFormat="false" ht="76" hidden="false" customHeight="true" outlineLevel="0" collapsed="false">
      <c r="A569" s="21" t="n">
        <v>568</v>
      </c>
      <c r="B569" s="22" t="s">
        <v>3663</v>
      </c>
      <c r="C569" s="23" t="s">
        <v>12</v>
      </c>
      <c r="D569" s="23" t="s">
        <v>209</v>
      </c>
      <c r="E569" s="23" t="s">
        <v>97</v>
      </c>
      <c r="F569" s="24" t="s">
        <v>50</v>
      </c>
      <c r="G569" s="24" t="s">
        <v>1407</v>
      </c>
      <c r="H569" s="24" t="s">
        <v>5362</v>
      </c>
      <c r="I569" s="24" t="s">
        <v>6502</v>
      </c>
      <c r="J569" s="24" t="s">
        <v>7004</v>
      </c>
      <c r="K569" s="24" t="s">
        <v>7005</v>
      </c>
      <c r="L569" s="24" t="s">
        <v>119</v>
      </c>
      <c r="M569" s="24" t="s">
        <v>1876</v>
      </c>
      <c r="N569" s="24" t="s">
        <v>7006</v>
      </c>
      <c r="O569" s="24" t="s">
        <v>7007</v>
      </c>
      <c r="P569" s="24" t="s">
        <v>7008</v>
      </c>
      <c r="Q569" s="24" t="s">
        <v>7009</v>
      </c>
      <c r="R569" s="24" t="s">
        <v>7010</v>
      </c>
      <c r="S569" s="24" t="s">
        <v>7011</v>
      </c>
      <c r="T569" s="24" t="s">
        <v>7012</v>
      </c>
      <c r="U569" s="24" t="s">
        <v>183</v>
      </c>
      <c r="V569" s="24" t="s">
        <v>7013</v>
      </c>
      <c r="W569" s="24" t="s">
        <v>7014</v>
      </c>
      <c r="X569" s="24"/>
      <c r="Y569" s="24" t="s">
        <v>183</v>
      </c>
      <c r="Z569" s="24"/>
      <c r="AA569" s="24"/>
      <c r="AB569" s="25" t="n">
        <v>10</v>
      </c>
      <c r="AC569" s="24" t="s">
        <v>7015</v>
      </c>
      <c r="AD569" s="24" t="s">
        <v>7016</v>
      </c>
      <c r="AE569" s="24"/>
      <c r="AF569" s="24" t="s">
        <v>168</v>
      </c>
      <c r="AG569" s="24"/>
      <c r="AH569" s="24"/>
      <c r="AI569" s="25" t="n">
        <f aca="false">COUNTIF($B$2:$B$740,B569)</f>
        <v>1</v>
      </c>
    </row>
    <row r="570" customFormat="false" ht="76" hidden="false" customHeight="true" outlineLevel="0" collapsed="false">
      <c r="A570" s="21" t="n">
        <v>569</v>
      </c>
      <c r="B570" s="22" t="s">
        <v>7017</v>
      </c>
      <c r="C570" s="23" t="s">
        <v>9</v>
      </c>
      <c r="D570" s="23" t="s">
        <v>96</v>
      </c>
      <c r="E570" s="23" t="s">
        <v>97</v>
      </c>
      <c r="F570" s="24" t="s">
        <v>50</v>
      </c>
      <c r="G570" s="24" t="s">
        <v>1407</v>
      </c>
      <c r="H570" s="24" t="s">
        <v>5362</v>
      </c>
      <c r="I570" s="24" t="s">
        <v>6502</v>
      </c>
      <c r="J570" s="24" t="s">
        <v>7018</v>
      </c>
      <c r="K570" s="24" t="s">
        <v>7019</v>
      </c>
      <c r="L570" s="24" t="s">
        <v>119</v>
      </c>
      <c r="M570" s="24" t="s">
        <v>7020</v>
      </c>
      <c r="N570" s="24" t="s">
        <v>7021</v>
      </c>
      <c r="O570" s="24" t="s">
        <v>7022</v>
      </c>
      <c r="P570" s="24" t="s">
        <v>7023</v>
      </c>
      <c r="Q570" s="24" t="s">
        <v>7024</v>
      </c>
      <c r="R570" s="24" t="s">
        <v>7025</v>
      </c>
      <c r="S570" s="24" t="s">
        <v>7026</v>
      </c>
      <c r="T570" s="24" t="s">
        <v>7027</v>
      </c>
      <c r="U570" s="24" t="s">
        <v>183</v>
      </c>
      <c r="V570" s="24" t="s">
        <v>7028</v>
      </c>
      <c r="W570" s="24"/>
      <c r="X570" s="24"/>
      <c r="Y570" s="24" t="s">
        <v>183</v>
      </c>
      <c r="Z570" s="24"/>
      <c r="AA570" s="24"/>
      <c r="AB570" s="25" t="n">
        <v>10</v>
      </c>
      <c r="AC570" s="24" t="s">
        <v>7029</v>
      </c>
      <c r="AD570" s="24" t="s">
        <v>7030</v>
      </c>
      <c r="AE570" s="24"/>
      <c r="AF570" s="24" t="s">
        <v>168</v>
      </c>
      <c r="AG570" s="24"/>
      <c r="AH570" s="24"/>
      <c r="AI570" s="25" t="n">
        <f aca="false">COUNTIF($B$2:$B$740,B570)</f>
        <v>1</v>
      </c>
    </row>
    <row r="571" customFormat="false" ht="76" hidden="false" customHeight="true" outlineLevel="0" collapsed="false">
      <c r="A571" s="21" t="n">
        <v>570</v>
      </c>
      <c r="B571" s="22" t="s">
        <v>7031</v>
      </c>
      <c r="C571" s="23" t="s">
        <v>9</v>
      </c>
      <c r="D571" s="23" t="s">
        <v>96</v>
      </c>
      <c r="E571" s="23" t="s">
        <v>97</v>
      </c>
      <c r="F571" s="24" t="s">
        <v>50</v>
      </c>
      <c r="G571" s="24" t="s">
        <v>1407</v>
      </c>
      <c r="H571" s="24" t="s">
        <v>5362</v>
      </c>
      <c r="I571" s="24" t="s">
        <v>6502</v>
      </c>
      <c r="J571" s="24" t="s">
        <v>7032</v>
      </c>
      <c r="K571" s="24" t="s">
        <v>1980</v>
      </c>
      <c r="L571" s="24" t="s">
        <v>119</v>
      </c>
      <c r="M571" s="24" t="s">
        <v>1898</v>
      </c>
      <c r="N571" s="24" t="s">
        <v>856</v>
      </c>
      <c r="O571" s="24" t="s">
        <v>1594</v>
      </c>
      <c r="P571" s="24" t="s">
        <v>7033</v>
      </c>
      <c r="Q571" s="24" t="s">
        <v>7034</v>
      </c>
      <c r="R571" s="24" t="s">
        <v>7035</v>
      </c>
      <c r="S571" s="24" t="s">
        <v>7036</v>
      </c>
      <c r="T571" s="24" t="s">
        <v>7037</v>
      </c>
      <c r="U571" s="24" t="s">
        <v>7038</v>
      </c>
      <c r="V571" s="24" t="s">
        <v>7039</v>
      </c>
      <c r="W571" s="24" t="s">
        <v>7040</v>
      </c>
      <c r="X571" s="24" t="s">
        <v>6973</v>
      </c>
      <c r="Y571" s="24" t="s">
        <v>6987</v>
      </c>
      <c r="Z571" s="24"/>
      <c r="AA571" s="24"/>
      <c r="AB571" s="25" t="n">
        <v>10</v>
      </c>
      <c r="AC571" s="24" t="s">
        <v>7041</v>
      </c>
      <c r="AD571" s="24" t="s">
        <v>6976</v>
      </c>
      <c r="AE571" s="24"/>
      <c r="AF571" s="24" t="s">
        <v>168</v>
      </c>
      <c r="AG571" s="24"/>
      <c r="AH571" s="24"/>
      <c r="AI571" s="25" t="n">
        <f aca="false">COUNTIF($B$2:$B$740,B571)</f>
        <v>1</v>
      </c>
    </row>
    <row r="572" customFormat="false" ht="76" hidden="false" customHeight="true" outlineLevel="0" collapsed="false">
      <c r="A572" s="21" t="n">
        <v>571</v>
      </c>
      <c r="B572" s="22" t="s">
        <v>7042</v>
      </c>
      <c r="C572" s="23" t="s">
        <v>9</v>
      </c>
      <c r="D572" s="23" t="s">
        <v>96</v>
      </c>
      <c r="E572" s="23" t="s">
        <v>97</v>
      </c>
      <c r="F572" s="24" t="s">
        <v>59</v>
      </c>
      <c r="G572" s="24" t="s">
        <v>98</v>
      </c>
      <c r="H572" s="24" t="s">
        <v>5362</v>
      </c>
      <c r="I572" s="24" t="s">
        <v>6502</v>
      </c>
      <c r="J572" s="24" t="s">
        <v>7043</v>
      </c>
      <c r="K572" s="24" t="s">
        <v>7044</v>
      </c>
      <c r="L572" s="24" t="s">
        <v>173</v>
      </c>
      <c r="M572" s="24" t="s">
        <v>1942</v>
      </c>
      <c r="N572" s="24"/>
      <c r="O572" s="24" t="s">
        <v>7045</v>
      </c>
      <c r="P572" s="24" t="s">
        <v>7046</v>
      </c>
      <c r="Q572" s="24" t="s">
        <v>7047</v>
      </c>
      <c r="R572" s="24" t="s">
        <v>7048</v>
      </c>
      <c r="S572" s="24" t="s">
        <v>7049</v>
      </c>
      <c r="T572" s="24" t="s">
        <v>7050</v>
      </c>
      <c r="U572" s="24" t="s">
        <v>183</v>
      </c>
      <c r="V572" s="24" t="s">
        <v>7051</v>
      </c>
      <c r="W572" s="24" t="s">
        <v>7052</v>
      </c>
      <c r="X572" s="24"/>
      <c r="Y572" s="24" t="s">
        <v>183</v>
      </c>
      <c r="Z572" s="24"/>
      <c r="AA572" s="24"/>
      <c r="AB572" s="25" t="n">
        <v>10</v>
      </c>
      <c r="AC572" s="24" t="s">
        <v>7053</v>
      </c>
      <c r="AD572" s="24" t="s">
        <v>7054</v>
      </c>
      <c r="AE572" s="24"/>
      <c r="AF572" s="24" t="s">
        <v>168</v>
      </c>
      <c r="AG572" s="24"/>
      <c r="AH572" s="24"/>
      <c r="AI572" s="25" t="n">
        <f aca="false">COUNTIF($B$2:$B$740,B572)</f>
        <v>1</v>
      </c>
    </row>
    <row r="573" customFormat="false" ht="76" hidden="false" customHeight="true" outlineLevel="0" collapsed="false">
      <c r="A573" s="21" t="n">
        <v>572</v>
      </c>
      <c r="B573" s="22" t="s">
        <v>7055</v>
      </c>
      <c r="C573" s="23" t="s">
        <v>9</v>
      </c>
      <c r="D573" s="23" t="s">
        <v>96</v>
      </c>
      <c r="E573" s="23" t="s">
        <v>97</v>
      </c>
      <c r="F573" s="24" t="s">
        <v>50</v>
      </c>
      <c r="G573" s="24" t="s">
        <v>1407</v>
      </c>
      <c r="H573" s="24" t="s">
        <v>5362</v>
      </c>
      <c r="I573" s="24" t="s">
        <v>6502</v>
      </c>
      <c r="J573" s="24" t="s">
        <v>7056</v>
      </c>
      <c r="K573" s="24" t="s">
        <v>7057</v>
      </c>
      <c r="L573" s="24" t="s">
        <v>173</v>
      </c>
      <c r="M573" s="24" t="s">
        <v>398</v>
      </c>
      <c r="N573" s="24" t="s">
        <v>7058</v>
      </c>
      <c r="O573" s="24" t="s">
        <v>7059</v>
      </c>
      <c r="P573" s="24" t="s">
        <v>7060</v>
      </c>
      <c r="Q573" s="24" t="s">
        <v>7061</v>
      </c>
      <c r="R573" s="24" t="s">
        <v>7062</v>
      </c>
      <c r="S573" s="24" t="s">
        <v>7063</v>
      </c>
      <c r="T573" s="24" t="s">
        <v>7064</v>
      </c>
      <c r="U573" s="24" t="s">
        <v>7065</v>
      </c>
      <c r="V573" s="24" t="s">
        <v>7066</v>
      </c>
      <c r="W573" s="24"/>
      <c r="X573" s="24" t="s">
        <v>7067</v>
      </c>
      <c r="Y573" s="24" t="s">
        <v>7068</v>
      </c>
      <c r="Z573" s="24"/>
      <c r="AA573" s="24"/>
      <c r="AB573" s="25" t="n">
        <v>10</v>
      </c>
      <c r="AC573" s="24" t="s">
        <v>7069</v>
      </c>
      <c r="AD573" s="24" t="s">
        <v>7070</v>
      </c>
      <c r="AE573" s="24"/>
      <c r="AF573" s="24" t="s">
        <v>168</v>
      </c>
      <c r="AG573" s="24"/>
      <c r="AH573" s="24"/>
      <c r="AI573" s="25" t="n">
        <f aca="false">COUNTIF($B$2:$B$740,B573)</f>
        <v>1</v>
      </c>
    </row>
    <row r="574" customFormat="false" ht="76" hidden="false" customHeight="true" outlineLevel="0" collapsed="false">
      <c r="A574" s="21" t="n">
        <v>573</v>
      </c>
      <c r="B574" s="22" t="s">
        <v>7071</v>
      </c>
      <c r="C574" s="23" t="s">
        <v>9</v>
      </c>
      <c r="D574" s="23" t="s">
        <v>96</v>
      </c>
      <c r="E574" s="23" t="s">
        <v>97</v>
      </c>
      <c r="F574" s="24" t="s">
        <v>50</v>
      </c>
      <c r="G574" s="24" t="s">
        <v>1407</v>
      </c>
      <c r="H574" s="24" t="s">
        <v>5362</v>
      </c>
      <c r="I574" s="24" t="s">
        <v>6502</v>
      </c>
      <c r="J574" s="24" t="s">
        <v>7072</v>
      </c>
      <c r="K574" s="24" t="s">
        <v>7073</v>
      </c>
      <c r="L574" s="24" t="s">
        <v>103</v>
      </c>
      <c r="M574" s="24" t="s">
        <v>1933</v>
      </c>
      <c r="N574" s="24" t="s">
        <v>1581</v>
      </c>
      <c r="O574" s="24" t="s">
        <v>7074</v>
      </c>
      <c r="P574" s="24" t="s">
        <v>6552</v>
      </c>
      <c r="Q574" s="24" t="s">
        <v>7075</v>
      </c>
      <c r="R574" s="24" t="s">
        <v>7076</v>
      </c>
      <c r="S574" s="24" t="s">
        <v>7077</v>
      </c>
      <c r="T574" s="24" t="s">
        <v>7078</v>
      </c>
      <c r="U574" s="24" t="s">
        <v>7079</v>
      </c>
      <c r="V574" s="24" t="s">
        <v>7080</v>
      </c>
      <c r="W574" s="24"/>
      <c r="X574" s="24" t="s">
        <v>7081</v>
      </c>
      <c r="Y574" s="24" t="s">
        <v>7082</v>
      </c>
      <c r="Z574" s="24"/>
      <c r="AA574" s="24"/>
      <c r="AB574" s="25" t="n">
        <v>10</v>
      </c>
      <c r="AC574" s="24" t="s">
        <v>7083</v>
      </c>
      <c r="AD574" s="24" t="s">
        <v>7084</v>
      </c>
      <c r="AE574" s="24"/>
      <c r="AF574" s="24" t="s">
        <v>168</v>
      </c>
      <c r="AG574" s="24"/>
      <c r="AH574" s="24"/>
      <c r="AI574" s="25" t="n">
        <f aca="false">COUNTIF($B$2:$B$740,B574)</f>
        <v>1</v>
      </c>
    </row>
    <row r="575" customFormat="false" ht="76" hidden="false" customHeight="true" outlineLevel="0" collapsed="false">
      <c r="A575" s="21" t="n">
        <v>574</v>
      </c>
      <c r="B575" s="22" t="s">
        <v>7085</v>
      </c>
      <c r="C575" s="23" t="s">
        <v>9</v>
      </c>
      <c r="D575" s="23" t="s">
        <v>96</v>
      </c>
      <c r="E575" s="23" t="s">
        <v>97</v>
      </c>
      <c r="F575" s="24" t="s">
        <v>50</v>
      </c>
      <c r="G575" s="24" t="s">
        <v>1407</v>
      </c>
      <c r="H575" s="24" t="s">
        <v>5362</v>
      </c>
      <c r="I575" s="24" t="s">
        <v>6502</v>
      </c>
      <c r="J575" s="24" t="s">
        <v>7086</v>
      </c>
      <c r="K575" s="24" t="s">
        <v>7087</v>
      </c>
      <c r="L575" s="24" t="s">
        <v>103</v>
      </c>
      <c r="M575" s="24" t="s">
        <v>1981</v>
      </c>
      <c r="N575" s="24" t="s">
        <v>7088</v>
      </c>
      <c r="O575" s="24" t="s">
        <v>7089</v>
      </c>
      <c r="P575" s="24" t="s">
        <v>7090</v>
      </c>
      <c r="Q575" s="24" t="s">
        <v>7091</v>
      </c>
      <c r="R575" s="24" t="s">
        <v>7092</v>
      </c>
      <c r="S575" s="24" t="s">
        <v>2127</v>
      </c>
      <c r="T575" s="24" t="s">
        <v>7093</v>
      </c>
      <c r="U575" s="24" t="s">
        <v>183</v>
      </c>
      <c r="V575" s="24"/>
      <c r="W575" s="24"/>
      <c r="X575" s="24"/>
      <c r="Y575" s="24" t="s">
        <v>183</v>
      </c>
      <c r="Z575" s="24"/>
      <c r="AA575" s="24"/>
      <c r="AB575" s="25" t="n">
        <v>10</v>
      </c>
      <c r="AC575" s="24" t="s">
        <v>7094</v>
      </c>
      <c r="AD575" s="24" t="s">
        <v>7095</v>
      </c>
      <c r="AE575" s="24"/>
      <c r="AF575" s="24" t="s">
        <v>168</v>
      </c>
      <c r="AG575" s="24"/>
      <c r="AH575" s="24"/>
      <c r="AI575" s="25" t="n">
        <f aca="false">COUNTIF($B$2:$B$740,B575)</f>
        <v>1</v>
      </c>
    </row>
    <row r="576" customFormat="false" ht="76" hidden="false" customHeight="true" outlineLevel="0" collapsed="false">
      <c r="A576" s="21" t="n">
        <v>575</v>
      </c>
      <c r="B576" s="22" t="s">
        <v>7096</v>
      </c>
      <c r="C576" s="23" t="s">
        <v>9</v>
      </c>
      <c r="D576" s="23" t="s">
        <v>96</v>
      </c>
      <c r="E576" s="23" t="s">
        <v>97</v>
      </c>
      <c r="F576" s="24" t="s">
        <v>50</v>
      </c>
      <c r="G576" s="24" t="s">
        <v>1407</v>
      </c>
      <c r="H576" s="24" t="s">
        <v>5362</v>
      </c>
      <c r="I576" s="24" t="s">
        <v>6502</v>
      </c>
      <c r="J576" s="24" t="s">
        <v>7097</v>
      </c>
      <c r="K576" s="24" t="s">
        <v>7098</v>
      </c>
      <c r="L576" s="24" t="s">
        <v>119</v>
      </c>
      <c r="M576" s="24" t="s">
        <v>1973</v>
      </c>
      <c r="N576" s="24" t="s">
        <v>7099</v>
      </c>
      <c r="O576" s="24" t="s">
        <v>7100</v>
      </c>
      <c r="P576" s="24" t="s">
        <v>7101</v>
      </c>
      <c r="Q576" s="24" t="s">
        <v>7102</v>
      </c>
      <c r="R576" s="24" t="s">
        <v>7103</v>
      </c>
      <c r="S576" s="24" t="s">
        <v>7104</v>
      </c>
      <c r="T576" s="24" t="s">
        <v>7105</v>
      </c>
      <c r="U576" s="24" t="s">
        <v>183</v>
      </c>
      <c r="V576" s="24" t="s">
        <v>7106</v>
      </c>
      <c r="W576" s="24"/>
      <c r="X576" s="24"/>
      <c r="Y576" s="24" t="s">
        <v>183</v>
      </c>
      <c r="Z576" s="24"/>
      <c r="AA576" s="24"/>
      <c r="AB576" s="25" t="n">
        <v>10</v>
      </c>
      <c r="AC576" s="24" t="s">
        <v>7107</v>
      </c>
      <c r="AD576" s="24" t="s">
        <v>6771</v>
      </c>
      <c r="AE576" s="24"/>
      <c r="AF576" s="24" t="s">
        <v>168</v>
      </c>
      <c r="AG576" s="24"/>
      <c r="AH576" s="24"/>
      <c r="AI576" s="25" t="n">
        <f aca="false">COUNTIF($B$2:$B$740,B576)</f>
        <v>1</v>
      </c>
    </row>
    <row r="577" customFormat="false" ht="76" hidden="false" customHeight="true" outlineLevel="0" collapsed="false">
      <c r="A577" s="21" t="n">
        <v>576</v>
      </c>
      <c r="B577" s="22" t="s">
        <v>7108</v>
      </c>
      <c r="C577" s="23" t="s">
        <v>9</v>
      </c>
      <c r="D577" s="23" t="s">
        <v>96</v>
      </c>
      <c r="E577" s="23" t="s">
        <v>97</v>
      </c>
      <c r="F577" s="24" t="s">
        <v>50</v>
      </c>
      <c r="G577" s="24" t="s">
        <v>1407</v>
      </c>
      <c r="H577" s="24" t="s">
        <v>5362</v>
      </c>
      <c r="I577" s="24" t="s">
        <v>6502</v>
      </c>
      <c r="J577" s="24" t="s">
        <v>7109</v>
      </c>
      <c r="K577" s="24" t="s">
        <v>7110</v>
      </c>
      <c r="L577" s="24" t="s">
        <v>119</v>
      </c>
      <c r="M577" s="24" t="s">
        <v>1973</v>
      </c>
      <c r="N577" s="24" t="s">
        <v>7111</v>
      </c>
      <c r="O577" s="24" t="s">
        <v>7112</v>
      </c>
      <c r="P577" s="24" t="s">
        <v>7090</v>
      </c>
      <c r="Q577" s="24" t="s">
        <v>7113</v>
      </c>
      <c r="R577" s="24" t="s">
        <v>7114</v>
      </c>
      <c r="S577" s="24" t="s">
        <v>7115</v>
      </c>
      <c r="T577" s="24" t="s">
        <v>7116</v>
      </c>
      <c r="U577" s="24" t="s">
        <v>7117</v>
      </c>
      <c r="V577" s="24" t="s">
        <v>7118</v>
      </c>
      <c r="W577" s="24" t="s">
        <v>7119</v>
      </c>
      <c r="X577" s="24"/>
      <c r="Y577" s="24" t="s">
        <v>7117</v>
      </c>
      <c r="Z577" s="24"/>
      <c r="AA577" s="24"/>
      <c r="AB577" s="25" t="n">
        <v>10</v>
      </c>
      <c r="AC577" s="24" t="s">
        <v>7120</v>
      </c>
      <c r="AD577" s="24" t="s">
        <v>7121</v>
      </c>
      <c r="AE577" s="24"/>
      <c r="AF577" s="24" t="s">
        <v>168</v>
      </c>
      <c r="AG577" s="24"/>
      <c r="AH577" s="24"/>
      <c r="AI577" s="25" t="n">
        <f aca="false">COUNTIF($B$2:$B$740,B577)</f>
        <v>1</v>
      </c>
    </row>
    <row r="578" customFormat="false" ht="76" hidden="false" customHeight="true" outlineLevel="0" collapsed="false">
      <c r="A578" s="21" t="n">
        <v>577</v>
      </c>
      <c r="B578" s="22" t="s">
        <v>7122</v>
      </c>
      <c r="C578" s="23" t="s">
        <v>9</v>
      </c>
      <c r="D578" s="23" t="s">
        <v>96</v>
      </c>
      <c r="E578" s="23" t="s">
        <v>97</v>
      </c>
      <c r="F578" s="24" t="s">
        <v>56</v>
      </c>
      <c r="G578" s="24" t="s">
        <v>1805</v>
      </c>
      <c r="H578" s="24" t="s">
        <v>5362</v>
      </c>
      <c r="I578" s="24" t="s">
        <v>6502</v>
      </c>
      <c r="J578" s="24" t="s">
        <v>7123</v>
      </c>
      <c r="K578" s="24" t="s">
        <v>7124</v>
      </c>
      <c r="L578" s="24" t="s">
        <v>103</v>
      </c>
      <c r="M578" s="24" t="s">
        <v>1981</v>
      </c>
      <c r="N578" s="24" t="s">
        <v>7125</v>
      </c>
      <c r="O578" s="24" t="s">
        <v>7126</v>
      </c>
      <c r="P578" s="24" t="s">
        <v>7127</v>
      </c>
      <c r="Q578" s="24" t="s">
        <v>7128</v>
      </c>
      <c r="R578" s="24" t="s">
        <v>7129</v>
      </c>
      <c r="S578" s="24" t="s">
        <v>7130</v>
      </c>
      <c r="T578" s="24" t="s">
        <v>7131</v>
      </c>
      <c r="U578" s="24" t="s">
        <v>7132</v>
      </c>
      <c r="V578" s="24" t="s">
        <v>7133</v>
      </c>
      <c r="W578" s="24" t="s">
        <v>7134</v>
      </c>
      <c r="X578" s="24"/>
      <c r="Y578" s="24" t="s">
        <v>7135</v>
      </c>
      <c r="Z578" s="24"/>
      <c r="AA578" s="24"/>
      <c r="AB578" s="25" t="n">
        <v>10</v>
      </c>
      <c r="AC578" s="24" t="s">
        <v>7136</v>
      </c>
      <c r="AD578" s="24" t="s">
        <v>7137</v>
      </c>
      <c r="AE578" s="24"/>
      <c r="AF578" s="24" t="s">
        <v>168</v>
      </c>
      <c r="AG578" s="24"/>
      <c r="AH578" s="24"/>
      <c r="AI578" s="25" t="n">
        <f aca="false">COUNTIF($B$2:$B$740,B578)</f>
        <v>1</v>
      </c>
    </row>
    <row r="579" customFormat="false" ht="76" hidden="false" customHeight="true" outlineLevel="0" collapsed="false">
      <c r="A579" s="21" t="n">
        <v>578</v>
      </c>
      <c r="B579" s="22" t="s">
        <v>7138</v>
      </c>
      <c r="C579" s="23" t="s">
        <v>9</v>
      </c>
      <c r="D579" s="23" t="s">
        <v>96</v>
      </c>
      <c r="E579" s="23" t="s">
        <v>97</v>
      </c>
      <c r="F579" s="24" t="s">
        <v>56</v>
      </c>
      <c r="G579" s="24" t="s">
        <v>1805</v>
      </c>
      <c r="H579" s="24" t="s">
        <v>5362</v>
      </c>
      <c r="I579" s="24" t="s">
        <v>6502</v>
      </c>
      <c r="J579" s="24" t="s">
        <v>7139</v>
      </c>
      <c r="K579" s="24" t="s">
        <v>7140</v>
      </c>
      <c r="L579" s="24" t="s">
        <v>103</v>
      </c>
      <c r="M579" s="24" t="s">
        <v>2007</v>
      </c>
      <c r="N579" s="24"/>
      <c r="O579" s="24" t="s">
        <v>7141</v>
      </c>
      <c r="P579" s="24" t="s">
        <v>6523</v>
      </c>
      <c r="Q579" s="24" t="s">
        <v>5410</v>
      </c>
      <c r="R579" s="24" t="s">
        <v>7142</v>
      </c>
      <c r="S579" s="24" t="s">
        <v>7143</v>
      </c>
      <c r="T579" s="24" t="s">
        <v>7144</v>
      </c>
      <c r="U579" s="24" t="s">
        <v>7145</v>
      </c>
      <c r="V579" s="24" t="s">
        <v>7146</v>
      </c>
      <c r="W579" s="24" t="s">
        <v>7147</v>
      </c>
      <c r="X579" s="24"/>
      <c r="Y579" s="24" t="s">
        <v>183</v>
      </c>
      <c r="Z579" s="24"/>
      <c r="AA579" s="24" t="s">
        <v>7148</v>
      </c>
      <c r="AB579" s="25" t="n">
        <v>10</v>
      </c>
      <c r="AC579" s="24" t="s">
        <v>7149</v>
      </c>
      <c r="AD579" s="24" t="s">
        <v>7150</v>
      </c>
      <c r="AE579" s="24"/>
      <c r="AF579" s="24" t="s">
        <v>168</v>
      </c>
      <c r="AG579" s="24"/>
      <c r="AH579" s="24"/>
      <c r="AI579" s="25" t="n">
        <f aca="false">COUNTIF($B$2:$B$740,B579)</f>
        <v>1</v>
      </c>
    </row>
    <row r="580" customFormat="false" ht="76" hidden="false" customHeight="true" outlineLevel="0" collapsed="false">
      <c r="A580" s="21" t="n">
        <v>579</v>
      </c>
      <c r="B580" s="22" t="s">
        <v>7151</v>
      </c>
      <c r="C580" s="23" t="s">
        <v>9</v>
      </c>
      <c r="D580" s="23" t="s">
        <v>96</v>
      </c>
      <c r="E580" s="23" t="s">
        <v>97</v>
      </c>
      <c r="F580" s="24" t="s">
        <v>50</v>
      </c>
      <c r="G580" s="24" t="s">
        <v>1407</v>
      </c>
      <c r="H580" s="24" t="s">
        <v>5362</v>
      </c>
      <c r="I580" s="24" t="s">
        <v>6502</v>
      </c>
      <c r="J580" s="24" t="s">
        <v>7152</v>
      </c>
      <c r="K580" s="24" t="s">
        <v>7153</v>
      </c>
      <c r="L580" s="24" t="s">
        <v>531</v>
      </c>
      <c r="M580" s="24" t="s">
        <v>2007</v>
      </c>
      <c r="N580" s="24"/>
      <c r="O580" s="24" t="s">
        <v>7154</v>
      </c>
      <c r="P580" s="24" t="s">
        <v>7155</v>
      </c>
      <c r="Q580" s="24" t="s">
        <v>7156</v>
      </c>
      <c r="R580" s="24" t="s">
        <v>7157</v>
      </c>
      <c r="S580" s="24" t="s">
        <v>7158</v>
      </c>
      <c r="T580" s="24" t="s">
        <v>7159</v>
      </c>
      <c r="U580" s="24" t="s">
        <v>7160</v>
      </c>
      <c r="V580" s="24" t="s">
        <v>7161</v>
      </c>
      <c r="W580" s="24" t="s">
        <v>7162</v>
      </c>
      <c r="X580" s="24"/>
      <c r="Y580" s="24" t="s">
        <v>7163</v>
      </c>
      <c r="Z580" s="24"/>
      <c r="AA580" s="24"/>
      <c r="AB580" s="25" t="n">
        <v>10</v>
      </c>
      <c r="AC580" s="24" t="s">
        <v>7164</v>
      </c>
      <c r="AD580" s="24" t="s">
        <v>7165</v>
      </c>
      <c r="AE580" s="24"/>
      <c r="AF580" s="24" t="s">
        <v>168</v>
      </c>
      <c r="AG580" s="24"/>
      <c r="AH580" s="24"/>
      <c r="AI580" s="25" t="n">
        <f aca="false">COUNTIF($B$2:$B$740,B580)</f>
        <v>1</v>
      </c>
    </row>
    <row r="581" customFormat="false" ht="76" hidden="false" customHeight="true" outlineLevel="0" collapsed="false">
      <c r="A581" s="21" t="n">
        <v>580</v>
      </c>
      <c r="B581" s="22" t="s">
        <v>2065</v>
      </c>
      <c r="C581" s="23" t="s">
        <v>9</v>
      </c>
      <c r="D581" s="23" t="s">
        <v>96</v>
      </c>
      <c r="E581" s="23" t="s">
        <v>97</v>
      </c>
      <c r="F581" s="24" t="s">
        <v>50</v>
      </c>
      <c r="G581" s="24" t="s">
        <v>1407</v>
      </c>
      <c r="H581" s="24" t="s">
        <v>5362</v>
      </c>
      <c r="I581" s="24" t="s">
        <v>6502</v>
      </c>
      <c r="J581" s="24" t="s">
        <v>7166</v>
      </c>
      <c r="K581" s="24" t="s">
        <v>7167</v>
      </c>
      <c r="L581" s="24" t="s">
        <v>119</v>
      </c>
      <c r="M581" s="24" t="s">
        <v>2049</v>
      </c>
      <c r="N581" s="24" t="s">
        <v>7168</v>
      </c>
      <c r="O581" s="24" t="s">
        <v>7169</v>
      </c>
      <c r="P581" s="24" t="s">
        <v>7170</v>
      </c>
      <c r="Q581" s="24" t="s">
        <v>7171</v>
      </c>
      <c r="R581" s="24" t="s">
        <v>7172</v>
      </c>
      <c r="S581" s="24" t="s">
        <v>7173</v>
      </c>
      <c r="T581" s="24" t="s">
        <v>7174</v>
      </c>
      <c r="U581" s="24" t="s">
        <v>7175</v>
      </c>
      <c r="V581" s="24"/>
      <c r="W581" s="24" t="s">
        <v>7176</v>
      </c>
      <c r="X581" s="24"/>
      <c r="Y581" s="24" t="s">
        <v>183</v>
      </c>
      <c r="Z581" s="24"/>
      <c r="AA581" s="24"/>
      <c r="AB581" s="25" t="n">
        <v>80</v>
      </c>
      <c r="AC581" s="24" t="s">
        <v>7177</v>
      </c>
      <c r="AD581" s="24" t="s">
        <v>7178</v>
      </c>
      <c r="AE581" s="24" t="s">
        <v>7179</v>
      </c>
      <c r="AF581" s="24" t="s">
        <v>168</v>
      </c>
      <c r="AG581" s="24"/>
      <c r="AH581" s="24" t="s">
        <v>941</v>
      </c>
      <c r="AI581" s="25" t="n">
        <f aca="false">COUNTIF($B$2:$B$740,B581)</f>
        <v>1</v>
      </c>
    </row>
    <row r="582" customFormat="false" ht="76" hidden="false" customHeight="true" outlineLevel="0" collapsed="false">
      <c r="A582" s="21" t="n">
        <v>581</v>
      </c>
      <c r="B582" s="22" t="s">
        <v>7180</v>
      </c>
      <c r="C582" s="23" t="s">
        <v>12</v>
      </c>
      <c r="D582" s="23" t="s">
        <v>209</v>
      </c>
      <c r="E582" s="23" t="s">
        <v>97</v>
      </c>
      <c r="F582" s="24" t="s">
        <v>59</v>
      </c>
      <c r="G582" s="24" t="s">
        <v>98</v>
      </c>
      <c r="H582" s="24" t="s">
        <v>5362</v>
      </c>
      <c r="I582" s="24" t="s">
        <v>6502</v>
      </c>
      <c r="J582" s="24" t="s">
        <v>7181</v>
      </c>
      <c r="K582" s="24" t="s">
        <v>7182</v>
      </c>
      <c r="L582" s="24" t="s">
        <v>119</v>
      </c>
      <c r="M582" s="24" t="s">
        <v>2049</v>
      </c>
      <c r="N582" s="24" t="s">
        <v>7183</v>
      </c>
      <c r="O582" s="24" t="s">
        <v>7184</v>
      </c>
      <c r="P582" s="24" t="s">
        <v>7185</v>
      </c>
      <c r="Q582" s="24" t="s">
        <v>7186</v>
      </c>
      <c r="R582" s="24" t="s">
        <v>7187</v>
      </c>
      <c r="S582" s="24" t="s">
        <v>7188</v>
      </c>
      <c r="T582" s="24" t="s">
        <v>7189</v>
      </c>
      <c r="U582" s="24" t="s">
        <v>7190</v>
      </c>
      <c r="V582" s="24" t="s">
        <v>7184</v>
      </c>
      <c r="W582" s="24" t="s">
        <v>7191</v>
      </c>
      <c r="X582" s="24"/>
      <c r="Y582" s="24" t="s">
        <v>7190</v>
      </c>
      <c r="Z582" s="24"/>
      <c r="AA582" s="24"/>
      <c r="AB582" s="25" t="n">
        <v>10</v>
      </c>
      <c r="AC582" s="24" t="s">
        <v>7192</v>
      </c>
      <c r="AD582" s="24" t="s">
        <v>7193</v>
      </c>
      <c r="AE582" s="24"/>
      <c r="AF582" s="24" t="s">
        <v>168</v>
      </c>
      <c r="AG582" s="24"/>
      <c r="AH582" s="24"/>
      <c r="AI582" s="25" t="n">
        <f aca="false">COUNTIF($B$2:$B$740,B582)</f>
        <v>1</v>
      </c>
    </row>
    <row r="583" customFormat="false" ht="76" hidden="false" customHeight="true" outlineLevel="0" collapsed="false">
      <c r="A583" s="21" t="n">
        <v>582</v>
      </c>
      <c r="B583" s="22" t="s">
        <v>7194</v>
      </c>
      <c r="C583" s="23" t="s">
        <v>9</v>
      </c>
      <c r="D583" s="23" t="s">
        <v>96</v>
      </c>
      <c r="E583" s="23" t="s">
        <v>97</v>
      </c>
      <c r="F583" s="24" t="s">
        <v>50</v>
      </c>
      <c r="G583" s="24" t="s">
        <v>1407</v>
      </c>
      <c r="H583" s="24" t="s">
        <v>5362</v>
      </c>
      <c r="I583" s="24" t="s">
        <v>6502</v>
      </c>
      <c r="J583" s="24" t="s">
        <v>7195</v>
      </c>
      <c r="K583" s="24" t="s">
        <v>7196</v>
      </c>
      <c r="L583" s="24" t="s">
        <v>103</v>
      </c>
      <c r="M583" s="24" t="s">
        <v>2056</v>
      </c>
      <c r="N583" s="24" t="s">
        <v>7197</v>
      </c>
      <c r="O583" s="24" t="s">
        <v>1594</v>
      </c>
      <c r="P583" s="24" t="s">
        <v>7198</v>
      </c>
      <c r="Q583" s="24" t="s">
        <v>7199</v>
      </c>
      <c r="R583" s="24" t="s">
        <v>7200</v>
      </c>
      <c r="S583" s="24" t="s">
        <v>7201</v>
      </c>
      <c r="T583" s="24" t="s">
        <v>7202</v>
      </c>
      <c r="U583" s="24" t="s">
        <v>7203</v>
      </c>
      <c r="V583" s="24" t="s">
        <v>1594</v>
      </c>
      <c r="W583" s="24" t="s">
        <v>7204</v>
      </c>
      <c r="X583" s="24" t="s">
        <v>7205</v>
      </c>
      <c r="Y583" s="24" t="s">
        <v>7206</v>
      </c>
      <c r="Z583" s="24"/>
      <c r="AA583" s="24"/>
      <c r="AB583" s="25" t="n">
        <v>10</v>
      </c>
      <c r="AC583" s="24" t="s">
        <v>7207</v>
      </c>
      <c r="AD583" s="24" t="s">
        <v>7208</v>
      </c>
      <c r="AE583" s="24"/>
      <c r="AF583" s="24" t="s">
        <v>168</v>
      </c>
      <c r="AG583" s="24"/>
      <c r="AH583" s="24"/>
      <c r="AI583" s="25" t="n">
        <f aca="false">COUNTIF($B$2:$B$740,B583)</f>
        <v>1</v>
      </c>
    </row>
    <row r="584" customFormat="false" ht="76" hidden="false" customHeight="true" outlineLevel="0" collapsed="false">
      <c r="A584" s="21" t="n">
        <v>583</v>
      </c>
      <c r="B584" s="22" t="s">
        <v>7209</v>
      </c>
      <c r="C584" s="23" t="s">
        <v>9</v>
      </c>
      <c r="D584" s="23" t="s">
        <v>96</v>
      </c>
      <c r="E584" s="23" t="s">
        <v>97</v>
      </c>
      <c r="F584" s="24" t="s">
        <v>50</v>
      </c>
      <c r="G584" s="24" t="s">
        <v>1407</v>
      </c>
      <c r="H584" s="24" t="s">
        <v>5362</v>
      </c>
      <c r="I584" s="24" t="s">
        <v>6502</v>
      </c>
      <c r="J584" s="24" t="s">
        <v>7210</v>
      </c>
      <c r="K584" s="24" t="s">
        <v>7211</v>
      </c>
      <c r="L584" s="24" t="s">
        <v>103</v>
      </c>
      <c r="M584" s="24" t="s">
        <v>2056</v>
      </c>
      <c r="N584" s="24" t="s">
        <v>856</v>
      </c>
      <c r="O584" s="24" t="s">
        <v>6522</v>
      </c>
      <c r="P584" s="24" t="s">
        <v>7212</v>
      </c>
      <c r="Q584" s="24" t="s">
        <v>7199</v>
      </c>
      <c r="R584" s="24" t="s">
        <v>7213</v>
      </c>
      <c r="S584" s="24" t="s">
        <v>7214</v>
      </c>
      <c r="T584" s="24" t="s">
        <v>7215</v>
      </c>
      <c r="U584" s="24" t="s">
        <v>7216</v>
      </c>
      <c r="V584" s="24" t="s">
        <v>6730</v>
      </c>
      <c r="W584" s="24" t="s">
        <v>7217</v>
      </c>
      <c r="X584" s="24" t="s">
        <v>7205</v>
      </c>
      <c r="Y584" s="24" t="s">
        <v>7218</v>
      </c>
      <c r="Z584" s="24"/>
      <c r="AA584" s="24"/>
      <c r="AB584" s="25" t="n">
        <v>10</v>
      </c>
      <c r="AC584" s="24" t="s">
        <v>7219</v>
      </c>
      <c r="AD584" s="24" t="s">
        <v>7208</v>
      </c>
      <c r="AE584" s="24"/>
      <c r="AF584" s="24" t="s">
        <v>168</v>
      </c>
      <c r="AG584" s="24"/>
      <c r="AH584" s="24"/>
      <c r="AI584" s="25" t="n">
        <f aca="false">COUNTIF($B$2:$B$740,B584)</f>
        <v>1</v>
      </c>
    </row>
    <row r="585" customFormat="false" ht="76" hidden="false" customHeight="true" outlineLevel="0" collapsed="false">
      <c r="A585" s="21" t="n">
        <v>584</v>
      </c>
      <c r="B585" s="22" t="s">
        <v>7220</v>
      </c>
      <c r="C585" s="23" t="s">
        <v>9</v>
      </c>
      <c r="D585" s="23" t="s">
        <v>96</v>
      </c>
      <c r="E585" s="23" t="s">
        <v>97</v>
      </c>
      <c r="F585" s="24" t="s">
        <v>50</v>
      </c>
      <c r="G585" s="24" t="s">
        <v>1407</v>
      </c>
      <c r="H585" s="24" t="s">
        <v>5362</v>
      </c>
      <c r="I585" s="24" t="s">
        <v>6502</v>
      </c>
      <c r="J585" s="24" t="s">
        <v>7221</v>
      </c>
      <c r="K585" s="24" t="s">
        <v>2026</v>
      </c>
      <c r="L585" s="24" t="s">
        <v>103</v>
      </c>
      <c r="M585" s="24" t="s">
        <v>2083</v>
      </c>
      <c r="N585" s="24" t="s">
        <v>2084</v>
      </c>
      <c r="O585" s="24" t="s">
        <v>7222</v>
      </c>
      <c r="P585" s="24" t="s">
        <v>7223</v>
      </c>
      <c r="Q585" s="24" t="s">
        <v>7224</v>
      </c>
      <c r="R585" s="24" t="s">
        <v>7225</v>
      </c>
      <c r="S585" s="24" t="s">
        <v>7226</v>
      </c>
      <c r="T585" s="24" t="s">
        <v>7227</v>
      </c>
      <c r="U585" s="24" t="s">
        <v>7228</v>
      </c>
      <c r="V585" s="24" t="s">
        <v>7222</v>
      </c>
      <c r="W585" s="24" t="s">
        <v>7229</v>
      </c>
      <c r="X585" s="24"/>
      <c r="Y585" s="24" t="s">
        <v>7230</v>
      </c>
      <c r="Z585" s="24"/>
      <c r="AA585" s="24"/>
      <c r="AB585" s="25" t="n">
        <v>10</v>
      </c>
      <c r="AC585" s="24" t="s">
        <v>7231</v>
      </c>
      <c r="AD585" s="24" t="s">
        <v>7232</v>
      </c>
      <c r="AE585" s="24"/>
      <c r="AF585" s="24" t="s">
        <v>168</v>
      </c>
      <c r="AG585" s="24"/>
      <c r="AH585" s="24"/>
      <c r="AI585" s="25" t="n">
        <f aca="false">COUNTIF($B$2:$B$740,B585)</f>
        <v>1</v>
      </c>
    </row>
    <row r="586" customFormat="false" ht="76" hidden="false" customHeight="true" outlineLevel="0" collapsed="false">
      <c r="A586" s="21" t="n">
        <v>585</v>
      </c>
      <c r="B586" s="22" t="s">
        <v>7233</v>
      </c>
      <c r="C586" s="23" t="s">
        <v>9</v>
      </c>
      <c r="D586" s="23" t="s">
        <v>96</v>
      </c>
      <c r="E586" s="23" t="s">
        <v>97</v>
      </c>
      <c r="F586" s="24" t="s">
        <v>50</v>
      </c>
      <c r="G586" s="24" t="s">
        <v>1407</v>
      </c>
      <c r="H586" s="24" t="s">
        <v>5362</v>
      </c>
      <c r="I586" s="24" t="s">
        <v>6502</v>
      </c>
      <c r="J586" s="24" t="s">
        <v>7234</v>
      </c>
      <c r="K586" s="24" t="s">
        <v>7235</v>
      </c>
      <c r="L586" s="24" t="s">
        <v>103</v>
      </c>
      <c r="M586" s="24" t="s">
        <v>2083</v>
      </c>
      <c r="N586" s="24" t="s">
        <v>856</v>
      </c>
      <c r="O586" s="24" t="s">
        <v>7236</v>
      </c>
      <c r="P586" s="24" t="s">
        <v>7237</v>
      </c>
      <c r="Q586" s="24" t="s">
        <v>7238</v>
      </c>
      <c r="R586" s="24" t="s">
        <v>7239</v>
      </c>
      <c r="S586" s="24" t="s">
        <v>7240</v>
      </c>
      <c r="T586" s="24" t="s">
        <v>7241</v>
      </c>
      <c r="U586" s="24" t="s">
        <v>183</v>
      </c>
      <c r="V586" s="24"/>
      <c r="W586" s="24"/>
      <c r="X586" s="24"/>
      <c r="Y586" s="24" t="s">
        <v>183</v>
      </c>
      <c r="Z586" s="24"/>
      <c r="AA586" s="24"/>
      <c r="AB586" s="25" t="n">
        <v>10</v>
      </c>
      <c r="AC586" s="24" t="s">
        <v>7242</v>
      </c>
      <c r="AD586" s="24" t="s">
        <v>7232</v>
      </c>
      <c r="AE586" s="24"/>
      <c r="AF586" s="24" t="s">
        <v>168</v>
      </c>
      <c r="AG586" s="24"/>
      <c r="AH586" s="24"/>
      <c r="AI586" s="25" t="n">
        <f aca="false">COUNTIF($B$2:$B$740,B586)</f>
        <v>1</v>
      </c>
    </row>
    <row r="587" customFormat="false" ht="76" hidden="false" customHeight="true" outlineLevel="0" collapsed="false">
      <c r="A587" s="21" t="n">
        <v>586</v>
      </c>
      <c r="B587" s="22" t="s">
        <v>7243</v>
      </c>
      <c r="C587" s="23" t="s">
        <v>9</v>
      </c>
      <c r="D587" s="23" t="s">
        <v>96</v>
      </c>
      <c r="E587" s="23" t="s">
        <v>97</v>
      </c>
      <c r="F587" s="24" t="s">
        <v>50</v>
      </c>
      <c r="G587" s="24" t="s">
        <v>1407</v>
      </c>
      <c r="H587" s="24" t="s">
        <v>5362</v>
      </c>
      <c r="I587" s="24" t="s">
        <v>6502</v>
      </c>
      <c r="J587" s="24" t="s">
        <v>7244</v>
      </c>
      <c r="K587" s="24" t="s">
        <v>2017</v>
      </c>
      <c r="L587" s="24" t="s">
        <v>173</v>
      </c>
      <c r="M587" s="24" t="s">
        <v>7245</v>
      </c>
      <c r="N587" s="24"/>
      <c r="O587" s="24" t="s">
        <v>7246</v>
      </c>
      <c r="P587" s="24" t="s">
        <v>7247</v>
      </c>
      <c r="Q587" s="24" t="s">
        <v>1758</v>
      </c>
      <c r="R587" s="24" t="s">
        <v>7248</v>
      </c>
      <c r="S587" s="24" t="s">
        <v>7249</v>
      </c>
      <c r="T587" s="24" t="s">
        <v>7250</v>
      </c>
      <c r="U587" s="24" t="s">
        <v>183</v>
      </c>
      <c r="V587" s="24"/>
      <c r="W587" s="24"/>
      <c r="X587" s="24"/>
      <c r="Y587" s="24" t="s">
        <v>183</v>
      </c>
      <c r="Z587" s="24"/>
      <c r="AA587" s="24"/>
      <c r="AB587" s="25" t="n">
        <v>10</v>
      </c>
      <c r="AC587" s="24" t="s">
        <v>7251</v>
      </c>
      <c r="AD587" s="24" t="s">
        <v>6757</v>
      </c>
      <c r="AE587" s="24"/>
      <c r="AF587" s="24" t="s">
        <v>168</v>
      </c>
      <c r="AG587" s="24"/>
      <c r="AH587" s="24"/>
      <c r="AI587" s="25" t="n">
        <f aca="false">COUNTIF($B$2:$B$740,B587)</f>
        <v>1</v>
      </c>
    </row>
    <row r="588" customFormat="false" ht="76" hidden="false" customHeight="true" outlineLevel="0" collapsed="false">
      <c r="A588" s="21" t="n">
        <v>587</v>
      </c>
      <c r="B588" s="22" t="s">
        <v>7252</v>
      </c>
      <c r="C588" s="23" t="s">
        <v>9</v>
      </c>
      <c r="D588" s="23" t="s">
        <v>96</v>
      </c>
      <c r="E588" s="23" t="s">
        <v>97</v>
      </c>
      <c r="F588" s="24" t="s">
        <v>50</v>
      </c>
      <c r="G588" s="24" t="s">
        <v>1407</v>
      </c>
      <c r="H588" s="24" t="s">
        <v>5362</v>
      </c>
      <c r="I588" s="24" t="s">
        <v>6502</v>
      </c>
      <c r="J588" s="24" t="s">
        <v>7253</v>
      </c>
      <c r="K588" s="24" t="s">
        <v>7254</v>
      </c>
      <c r="L588" s="24" t="s">
        <v>103</v>
      </c>
      <c r="M588" s="24" t="s">
        <v>2083</v>
      </c>
      <c r="N588" s="24" t="s">
        <v>7255</v>
      </c>
      <c r="O588" s="24" t="s">
        <v>7256</v>
      </c>
      <c r="P588" s="24" t="s">
        <v>7257</v>
      </c>
      <c r="Q588" s="24" t="s">
        <v>7258</v>
      </c>
      <c r="R588" s="24" t="s">
        <v>7259</v>
      </c>
      <c r="S588" s="24" t="s">
        <v>7260</v>
      </c>
      <c r="T588" s="24" t="s">
        <v>7261</v>
      </c>
      <c r="U588" s="24" t="s">
        <v>7262</v>
      </c>
      <c r="V588" s="24" t="s">
        <v>7263</v>
      </c>
      <c r="W588" s="24"/>
      <c r="X588" s="24"/>
      <c r="Y588" s="24" t="s">
        <v>7264</v>
      </c>
      <c r="Z588" s="24"/>
      <c r="AA588" s="24"/>
      <c r="AB588" s="25" t="n">
        <v>10</v>
      </c>
      <c r="AC588" s="24" t="s">
        <v>7265</v>
      </c>
      <c r="AD588" s="24" t="s">
        <v>7266</v>
      </c>
      <c r="AE588" s="24"/>
      <c r="AF588" s="24" t="s">
        <v>168</v>
      </c>
      <c r="AG588" s="24"/>
      <c r="AH588" s="24"/>
      <c r="AI588" s="25" t="n">
        <f aca="false">COUNTIF($B$2:$B$740,B588)</f>
        <v>1</v>
      </c>
    </row>
    <row r="589" customFormat="false" ht="76" hidden="false" customHeight="true" outlineLevel="0" collapsed="false">
      <c r="A589" s="21" t="n">
        <v>588</v>
      </c>
      <c r="B589" s="22" t="s">
        <v>7267</v>
      </c>
      <c r="C589" s="23" t="s">
        <v>9</v>
      </c>
      <c r="D589" s="23" t="s">
        <v>96</v>
      </c>
      <c r="E589" s="23" t="s">
        <v>97</v>
      </c>
      <c r="F589" s="24" t="s">
        <v>50</v>
      </c>
      <c r="G589" s="24" t="s">
        <v>1407</v>
      </c>
      <c r="H589" s="24" t="s">
        <v>5362</v>
      </c>
      <c r="I589" s="24" t="s">
        <v>6502</v>
      </c>
      <c r="J589" s="24" t="s">
        <v>7268</v>
      </c>
      <c r="K589" s="24" t="s">
        <v>7269</v>
      </c>
      <c r="L589" s="24" t="s">
        <v>119</v>
      </c>
      <c r="M589" s="24" t="s">
        <v>7270</v>
      </c>
      <c r="N589" s="24"/>
      <c r="O589" s="24" t="s">
        <v>7271</v>
      </c>
      <c r="P589" s="24" t="s">
        <v>7272</v>
      </c>
      <c r="Q589" s="24" t="s">
        <v>7273</v>
      </c>
      <c r="R589" s="24" t="s">
        <v>7274</v>
      </c>
      <c r="S589" s="24" t="s">
        <v>7275</v>
      </c>
      <c r="T589" s="24" t="s">
        <v>7276</v>
      </c>
      <c r="U589" s="24" t="s">
        <v>7277</v>
      </c>
      <c r="V589" s="24"/>
      <c r="W589" s="24"/>
      <c r="X589" s="24" t="s">
        <v>7278</v>
      </c>
      <c r="Y589" s="24" t="s">
        <v>7277</v>
      </c>
      <c r="Z589" s="24"/>
      <c r="AA589" s="24"/>
      <c r="AB589" s="25" t="n">
        <v>10</v>
      </c>
      <c r="AC589" s="24" t="s">
        <v>7279</v>
      </c>
      <c r="AD589" s="24" t="s">
        <v>7280</v>
      </c>
      <c r="AE589" s="24"/>
      <c r="AF589" s="24" t="s">
        <v>168</v>
      </c>
      <c r="AG589" s="24"/>
      <c r="AH589" s="24"/>
      <c r="AI589" s="25" t="n">
        <f aca="false">COUNTIF($B$2:$B$740,B589)</f>
        <v>1</v>
      </c>
    </row>
    <row r="590" customFormat="false" ht="76" hidden="false" customHeight="true" outlineLevel="0" collapsed="false">
      <c r="A590" s="21" t="n">
        <v>589</v>
      </c>
      <c r="B590" s="22" t="s">
        <v>7281</v>
      </c>
      <c r="C590" s="23" t="s">
        <v>9</v>
      </c>
      <c r="D590" s="23" t="s">
        <v>96</v>
      </c>
      <c r="E590" s="23" t="s">
        <v>97</v>
      </c>
      <c r="F590" s="24" t="s">
        <v>50</v>
      </c>
      <c r="G590" s="24" t="s">
        <v>1407</v>
      </c>
      <c r="H590" s="24" t="s">
        <v>5362</v>
      </c>
      <c r="I590" s="24" t="s">
        <v>6502</v>
      </c>
      <c r="J590" s="24" t="s">
        <v>7282</v>
      </c>
      <c r="K590" s="24" t="s">
        <v>7283</v>
      </c>
      <c r="L590" s="24" t="s">
        <v>103</v>
      </c>
      <c r="M590" s="24" t="s">
        <v>7284</v>
      </c>
      <c r="N590" s="24" t="s">
        <v>6537</v>
      </c>
      <c r="O590" s="24" t="s">
        <v>1747</v>
      </c>
      <c r="P590" s="24" t="s">
        <v>7285</v>
      </c>
      <c r="Q590" s="24" t="s">
        <v>1612</v>
      </c>
      <c r="R590" s="24" t="s">
        <v>7286</v>
      </c>
      <c r="S590" s="24" t="s">
        <v>7287</v>
      </c>
      <c r="T590" s="24" t="s">
        <v>7288</v>
      </c>
      <c r="U590" s="24" t="s">
        <v>7289</v>
      </c>
      <c r="V590" s="24" t="s">
        <v>1747</v>
      </c>
      <c r="W590" s="24" t="s">
        <v>7290</v>
      </c>
      <c r="X590" s="24" t="s">
        <v>6489</v>
      </c>
      <c r="Y590" s="24" t="s">
        <v>7291</v>
      </c>
      <c r="Z590" s="24"/>
      <c r="AA590" s="24"/>
      <c r="AB590" s="25" t="n">
        <v>10</v>
      </c>
      <c r="AC590" s="24" t="s">
        <v>7292</v>
      </c>
      <c r="AD590" s="24" t="s">
        <v>7293</v>
      </c>
      <c r="AE590" s="24" t="s">
        <v>297</v>
      </c>
      <c r="AF590" s="24" t="s">
        <v>168</v>
      </c>
      <c r="AG590" s="24"/>
      <c r="AH590" s="24"/>
      <c r="AI590" s="25" t="n">
        <f aca="false">COUNTIF($B$2:$B$740,B590)</f>
        <v>1</v>
      </c>
    </row>
    <row r="591" customFormat="false" ht="76" hidden="false" customHeight="true" outlineLevel="0" collapsed="false">
      <c r="A591" s="21" t="n">
        <v>590</v>
      </c>
      <c r="B591" s="22" t="s">
        <v>7294</v>
      </c>
      <c r="C591" s="23" t="s">
        <v>9</v>
      </c>
      <c r="D591" s="23" t="s">
        <v>96</v>
      </c>
      <c r="E591" s="23" t="s">
        <v>97</v>
      </c>
      <c r="F591" s="24" t="s">
        <v>50</v>
      </c>
      <c r="G591" s="24" t="s">
        <v>1407</v>
      </c>
      <c r="H591" s="24" t="s">
        <v>5362</v>
      </c>
      <c r="I591" s="24" t="s">
        <v>6502</v>
      </c>
      <c r="J591" s="24" t="s">
        <v>7295</v>
      </c>
      <c r="K591" s="24" t="s">
        <v>7296</v>
      </c>
      <c r="L591" s="24" t="s">
        <v>119</v>
      </c>
      <c r="M591" s="24" t="s">
        <v>7270</v>
      </c>
      <c r="N591" s="24"/>
      <c r="O591" s="24" t="s">
        <v>7297</v>
      </c>
      <c r="P591" s="24" t="s">
        <v>1658</v>
      </c>
      <c r="Q591" s="24" t="s">
        <v>7298</v>
      </c>
      <c r="R591" s="24" t="s">
        <v>7299</v>
      </c>
      <c r="S591" s="24" t="s">
        <v>7300</v>
      </c>
      <c r="T591" s="24" t="s">
        <v>7301</v>
      </c>
      <c r="U591" s="24" t="s">
        <v>7302</v>
      </c>
      <c r="V591" s="24"/>
      <c r="W591" s="24"/>
      <c r="X591" s="24" t="s">
        <v>7278</v>
      </c>
      <c r="Y591" s="24" t="s">
        <v>7302</v>
      </c>
      <c r="Z591" s="24"/>
      <c r="AA591" s="24"/>
      <c r="AB591" s="25" t="n">
        <v>10</v>
      </c>
      <c r="AC591" s="24" t="s">
        <v>7303</v>
      </c>
      <c r="AD591" s="24" t="s">
        <v>7280</v>
      </c>
      <c r="AE591" s="24"/>
      <c r="AF591" s="24" t="s">
        <v>168</v>
      </c>
      <c r="AG591" s="24"/>
      <c r="AH591" s="24"/>
      <c r="AI591" s="25" t="n">
        <f aca="false">COUNTIF($B$2:$B$740,B591)</f>
        <v>1</v>
      </c>
    </row>
    <row r="592" customFormat="false" ht="76" hidden="false" customHeight="true" outlineLevel="0" collapsed="false">
      <c r="A592" s="21" t="n">
        <v>591</v>
      </c>
      <c r="B592" s="22" t="s">
        <v>7304</v>
      </c>
      <c r="C592" s="23" t="s">
        <v>9</v>
      </c>
      <c r="D592" s="23" t="s">
        <v>96</v>
      </c>
      <c r="E592" s="23" t="s">
        <v>97</v>
      </c>
      <c r="F592" s="24" t="s">
        <v>50</v>
      </c>
      <c r="G592" s="24" t="s">
        <v>1407</v>
      </c>
      <c r="H592" s="24" t="s">
        <v>5362</v>
      </c>
      <c r="I592" s="24" t="s">
        <v>6502</v>
      </c>
      <c r="J592" s="24" t="s">
        <v>7305</v>
      </c>
      <c r="K592" s="24" t="s">
        <v>7306</v>
      </c>
      <c r="L592" s="24" t="s">
        <v>119</v>
      </c>
      <c r="M592" s="24" t="s">
        <v>2106</v>
      </c>
      <c r="N592" s="24" t="s">
        <v>7307</v>
      </c>
      <c r="O592" s="24" t="s">
        <v>7308</v>
      </c>
      <c r="P592" s="24" t="s">
        <v>7309</v>
      </c>
      <c r="Q592" s="24" t="s">
        <v>7310</v>
      </c>
      <c r="R592" s="24" t="s">
        <v>7311</v>
      </c>
      <c r="S592" s="24" t="s">
        <v>7312</v>
      </c>
      <c r="T592" s="24" t="s">
        <v>7313</v>
      </c>
      <c r="U592" s="24" t="s">
        <v>7314</v>
      </c>
      <c r="V592" s="24" t="s">
        <v>7308</v>
      </c>
      <c r="W592" s="24" t="s">
        <v>7315</v>
      </c>
      <c r="X592" s="24" t="s">
        <v>6489</v>
      </c>
      <c r="Y592" s="24" t="s">
        <v>7316</v>
      </c>
      <c r="Z592" s="24"/>
      <c r="AA592" s="24"/>
      <c r="AB592" s="25" t="n">
        <v>10</v>
      </c>
      <c r="AC592" s="24" t="s">
        <v>7317</v>
      </c>
      <c r="AD592" s="24" t="s">
        <v>6490</v>
      </c>
      <c r="AE592" s="24"/>
      <c r="AF592" s="24" t="s">
        <v>168</v>
      </c>
      <c r="AG592" s="24"/>
      <c r="AH592" s="24"/>
      <c r="AI592" s="25" t="n">
        <f aca="false">COUNTIF($B$2:$B$740,B592)</f>
        <v>1</v>
      </c>
    </row>
    <row r="593" customFormat="false" ht="76" hidden="false" customHeight="true" outlineLevel="0" collapsed="false">
      <c r="A593" s="21" t="n">
        <v>592</v>
      </c>
      <c r="B593" s="22" t="s">
        <v>7318</v>
      </c>
      <c r="C593" s="23" t="s">
        <v>9</v>
      </c>
      <c r="D593" s="23" t="s">
        <v>96</v>
      </c>
      <c r="E593" s="23" t="s">
        <v>97</v>
      </c>
      <c r="F593" s="24" t="s">
        <v>50</v>
      </c>
      <c r="G593" s="24" t="s">
        <v>1407</v>
      </c>
      <c r="H593" s="24" t="s">
        <v>5362</v>
      </c>
      <c r="I593" s="24" t="s">
        <v>6502</v>
      </c>
      <c r="J593" s="24" t="s">
        <v>7319</v>
      </c>
      <c r="K593" s="24" t="s">
        <v>7320</v>
      </c>
      <c r="L593" s="24" t="s">
        <v>119</v>
      </c>
      <c r="M593" s="24" t="s">
        <v>2106</v>
      </c>
      <c r="N593" s="24" t="s">
        <v>7321</v>
      </c>
      <c r="O593" s="24" t="s">
        <v>1735</v>
      </c>
      <c r="P593" s="24" t="s">
        <v>7322</v>
      </c>
      <c r="Q593" s="24" t="s">
        <v>1612</v>
      </c>
      <c r="R593" s="24" t="s">
        <v>7323</v>
      </c>
      <c r="S593" s="24" t="s">
        <v>7324</v>
      </c>
      <c r="T593" s="24" t="s">
        <v>7325</v>
      </c>
      <c r="U593" s="24" t="s">
        <v>7326</v>
      </c>
      <c r="V593" s="24" t="s">
        <v>7327</v>
      </c>
      <c r="W593" s="24" t="s">
        <v>7328</v>
      </c>
      <c r="X593" s="24" t="s">
        <v>6489</v>
      </c>
      <c r="Y593" s="24" t="s">
        <v>7329</v>
      </c>
      <c r="Z593" s="24"/>
      <c r="AA593" s="24"/>
      <c r="AB593" s="25" t="n">
        <v>10</v>
      </c>
      <c r="AC593" s="24" t="s">
        <v>7330</v>
      </c>
      <c r="AD593" s="24" t="s">
        <v>7331</v>
      </c>
      <c r="AE593" s="24"/>
      <c r="AF593" s="24" t="s">
        <v>168</v>
      </c>
      <c r="AG593" s="24"/>
      <c r="AH593" s="24"/>
      <c r="AI593" s="25" t="n">
        <f aca="false">COUNTIF($B$2:$B$740,B593)</f>
        <v>1</v>
      </c>
    </row>
    <row r="594" customFormat="false" ht="76" hidden="false" customHeight="true" outlineLevel="0" collapsed="false">
      <c r="A594" s="21" t="n">
        <v>593</v>
      </c>
      <c r="B594" s="22" t="s">
        <v>2145</v>
      </c>
      <c r="C594" s="23" t="s">
        <v>9</v>
      </c>
      <c r="D594" s="23" t="s">
        <v>96</v>
      </c>
      <c r="E594" s="23" t="s">
        <v>97</v>
      </c>
      <c r="F594" s="24" t="s">
        <v>50</v>
      </c>
      <c r="G594" s="24" t="s">
        <v>1407</v>
      </c>
      <c r="H594" s="24" t="s">
        <v>5362</v>
      </c>
      <c r="I594" s="24" t="s">
        <v>6502</v>
      </c>
      <c r="J594" s="24" t="s">
        <v>7332</v>
      </c>
      <c r="K594" s="24" t="s">
        <v>7333</v>
      </c>
      <c r="L594" s="24" t="s">
        <v>103</v>
      </c>
      <c r="M594" s="24" t="s">
        <v>2121</v>
      </c>
      <c r="N594" s="24" t="s">
        <v>2778</v>
      </c>
      <c r="O594" s="24" t="s">
        <v>7334</v>
      </c>
      <c r="P594" s="24" t="s">
        <v>6715</v>
      </c>
      <c r="Q594" s="24" t="s">
        <v>7335</v>
      </c>
      <c r="R594" s="24" t="s">
        <v>7336</v>
      </c>
      <c r="S594" s="24" t="s">
        <v>7337</v>
      </c>
      <c r="T594" s="24" t="s">
        <v>7338</v>
      </c>
      <c r="U594" s="24" t="s">
        <v>7339</v>
      </c>
      <c r="V594" s="24" t="s">
        <v>7340</v>
      </c>
      <c r="W594" s="24" t="s">
        <v>7341</v>
      </c>
      <c r="X594" s="24"/>
      <c r="Y594" s="24" t="s">
        <v>7342</v>
      </c>
      <c r="Z594" s="24"/>
      <c r="AA594" s="24"/>
      <c r="AB594" s="25" t="n">
        <v>10</v>
      </c>
      <c r="AC594" s="24" t="s">
        <v>7343</v>
      </c>
      <c r="AD594" s="24" t="s">
        <v>7344</v>
      </c>
      <c r="AE594" s="24"/>
      <c r="AF594" s="24" t="s">
        <v>168</v>
      </c>
      <c r="AG594" s="24"/>
      <c r="AH594" s="24"/>
      <c r="AI594" s="25" t="n">
        <f aca="false">COUNTIF($B$2:$B$740,B594)</f>
        <v>1</v>
      </c>
    </row>
    <row r="595" customFormat="false" ht="76" hidden="false" customHeight="true" outlineLevel="0" collapsed="false">
      <c r="A595" s="21" t="n">
        <v>594</v>
      </c>
      <c r="B595" s="22" t="s">
        <v>7345</v>
      </c>
      <c r="C595" s="23" t="s">
        <v>9</v>
      </c>
      <c r="D595" s="23" t="s">
        <v>96</v>
      </c>
      <c r="E595" s="23" t="s">
        <v>97</v>
      </c>
      <c r="F595" s="24" t="s">
        <v>50</v>
      </c>
      <c r="G595" s="24" t="s">
        <v>1407</v>
      </c>
      <c r="H595" s="24" t="s">
        <v>5362</v>
      </c>
      <c r="I595" s="24" t="s">
        <v>6502</v>
      </c>
      <c r="J595" s="24" t="s">
        <v>7346</v>
      </c>
      <c r="K595" s="24" t="s">
        <v>7347</v>
      </c>
      <c r="L595" s="24" t="s">
        <v>103</v>
      </c>
      <c r="M595" s="24" t="s">
        <v>2121</v>
      </c>
      <c r="N595" s="24" t="s">
        <v>7348</v>
      </c>
      <c r="O595" s="24" t="s">
        <v>7349</v>
      </c>
      <c r="P595" s="24" t="s">
        <v>7350</v>
      </c>
      <c r="Q595" s="24" t="s">
        <v>7351</v>
      </c>
      <c r="R595" s="24" t="s">
        <v>7352</v>
      </c>
      <c r="S595" s="24" t="s">
        <v>7353</v>
      </c>
      <c r="T595" s="24" t="s">
        <v>7354</v>
      </c>
      <c r="U595" s="24" t="s">
        <v>7355</v>
      </c>
      <c r="V595" s="24" t="s">
        <v>7356</v>
      </c>
      <c r="W595" s="24" t="s">
        <v>7357</v>
      </c>
      <c r="X595" s="24"/>
      <c r="Y595" s="24" t="s">
        <v>7358</v>
      </c>
      <c r="Z595" s="24"/>
      <c r="AA595" s="24" t="s">
        <v>7359</v>
      </c>
      <c r="AB595" s="25" t="n">
        <v>10</v>
      </c>
      <c r="AC595" s="24" t="s">
        <v>7360</v>
      </c>
      <c r="AD595" s="24" t="s">
        <v>7361</v>
      </c>
      <c r="AE595" s="24" t="s">
        <v>7362</v>
      </c>
      <c r="AF595" s="24" t="s">
        <v>168</v>
      </c>
      <c r="AG595" s="24"/>
      <c r="AH595" s="24"/>
      <c r="AI595" s="25" t="n">
        <f aca="false">COUNTIF($B$2:$B$740,B595)</f>
        <v>1</v>
      </c>
    </row>
    <row r="596" customFormat="false" ht="76" hidden="false" customHeight="true" outlineLevel="0" collapsed="false">
      <c r="A596" s="21" t="n">
        <v>595</v>
      </c>
      <c r="B596" s="22" t="s">
        <v>7363</v>
      </c>
      <c r="C596" s="23" t="s">
        <v>9</v>
      </c>
      <c r="D596" s="23" t="s">
        <v>96</v>
      </c>
      <c r="E596" s="23" t="s">
        <v>97</v>
      </c>
      <c r="F596" s="24" t="s">
        <v>50</v>
      </c>
      <c r="G596" s="24" t="s">
        <v>1407</v>
      </c>
      <c r="H596" s="24" t="s">
        <v>5362</v>
      </c>
      <c r="I596" s="24" t="s">
        <v>6502</v>
      </c>
      <c r="J596" s="24" t="s">
        <v>7364</v>
      </c>
      <c r="K596" s="24" t="s">
        <v>7365</v>
      </c>
      <c r="L596" s="24" t="s">
        <v>173</v>
      </c>
      <c r="M596" s="24" t="s">
        <v>2121</v>
      </c>
      <c r="N596" s="24" t="s">
        <v>7366</v>
      </c>
      <c r="O596" s="24" t="s">
        <v>7367</v>
      </c>
      <c r="P596" s="24" t="s">
        <v>7368</v>
      </c>
      <c r="Q596" s="24" t="s">
        <v>7369</v>
      </c>
      <c r="R596" s="24" t="s">
        <v>7370</v>
      </c>
      <c r="S596" s="24" t="s">
        <v>7371</v>
      </c>
      <c r="T596" s="24" t="s">
        <v>7372</v>
      </c>
      <c r="U596" s="24" t="s">
        <v>7373</v>
      </c>
      <c r="V596" s="24" t="s">
        <v>7374</v>
      </c>
      <c r="W596" s="24" t="s">
        <v>7375</v>
      </c>
      <c r="X596" s="24"/>
      <c r="Y596" s="24" t="s">
        <v>7376</v>
      </c>
      <c r="Z596" s="24"/>
      <c r="AA596" s="24"/>
      <c r="AB596" s="25" t="n">
        <v>10</v>
      </c>
      <c r="AC596" s="24" t="s">
        <v>7377</v>
      </c>
      <c r="AD596" s="24" t="s">
        <v>7378</v>
      </c>
      <c r="AE596" s="24"/>
      <c r="AF596" s="24" t="s">
        <v>168</v>
      </c>
      <c r="AG596" s="24"/>
      <c r="AH596" s="24"/>
      <c r="AI596" s="25" t="n">
        <f aca="false">COUNTIF($B$2:$B$740,B596)</f>
        <v>1</v>
      </c>
    </row>
    <row r="597" customFormat="false" ht="76" hidden="false" customHeight="true" outlineLevel="0" collapsed="false">
      <c r="A597" s="21" t="n">
        <v>596</v>
      </c>
      <c r="B597" s="22" t="s">
        <v>7379</v>
      </c>
      <c r="C597" s="23" t="s">
        <v>12</v>
      </c>
      <c r="D597" s="23" t="s">
        <v>209</v>
      </c>
      <c r="E597" s="23" t="s">
        <v>97</v>
      </c>
      <c r="F597" s="24" t="s">
        <v>50</v>
      </c>
      <c r="G597" s="24" t="s">
        <v>1407</v>
      </c>
      <c r="H597" s="24" t="s">
        <v>5362</v>
      </c>
      <c r="I597" s="24" t="s">
        <v>6502</v>
      </c>
      <c r="J597" s="24" t="s">
        <v>7380</v>
      </c>
      <c r="K597" s="24" t="s">
        <v>7381</v>
      </c>
      <c r="L597" s="24" t="s">
        <v>119</v>
      </c>
      <c r="M597" s="24" t="s">
        <v>2196</v>
      </c>
      <c r="N597" s="24" t="s">
        <v>7382</v>
      </c>
      <c r="O597" s="24" t="s">
        <v>7383</v>
      </c>
      <c r="P597" s="24" t="s">
        <v>7384</v>
      </c>
      <c r="Q597" s="24" t="s">
        <v>7385</v>
      </c>
      <c r="R597" s="24" t="s">
        <v>7386</v>
      </c>
      <c r="S597" s="24" t="s">
        <v>7387</v>
      </c>
      <c r="T597" s="24" t="s">
        <v>7388</v>
      </c>
      <c r="U597" s="24" t="s">
        <v>7389</v>
      </c>
      <c r="V597" s="24"/>
      <c r="W597" s="24" t="s">
        <v>7387</v>
      </c>
      <c r="X597" s="24"/>
      <c r="Y597" s="24" t="s">
        <v>7390</v>
      </c>
      <c r="Z597" s="24"/>
      <c r="AA597" s="24"/>
      <c r="AB597" s="25" t="n">
        <v>10</v>
      </c>
      <c r="AC597" s="24" t="s">
        <v>7391</v>
      </c>
      <c r="AD597" s="24" t="s">
        <v>7392</v>
      </c>
      <c r="AE597" s="24"/>
      <c r="AF597" s="24" t="s">
        <v>168</v>
      </c>
      <c r="AG597" s="24"/>
      <c r="AH597" s="24"/>
      <c r="AI597" s="25" t="n">
        <f aca="false">COUNTIF($B$2:$B$740,B597)</f>
        <v>1</v>
      </c>
    </row>
    <row r="598" customFormat="false" ht="76" hidden="false" customHeight="true" outlineLevel="0" collapsed="false">
      <c r="A598" s="21" t="n">
        <v>597</v>
      </c>
      <c r="B598" s="22" t="s">
        <v>7393</v>
      </c>
      <c r="C598" s="23" t="s">
        <v>9</v>
      </c>
      <c r="D598" s="23" t="s">
        <v>96</v>
      </c>
      <c r="E598" s="23" t="s">
        <v>97</v>
      </c>
      <c r="F598" s="24" t="s">
        <v>50</v>
      </c>
      <c r="G598" s="24" t="s">
        <v>1407</v>
      </c>
      <c r="H598" s="24" t="s">
        <v>5362</v>
      </c>
      <c r="I598" s="24" t="s">
        <v>6502</v>
      </c>
      <c r="J598" s="24" t="s">
        <v>7394</v>
      </c>
      <c r="K598" s="24" t="s">
        <v>7395</v>
      </c>
      <c r="L598" s="24" t="s">
        <v>119</v>
      </c>
      <c r="M598" s="24" t="s">
        <v>2196</v>
      </c>
      <c r="N598" s="24" t="s">
        <v>856</v>
      </c>
      <c r="O598" s="24" t="s">
        <v>7396</v>
      </c>
      <c r="P598" s="24" t="s">
        <v>7397</v>
      </c>
      <c r="Q598" s="24" t="s">
        <v>7398</v>
      </c>
      <c r="R598" s="24" t="s">
        <v>7399</v>
      </c>
      <c r="S598" s="24" t="s">
        <v>7400</v>
      </c>
      <c r="T598" s="24" t="s">
        <v>7401</v>
      </c>
      <c r="U598" s="24" t="s">
        <v>183</v>
      </c>
      <c r="V598" s="24"/>
      <c r="W598" s="24"/>
      <c r="X598" s="24"/>
      <c r="Y598" s="24" t="s">
        <v>183</v>
      </c>
      <c r="Z598" s="24"/>
      <c r="AA598" s="24"/>
      <c r="AB598" s="25" t="n">
        <v>10</v>
      </c>
      <c r="AC598" s="24" t="s">
        <v>7402</v>
      </c>
      <c r="AD598" s="24" t="s">
        <v>7392</v>
      </c>
      <c r="AE598" s="24"/>
      <c r="AF598" s="24" t="s">
        <v>168</v>
      </c>
      <c r="AG598" s="24"/>
      <c r="AH598" s="24"/>
      <c r="AI598" s="25" t="n">
        <f aca="false">COUNTIF($B$2:$B$740,B598)</f>
        <v>1</v>
      </c>
    </row>
    <row r="599" customFormat="false" ht="76" hidden="false" customHeight="true" outlineLevel="0" collapsed="false">
      <c r="A599" s="21" t="n">
        <v>598</v>
      </c>
      <c r="B599" s="22" t="s">
        <v>7403</v>
      </c>
      <c r="C599" s="23" t="s">
        <v>9</v>
      </c>
      <c r="D599" s="23" t="s">
        <v>96</v>
      </c>
      <c r="E599" s="23" t="s">
        <v>97</v>
      </c>
      <c r="F599" s="24" t="s">
        <v>50</v>
      </c>
      <c r="G599" s="24" t="s">
        <v>1407</v>
      </c>
      <c r="H599" s="24" t="s">
        <v>5362</v>
      </c>
      <c r="I599" s="24" t="s">
        <v>6502</v>
      </c>
      <c r="J599" s="24" t="s">
        <v>7404</v>
      </c>
      <c r="K599" s="24" t="s">
        <v>7405</v>
      </c>
      <c r="L599" s="24" t="s">
        <v>173</v>
      </c>
      <c r="M599" s="24" t="s">
        <v>2228</v>
      </c>
      <c r="N599" s="24" t="s">
        <v>1581</v>
      </c>
      <c r="O599" s="24" t="s">
        <v>7406</v>
      </c>
      <c r="P599" s="24" t="s">
        <v>7407</v>
      </c>
      <c r="Q599" s="24" t="s">
        <v>7408</v>
      </c>
      <c r="R599" s="24" t="s">
        <v>7409</v>
      </c>
      <c r="S599" s="24" t="s">
        <v>7410</v>
      </c>
      <c r="T599" s="24" t="s">
        <v>7411</v>
      </c>
      <c r="U599" s="24" t="s">
        <v>7412</v>
      </c>
      <c r="V599" s="24" t="s">
        <v>7413</v>
      </c>
      <c r="W599" s="24" t="s">
        <v>7414</v>
      </c>
      <c r="X599" s="24"/>
      <c r="Y599" s="24" t="s">
        <v>7415</v>
      </c>
      <c r="Z599" s="24"/>
      <c r="AA599" s="24"/>
      <c r="AB599" s="25" t="n">
        <v>80</v>
      </c>
      <c r="AC599" s="24" t="s">
        <v>7416</v>
      </c>
      <c r="AD599" s="24" t="s">
        <v>7417</v>
      </c>
      <c r="AE599" s="24" t="s">
        <v>2247</v>
      </c>
      <c r="AF599" s="24" t="s">
        <v>168</v>
      </c>
      <c r="AG599" s="24"/>
      <c r="AH599" s="24" t="s">
        <v>941</v>
      </c>
      <c r="AI599" s="25" t="n">
        <f aca="false">COUNTIF($B$2:$B$740,B599)</f>
        <v>1</v>
      </c>
    </row>
    <row r="600" customFormat="false" ht="76" hidden="false" customHeight="true" outlineLevel="0" collapsed="false">
      <c r="A600" s="21" t="n">
        <v>599</v>
      </c>
      <c r="B600" s="22" t="s">
        <v>7418</v>
      </c>
      <c r="C600" s="23" t="s">
        <v>9</v>
      </c>
      <c r="D600" s="23" t="s">
        <v>96</v>
      </c>
      <c r="E600" s="23" t="s">
        <v>97</v>
      </c>
      <c r="F600" s="24" t="s">
        <v>50</v>
      </c>
      <c r="G600" s="24" t="s">
        <v>1407</v>
      </c>
      <c r="H600" s="24" t="s">
        <v>5362</v>
      </c>
      <c r="I600" s="24" t="s">
        <v>6502</v>
      </c>
      <c r="J600" s="24" t="s">
        <v>7419</v>
      </c>
      <c r="K600" s="24" t="s">
        <v>7420</v>
      </c>
      <c r="L600" s="24" t="s">
        <v>173</v>
      </c>
      <c r="M600" s="24" t="s">
        <v>7421</v>
      </c>
      <c r="N600" s="24" t="s">
        <v>1581</v>
      </c>
      <c r="O600" s="24" t="s">
        <v>7422</v>
      </c>
      <c r="P600" s="24" t="s">
        <v>7423</v>
      </c>
      <c r="Q600" s="24" t="s">
        <v>7424</v>
      </c>
      <c r="R600" s="24" t="s">
        <v>7425</v>
      </c>
      <c r="S600" s="24" t="s">
        <v>7426</v>
      </c>
      <c r="T600" s="24" t="s">
        <v>7427</v>
      </c>
      <c r="U600" s="24" t="s">
        <v>183</v>
      </c>
      <c r="V600" s="24"/>
      <c r="W600" s="24"/>
      <c r="X600" s="24"/>
      <c r="Y600" s="24" t="s">
        <v>7428</v>
      </c>
      <c r="Z600" s="24"/>
      <c r="AA600" s="24"/>
      <c r="AB600" s="25" t="n">
        <v>10</v>
      </c>
      <c r="AC600" s="24" t="s">
        <v>7429</v>
      </c>
      <c r="AD600" s="24" t="s">
        <v>7430</v>
      </c>
      <c r="AE600" s="24"/>
      <c r="AF600" s="24" t="s">
        <v>168</v>
      </c>
      <c r="AG600" s="24"/>
      <c r="AH600" s="24"/>
      <c r="AI600" s="25" t="n">
        <f aca="false">COUNTIF($B$2:$B$740,B600)</f>
        <v>1</v>
      </c>
    </row>
    <row r="601" customFormat="false" ht="76" hidden="false" customHeight="true" outlineLevel="0" collapsed="false">
      <c r="A601" s="21" t="n">
        <v>600</v>
      </c>
      <c r="B601" s="22" t="s">
        <v>7431</v>
      </c>
      <c r="C601" s="23" t="s">
        <v>9</v>
      </c>
      <c r="D601" s="23" t="s">
        <v>96</v>
      </c>
      <c r="E601" s="23" t="s">
        <v>97</v>
      </c>
      <c r="F601" s="24" t="s">
        <v>50</v>
      </c>
      <c r="G601" s="24" t="s">
        <v>1407</v>
      </c>
      <c r="H601" s="24" t="s">
        <v>5362</v>
      </c>
      <c r="I601" s="24" t="s">
        <v>6502</v>
      </c>
      <c r="J601" s="24" t="s">
        <v>7432</v>
      </c>
      <c r="K601" s="24" t="s">
        <v>7433</v>
      </c>
      <c r="L601" s="24" t="s">
        <v>1183</v>
      </c>
      <c r="M601" s="24" t="s">
        <v>7434</v>
      </c>
      <c r="N601" s="24" t="s">
        <v>7435</v>
      </c>
      <c r="O601" s="24" t="s">
        <v>7436</v>
      </c>
      <c r="P601" s="24" t="s">
        <v>7437</v>
      </c>
      <c r="Q601" s="24" t="s">
        <v>7438</v>
      </c>
      <c r="R601" s="24" t="s">
        <v>7439</v>
      </c>
      <c r="S601" s="24" t="s">
        <v>7440</v>
      </c>
      <c r="T601" s="24" t="s">
        <v>7441</v>
      </c>
      <c r="U601" s="24" t="s">
        <v>7442</v>
      </c>
      <c r="V601" s="24" t="s">
        <v>7443</v>
      </c>
      <c r="W601" s="24" t="s">
        <v>7444</v>
      </c>
      <c r="X601" s="24"/>
      <c r="Y601" s="24" t="s">
        <v>7445</v>
      </c>
      <c r="Z601" s="24"/>
      <c r="AA601" s="24"/>
      <c r="AB601" s="25" t="n">
        <v>80</v>
      </c>
      <c r="AC601" s="24" t="s">
        <v>7446</v>
      </c>
      <c r="AD601" s="24" t="s">
        <v>7447</v>
      </c>
      <c r="AE601" s="24" t="s">
        <v>2292</v>
      </c>
      <c r="AF601" s="24" t="s">
        <v>168</v>
      </c>
      <c r="AG601" s="24"/>
      <c r="AH601" s="24" t="s">
        <v>941</v>
      </c>
      <c r="AI601" s="25" t="n">
        <f aca="false">COUNTIF($B$2:$B$740,B601)</f>
        <v>1</v>
      </c>
    </row>
    <row r="602" customFormat="false" ht="76" hidden="false" customHeight="true" outlineLevel="0" collapsed="false">
      <c r="A602" s="21" t="n">
        <v>601</v>
      </c>
      <c r="B602" s="22" t="s">
        <v>7448</v>
      </c>
      <c r="C602" s="23" t="s">
        <v>9</v>
      </c>
      <c r="D602" s="23" t="s">
        <v>96</v>
      </c>
      <c r="E602" s="23" t="s">
        <v>97</v>
      </c>
      <c r="F602" s="24" t="s">
        <v>50</v>
      </c>
      <c r="G602" s="24" t="s">
        <v>1407</v>
      </c>
      <c r="H602" s="24" t="s">
        <v>5362</v>
      </c>
      <c r="I602" s="24" t="s">
        <v>6502</v>
      </c>
      <c r="J602" s="24" t="s">
        <v>7449</v>
      </c>
      <c r="K602" s="24" t="s">
        <v>7450</v>
      </c>
      <c r="L602" s="24" t="s">
        <v>1183</v>
      </c>
      <c r="M602" s="24" t="s">
        <v>7434</v>
      </c>
      <c r="N602" s="24" t="s">
        <v>2282</v>
      </c>
      <c r="O602" s="24" t="s">
        <v>7451</v>
      </c>
      <c r="P602" s="24" t="s">
        <v>1658</v>
      </c>
      <c r="Q602" s="24" t="s">
        <v>7452</v>
      </c>
      <c r="R602" s="24" t="s">
        <v>7453</v>
      </c>
      <c r="S602" s="24" t="s">
        <v>7454</v>
      </c>
      <c r="T602" s="24" t="s">
        <v>7455</v>
      </c>
      <c r="U602" s="24" t="s">
        <v>183</v>
      </c>
      <c r="V602" s="24" t="s">
        <v>7456</v>
      </c>
      <c r="W602" s="24" t="s">
        <v>7457</v>
      </c>
      <c r="X602" s="24"/>
      <c r="Y602" s="24" t="s">
        <v>7445</v>
      </c>
      <c r="Z602" s="24"/>
      <c r="AA602" s="24"/>
      <c r="AB602" s="25" t="n">
        <v>80</v>
      </c>
      <c r="AC602" s="24" t="s">
        <v>7458</v>
      </c>
      <c r="AD602" s="24" t="s">
        <v>7447</v>
      </c>
      <c r="AE602" s="24" t="s">
        <v>2292</v>
      </c>
      <c r="AF602" s="24" t="s">
        <v>168</v>
      </c>
      <c r="AG602" s="24"/>
      <c r="AH602" s="24" t="s">
        <v>941</v>
      </c>
      <c r="AI602" s="25" t="n">
        <f aca="false">COUNTIF($B$2:$B$740,B602)</f>
        <v>1</v>
      </c>
    </row>
    <row r="603" customFormat="false" ht="76" hidden="false" customHeight="true" outlineLevel="0" collapsed="false">
      <c r="A603" s="21" t="n">
        <v>602</v>
      </c>
      <c r="B603" s="22" t="s">
        <v>7459</v>
      </c>
      <c r="C603" s="23" t="s">
        <v>9</v>
      </c>
      <c r="D603" s="23" t="s">
        <v>96</v>
      </c>
      <c r="E603" s="23" t="s">
        <v>97</v>
      </c>
      <c r="F603" s="24" t="s">
        <v>50</v>
      </c>
      <c r="G603" s="24" t="s">
        <v>1407</v>
      </c>
      <c r="H603" s="24" t="s">
        <v>5362</v>
      </c>
      <c r="I603" s="24" t="s">
        <v>6502</v>
      </c>
      <c r="J603" s="24" t="s">
        <v>7460</v>
      </c>
      <c r="K603" s="24" t="s">
        <v>7461</v>
      </c>
      <c r="L603" s="24" t="s">
        <v>103</v>
      </c>
      <c r="M603" s="24" t="s">
        <v>2321</v>
      </c>
      <c r="N603" s="24" t="s">
        <v>7462</v>
      </c>
      <c r="O603" s="24" t="s">
        <v>6672</v>
      </c>
      <c r="P603" s="24" t="s">
        <v>7463</v>
      </c>
      <c r="Q603" s="24" t="s">
        <v>7464</v>
      </c>
      <c r="R603" s="24" t="s">
        <v>7465</v>
      </c>
      <c r="S603" s="24" t="s">
        <v>7466</v>
      </c>
      <c r="T603" s="24" t="s">
        <v>7467</v>
      </c>
      <c r="U603" s="24" t="s">
        <v>6693</v>
      </c>
      <c r="V603" s="24" t="s">
        <v>6672</v>
      </c>
      <c r="W603" s="24" t="s">
        <v>7468</v>
      </c>
      <c r="X603" s="24"/>
      <c r="Y603" s="24" t="s">
        <v>7469</v>
      </c>
      <c r="Z603" s="24"/>
      <c r="AA603" s="24"/>
      <c r="AB603" s="25" t="n">
        <v>10</v>
      </c>
      <c r="AC603" s="24" t="s">
        <v>7470</v>
      </c>
      <c r="AD603" s="24" t="s">
        <v>7471</v>
      </c>
      <c r="AE603" s="24"/>
      <c r="AF603" s="24" t="s">
        <v>168</v>
      </c>
      <c r="AG603" s="24"/>
      <c r="AH603" s="24"/>
      <c r="AI603" s="25" t="n">
        <f aca="false">COUNTIF($B$2:$B$740,B603)</f>
        <v>1</v>
      </c>
    </row>
    <row r="604" customFormat="false" ht="76" hidden="false" customHeight="true" outlineLevel="0" collapsed="false">
      <c r="A604" s="21" t="n">
        <v>603</v>
      </c>
      <c r="B604" s="22" t="s">
        <v>7472</v>
      </c>
      <c r="C604" s="23" t="s">
        <v>9</v>
      </c>
      <c r="D604" s="23" t="s">
        <v>96</v>
      </c>
      <c r="E604" s="23" t="s">
        <v>97</v>
      </c>
      <c r="F604" s="24" t="s">
        <v>50</v>
      </c>
      <c r="G604" s="24" t="s">
        <v>1407</v>
      </c>
      <c r="H604" s="24" t="s">
        <v>5362</v>
      </c>
      <c r="I604" s="24" t="s">
        <v>6502</v>
      </c>
      <c r="J604" s="24" t="s">
        <v>7473</v>
      </c>
      <c r="K604" s="24" t="s">
        <v>7474</v>
      </c>
      <c r="L604" s="24" t="s">
        <v>103</v>
      </c>
      <c r="M604" s="24" t="s">
        <v>7475</v>
      </c>
      <c r="N604" s="24" t="s">
        <v>7476</v>
      </c>
      <c r="O604" s="24" t="s">
        <v>7477</v>
      </c>
      <c r="P604" s="24" t="s">
        <v>7478</v>
      </c>
      <c r="Q604" s="24" t="s">
        <v>7479</v>
      </c>
      <c r="R604" s="24" t="s">
        <v>7480</v>
      </c>
      <c r="S604" s="24" t="s">
        <v>7481</v>
      </c>
      <c r="T604" s="24" t="s">
        <v>7482</v>
      </c>
      <c r="U604" s="24" t="s">
        <v>7483</v>
      </c>
      <c r="V604" s="24"/>
      <c r="W604" s="24" t="s">
        <v>7484</v>
      </c>
      <c r="X604" s="24"/>
      <c r="Y604" s="24" t="s">
        <v>7485</v>
      </c>
      <c r="Z604" s="24"/>
      <c r="AA604" s="24"/>
      <c r="AB604" s="25" t="n">
        <v>10</v>
      </c>
      <c r="AC604" s="24" t="s">
        <v>7486</v>
      </c>
      <c r="AD604" s="24" t="s">
        <v>7487</v>
      </c>
      <c r="AE604" s="24" t="s">
        <v>5314</v>
      </c>
      <c r="AF604" s="24" t="s">
        <v>168</v>
      </c>
      <c r="AG604" s="24"/>
      <c r="AH604" s="24"/>
      <c r="AI604" s="25" t="n">
        <f aca="false">COUNTIF($B$2:$B$740,B604)</f>
        <v>1</v>
      </c>
    </row>
    <row r="605" customFormat="false" ht="76" hidden="false" customHeight="true" outlineLevel="0" collapsed="false">
      <c r="A605" s="21" t="n">
        <v>604</v>
      </c>
      <c r="B605" s="22" t="s">
        <v>7488</v>
      </c>
      <c r="C605" s="23" t="s">
        <v>9</v>
      </c>
      <c r="D605" s="23" t="s">
        <v>96</v>
      </c>
      <c r="E605" s="23" t="s">
        <v>97</v>
      </c>
      <c r="F605" s="24" t="s">
        <v>50</v>
      </c>
      <c r="G605" s="24" t="s">
        <v>1407</v>
      </c>
      <c r="H605" s="24" t="s">
        <v>5362</v>
      </c>
      <c r="I605" s="24" t="s">
        <v>6502</v>
      </c>
      <c r="J605" s="24" t="s">
        <v>7489</v>
      </c>
      <c r="K605" s="24" t="s">
        <v>7490</v>
      </c>
      <c r="L605" s="24" t="s">
        <v>103</v>
      </c>
      <c r="M605" s="24" t="s">
        <v>2348</v>
      </c>
      <c r="N605" s="24"/>
      <c r="O605" s="24" t="s">
        <v>7491</v>
      </c>
      <c r="P605" s="24" t="s">
        <v>1748</v>
      </c>
      <c r="Q605" s="24" t="s">
        <v>7492</v>
      </c>
      <c r="R605" s="24" t="s">
        <v>7493</v>
      </c>
      <c r="S605" s="24" t="s">
        <v>7494</v>
      </c>
      <c r="T605" s="24" t="s">
        <v>7495</v>
      </c>
      <c r="U605" s="24" t="s">
        <v>7496</v>
      </c>
      <c r="V605" s="24" t="s">
        <v>7497</v>
      </c>
      <c r="W605" s="24"/>
      <c r="X605" s="24" t="s">
        <v>7498</v>
      </c>
      <c r="Y605" s="24" t="s">
        <v>7499</v>
      </c>
      <c r="Z605" s="24"/>
      <c r="AA605" s="24"/>
      <c r="AB605" s="25" t="n">
        <v>10</v>
      </c>
      <c r="AC605" s="24" t="s">
        <v>7500</v>
      </c>
      <c r="AD605" s="24" t="s">
        <v>7501</v>
      </c>
      <c r="AE605" s="24"/>
      <c r="AF605" s="24" t="s">
        <v>168</v>
      </c>
      <c r="AG605" s="24"/>
      <c r="AH605" s="24"/>
      <c r="AI605" s="25" t="n">
        <f aca="false">COUNTIF($B$2:$B$740,B605)</f>
        <v>1</v>
      </c>
    </row>
    <row r="606" customFormat="false" ht="76" hidden="false" customHeight="true" outlineLevel="0" collapsed="false">
      <c r="A606" s="21" t="n">
        <v>605</v>
      </c>
      <c r="B606" s="22" t="s">
        <v>7502</v>
      </c>
      <c r="C606" s="23" t="s">
        <v>9</v>
      </c>
      <c r="D606" s="23" t="s">
        <v>96</v>
      </c>
      <c r="E606" s="23" t="s">
        <v>97</v>
      </c>
      <c r="F606" s="24" t="s">
        <v>50</v>
      </c>
      <c r="G606" s="24" t="s">
        <v>1407</v>
      </c>
      <c r="H606" s="24" t="s">
        <v>5362</v>
      </c>
      <c r="I606" s="24" t="s">
        <v>6502</v>
      </c>
      <c r="J606" s="24" t="s">
        <v>7503</v>
      </c>
      <c r="K606" s="24" t="s">
        <v>7504</v>
      </c>
      <c r="L606" s="24" t="s">
        <v>173</v>
      </c>
      <c r="M606" s="24" t="s">
        <v>7475</v>
      </c>
      <c r="N606" s="24" t="s">
        <v>7505</v>
      </c>
      <c r="O606" s="24" t="s">
        <v>7506</v>
      </c>
      <c r="P606" s="24" t="s">
        <v>7507</v>
      </c>
      <c r="Q606" s="24" t="s">
        <v>7508</v>
      </c>
      <c r="R606" s="24" t="s">
        <v>7509</v>
      </c>
      <c r="S606" s="24" t="s">
        <v>7510</v>
      </c>
      <c r="T606" s="24" t="s">
        <v>7511</v>
      </c>
      <c r="U606" s="24" t="s">
        <v>7512</v>
      </c>
      <c r="V606" s="24" t="s">
        <v>7513</v>
      </c>
      <c r="W606" s="24" t="s">
        <v>7514</v>
      </c>
      <c r="X606" s="24" t="s">
        <v>7515</v>
      </c>
      <c r="Y606" s="24" t="s">
        <v>7516</v>
      </c>
      <c r="Z606" s="24"/>
      <c r="AA606" s="24"/>
      <c r="AB606" s="25" t="n">
        <v>10</v>
      </c>
      <c r="AC606" s="24" t="s">
        <v>7517</v>
      </c>
      <c r="AD606" s="24" t="s">
        <v>7518</v>
      </c>
      <c r="AE606" s="24"/>
      <c r="AF606" s="24" t="s">
        <v>168</v>
      </c>
      <c r="AG606" s="24"/>
      <c r="AH606" s="24"/>
      <c r="AI606" s="25" t="n">
        <f aca="false">COUNTIF($B$2:$B$740,B606)</f>
        <v>1</v>
      </c>
    </row>
    <row r="607" customFormat="false" ht="76" hidden="false" customHeight="true" outlineLevel="0" collapsed="false">
      <c r="A607" s="21" t="n">
        <v>606</v>
      </c>
      <c r="B607" s="22" t="s">
        <v>7519</v>
      </c>
      <c r="C607" s="23" t="s">
        <v>9</v>
      </c>
      <c r="D607" s="23" t="s">
        <v>96</v>
      </c>
      <c r="E607" s="23" t="s">
        <v>97</v>
      </c>
      <c r="F607" s="24" t="s">
        <v>50</v>
      </c>
      <c r="G607" s="24" t="s">
        <v>1407</v>
      </c>
      <c r="H607" s="24" t="s">
        <v>5362</v>
      </c>
      <c r="I607" s="24" t="s">
        <v>6502</v>
      </c>
      <c r="J607" s="24" t="s">
        <v>7520</v>
      </c>
      <c r="K607" s="24" t="s">
        <v>7521</v>
      </c>
      <c r="L607" s="24" t="s">
        <v>103</v>
      </c>
      <c r="M607" s="24" t="s">
        <v>2348</v>
      </c>
      <c r="N607" s="24"/>
      <c r="O607" s="24" t="s">
        <v>7522</v>
      </c>
      <c r="P607" s="24" t="s">
        <v>7523</v>
      </c>
      <c r="Q607" s="24" t="s">
        <v>7524</v>
      </c>
      <c r="R607" s="24" t="s">
        <v>7525</v>
      </c>
      <c r="S607" s="24" t="s">
        <v>7526</v>
      </c>
      <c r="T607" s="24" t="s">
        <v>7527</v>
      </c>
      <c r="U607" s="24" t="s">
        <v>7528</v>
      </c>
      <c r="V607" s="24"/>
      <c r="W607" s="24"/>
      <c r="X607" s="24"/>
      <c r="Y607" s="24" t="s">
        <v>7529</v>
      </c>
      <c r="Z607" s="24"/>
      <c r="AA607" s="24"/>
      <c r="AB607" s="25" t="n">
        <v>10</v>
      </c>
      <c r="AC607" s="24" t="s">
        <v>7530</v>
      </c>
      <c r="AD607" s="24" t="s">
        <v>7487</v>
      </c>
      <c r="AE607" s="24"/>
      <c r="AF607" s="24" t="s">
        <v>168</v>
      </c>
      <c r="AG607" s="24"/>
      <c r="AH607" s="24"/>
      <c r="AI607" s="25" t="n">
        <f aca="false">COUNTIF($B$2:$B$740,B607)</f>
        <v>1</v>
      </c>
    </row>
    <row r="608" customFormat="false" ht="76" hidden="false" customHeight="true" outlineLevel="0" collapsed="false">
      <c r="A608" s="21" t="n">
        <v>607</v>
      </c>
      <c r="B608" s="22" t="s">
        <v>7531</v>
      </c>
      <c r="C608" s="23" t="s">
        <v>9</v>
      </c>
      <c r="D608" s="23" t="s">
        <v>96</v>
      </c>
      <c r="E608" s="23" t="s">
        <v>97</v>
      </c>
      <c r="F608" s="24" t="s">
        <v>56</v>
      </c>
      <c r="G608" s="24" t="s">
        <v>1805</v>
      </c>
      <c r="H608" s="24" t="s">
        <v>5362</v>
      </c>
      <c r="I608" s="24" t="s">
        <v>6502</v>
      </c>
      <c r="J608" s="24" t="s">
        <v>7532</v>
      </c>
      <c r="K608" s="24" t="s">
        <v>7533</v>
      </c>
      <c r="L608" s="24" t="s">
        <v>173</v>
      </c>
      <c r="M608" s="24" t="s">
        <v>7475</v>
      </c>
      <c r="N608" s="24" t="s">
        <v>7534</v>
      </c>
      <c r="O608" s="24" t="s">
        <v>7535</v>
      </c>
      <c r="P608" s="24" t="s">
        <v>7536</v>
      </c>
      <c r="Q608" s="24" t="s">
        <v>7537</v>
      </c>
      <c r="R608" s="24" t="s">
        <v>7538</v>
      </c>
      <c r="S608" s="24" t="s">
        <v>7539</v>
      </c>
      <c r="T608" s="24" t="s">
        <v>7540</v>
      </c>
      <c r="U608" s="24" t="s">
        <v>7541</v>
      </c>
      <c r="V608" s="24" t="s">
        <v>7535</v>
      </c>
      <c r="W608" s="24"/>
      <c r="X608" s="24"/>
      <c r="Y608" s="24" t="s">
        <v>7542</v>
      </c>
      <c r="Z608" s="24"/>
      <c r="AA608" s="24" t="s">
        <v>7543</v>
      </c>
      <c r="AB608" s="25" t="n">
        <v>10</v>
      </c>
      <c r="AC608" s="24" t="s">
        <v>7544</v>
      </c>
      <c r="AD608" s="24" t="s">
        <v>7487</v>
      </c>
      <c r="AE608" s="24"/>
      <c r="AF608" s="24" t="s">
        <v>168</v>
      </c>
      <c r="AG608" s="24"/>
      <c r="AH608" s="24"/>
      <c r="AI608" s="25" t="n">
        <f aca="false">COUNTIF($B$2:$B$740,B608)</f>
        <v>1</v>
      </c>
    </row>
    <row r="609" customFormat="false" ht="76" hidden="false" customHeight="true" outlineLevel="0" collapsed="false">
      <c r="A609" s="21" t="n">
        <v>608</v>
      </c>
      <c r="B609" s="22" t="s">
        <v>7545</v>
      </c>
      <c r="C609" s="23" t="s">
        <v>9</v>
      </c>
      <c r="D609" s="23" t="s">
        <v>96</v>
      </c>
      <c r="E609" s="23" t="s">
        <v>97</v>
      </c>
      <c r="F609" s="24" t="s">
        <v>50</v>
      </c>
      <c r="G609" s="24" t="s">
        <v>1407</v>
      </c>
      <c r="H609" s="24" t="s">
        <v>5362</v>
      </c>
      <c r="I609" s="24" t="s">
        <v>6502</v>
      </c>
      <c r="J609" s="24" t="s">
        <v>7546</v>
      </c>
      <c r="K609" s="24" t="s">
        <v>7547</v>
      </c>
      <c r="L609" s="24" t="s">
        <v>103</v>
      </c>
      <c r="M609" s="24" t="s">
        <v>7548</v>
      </c>
      <c r="N609" s="24" t="s">
        <v>7549</v>
      </c>
      <c r="O609" s="24" t="s">
        <v>1747</v>
      </c>
      <c r="P609" s="24" t="s">
        <v>7550</v>
      </c>
      <c r="Q609" s="24" t="s">
        <v>7551</v>
      </c>
      <c r="R609" s="24" t="s">
        <v>7552</v>
      </c>
      <c r="S609" s="24" t="s">
        <v>7553</v>
      </c>
      <c r="T609" s="24" t="s">
        <v>7554</v>
      </c>
      <c r="U609" s="24" t="s">
        <v>7555</v>
      </c>
      <c r="V609" s="24" t="s">
        <v>1747</v>
      </c>
      <c r="W609" s="24" t="s">
        <v>7556</v>
      </c>
      <c r="X609" s="24"/>
      <c r="Y609" s="24" t="s">
        <v>7557</v>
      </c>
      <c r="Z609" s="24"/>
      <c r="AA609" s="24"/>
      <c r="AB609" s="25" t="n">
        <v>10</v>
      </c>
      <c r="AC609" s="24" t="s">
        <v>7558</v>
      </c>
      <c r="AD609" s="24" t="s">
        <v>7559</v>
      </c>
      <c r="AE609" s="24"/>
      <c r="AF609" s="24" t="s">
        <v>168</v>
      </c>
      <c r="AG609" s="24"/>
      <c r="AH609" s="24"/>
      <c r="AI609" s="25" t="n">
        <f aca="false">COUNTIF($B$2:$B$740,B609)</f>
        <v>1</v>
      </c>
    </row>
    <row r="610" customFormat="false" ht="76" hidden="false" customHeight="true" outlineLevel="0" collapsed="false">
      <c r="A610" s="21" t="n">
        <v>609</v>
      </c>
      <c r="B610" s="22" t="s">
        <v>7560</v>
      </c>
      <c r="C610" s="23" t="s">
        <v>9</v>
      </c>
      <c r="D610" s="23" t="s">
        <v>96</v>
      </c>
      <c r="E610" s="23" t="s">
        <v>97</v>
      </c>
      <c r="F610" s="24" t="s">
        <v>50</v>
      </c>
      <c r="G610" s="24" t="s">
        <v>1407</v>
      </c>
      <c r="H610" s="24" t="s">
        <v>5362</v>
      </c>
      <c r="I610" s="24" t="s">
        <v>6502</v>
      </c>
      <c r="J610" s="24" t="s">
        <v>7561</v>
      </c>
      <c r="K610" s="24" t="s">
        <v>7562</v>
      </c>
      <c r="L610" s="24" t="s">
        <v>103</v>
      </c>
      <c r="M610" s="24" t="s">
        <v>7548</v>
      </c>
      <c r="N610" s="24" t="s">
        <v>856</v>
      </c>
      <c r="O610" s="24" t="s">
        <v>7563</v>
      </c>
      <c r="P610" s="24" t="s">
        <v>7564</v>
      </c>
      <c r="Q610" s="24" t="s">
        <v>7565</v>
      </c>
      <c r="R610" s="24" t="s">
        <v>7566</v>
      </c>
      <c r="S610" s="24" t="s">
        <v>7567</v>
      </c>
      <c r="T610" s="24" t="s">
        <v>7568</v>
      </c>
      <c r="U610" s="24" t="s">
        <v>7569</v>
      </c>
      <c r="V610" s="24" t="s">
        <v>7570</v>
      </c>
      <c r="W610" s="24" t="s">
        <v>7571</v>
      </c>
      <c r="X610" s="24"/>
      <c r="Y610" s="24" t="s">
        <v>183</v>
      </c>
      <c r="Z610" s="24"/>
      <c r="AA610" s="24"/>
      <c r="AB610" s="25" t="n">
        <v>10</v>
      </c>
      <c r="AC610" s="24" t="s">
        <v>7572</v>
      </c>
      <c r="AD610" s="24" t="s">
        <v>7573</v>
      </c>
      <c r="AE610" s="24"/>
      <c r="AF610" s="24" t="s">
        <v>168</v>
      </c>
      <c r="AG610" s="24"/>
      <c r="AH610" s="24"/>
      <c r="AI610" s="25" t="n">
        <f aca="false">COUNTIF($B$2:$B$740,B610)</f>
        <v>1</v>
      </c>
    </row>
    <row r="611" customFormat="false" ht="76" hidden="false" customHeight="true" outlineLevel="0" collapsed="false">
      <c r="A611" s="21" t="n">
        <v>610</v>
      </c>
      <c r="B611" s="22" t="s">
        <v>7574</v>
      </c>
      <c r="C611" s="23" t="s">
        <v>9</v>
      </c>
      <c r="D611" s="23" t="s">
        <v>96</v>
      </c>
      <c r="E611" s="23" t="s">
        <v>97</v>
      </c>
      <c r="F611" s="24" t="s">
        <v>50</v>
      </c>
      <c r="G611" s="24" t="s">
        <v>1407</v>
      </c>
      <c r="H611" s="24" t="s">
        <v>5362</v>
      </c>
      <c r="I611" s="24" t="s">
        <v>6502</v>
      </c>
      <c r="J611" s="24" t="s">
        <v>7575</v>
      </c>
      <c r="K611" s="24" t="s">
        <v>7576</v>
      </c>
      <c r="L611" s="24" t="s">
        <v>103</v>
      </c>
      <c r="M611" s="24" t="s">
        <v>7548</v>
      </c>
      <c r="N611" s="24" t="s">
        <v>7577</v>
      </c>
      <c r="O611" s="24" t="s">
        <v>7578</v>
      </c>
      <c r="P611" s="24" t="s">
        <v>7579</v>
      </c>
      <c r="Q611" s="24" t="s">
        <v>7580</v>
      </c>
      <c r="R611" s="24" t="s">
        <v>7581</v>
      </c>
      <c r="S611" s="24" t="s">
        <v>7582</v>
      </c>
      <c r="T611" s="24" t="s">
        <v>7583</v>
      </c>
      <c r="U611" s="24" t="s">
        <v>7584</v>
      </c>
      <c r="V611" s="24" t="s">
        <v>7585</v>
      </c>
      <c r="W611" s="24" t="s">
        <v>7586</v>
      </c>
      <c r="X611" s="24"/>
      <c r="Y611" s="24" t="s">
        <v>7587</v>
      </c>
      <c r="Z611" s="24"/>
      <c r="AA611" s="24"/>
      <c r="AB611" s="25" t="n">
        <v>10</v>
      </c>
      <c r="AC611" s="24" t="s">
        <v>7588</v>
      </c>
      <c r="AD611" s="24" t="s">
        <v>7589</v>
      </c>
      <c r="AE611" s="24"/>
      <c r="AF611" s="24" t="s">
        <v>168</v>
      </c>
      <c r="AG611" s="24"/>
      <c r="AH611" s="24"/>
      <c r="AI611" s="25" t="n">
        <f aca="false">COUNTIF($B$2:$B$740,B611)</f>
        <v>1</v>
      </c>
    </row>
    <row r="612" customFormat="false" ht="76" hidden="false" customHeight="true" outlineLevel="0" collapsed="false">
      <c r="A612" s="21" t="n">
        <v>611</v>
      </c>
      <c r="B612" s="22" t="s">
        <v>7590</v>
      </c>
      <c r="C612" s="23" t="s">
        <v>9</v>
      </c>
      <c r="D612" s="23" t="s">
        <v>96</v>
      </c>
      <c r="E612" s="23" t="s">
        <v>97</v>
      </c>
      <c r="F612" s="24" t="s">
        <v>50</v>
      </c>
      <c r="G612" s="24" t="s">
        <v>1407</v>
      </c>
      <c r="H612" s="24" t="s">
        <v>5362</v>
      </c>
      <c r="I612" s="24" t="s">
        <v>6502</v>
      </c>
      <c r="J612" s="24" t="s">
        <v>7591</v>
      </c>
      <c r="K612" s="24" t="s">
        <v>7592</v>
      </c>
      <c r="L612" s="24" t="s">
        <v>103</v>
      </c>
      <c r="M612" s="24" t="s">
        <v>7548</v>
      </c>
      <c r="N612" s="24" t="s">
        <v>7593</v>
      </c>
      <c r="O612" s="24" t="s">
        <v>6522</v>
      </c>
      <c r="P612" s="24" t="s">
        <v>7594</v>
      </c>
      <c r="Q612" s="24" t="s">
        <v>7595</v>
      </c>
      <c r="R612" s="24" t="s">
        <v>7596</v>
      </c>
      <c r="S612" s="24" t="s">
        <v>7597</v>
      </c>
      <c r="T612" s="24" t="s">
        <v>7598</v>
      </c>
      <c r="U612" s="24" t="s">
        <v>7599</v>
      </c>
      <c r="V612" s="24" t="s">
        <v>7600</v>
      </c>
      <c r="W612" s="24" t="s">
        <v>7601</v>
      </c>
      <c r="X612" s="24"/>
      <c r="Y612" s="24" t="s">
        <v>7602</v>
      </c>
      <c r="Z612" s="24"/>
      <c r="AA612" s="24"/>
      <c r="AB612" s="25" t="n">
        <v>10</v>
      </c>
      <c r="AC612" s="24" t="s">
        <v>7603</v>
      </c>
      <c r="AD612" s="24" t="s">
        <v>7604</v>
      </c>
      <c r="AE612" s="24" t="s">
        <v>7545</v>
      </c>
      <c r="AF612" s="24" t="s">
        <v>168</v>
      </c>
      <c r="AG612" s="24"/>
      <c r="AH612" s="24"/>
      <c r="AI612" s="25" t="n">
        <f aca="false">COUNTIF($B$2:$B$740,B612)</f>
        <v>1</v>
      </c>
    </row>
    <row r="613" customFormat="false" ht="76" hidden="false" customHeight="true" outlineLevel="0" collapsed="false">
      <c r="A613" s="21" t="n">
        <v>612</v>
      </c>
      <c r="B613" s="22" t="s">
        <v>7605</v>
      </c>
      <c r="C613" s="23" t="s">
        <v>9</v>
      </c>
      <c r="D613" s="23" t="s">
        <v>96</v>
      </c>
      <c r="E613" s="23" t="s">
        <v>97</v>
      </c>
      <c r="F613" s="24" t="s">
        <v>59</v>
      </c>
      <c r="G613" s="24" t="s">
        <v>98</v>
      </c>
      <c r="H613" s="24" t="s">
        <v>5362</v>
      </c>
      <c r="I613" s="24" t="s">
        <v>6502</v>
      </c>
      <c r="J613" s="24" t="s">
        <v>7606</v>
      </c>
      <c r="K613" s="24" t="s">
        <v>7607</v>
      </c>
      <c r="L613" s="24" t="s">
        <v>173</v>
      </c>
      <c r="M613" s="24" t="s">
        <v>7548</v>
      </c>
      <c r="N613" s="24" t="s">
        <v>7608</v>
      </c>
      <c r="O613" s="24" t="s">
        <v>7609</v>
      </c>
      <c r="P613" s="24" t="s">
        <v>7594</v>
      </c>
      <c r="Q613" s="24" t="s">
        <v>7610</v>
      </c>
      <c r="R613" s="24" t="s">
        <v>7611</v>
      </c>
      <c r="S613" s="24" t="s">
        <v>7612</v>
      </c>
      <c r="T613" s="24" t="s">
        <v>7613</v>
      </c>
      <c r="U613" s="24" t="s">
        <v>7614</v>
      </c>
      <c r="V613" s="24" t="s">
        <v>7615</v>
      </c>
      <c r="W613" s="24" t="s">
        <v>7616</v>
      </c>
      <c r="X613" s="24"/>
      <c r="Y613" s="24" t="s">
        <v>7617</v>
      </c>
      <c r="Z613" s="24"/>
      <c r="AA613" s="24"/>
      <c r="AB613" s="25" t="n">
        <v>10</v>
      </c>
      <c r="AC613" s="24" t="s">
        <v>7618</v>
      </c>
      <c r="AD613" s="24" t="s">
        <v>7619</v>
      </c>
      <c r="AE613" s="24"/>
      <c r="AF613" s="24" t="s">
        <v>168</v>
      </c>
      <c r="AG613" s="24"/>
      <c r="AH613" s="24"/>
      <c r="AI613" s="25" t="n">
        <f aca="false">COUNTIF($B$2:$B$740,B613)</f>
        <v>1</v>
      </c>
    </row>
    <row r="614" customFormat="false" ht="76" hidden="false" customHeight="true" outlineLevel="0" collapsed="false">
      <c r="A614" s="21" t="n">
        <v>613</v>
      </c>
      <c r="B614" s="22" t="s">
        <v>7620</v>
      </c>
      <c r="C614" s="23" t="s">
        <v>9</v>
      </c>
      <c r="D614" s="23" t="s">
        <v>96</v>
      </c>
      <c r="E614" s="23" t="s">
        <v>97</v>
      </c>
      <c r="F614" s="24" t="s">
        <v>50</v>
      </c>
      <c r="G614" s="24" t="s">
        <v>1407</v>
      </c>
      <c r="H614" s="24" t="s">
        <v>5362</v>
      </c>
      <c r="I614" s="24" t="s">
        <v>6502</v>
      </c>
      <c r="J614" s="24" t="s">
        <v>7621</v>
      </c>
      <c r="K614" s="24" t="s">
        <v>7622</v>
      </c>
      <c r="L614" s="24" t="s">
        <v>173</v>
      </c>
      <c r="M614" s="24" t="s">
        <v>7548</v>
      </c>
      <c r="N614" s="24" t="s">
        <v>7623</v>
      </c>
      <c r="O614" s="24" t="s">
        <v>7624</v>
      </c>
      <c r="P614" s="24" t="s">
        <v>7625</v>
      </c>
      <c r="Q614" s="24" t="s">
        <v>7626</v>
      </c>
      <c r="R614" s="24" t="s">
        <v>7627</v>
      </c>
      <c r="S614" s="24" t="s">
        <v>7628</v>
      </c>
      <c r="T614" s="24" t="s">
        <v>7629</v>
      </c>
      <c r="U614" s="24" t="s">
        <v>7630</v>
      </c>
      <c r="V614" s="24" t="s">
        <v>7631</v>
      </c>
      <c r="W614" s="24" t="s">
        <v>7632</v>
      </c>
      <c r="X614" s="24" t="s">
        <v>7633</v>
      </c>
      <c r="Y614" s="24" t="s">
        <v>7634</v>
      </c>
      <c r="Z614" s="24"/>
      <c r="AA614" s="24" t="s">
        <v>7635</v>
      </c>
      <c r="AB614" s="25" t="n">
        <v>10</v>
      </c>
      <c r="AC614" s="24" t="s">
        <v>7636</v>
      </c>
      <c r="AD614" s="24" t="s">
        <v>7637</v>
      </c>
      <c r="AE614" s="24"/>
      <c r="AF614" s="24" t="s">
        <v>168</v>
      </c>
      <c r="AG614" s="24"/>
      <c r="AH614" s="24"/>
      <c r="AI614" s="25" t="n">
        <f aca="false">COUNTIF($B$2:$B$740,B614)</f>
        <v>1</v>
      </c>
    </row>
    <row r="615" customFormat="false" ht="76" hidden="false" customHeight="true" outlineLevel="0" collapsed="false">
      <c r="A615" s="21" t="n">
        <v>614</v>
      </c>
      <c r="B615" s="22" t="s">
        <v>7638</v>
      </c>
      <c r="C615" s="23" t="s">
        <v>9</v>
      </c>
      <c r="D615" s="23" t="s">
        <v>96</v>
      </c>
      <c r="E615" s="23" t="s">
        <v>97</v>
      </c>
      <c r="F615" s="24" t="s">
        <v>50</v>
      </c>
      <c r="G615" s="24" t="s">
        <v>1407</v>
      </c>
      <c r="H615" s="24" t="s">
        <v>5362</v>
      </c>
      <c r="I615" s="24" t="s">
        <v>7639</v>
      </c>
      <c r="J615" s="24" t="s">
        <v>7640</v>
      </c>
      <c r="K615" s="24" t="s">
        <v>7641</v>
      </c>
      <c r="L615" s="24" t="s">
        <v>119</v>
      </c>
      <c r="M615" s="24" t="s">
        <v>2382</v>
      </c>
      <c r="N615" s="24" t="s">
        <v>7642</v>
      </c>
      <c r="O615" s="24" t="s">
        <v>7643</v>
      </c>
      <c r="P615" s="24" t="s">
        <v>7644</v>
      </c>
      <c r="Q615" s="24" t="s">
        <v>7645</v>
      </c>
      <c r="R615" s="24" t="s">
        <v>7646</v>
      </c>
      <c r="S615" s="24" t="s">
        <v>7647</v>
      </c>
      <c r="T615" s="24" t="s">
        <v>7648</v>
      </c>
      <c r="U615" s="24" t="s">
        <v>7649</v>
      </c>
      <c r="V615" s="24" t="s">
        <v>7650</v>
      </c>
      <c r="W615" s="24"/>
      <c r="X615" s="24"/>
      <c r="Y615" s="24" t="s">
        <v>7649</v>
      </c>
      <c r="Z615" s="24"/>
      <c r="AA615" s="24"/>
      <c r="AB615" s="25" t="n">
        <v>10</v>
      </c>
      <c r="AC615" s="24" t="s">
        <v>2428</v>
      </c>
      <c r="AD615" s="24" t="s">
        <v>7651</v>
      </c>
      <c r="AE615" s="24"/>
      <c r="AF615" s="24" t="s">
        <v>168</v>
      </c>
      <c r="AG615" s="24"/>
      <c r="AH615" s="24"/>
      <c r="AI615" s="25" t="n">
        <f aca="false">COUNTIF($B$2:$B$740,B615)</f>
        <v>1</v>
      </c>
    </row>
    <row r="616" customFormat="false" ht="76" hidden="false" customHeight="true" outlineLevel="0" collapsed="false">
      <c r="A616" s="21" t="n">
        <v>615</v>
      </c>
      <c r="B616" s="22" t="s">
        <v>7652</v>
      </c>
      <c r="C616" s="23" t="s">
        <v>9</v>
      </c>
      <c r="D616" s="23" t="s">
        <v>96</v>
      </c>
      <c r="E616" s="23" t="s">
        <v>97</v>
      </c>
      <c r="F616" s="24" t="s">
        <v>50</v>
      </c>
      <c r="G616" s="24" t="s">
        <v>1407</v>
      </c>
      <c r="H616" s="24" t="s">
        <v>5362</v>
      </c>
      <c r="I616" s="24" t="s">
        <v>7639</v>
      </c>
      <c r="J616" s="24" t="s">
        <v>7653</v>
      </c>
      <c r="K616" s="24" t="s">
        <v>7654</v>
      </c>
      <c r="L616" s="24" t="s">
        <v>531</v>
      </c>
      <c r="M616" s="24" t="s">
        <v>2382</v>
      </c>
      <c r="N616" s="24" t="s">
        <v>7655</v>
      </c>
      <c r="O616" s="24" t="s">
        <v>7656</v>
      </c>
      <c r="P616" s="24" t="s">
        <v>7657</v>
      </c>
      <c r="Q616" s="24" t="s">
        <v>7658</v>
      </c>
      <c r="R616" s="24" t="s">
        <v>7659</v>
      </c>
      <c r="S616" s="24" t="s">
        <v>7660</v>
      </c>
      <c r="T616" s="24" t="s">
        <v>7661</v>
      </c>
      <c r="U616" s="24" t="s">
        <v>183</v>
      </c>
      <c r="V616" s="24"/>
      <c r="W616" s="24"/>
      <c r="X616" s="24"/>
      <c r="Y616" s="24" t="s">
        <v>183</v>
      </c>
      <c r="Z616" s="24"/>
      <c r="AA616" s="24"/>
      <c r="AB616" s="25" t="n">
        <v>10</v>
      </c>
      <c r="AC616" s="24" t="s">
        <v>2428</v>
      </c>
      <c r="AD616" s="24" t="s">
        <v>7662</v>
      </c>
      <c r="AE616" s="24"/>
      <c r="AF616" s="24" t="s">
        <v>168</v>
      </c>
      <c r="AG616" s="24"/>
      <c r="AH616" s="24"/>
      <c r="AI616" s="25" t="n">
        <f aca="false">COUNTIF($B$2:$B$740,B616)</f>
        <v>1</v>
      </c>
    </row>
    <row r="617" customFormat="false" ht="76" hidden="false" customHeight="true" outlineLevel="0" collapsed="false">
      <c r="A617" s="21" t="n">
        <v>616</v>
      </c>
      <c r="B617" s="22" t="s">
        <v>7663</v>
      </c>
      <c r="C617" s="23" t="s">
        <v>9</v>
      </c>
      <c r="D617" s="23" t="s">
        <v>96</v>
      </c>
      <c r="E617" s="23" t="s">
        <v>97</v>
      </c>
      <c r="F617" s="24" t="s">
        <v>50</v>
      </c>
      <c r="G617" s="24" t="s">
        <v>1407</v>
      </c>
      <c r="H617" s="24" t="s">
        <v>5362</v>
      </c>
      <c r="I617" s="24" t="s">
        <v>7639</v>
      </c>
      <c r="J617" s="24" t="s">
        <v>7664</v>
      </c>
      <c r="K617" s="24" t="s">
        <v>7665</v>
      </c>
      <c r="L617" s="24" t="s">
        <v>531</v>
      </c>
      <c r="M617" s="24" t="s">
        <v>2382</v>
      </c>
      <c r="N617" s="24" t="s">
        <v>7666</v>
      </c>
      <c r="O617" s="24" t="s">
        <v>2476</v>
      </c>
      <c r="P617" s="24" t="s">
        <v>7667</v>
      </c>
      <c r="Q617" s="24" t="s">
        <v>7668</v>
      </c>
      <c r="R617" s="24" t="s">
        <v>7669</v>
      </c>
      <c r="S617" s="24" t="s">
        <v>7670</v>
      </c>
      <c r="T617" s="24" t="s">
        <v>7671</v>
      </c>
      <c r="U617" s="24" t="s">
        <v>183</v>
      </c>
      <c r="V617" s="24" t="s">
        <v>7672</v>
      </c>
      <c r="W617" s="24" t="s">
        <v>7668</v>
      </c>
      <c r="X617" s="24"/>
      <c r="Y617" s="24" t="s">
        <v>7673</v>
      </c>
      <c r="Z617" s="24"/>
      <c r="AA617" s="24"/>
      <c r="AB617" s="25" t="n">
        <v>10</v>
      </c>
      <c r="AC617" s="24" t="s">
        <v>7674</v>
      </c>
      <c r="AD617" s="24" t="s">
        <v>7675</v>
      </c>
      <c r="AE617" s="24"/>
      <c r="AF617" s="24" t="s">
        <v>168</v>
      </c>
      <c r="AG617" s="24"/>
      <c r="AH617" s="24"/>
      <c r="AI617" s="25" t="n">
        <f aca="false">COUNTIF($B$2:$B$740,B617)</f>
        <v>1</v>
      </c>
    </row>
    <row r="618" customFormat="false" ht="76" hidden="false" customHeight="true" outlineLevel="0" collapsed="false">
      <c r="A618" s="21" t="n">
        <v>617</v>
      </c>
      <c r="B618" s="22" t="s">
        <v>7676</v>
      </c>
      <c r="C618" s="23" t="s">
        <v>9</v>
      </c>
      <c r="D618" s="23" t="s">
        <v>96</v>
      </c>
      <c r="E618" s="23" t="s">
        <v>97</v>
      </c>
      <c r="F618" s="24" t="s">
        <v>50</v>
      </c>
      <c r="G618" s="24" t="s">
        <v>1407</v>
      </c>
      <c r="H618" s="24" t="s">
        <v>5362</v>
      </c>
      <c r="I618" s="24" t="s">
        <v>7639</v>
      </c>
      <c r="J618" s="24" t="s">
        <v>7677</v>
      </c>
      <c r="K618" s="24" t="s">
        <v>7678</v>
      </c>
      <c r="L618" s="24" t="s">
        <v>119</v>
      </c>
      <c r="M618" s="24" t="s">
        <v>2382</v>
      </c>
      <c r="N618" s="24" t="s">
        <v>7679</v>
      </c>
      <c r="O618" s="24" t="s">
        <v>7680</v>
      </c>
      <c r="P618" s="24" t="s">
        <v>7681</v>
      </c>
      <c r="Q618" s="24" t="s">
        <v>7682</v>
      </c>
      <c r="R618" s="24" t="s">
        <v>7683</v>
      </c>
      <c r="S618" s="24" t="s">
        <v>7684</v>
      </c>
      <c r="T618" s="24" t="s">
        <v>7685</v>
      </c>
      <c r="U618" s="24" t="s">
        <v>183</v>
      </c>
      <c r="V618" s="24"/>
      <c r="W618" s="24" t="s">
        <v>7686</v>
      </c>
      <c r="X618" s="24"/>
      <c r="Y618" s="24" t="s">
        <v>183</v>
      </c>
      <c r="Z618" s="24"/>
      <c r="AA618" s="24"/>
      <c r="AB618" s="25" t="n">
        <v>10</v>
      </c>
      <c r="AC618" s="24" t="s">
        <v>2494</v>
      </c>
      <c r="AD618" s="24" t="s">
        <v>7687</v>
      </c>
      <c r="AE618" s="24"/>
      <c r="AF618" s="24" t="s">
        <v>168</v>
      </c>
      <c r="AG618" s="24"/>
      <c r="AH618" s="24"/>
      <c r="AI618" s="25" t="n">
        <f aca="false">COUNTIF($B$2:$B$740,B618)</f>
        <v>1</v>
      </c>
    </row>
    <row r="619" customFormat="false" ht="76" hidden="false" customHeight="true" outlineLevel="0" collapsed="false">
      <c r="A619" s="21" t="n">
        <v>618</v>
      </c>
      <c r="B619" s="22" t="s">
        <v>7688</v>
      </c>
      <c r="C619" s="23" t="s">
        <v>9</v>
      </c>
      <c r="D619" s="23" t="s">
        <v>96</v>
      </c>
      <c r="E619" s="23" t="s">
        <v>97</v>
      </c>
      <c r="F619" s="24" t="s">
        <v>50</v>
      </c>
      <c r="G619" s="24" t="s">
        <v>1407</v>
      </c>
      <c r="H619" s="24" t="s">
        <v>5362</v>
      </c>
      <c r="I619" s="24" t="s">
        <v>7639</v>
      </c>
      <c r="J619" s="24" t="s">
        <v>7689</v>
      </c>
      <c r="K619" s="24" t="s">
        <v>7678</v>
      </c>
      <c r="L619" s="24" t="s">
        <v>119</v>
      </c>
      <c r="M619" s="24" t="s">
        <v>2382</v>
      </c>
      <c r="N619" s="24" t="s">
        <v>7690</v>
      </c>
      <c r="O619" s="24" t="s">
        <v>7691</v>
      </c>
      <c r="P619" s="24" t="s">
        <v>7692</v>
      </c>
      <c r="Q619" s="24" t="s">
        <v>7682</v>
      </c>
      <c r="R619" s="24" t="s">
        <v>7693</v>
      </c>
      <c r="S619" s="24" t="s">
        <v>7694</v>
      </c>
      <c r="T619" s="24" t="s">
        <v>7695</v>
      </c>
      <c r="U619" s="24" t="s">
        <v>183</v>
      </c>
      <c r="V619" s="24"/>
      <c r="W619" s="24" t="s">
        <v>7696</v>
      </c>
      <c r="X619" s="24"/>
      <c r="Y619" s="24" t="s">
        <v>183</v>
      </c>
      <c r="Z619" s="24"/>
      <c r="AA619" s="24"/>
      <c r="AB619" s="25" t="n">
        <v>10</v>
      </c>
      <c r="AC619" s="24" t="s">
        <v>2525</v>
      </c>
      <c r="AD619" s="24" t="s">
        <v>7687</v>
      </c>
      <c r="AE619" s="24"/>
      <c r="AF619" s="24" t="s">
        <v>168</v>
      </c>
      <c r="AG619" s="24"/>
      <c r="AH619" s="24"/>
      <c r="AI619" s="25" t="n">
        <f aca="false">COUNTIF($B$2:$B$740,B619)</f>
        <v>1</v>
      </c>
    </row>
    <row r="620" customFormat="false" ht="76" hidden="false" customHeight="true" outlineLevel="0" collapsed="false">
      <c r="A620" s="21" t="n">
        <v>619</v>
      </c>
      <c r="B620" s="22" t="s">
        <v>4228</v>
      </c>
      <c r="C620" s="23" t="s">
        <v>9</v>
      </c>
      <c r="D620" s="23" t="s">
        <v>96</v>
      </c>
      <c r="E620" s="23" t="s">
        <v>97</v>
      </c>
      <c r="F620" s="24" t="s">
        <v>50</v>
      </c>
      <c r="G620" s="24" t="s">
        <v>1407</v>
      </c>
      <c r="H620" s="24" t="s">
        <v>5362</v>
      </c>
      <c r="I620" s="24" t="s">
        <v>7639</v>
      </c>
      <c r="J620" s="24" t="s">
        <v>7697</v>
      </c>
      <c r="K620" s="24" t="s">
        <v>7698</v>
      </c>
      <c r="L620" s="24" t="s">
        <v>119</v>
      </c>
      <c r="M620" s="24" t="s">
        <v>2444</v>
      </c>
      <c r="N620" s="24"/>
      <c r="O620" s="24" t="s">
        <v>2476</v>
      </c>
      <c r="P620" s="24" t="s">
        <v>7699</v>
      </c>
      <c r="Q620" s="24" t="s">
        <v>7700</v>
      </c>
      <c r="R620" s="24" t="s">
        <v>7701</v>
      </c>
      <c r="S620" s="24" t="s">
        <v>7702</v>
      </c>
      <c r="T620" s="24" t="s">
        <v>7703</v>
      </c>
      <c r="U620" s="24" t="s">
        <v>7704</v>
      </c>
      <c r="V620" s="24" t="s">
        <v>7705</v>
      </c>
      <c r="W620" s="24" t="s">
        <v>7706</v>
      </c>
      <c r="X620" s="24"/>
      <c r="Y620" s="24" t="s">
        <v>7707</v>
      </c>
      <c r="Z620" s="24"/>
      <c r="AA620" s="24"/>
      <c r="AB620" s="25" t="n">
        <v>10</v>
      </c>
      <c r="AC620" s="24" t="s">
        <v>7708</v>
      </c>
      <c r="AD620" s="24" t="s">
        <v>5815</v>
      </c>
      <c r="AE620" s="24"/>
      <c r="AF620" s="24" t="s">
        <v>168</v>
      </c>
      <c r="AG620" s="24"/>
      <c r="AH620" s="24"/>
      <c r="AI620" s="25" t="n">
        <f aca="false">COUNTIF($B$2:$B$740,B620)</f>
        <v>1</v>
      </c>
    </row>
    <row r="621" customFormat="false" ht="76" hidden="false" customHeight="true" outlineLevel="0" collapsed="false">
      <c r="A621" s="21" t="n">
        <v>620</v>
      </c>
      <c r="B621" s="22" t="s">
        <v>7709</v>
      </c>
      <c r="C621" s="23" t="s">
        <v>9</v>
      </c>
      <c r="D621" s="23" t="s">
        <v>96</v>
      </c>
      <c r="E621" s="23" t="s">
        <v>97</v>
      </c>
      <c r="F621" s="24" t="s">
        <v>50</v>
      </c>
      <c r="G621" s="24" t="s">
        <v>1407</v>
      </c>
      <c r="H621" s="24" t="s">
        <v>5362</v>
      </c>
      <c r="I621" s="24" t="s">
        <v>7639</v>
      </c>
      <c r="J621" s="24" t="s">
        <v>7710</v>
      </c>
      <c r="K621" s="24" t="s">
        <v>7711</v>
      </c>
      <c r="L621" s="24" t="s">
        <v>173</v>
      </c>
      <c r="M621" s="24" t="s">
        <v>2382</v>
      </c>
      <c r="N621" s="24" t="s">
        <v>7712</v>
      </c>
      <c r="O621" s="24" t="s">
        <v>7713</v>
      </c>
      <c r="P621" s="24" t="s">
        <v>7714</v>
      </c>
      <c r="Q621" s="24" t="s">
        <v>7715</v>
      </c>
      <c r="R621" s="24" t="s">
        <v>7716</v>
      </c>
      <c r="S621" s="24" t="s">
        <v>7717</v>
      </c>
      <c r="T621" s="24" t="s">
        <v>7718</v>
      </c>
      <c r="U621" s="24" t="s">
        <v>7719</v>
      </c>
      <c r="V621" s="24" t="s">
        <v>7720</v>
      </c>
      <c r="W621" s="24" t="s">
        <v>7721</v>
      </c>
      <c r="X621" s="24"/>
      <c r="Y621" s="24" t="s">
        <v>7722</v>
      </c>
      <c r="Z621" s="24"/>
      <c r="AA621" s="24"/>
      <c r="AB621" s="25" t="n">
        <v>10</v>
      </c>
      <c r="AC621" s="24" t="s">
        <v>7723</v>
      </c>
      <c r="AD621" s="24" t="s">
        <v>7724</v>
      </c>
      <c r="AE621" s="24"/>
      <c r="AF621" s="24" t="s">
        <v>168</v>
      </c>
      <c r="AG621" s="24"/>
      <c r="AH621" s="24"/>
      <c r="AI621" s="25" t="n">
        <f aca="false">COUNTIF($B$2:$B$740,B621)</f>
        <v>1</v>
      </c>
    </row>
    <row r="622" customFormat="false" ht="76" hidden="false" customHeight="true" outlineLevel="0" collapsed="false">
      <c r="A622" s="21" t="n">
        <v>621</v>
      </c>
      <c r="B622" s="22" t="s">
        <v>7725</v>
      </c>
      <c r="C622" s="23" t="s">
        <v>9</v>
      </c>
      <c r="D622" s="23" t="s">
        <v>96</v>
      </c>
      <c r="E622" s="23" t="s">
        <v>97</v>
      </c>
      <c r="F622" s="24" t="s">
        <v>50</v>
      </c>
      <c r="G622" s="24" t="s">
        <v>1407</v>
      </c>
      <c r="H622" s="24" t="s">
        <v>5362</v>
      </c>
      <c r="I622" s="24" t="s">
        <v>7639</v>
      </c>
      <c r="J622" s="24" t="s">
        <v>7726</v>
      </c>
      <c r="K622" s="24" t="s">
        <v>7727</v>
      </c>
      <c r="L622" s="24" t="s">
        <v>103</v>
      </c>
      <c r="M622" s="24" t="s">
        <v>7728</v>
      </c>
      <c r="N622" s="24"/>
      <c r="O622" s="24" t="s">
        <v>2476</v>
      </c>
      <c r="P622" s="24" t="s">
        <v>7729</v>
      </c>
      <c r="Q622" s="24" t="s">
        <v>2756</v>
      </c>
      <c r="R622" s="24" t="s">
        <v>7730</v>
      </c>
      <c r="S622" s="24" t="s">
        <v>7731</v>
      </c>
      <c r="T622" s="24" t="s">
        <v>7732</v>
      </c>
      <c r="U622" s="24" t="s">
        <v>7733</v>
      </c>
      <c r="V622" s="24" t="s">
        <v>7734</v>
      </c>
      <c r="W622" s="24" t="s">
        <v>7735</v>
      </c>
      <c r="X622" s="24"/>
      <c r="Y622" s="24" t="s">
        <v>7736</v>
      </c>
      <c r="Z622" s="24"/>
      <c r="AA622" s="24"/>
      <c r="AB622" s="25" t="n">
        <v>10</v>
      </c>
      <c r="AC622" s="24" t="s">
        <v>7737</v>
      </c>
      <c r="AD622" s="24" t="s">
        <v>7738</v>
      </c>
      <c r="AE622" s="24"/>
      <c r="AF622" s="24" t="s">
        <v>168</v>
      </c>
      <c r="AG622" s="24"/>
      <c r="AH622" s="24"/>
      <c r="AI622" s="25" t="n">
        <f aca="false">COUNTIF($B$2:$B$740,B622)</f>
        <v>1</v>
      </c>
    </row>
    <row r="623" customFormat="false" ht="76" hidden="false" customHeight="true" outlineLevel="0" collapsed="false">
      <c r="A623" s="21" t="n">
        <v>622</v>
      </c>
      <c r="B623" s="22" t="s">
        <v>2604</v>
      </c>
      <c r="C623" s="23" t="s">
        <v>9</v>
      </c>
      <c r="D623" s="23" t="s">
        <v>96</v>
      </c>
      <c r="E623" s="23" t="s">
        <v>97</v>
      </c>
      <c r="F623" s="24" t="s">
        <v>50</v>
      </c>
      <c r="G623" s="24" t="s">
        <v>1407</v>
      </c>
      <c r="H623" s="24" t="s">
        <v>5362</v>
      </c>
      <c r="I623" s="24" t="s">
        <v>7739</v>
      </c>
      <c r="J623" s="24" t="s">
        <v>7740</v>
      </c>
      <c r="K623" s="24" t="s">
        <v>7741</v>
      </c>
      <c r="L623" s="24" t="s">
        <v>119</v>
      </c>
      <c r="M623" s="24" t="s">
        <v>7742</v>
      </c>
      <c r="N623" s="24"/>
      <c r="O623" s="24" t="s">
        <v>7743</v>
      </c>
      <c r="P623" s="24" t="s">
        <v>7744</v>
      </c>
      <c r="Q623" s="24" t="s">
        <v>7745</v>
      </c>
      <c r="R623" s="24" t="s">
        <v>7746</v>
      </c>
      <c r="S623" s="24" t="s">
        <v>7747</v>
      </c>
      <c r="T623" s="24" t="s">
        <v>7748</v>
      </c>
      <c r="U623" s="24" t="s">
        <v>7749</v>
      </c>
      <c r="V623" s="24"/>
      <c r="W623" s="24" t="s">
        <v>7745</v>
      </c>
      <c r="X623" s="24"/>
      <c r="Y623" s="24" t="s">
        <v>7750</v>
      </c>
      <c r="Z623" s="24"/>
      <c r="AA623" s="24"/>
      <c r="AB623" s="25" t="n">
        <v>10</v>
      </c>
      <c r="AC623" s="24" t="s">
        <v>2603</v>
      </c>
      <c r="AD623" s="24" t="s">
        <v>7751</v>
      </c>
      <c r="AE623" s="24"/>
      <c r="AF623" s="24" t="s">
        <v>168</v>
      </c>
      <c r="AG623" s="24"/>
      <c r="AH623" s="24"/>
      <c r="AI623" s="25" t="n">
        <f aca="false">COUNTIF($B$2:$B$740,B623)</f>
        <v>1</v>
      </c>
    </row>
    <row r="624" customFormat="false" ht="76" hidden="false" customHeight="true" outlineLevel="0" collapsed="false">
      <c r="A624" s="21" t="n">
        <v>623</v>
      </c>
      <c r="B624" s="22" t="s">
        <v>7752</v>
      </c>
      <c r="C624" s="23" t="s">
        <v>9</v>
      </c>
      <c r="D624" s="23" t="s">
        <v>96</v>
      </c>
      <c r="E624" s="23" t="s">
        <v>97</v>
      </c>
      <c r="F624" s="24" t="s">
        <v>50</v>
      </c>
      <c r="G624" s="24" t="s">
        <v>1407</v>
      </c>
      <c r="H624" s="24" t="s">
        <v>5362</v>
      </c>
      <c r="I624" s="24" t="s">
        <v>7739</v>
      </c>
      <c r="J624" s="24" t="s">
        <v>7753</v>
      </c>
      <c r="K624" s="24" t="s">
        <v>7754</v>
      </c>
      <c r="L624" s="24" t="s">
        <v>119</v>
      </c>
      <c r="M624" s="24" t="s">
        <v>2551</v>
      </c>
      <c r="N624" s="24" t="s">
        <v>856</v>
      </c>
      <c r="O624" s="24" t="s">
        <v>7755</v>
      </c>
      <c r="P624" s="24" t="s">
        <v>7756</v>
      </c>
      <c r="Q624" s="24" t="s">
        <v>7757</v>
      </c>
      <c r="R624" s="24" t="s">
        <v>7758</v>
      </c>
      <c r="S624" s="24" t="s">
        <v>7759</v>
      </c>
      <c r="T624" s="24" t="s">
        <v>7760</v>
      </c>
      <c r="U624" s="24" t="s">
        <v>183</v>
      </c>
      <c r="V624" s="24" t="s">
        <v>7757</v>
      </c>
      <c r="W624" s="24"/>
      <c r="X624" s="24"/>
      <c r="Y624" s="24" t="s">
        <v>183</v>
      </c>
      <c r="Z624" s="24"/>
      <c r="AA624" s="24"/>
      <c r="AB624" s="25" t="n">
        <v>10</v>
      </c>
      <c r="AC624" s="24" t="s">
        <v>7761</v>
      </c>
      <c r="AD624" s="24" t="s">
        <v>7762</v>
      </c>
      <c r="AE624" s="24"/>
      <c r="AF624" s="24" t="s">
        <v>168</v>
      </c>
      <c r="AG624" s="24"/>
      <c r="AH624" s="24"/>
      <c r="AI624" s="25" t="n">
        <f aca="false">COUNTIF($B$2:$B$740,B624)</f>
        <v>1</v>
      </c>
    </row>
    <row r="625" customFormat="false" ht="76" hidden="false" customHeight="true" outlineLevel="0" collapsed="false">
      <c r="A625" s="21" t="n">
        <v>624</v>
      </c>
      <c r="B625" s="22" t="s">
        <v>7763</v>
      </c>
      <c r="C625" s="23" t="s">
        <v>9</v>
      </c>
      <c r="D625" s="23" t="s">
        <v>96</v>
      </c>
      <c r="E625" s="23" t="s">
        <v>97</v>
      </c>
      <c r="F625" s="24" t="s">
        <v>50</v>
      </c>
      <c r="G625" s="24" t="s">
        <v>1407</v>
      </c>
      <c r="H625" s="24" t="s">
        <v>5362</v>
      </c>
      <c r="I625" s="24" t="s">
        <v>7739</v>
      </c>
      <c r="J625" s="24" t="s">
        <v>7764</v>
      </c>
      <c r="K625" s="24" t="s">
        <v>7765</v>
      </c>
      <c r="L625" s="24" t="s">
        <v>119</v>
      </c>
      <c r="M625" s="24" t="s">
        <v>2551</v>
      </c>
      <c r="N625" s="24" t="s">
        <v>2596</v>
      </c>
      <c r="O625" s="24" t="s">
        <v>2476</v>
      </c>
      <c r="P625" s="24" t="s">
        <v>7766</v>
      </c>
      <c r="Q625" s="24" t="s">
        <v>7767</v>
      </c>
      <c r="R625" s="24" t="s">
        <v>7768</v>
      </c>
      <c r="S625" s="24" t="s">
        <v>7769</v>
      </c>
      <c r="T625" s="24" t="s">
        <v>7770</v>
      </c>
      <c r="U625" s="24" t="s">
        <v>7771</v>
      </c>
      <c r="V625" s="24" t="s">
        <v>7767</v>
      </c>
      <c r="W625" s="24"/>
      <c r="X625" s="24"/>
      <c r="Y625" s="24" t="s">
        <v>183</v>
      </c>
      <c r="Z625" s="24"/>
      <c r="AA625" s="24"/>
      <c r="AB625" s="25" t="n">
        <v>10</v>
      </c>
      <c r="AC625" s="24" t="s">
        <v>7772</v>
      </c>
      <c r="AD625" s="24" t="s">
        <v>7762</v>
      </c>
      <c r="AE625" s="24"/>
      <c r="AF625" s="24" t="s">
        <v>168</v>
      </c>
      <c r="AG625" s="24"/>
      <c r="AH625" s="24"/>
      <c r="AI625" s="25" t="n">
        <f aca="false">COUNTIF($B$2:$B$740,B625)</f>
        <v>1</v>
      </c>
    </row>
    <row r="626" customFormat="false" ht="76" hidden="false" customHeight="true" outlineLevel="0" collapsed="false">
      <c r="A626" s="21" t="n">
        <v>625</v>
      </c>
      <c r="B626" s="22" t="s">
        <v>7773</v>
      </c>
      <c r="C626" s="23" t="s">
        <v>9</v>
      </c>
      <c r="D626" s="23" t="s">
        <v>96</v>
      </c>
      <c r="E626" s="23" t="s">
        <v>97</v>
      </c>
      <c r="F626" s="24" t="s">
        <v>50</v>
      </c>
      <c r="G626" s="24" t="s">
        <v>1407</v>
      </c>
      <c r="H626" s="24" t="s">
        <v>5362</v>
      </c>
      <c r="I626" s="24" t="s">
        <v>7739</v>
      </c>
      <c r="J626" s="24" t="s">
        <v>7774</v>
      </c>
      <c r="K626" s="24" t="s">
        <v>7775</v>
      </c>
      <c r="L626" s="24" t="s">
        <v>119</v>
      </c>
      <c r="M626" s="24" t="s">
        <v>2551</v>
      </c>
      <c r="N626" s="24" t="s">
        <v>2596</v>
      </c>
      <c r="O626" s="24" t="s">
        <v>7776</v>
      </c>
      <c r="P626" s="24" t="s">
        <v>7777</v>
      </c>
      <c r="Q626" s="24" t="s">
        <v>7778</v>
      </c>
      <c r="R626" s="24" t="s">
        <v>7779</v>
      </c>
      <c r="S626" s="24" t="s">
        <v>7780</v>
      </c>
      <c r="T626" s="24" t="s">
        <v>7781</v>
      </c>
      <c r="U626" s="24" t="s">
        <v>183</v>
      </c>
      <c r="V626" s="24" t="s">
        <v>7782</v>
      </c>
      <c r="W626" s="24" t="s">
        <v>7783</v>
      </c>
      <c r="X626" s="24" t="s">
        <v>7784</v>
      </c>
      <c r="Y626" s="24" t="s">
        <v>7785</v>
      </c>
      <c r="Z626" s="24"/>
      <c r="AA626" s="24"/>
      <c r="AB626" s="25" t="n">
        <v>10</v>
      </c>
      <c r="AC626" s="24" t="s">
        <v>2613</v>
      </c>
      <c r="AD626" s="24" t="s">
        <v>7786</v>
      </c>
      <c r="AE626" s="24"/>
      <c r="AF626" s="24" t="s">
        <v>168</v>
      </c>
      <c r="AG626" s="24"/>
      <c r="AH626" s="24"/>
      <c r="AI626" s="25" t="n">
        <f aca="false">COUNTIF($B$2:$B$740,B626)</f>
        <v>1</v>
      </c>
    </row>
    <row r="627" customFormat="false" ht="76" hidden="false" customHeight="true" outlineLevel="0" collapsed="false">
      <c r="A627" s="21" t="n">
        <v>626</v>
      </c>
      <c r="B627" s="22" t="s">
        <v>7787</v>
      </c>
      <c r="C627" s="23" t="s">
        <v>12</v>
      </c>
      <c r="D627" s="23" t="s">
        <v>209</v>
      </c>
      <c r="E627" s="23" t="s">
        <v>97</v>
      </c>
      <c r="F627" s="24" t="s">
        <v>50</v>
      </c>
      <c r="G627" s="24" t="s">
        <v>1407</v>
      </c>
      <c r="H627" s="24" t="s">
        <v>5362</v>
      </c>
      <c r="I627" s="24" t="s">
        <v>7739</v>
      </c>
      <c r="J627" s="24" t="s">
        <v>7788</v>
      </c>
      <c r="K627" s="24" t="s">
        <v>7789</v>
      </c>
      <c r="L627" s="24" t="s">
        <v>119</v>
      </c>
      <c r="M627" s="24" t="s">
        <v>2551</v>
      </c>
      <c r="N627" s="24" t="s">
        <v>2596</v>
      </c>
      <c r="O627" s="24" t="s">
        <v>2476</v>
      </c>
      <c r="P627" s="24" t="s">
        <v>7766</v>
      </c>
      <c r="Q627" s="24" t="s">
        <v>7790</v>
      </c>
      <c r="R627" s="24" t="s">
        <v>7791</v>
      </c>
      <c r="S627" s="24" t="s">
        <v>7792</v>
      </c>
      <c r="T627" s="24" t="s">
        <v>7793</v>
      </c>
      <c r="U627" s="24" t="s">
        <v>7794</v>
      </c>
      <c r="V627" s="24" t="s">
        <v>7790</v>
      </c>
      <c r="W627" s="24"/>
      <c r="X627" s="24"/>
      <c r="Y627" s="24" t="s">
        <v>7795</v>
      </c>
      <c r="Z627" s="24"/>
      <c r="AA627" s="24"/>
      <c r="AB627" s="25" t="n">
        <v>10</v>
      </c>
      <c r="AC627" s="24" t="s">
        <v>7796</v>
      </c>
      <c r="AD627" s="24" t="s">
        <v>7797</v>
      </c>
      <c r="AE627" s="24"/>
      <c r="AF627" s="24" t="s">
        <v>168</v>
      </c>
      <c r="AG627" s="24"/>
      <c r="AH627" s="24"/>
      <c r="AI627" s="25" t="n">
        <f aca="false">COUNTIF($B$2:$B$740,B627)</f>
        <v>1</v>
      </c>
    </row>
    <row r="628" customFormat="false" ht="76" hidden="false" customHeight="true" outlineLevel="0" collapsed="false">
      <c r="A628" s="21" t="n">
        <v>627</v>
      </c>
      <c r="B628" s="22" t="s">
        <v>7798</v>
      </c>
      <c r="C628" s="23" t="s">
        <v>9</v>
      </c>
      <c r="D628" s="23" t="s">
        <v>96</v>
      </c>
      <c r="E628" s="23" t="s">
        <v>97</v>
      </c>
      <c r="F628" s="24" t="s">
        <v>50</v>
      </c>
      <c r="G628" s="24" t="s">
        <v>1407</v>
      </c>
      <c r="H628" s="24" t="s">
        <v>5362</v>
      </c>
      <c r="I628" s="24" t="s">
        <v>7739</v>
      </c>
      <c r="J628" s="24" t="s">
        <v>7799</v>
      </c>
      <c r="K628" s="24" t="s">
        <v>7800</v>
      </c>
      <c r="L628" s="24" t="s">
        <v>119</v>
      </c>
      <c r="M628" s="24" t="s">
        <v>2551</v>
      </c>
      <c r="N628" s="24" t="s">
        <v>7801</v>
      </c>
      <c r="O628" s="24" t="s">
        <v>7802</v>
      </c>
      <c r="P628" s="24" t="s">
        <v>7803</v>
      </c>
      <c r="Q628" s="24" t="s">
        <v>7804</v>
      </c>
      <c r="R628" s="24" t="s">
        <v>7805</v>
      </c>
      <c r="S628" s="24" t="s">
        <v>7806</v>
      </c>
      <c r="T628" s="24" t="s">
        <v>7807</v>
      </c>
      <c r="U628" s="24" t="s">
        <v>7808</v>
      </c>
      <c r="V628" s="24" t="s">
        <v>7809</v>
      </c>
      <c r="W628" s="24"/>
      <c r="X628" s="24"/>
      <c r="Y628" s="24" t="s">
        <v>7810</v>
      </c>
      <c r="Z628" s="24"/>
      <c r="AA628" s="24"/>
      <c r="AB628" s="25" t="n">
        <v>10</v>
      </c>
      <c r="AC628" s="24" t="s">
        <v>7811</v>
      </c>
      <c r="AD628" s="24" t="s">
        <v>7812</v>
      </c>
      <c r="AE628" s="24"/>
      <c r="AF628" s="24" t="s">
        <v>168</v>
      </c>
      <c r="AG628" s="24"/>
      <c r="AH628" s="24"/>
      <c r="AI628" s="25" t="n">
        <f aca="false">COUNTIF($B$2:$B$740,B628)</f>
        <v>1</v>
      </c>
    </row>
    <row r="629" customFormat="false" ht="76" hidden="false" customHeight="true" outlineLevel="0" collapsed="false">
      <c r="A629" s="21" t="n">
        <v>628</v>
      </c>
      <c r="B629" s="22" t="s">
        <v>7813</v>
      </c>
      <c r="C629" s="23" t="s">
        <v>12</v>
      </c>
      <c r="D629" s="23" t="s">
        <v>209</v>
      </c>
      <c r="E629" s="23" t="s">
        <v>97</v>
      </c>
      <c r="F629" s="24" t="s">
        <v>50</v>
      </c>
      <c r="G629" s="24" t="s">
        <v>1407</v>
      </c>
      <c r="H629" s="24" t="s">
        <v>5362</v>
      </c>
      <c r="I629" s="24" t="s">
        <v>7739</v>
      </c>
      <c r="J629" s="24" t="s">
        <v>7814</v>
      </c>
      <c r="K629" s="24" t="s">
        <v>7815</v>
      </c>
      <c r="L629" s="24" t="s">
        <v>531</v>
      </c>
      <c r="M629" s="24" t="s">
        <v>2551</v>
      </c>
      <c r="N629" s="24" t="s">
        <v>2596</v>
      </c>
      <c r="O629" s="24" t="s">
        <v>2476</v>
      </c>
      <c r="P629" s="24" t="s">
        <v>7816</v>
      </c>
      <c r="Q629" s="24" t="s">
        <v>7817</v>
      </c>
      <c r="R629" s="24" t="s">
        <v>7818</v>
      </c>
      <c r="S629" s="24" t="s">
        <v>7819</v>
      </c>
      <c r="T629" s="24" t="s">
        <v>7820</v>
      </c>
      <c r="U629" s="24" t="s">
        <v>7821</v>
      </c>
      <c r="V629" s="24" t="s">
        <v>7817</v>
      </c>
      <c r="W629" s="24" t="s">
        <v>7822</v>
      </c>
      <c r="X629" s="24"/>
      <c r="Y629" s="24" t="s">
        <v>7821</v>
      </c>
      <c r="Z629" s="24"/>
      <c r="AA629" s="24"/>
      <c r="AB629" s="25" t="n">
        <v>10</v>
      </c>
      <c r="AC629" s="24" t="s">
        <v>7823</v>
      </c>
      <c r="AD629" s="24" t="s">
        <v>7824</v>
      </c>
      <c r="AE629" s="24"/>
      <c r="AF629" s="24" t="s">
        <v>168</v>
      </c>
      <c r="AG629" s="24"/>
      <c r="AH629" s="24"/>
      <c r="AI629" s="25" t="n">
        <f aca="false">COUNTIF($B$2:$B$740,B629)</f>
        <v>1</v>
      </c>
    </row>
    <row r="630" customFormat="false" ht="76" hidden="false" customHeight="true" outlineLevel="0" collapsed="false">
      <c r="A630" s="21" t="n">
        <v>629</v>
      </c>
      <c r="B630" s="22" t="s">
        <v>7825</v>
      </c>
      <c r="C630" s="23" t="s">
        <v>9</v>
      </c>
      <c r="D630" s="23" t="s">
        <v>96</v>
      </c>
      <c r="E630" s="23" t="s">
        <v>97</v>
      </c>
      <c r="F630" s="24" t="s">
        <v>50</v>
      </c>
      <c r="G630" s="24" t="s">
        <v>1407</v>
      </c>
      <c r="H630" s="24" t="s">
        <v>5362</v>
      </c>
      <c r="I630" s="24" t="s">
        <v>7739</v>
      </c>
      <c r="J630" s="24" t="s">
        <v>7826</v>
      </c>
      <c r="K630" s="24" t="s">
        <v>7827</v>
      </c>
      <c r="L630" s="24" t="s">
        <v>103</v>
      </c>
      <c r="M630" s="24" t="s">
        <v>2551</v>
      </c>
      <c r="N630" s="24" t="s">
        <v>2596</v>
      </c>
      <c r="O630" s="24" t="s">
        <v>2476</v>
      </c>
      <c r="P630" s="24" t="s">
        <v>7828</v>
      </c>
      <c r="Q630" s="24" t="s">
        <v>7829</v>
      </c>
      <c r="R630" s="24" t="s">
        <v>7830</v>
      </c>
      <c r="S630" s="24" t="s">
        <v>7831</v>
      </c>
      <c r="T630" s="24" t="s">
        <v>7832</v>
      </c>
      <c r="U630" s="24" t="s">
        <v>7833</v>
      </c>
      <c r="V630" s="24" t="s">
        <v>7834</v>
      </c>
      <c r="W630" s="24" t="s">
        <v>7835</v>
      </c>
      <c r="X630" s="24" t="s">
        <v>7836</v>
      </c>
      <c r="Y630" s="24" t="s">
        <v>7837</v>
      </c>
      <c r="Z630" s="24"/>
      <c r="AA630" s="24"/>
      <c r="AB630" s="25" t="n">
        <v>80</v>
      </c>
      <c r="AC630" s="24" t="s">
        <v>7838</v>
      </c>
      <c r="AD630" s="24" t="s">
        <v>7839</v>
      </c>
      <c r="AE630" s="24" t="s">
        <v>7840</v>
      </c>
      <c r="AF630" s="24" t="s">
        <v>168</v>
      </c>
      <c r="AG630" s="24"/>
      <c r="AH630" s="24" t="s">
        <v>941</v>
      </c>
      <c r="AI630" s="25" t="n">
        <f aca="false">COUNTIF($B$2:$B$740,B630)</f>
        <v>1</v>
      </c>
    </row>
    <row r="631" customFormat="false" ht="76" hidden="false" customHeight="true" outlineLevel="0" collapsed="false">
      <c r="A631" s="21" t="n">
        <v>630</v>
      </c>
      <c r="B631" s="22" t="s">
        <v>7841</v>
      </c>
      <c r="C631" s="23" t="s">
        <v>9</v>
      </c>
      <c r="D631" s="23" t="s">
        <v>96</v>
      </c>
      <c r="E631" s="23" t="s">
        <v>97</v>
      </c>
      <c r="F631" s="24" t="s">
        <v>50</v>
      </c>
      <c r="G631" s="24" t="s">
        <v>1407</v>
      </c>
      <c r="H631" s="24" t="s">
        <v>5362</v>
      </c>
      <c r="I631" s="24" t="s">
        <v>7739</v>
      </c>
      <c r="J631" s="24" t="s">
        <v>7842</v>
      </c>
      <c r="K631" s="24" t="s">
        <v>7843</v>
      </c>
      <c r="L631" s="24" t="s">
        <v>119</v>
      </c>
      <c r="M631" s="24" t="s">
        <v>2551</v>
      </c>
      <c r="N631" s="24" t="s">
        <v>7844</v>
      </c>
      <c r="O631" s="24" t="s">
        <v>7845</v>
      </c>
      <c r="P631" s="24" t="s">
        <v>7846</v>
      </c>
      <c r="Q631" s="24" t="s">
        <v>7847</v>
      </c>
      <c r="R631" s="24" t="s">
        <v>7848</v>
      </c>
      <c r="S631" s="24" t="s">
        <v>7849</v>
      </c>
      <c r="T631" s="24" t="s">
        <v>7850</v>
      </c>
      <c r="U631" s="24" t="s">
        <v>7851</v>
      </c>
      <c r="V631" s="24" t="s">
        <v>7852</v>
      </c>
      <c r="W631" s="24"/>
      <c r="X631" s="24"/>
      <c r="Y631" s="24" t="s">
        <v>7853</v>
      </c>
      <c r="Z631" s="24"/>
      <c r="AA631" s="24" t="s">
        <v>7854</v>
      </c>
      <c r="AB631" s="25" t="n">
        <v>10</v>
      </c>
      <c r="AC631" s="24" t="s">
        <v>7855</v>
      </c>
      <c r="AD631" s="24" t="s">
        <v>7856</v>
      </c>
      <c r="AE631" s="24"/>
      <c r="AF631" s="24" t="s">
        <v>168</v>
      </c>
      <c r="AG631" s="24"/>
      <c r="AH631" s="24"/>
      <c r="AI631" s="25" t="n">
        <f aca="false">COUNTIF($B$2:$B$740,B631)</f>
        <v>1</v>
      </c>
    </row>
    <row r="632" customFormat="false" ht="76" hidden="false" customHeight="true" outlineLevel="0" collapsed="false">
      <c r="A632" s="21" t="n">
        <v>631</v>
      </c>
      <c r="B632" s="22" t="s">
        <v>7857</v>
      </c>
      <c r="C632" s="23" t="s">
        <v>9</v>
      </c>
      <c r="D632" s="23" t="s">
        <v>96</v>
      </c>
      <c r="E632" s="23" t="s">
        <v>97</v>
      </c>
      <c r="F632" s="24" t="s">
        <v>50</v>
      </c>
      <c r="G632" s="24" t="s">
        <v>1407</v>
      </c>
      <c r="H632" s="24" t="s">
        <v>5362</v>
      </c>
      <c r="I632" s="24" t="s">
        <v>7858</v>
      </c>
      <c r="J632" s="24" t="s">
        <v>7859</v>
      </c>
      <c r="K632" s="24" t="s">
        <v>7860</v>
      </c>
      <c r="L632" s="24" t="s">
        <v>119</v>
      </c>
      <c r="M632" s="24" t="s">
        <v>2617</v>
      </c>
      <c r="N632" s="24" t="s">
        <v>7861</v>
      </c>
      <c r="O632" s="24" t="s">
        <v>7862</v>
      </c>
      <c r="P632" s="24" t="s">
        <v>7863</v>
      </c>
      <c r="Q632" s="24" t="s">
        <v>7864</v>
      </c>
      <c r="R632" s="24" t="s">
        <v>7865</v>
      </c>
      <c r="S632" s="24" t="s">
        <v>7866</v>
      </c>
      <c r="T632" s="24" t="s">
        <v>7867</v>
      </c>
      <c r="U632" s="24" t="s">
        <v>7868</v>
      </c>
      <c r="V632" s="24" t="s">
        <v>7869</v>
      </c>
      <c r="W632" s="24"/>
      <c r="X632" s="24"/>
      <c r="Y632" s="24" t="s">
        <v>7870</v>
      </c>
      <c r="Z632" s="24"/>
      <c r="AA632" s="24"/>
      <c r="AB632" s="25" t="n">
        <v>10</v>
      </c>
      <c r="AC632" s="24" t="s">
        <v>2642</v>
      </c>
      <c r="AD632" s="24" t="s">
        <v>7871</v>
      </c>
      <c r="AE632" s="24"/>
      <c r="AF632" s="24" t="s">
        <v>168</v>
      </c>
      <c r="AG632" s="24"/>
      <c r="AH632" s="24"/>
      <c r="AI632" s="25" t="n">
        <f aca="false">COUNTIF($B$2:$B$740,B632)</f>
        <v>1</v>
      </c>
    </row>
    <row r="633" customFormat="false" ht="76" hidden="false" customHeight="true" outlineLevel="0" collapsed="false">
      <c r="A633" s="21" t="n">
        <v>632</v>
      </c>
      <c r="B633" s="22" t="s">
        <v>7872</v>
      </c>
      <c r="C633" s="23" t="s">
        <v>9</v>
      </c>
      <c r="D633" s="23" t="s">
        <v>96</v>
      </c>
      <c r="E633" s="23" t="s">
        <v>97</v>
      </c>
      <c r="F633" s="24" t="s">
        <v>50</v>
      </c>
      <c r="G633" s="24" t="s">
        <v>1407</v>
      </c>
      <c r="H633" s="24" t="s">
        <v>5362</v>
      </c>
      <c r="I633" s="24" t="s">
        <v>7858</v>
      </c>
      <c r="J633" s="24" t="s">
        <v>7873</v>
      </c>
      <c r="K633" s="24" t="s">
        <v>7874</v>
      </c>
      <c r="L633" s="24" t="s">
        <v>103</v>
      </c>
      <c r="M633" s="24" t="s">
        <v>7875</v>
      </c>
      <c r="N633" s="24" t="s">
        <v>7876</v>
      </c>
      <c r="O633" s="24" t="s">
        <v>7877</v>
      </c>
      <c r="P633" s="24" t="s">
        <v>7878</v>
      </c>
      <c r="Q633" s="24" t="s">
        <v>7879</v>
      </c>
      <c r="R633" s="24" t="s">
        <v>7880</v>
      </c>
      <c r="S633" s="24" t="s">
        <v>7881</v>
      </c>
      <c r="T633" s="24" t="s">
        <v>7882</v>
      </c>
      <c r="U633" s="24" t="s">
        <v>183</v>
      </c>
      <c r="V633" s="24"/>
      <c r="W633" s="24" t="s">
        <v>7879</v>
      </c>
      <c r="X633" s="24"/>
      <c r="Y633" s="24" t="s">
        <v>183</v>
      </c>
      <c r="Z633" s="24"/>
      <c r="AA633" s="24"/>
      <c r="AB633" s="25" t="n">
        <v>10</v>
      </c>
      <c r="AC633" s="24" t="s">
        <v>2642</v>
      </c>
      <c r="AD633" s="24" t="s">
        <v>7883</v>
      </c>
      <c r="AE633" s="24" t="s">
        <v>7857</v>
      </c>
      <c r="AF633" s="24" t="s">
        <v>168</v>
      </c>
      <c r="AG633" s="24"/>
      <c r="AH633" s="24"/>
      <c r="AI633" s="25" t="n">
        <f aca="false">COUNTIF($B$2:$B$740,B633)</f>
        <v>1</v>
      </c>
    </row>
    <row r="634" customFormat="false" ht="76" hidden="false" customHeight="true" outlineLevel="0" collapsed="false">
      <c r="A634" s="21" t="n">
        <v>633</v>
      </c>
      <c r="B634" s="22" t="s">
        <v>7884</v>
      </c>
      <c r="C634" s="23" t="s">
        <v>9</v>
      </c>
      <c r="D634" s="23" t="s">
        <v>96</v>
      </c>
      <c r="E634" s="23" t="s">
        <v>97</v>
      </c>
      <c r="F634" s="24" t="s">
        <v>50</v>
      </c>
      <c r="G634" s="24" t="s">
        <v>1407</v>
      </c>
      <c r="H634" s="24" t="s">
        <v>5362</v>
      </c>
      <c r="I634" s="24" t="s">
        <v>7858</v>
      </c>
      <c r="J634" s="24" t="s">
        <v>7885</v>
      </c>
      <c r="K634" s="24" t="s">
        <v>7886</v>
      </c>
      <c r="L634" s="24" t="s">
        <v>119</v>
      </c>
      <c r="M634" s="24" t="s">
        <v>2617</v>
      </c>
      <c r="N634" s="24" t="s">
        <v>7887</v>
      </c>
      <c r="O634" s="24" t="s">
        <v>7888</v>
      </c>
      <c r="P634" s="24" t="s">
        <v>7889</v>
      </c>
      <c r="Q634" s="24" t="s">
        <v>7890</v>
      </c>
      <c r="R634" s="24" t="s">
        <v>7891</v>
      </c>
      <c r="S634" s="24" t="s">
        <v>7892</v>
      </c>
      <c r="T634" s="24" t="s">
        <v>7893</v>
      </c>
      <c r="U634" s="24" t="s">
        <v>7894</v>
      </c>
      <c r="V634" s="24"/>
      <c r="W634" s="24"/>
      <c r="X634" s="24"/>
      <c r="Y634" s="24" t="s">
        <v>183</v>
      </c>
      <c r="Z634" s="24"/>
      <c r="AA634" s="24"/>
      <c r="AB634" s="25" t="n">
        <v>10</v>
      </c>
      <c r="AC634" s="24" t="s">
        <v>2642</v>
      </c>
      <c r="AD634" s="24" t="s">
        <v>7895</v>
      </c>
      <c r="AE634" s="24"/>
      <c r="AF634" s="24" t="s">
        <v>168</v>
      </c>
      <c r="AG634" s="24"/>
      <c r="AH634" s="24"/>
      <c r="AI634" s="25" t="n">
        <f aca="false">COUNTIF($B$2:$B$740,B634)</f>
        <v>1</v>
      </c>
    </row>
    <row r="635" customFormat="false" ht="76" hidden="false" customHeight="true" outlineLevel="0" collapsed="false">
      <c r="A635" s="21" t="n">
        <v>634</v>
      </c>
      <c r="B635" s="22" t="s">
        <v>7896</v>
      </c>
      <c r="C635" s="23" t="s">
        <v>9</v>
      </c>
      <c r="D635" s="23" t="s">
        <v>96</v>
      </c>
      <c r="E635" s="23" t="s">
        <v>97</v>
      </c>
      <c r="F635" s="24" t="s">
        <v>50</v>
      </c>
      <c r="G635" s="24" t="s">
        <v>1407</v>
      </c>
      <c r="H635" s="24" t="s">
        <v>5362</v>
      </c>
      <c r="I635" s="24" t="s">
        <v>7858</v>
      </c>
      <c r="J635" s="24" t="s">
        <v>7897</v>
      </c>
      <c r="K635" s="24" t="s">
        <v>7898</v>
      </c>
      <c r="L635" s="24" t="s">
        <v>119</v>
      </c>
      <c r="M635" s="24" t="s">
        <v>7899</v>
      </c>
      <c r="N635" s="24"/>
      <c r="O635" s="24" t="s">
        <v>7900</v>
      </c>
      <c r="P635" s="24" t="s">
        <v>7901</v>
      </c>
      <c r="Q635" s="24" t="s">
        <v>7902</v>
      </c>
      <c r="R635" s="24" t="s">
        <v>7903</v>
      </c>
      <c r="S635" s="24" t="s">
        <v>7904</v>
      </c>
      <c r="T635" s="24" t="s">
        <v>7905</v>
      </c>
      <c r="U635" s="24" t="s">
        <v>183</v>
      </c>
      <c r="V635" s="24"/>
      <c r="W635" s="24" t="s">
        <v>7906</v>
      </c>
      <c r="X635" s="24"/>
      <c r="Y635" s="24" t="s">
        <v>183</v>
      </c>
      <c r="Z635" s="24"/>
      <c r="AA635" s="24"/>
      <c r="AB635" s="25" t="n">
        <v>10</v>
      </c>
      <c r="AC635" s="24" t="s">
        <v>2642</v>
      </c>
      <c r="AD635" s="24" t="s">
        <v>7907</v>
      </c>
      <c r="AE635" s="24"/>
      <c r="AF635" s="24" t="s">
        <v>168</v>
      </c>
      <c r="AG635" s="24"/>
      <c r="AH635" s="24"/>
      <c r="AI635" s="25" t="n">
        <f aca="false">COUNTIF($B$2:$B$740,B635)</f>
        <v>1</v>
      </c>
    </row>
    <row r="636" customFormat="false" ht="76" hidden="false" customHeight="true" outlineLevel="0" collapsed="false">
      <c r="A636" s="21" t="n">
        <v>635</v>
      </c>
      <c r="B636" s="22" t="s">
        <v>7908</v>
      </c>
      <c r="C636" s="23" t="s">
        <v>9</v>
      </c>
      <c r="D636" s="23" t="s">
        <v>96</v>
      </c>
      <c r="E636" s="23" t="s">
        <v>97</v>
      </c>
      <c r="F636" s="24" t="s">
        <v>50</v>
      </c>
      <c r="G636" s="24" t="s">
        <v>1407</v>
      </c>
      <c r="H636" s="24" t="s">
        <v>5362</v>
      </c>
      <c r="I636" s="24" t="s">
        <v>7858</v>
      </c>
      <c r="J636" s="24" t="s">
        <v>7909</v>
      </c>
      <c r="K636" s="24" t="s">
        <v>7910</v>
      </c>
      <c r="L636" s="24" t="s">
        <v>119</v>
      </c>
      <c r="M636" s="24" t="s">
        <v>2617</v>
      </c>
      <c r="N636" s="24" t="s">
        <v>2596</v>
      </c>
      <c r="O636" s="24" t="s">
        <v>7911</v>
      </c>
      <c r="P636" s="24" t="s">
        <v>7912</v>
      </c>
      <c r="Q636" s="24" t="s">
        <v>7913</v>
      </c>
      <c r="R636" s="24" t="s">
        <v>7914</v>
      </c>
      <c r="S636" s="24" t="s">
        <v>7915</v>
      </c>
      <c r="T636" s="24" t="s">
        <v>7916</v>
      </c>
      <c r="U636" s="24" t="s">
        <v>7917</v>
      </c>
      <c r="V636" s="24" t="s">
        <v>7918</v>
      </c>
      <c r="W636" s="24" t="s">
        <v>7913</v>
      </c>
      <c r="X636" s="24"/>
      <c r="Y636" s="24" t="s">
        <v>7870</v>
      </c>
      <c r="Z636" s="24"/>
      <c r="AA636" s="24"/>
      <c r="AB636" s="25" t="n">
        <v>10</v>
      </c>
      <c r="AC636" s="24" t="s">
        <v>7919</v>
      </c>
      <c r="AD636" s="24" t="s">
        <v>7871</v>
      </c>
      <c r="AE636" s="24"/>
      <c r="AF636" s="24" t="s">
        <v>168</v>
      </c>
      <c r="AG636" s="24"/>
      <c r="AH636" s="24"/>
      <c r="AI636" s="25" t="n">
        <f aca="false">COUNTIF($B$2:$B$740,B636)</f>
        <v>1</v>
      </c>
    </row>
    <row r="637" customFormat="false" ht="76" hidden="false" customHeight="true" outlineLevel="0" collapsed="false">
      <c r="A637" s="21" t="n">
        <v>636</v>
      </c>
      <c r="B637" s="22" t="s">
        <v>7920</v>
      </c>
      <c r="C637" s="23" t="s">
        <v>9</v>
      </c>
      <c r="D637" s="23" t="s">
        <v>96</v>
      </c>
      <c r="E637" s="23" t="s">
        <v>97</v>
      </c>
      <c r="F637" s="24" t="s">
        <v>50</v>
      </c>
      <c r="G637" s="24" t="s">
        <v>1407</v>
      </c>
      <c r="H637" s="24" t="s">
        <v>5362</v>
      </c>
      <c r="I637" s="24" t="s">
        <v>7858</v>
      </c>
      <c r="J637" s="24" t="s">
        <v>7921</v>
      </c>
      <c r="K637" s="24" t="s">
        <v>7922</v>
      </c>
      <c r="L637" s="24" t="s">
        <v>119</v>
      </c>
      <c r="M637" s="24" t="s">
        <v>2617</v>
      </c>
      <c r="N637" s="24" t="s">
        <v>2660</v>
      </c>
      <c r="O637" s="24" t="s">
        <v>2476</v>
      </c>
      <c r="P637" s="24" t="s">
        <v>2703</v>
      </c>
      <c r="Q637" s="24" t="s">
        <v>2662</v>
      </c>
      <c r="R637" s="24" t="s">
        <v>7923</v>
      </c>
      <c r="S637" s="24" t="s">
        <v>7924</v>
      </c>
      <c r="T637" s="24" t="s">
        <v>7925</v>
      </c>
      <c r="U637" s="24" t="s">
        <v>7926</v>
      </c>
      <c r="V637" s="24" t="s">
        <v>7927</v>
      </c>
      <c r="W637" s="24" t="s">
        <v>7928</v>
      </c>
      <c r="X637" s="24"/>
      <c r="Y637" s="24" t="s">
        <v>7926</v>
      </c>
      <c r="Z637" s="24"/>
      <c r="AA637" s="24"/>
      <c r="AB637" s="25" t="n">
        <v>10</v>
      </c>
      <c r="AC637" s="24" t="s">
        <v>7929</v>
      </c>
      <c r="AD637" s="24" t="s">
        <v>7930</v>
      </c>
      <c r="AE637" s="24"/>
      <c r="AF637" s="24" t="s">
        <v>168</v>
      </c>
      <c r="AG637" s="24"/>
      <c r="AH637" s="24"/>
      <c r="AI637" s="25" t="n">
        <f aca="false">COUNTIF($B$2:$B$740,B637)</f>
        <v>1</v>
      </c>
    </row>
    <row r="638" customFormat="false" ht="76" hidden="false" customHeight="true" outlineLevel="0" collapsed="false">
      <c r="A638" s="21" t="n">
        <v>637</v>
      </c>
      <c r="B638" s="22" t="s">
        <v>7931</v>
      </c>
      <c r="C638" s="23" t="s">
        <v>9</v>
      </c>
      <c r="D638" s="23" t="s">
        <v>96</v>
      </c>
      <c r="E638" s="23" t="s">
        <v>97</v>
      </c>
      <c r="F638" s="24" t="s">
        <v>50</v>
      </c>
      <c r="G638" s="24" t="s">
        <v>1407</v>
      </c>
      <c r="H638" s="24" t="s">
        <v>5362</v>
      </c>
      <c r="I638" s="24" t="s">
        <v>7858</v>
      </c>
      <c r="J638" s="24" t="s">
        <v>7932</v>
      </c>
      <c r="K638" s="24" t="s">
        <v>7933</v>
      </c>
      <c r="L638" s="24" t="s">
        <v>119</v>
      </c>
      <c r="M638" s="24" t="s">
        <v>2617</v>
      </c>
      <c r="N638" s="24" t="s">
        <v>7934</v>
      </c>
      <c r="O638" s="24" t="s">
        <v>2476</v>
      </c>
      <c r="P638" s="24" t="s">
        <v>7935</v>
      </c>
      <c r="Q638" s="24" t="s">
        <v>7936</v>
      </c>
      <c r="R638" s="24" t="s">
        <v>7937</v>
      </c>
      <c r="S638" s="24" t="s">
        <v>7938</v>
      </c>
      <c r="T638" s="24" t="s">
        <v>7939</v>
      </c>
      <c r="U638" s="24" t="s">
        <v>7940</v>
      </c>
      <c r="V638" s="24" t="s">
        <v>7936</v>
      </c>
      <c r="W638" s="24" t="s">
        <v>7941</v>
      </c>
      <c r="X638" s="24"/>
      <c r="Y638" s="24" t="s">
        <v>7940</v>
      </c>
      <c r="Z638" s="24"/>
      <c r="AA638" s="24"/>
      <c r="AB638" s="25" t="n">
        <v>10</v>
      </c>
      <c r="AC638" s="24" t="s">
        <v>7942</v>
      </c>
      <c r="AD638" s="24" t="s">
        <v>7943</v>
      </c>
      <c r="AE638" s="24"/>
      <c r="AF638" s="24" t="s">
        <v>168</v>
      </c>
      <c r="AG638" s="24"/>
      <c r="AH638" s="24"/>
      <c r="AI638" s="25" t="n">
        <f aca="false">COUNTIF($B$2:$B$740,B638)</f>
        <v>1</v>
      </c>
    </row>
    <row r="639" customFormat="false" ht="76" hidden="false" customHeight="true" outlineLevel="0" collapsed="false">
      <c r="A639" s="21" t="n">
        <v>638</v>
      </c>
      <c r="B639" s="22" t="s">
        <v>7944</v>
      </c>
      <c r="C639" s="23" t="s">
        <v>9</v>
      </c>
      <c r="D639" s="23" t="s">
        <v>96</v>
      </c>
      <c r="E639" s="23" t="s">
        <v>97</v>
      </c>
      <c r="F639" s="24" t="s">
        <v>50</v>
      </c>
      <c r="G639" s="24" t="s">
        <v>1407</v>
      </c>
      <c r="H639" s="24" t="s">
        <v>5362</v>
      </c>
      <c r="I639" s="24" t="s">
        <v>7858</v>
      </c>
      <c r="J639" s="24" t="s">
        <v>7945</v>
      </c>
      <c r="K639" s="24" t="s">
        <v>7946</v>
      </c>
      <c r="L639" s="24" t="s">
        <v>103</v>
      </c>
      <c r="M639" s="24" t="s">
        <v>2617</v>
      </c>
      <c r="N639" s="24" t="s">
        <v>2702</v>
      </c>
      <c r="O639" s="24" t="s">
        <v>7947</v>
      </c>
      <c r="P639" s="24" t="s">
        <v>7948</v>
      </c>
      <c r="Q639" s="24" t="s">
        <v>7949</v>
      </c>
      <c r="R639" s="24" t="s">
        <v>7950</v>
      </c>
      <c r="S639" s="24" t="s">
        <v>7951</v>
      </c>
      <c r="T639" s="24" t="s">
        <v>7952</v>
      </c>
      <c r="U639" s="24" t="s">
        <v>183</v>
      </c>
      <c r="V639" s="24" t="s">
        <v>7949</v>
      </c>
      <c r="W639" s="24"/>
      <c r="X639" s="24"/>
      <c r="Y639" s="24" t="s">
        <v>183</v>
      </c>
      <c r="Z639" s="24"/>
      <c r="AA639" s="24"/>
      <c r="AB639" s="25" t="n">
        <v>10</v>
      </c>
      <c r="AC639" s="24" t="s">
        <v>7953</v>
      </c>
      <c r="AD639" s="24" t="s">
        <v>7954</v>
      </c>
      <c r="AE639" s="24"/>
      <c r="AF639" s="24" t="s">
        <v>168</v>
      </c>
      <c r="AG639" s="24"/>
      <c r="AH639" s="24"/>
      <c r="AI639" s="25" t="n">
        <f aca="false">COUNTIF($B$2:$B$740,B639)</f>
        <v>1</v>
      </c>
    </row>
    <row r="640" customFormat="false" ht="76" hidden="false" customHeight="true" outlineLevel="0" collapsed="false">
      <c r="A640" s="21" t="n">
        <v>639</v>
      </c>
      <c r="B640" s="22" t="s">
        <v>7955</v>
      </c>
      <c r="C640" s="23" t="s">
        <v>12</v>
      </c>
      <c r="D640" s="23" t="s">
        <v>209</v>
      </c>
      <c r="E640" s="23" t="s">
        <v>97</v>
      </c>
      <c r="F640" s="24" t="s">
        <v>59</v>
      </c>
      <c r="G640" s="24" t="s">
        <v>98</v>
      </c>
      <c r="H640" s="24" t="s">
        <v>5362</v>
      </c>
      <c r="I640" s="24" t="s">
        <v>7858</v>
      </c>
      <c r="J640" s="24" t="s">
        <v>7956</v>
      </c>
      <c r="K640" s="24" t="s">
        <v>7957</v>
      </c>
      <c r="L640" s="24" t="s">
        <v>531</v>
      </c>
      <c r="M640" s="24" t="s">
        <v>7958</v>
      </c>
      <c r="N640" s="24"/>
      <c r="O640" s="24" t="s">
        <v>7959</v>
      </c>
      <c r="P640" s="24" t="s">
        <v>7960</v>
      </c>
      <c r="Q640" s="24" t="s">
        <v>7961</v>
      </c>
      <c r="R640" s="24" t="s">
        <v>7962</v>
      </c>
      <c r="S640" s="24" t="s">
        <v>7963</v>
      </c>
      <c r="T640" s="24" t="s">
        <v>7964</v>
      </c>
      <c r="U640" s="24" t="s">
        <v>7965</v>
      </c>
      <c r="V640" s="24" t="s">
        <v>7966</v>
      </c>
      <c r="W640" s="24" t="s">
        <v>7967</v>
      </c>
      <c r="X640" s="24"/>
      <c r="Y640" s="24" t="s">
        <v>7965</v>
      </c>
      <c r="Z640" s="24"/>
      <c r="AA640" s="24"/>
      <c r="AB640" s="25" t="n">
        <v>10</v>
      </c>
      <c r="AC640" s="24" t="s">
        <v>7968</v>
      </c>
      <c r="AD640" s="24" t="s">
        <v>7969</v>
      </c>
      <c r="AE640" s="24"/>
      <c r="AF640" s="24" t="s">
        <v>168</v>
      </c>
      <c r="AG640" s="24"/>
      <c r="AH640" s="24"/>
      <c r="AI640" s="25" t="n">
        <f aca="false">COUNTIF($B$2:$B$740,B640)</f>
        <v>1</v>
      </c>
    </row>
    <row r="641" customFormat="false" ht="76" hidden="false" customHeight="true" outlineLevel="0" collapsed="false">
      <c r="A641" s="21" t="n">
        <v>640</v>
      </c>
      <c r="B641" s="22" t="s">
        <v>7970</v>
      </c>
      <c r="C641" s="23" t="s">
        <v>12</v>
      </c>
      <c r="D641" s="23" t="s">
        <v>209</v>
      </c>
      <c r="E641" s="23" t="s">
        <v>97</v>
      </c>
      <c r="F641" s="24" t="s">
        <v>50</v>
      </c>
      <c r="G641" s="24" t="s">
        <v>1407</v>
      </c>
      <c r="H641" s="24" t="s">
        <v>5362</v>
      </c>
      <c r="I641" s="24" t="s">
        <v>7858</v>
      </c>
      <c r="J641" s="24" t="s">
        <v>7971</v>
      </c>
      <c r="K641" s="24" t="s">
        <v>7972</v>
      </c>
      <c r="L641" s="24" t="s">
        <v>531</v>
      </c>
      <c r="M641" s="24" t="s">
        <v>7973</v>
      </c>
      <c r="N641" s="24"/>
      <c r="O641" s="24" t="s">
        <v>7974</v>
      </c>
      <c r="P641" s="24" t="s">
        <v>7975</v>
      </c>
      <c r="Q641" s="24" t="s">
        <v>7976</v>
      </c>
      <c r="R641" s="24" t="s">
        <v>7977</v>
      </c>
      <c r="S641" s="24" t="s">
        <v>7978</v>
      </c>
      <c r="T641" s="24" t="s">
        <v>7979</v>
      </c>
      <c r="U641" s="24" t="s">
        <v>183</v>
      </c>
      <c r="V641" s="24"/>
      <c r="W641" s="24"/>
      <c r="X641" s="24"/>
      <c r="Y641" s="24" t="s">
        <v>183</v>
      </c>
      <c r="Z641" s="24"/>
      <c r="AA641" s="24"/>
      <c r="AB641" s="25" t="n">
        <v>10</v>
      </c>
      <c r="AC641" s="24" t="s">
        <v>7980</v>
      </c>
      <c r="AD641" s="24" t="s">
        <v>7981</v>
      </c>
      <c r="AE641" s="24"/>
      <c r="AF641" s="24" t="s">
        <v>168</v>
      </c>
      <c r="AG641" s="24"/>
      <c r="AH641" s="24"/>
      <c r="AI641" s="25" t="n">
        <f aca="false">COUNTIF($B$2:$B$740,B641)</f>
        <v>1</v>
      </c>
    </row>
    <row r="642" customFormat="false" ht="76" hidden="false" customHeight="true" outlineLevel="0" collapsed="false">
      <c r="A642" s="21" t="n">
        <v>641</v>
      </c>
      <c r="B642" s="22" t="s">
        <v>7982</v>
      </c>
      <c r="C642" s="23" t="s">
        <v>12</v>
      </c>
      <c r="D642" s="23" t="s">
        <v>209</v>
      </c>
      <c r="E642" s="23" t="s">
        <v>97</v>
      </c>
      <c r="F642" s="24" t="s">
        <v>59</v>
      </c>
      <c r="G642" s="24" t="s">
        <v>98</v>
      </c>
      <c r="H642" s="24" t="s">
        <v>5362</v>
      </c>
      <c r="I642" s="24" t="s">
        <v>7858</v>
      </c>
      <c r="J642" s="24" t="s">
        <v>7983</v>
      </c>
      <c r="K642" s="24" t="s">
        <v>7984</v>
      </c>
      <c r="L642" s="24" t="s">
        <v>531</v>
      </c>
      <c r="M642" s="24" t="s">
        <v>7985</v>
      </c>
      <c r="N642" s="24"/>
      <c r="O642" s="24" t="s">
        <v>7986</v>
      </c>
      <c r="P642" s="24" t="s">
        <v>7987</v>
      </c>
      <c r="Q642" s="24" t="s">
        <v>7988</v>
      </c>
      <c r="R642" s="24" t="s">
        <v>7989</v>
      </c>
      <c r="S642" s="24" t="s">
        <v>7990</v>
      </c>
      <c r="T642" s="24" t="s">
        <v>7991</v>
      </c>
      <c r="U642" s="24" t="s">
        <v>183</v>
      </c>
      <c r="V642" s="24"/>
      <c r="W642" s="24"/>
      <c r="X642" s="24"/>
      <c r="Y642" s="24" t="s">
        <v>7992</v>
      </c>
      <c r="Z642" s="24"/>
      <c r="AA642" s="24"/>
      <c r="AB642" s="25" t="n">
        <v>10</v>
      </c>
      <c r="AC642" s="24" t="s">
        <v>7980</v>
      </c>
      <c r="AD642" s="24" t="s">
        <v>7993</v>
      </c>
      <c r="AE642" s="24"/>
      <c r="AF642" s="24" t="s">
        <v>168</v>
      </c>
      <c r="AG642" s="24"/>
      <c r="AH642" s="24"/>
      <c r="AI642" s="25" t="n">
        <f aca="false">COUNTIF($B$2:$B$740,B642)</f>
        <v>1</v>
      </c>
    </row>
    <row r="643" customFormat="false" ht="76" hidden="false" customHeight="true" outlineLevel="0" collapsed="false">
      <c r="A643" s="21" t="n">
        <v>642</v>
      </c>
      <c r="B643" s="22" t="s">
        <v>2763</v>
      </c>
      <c r="C643" s="23" t="s">
        <v>12</v>
      </c>
      <c r="D643" s="23" t="s">
        <v>209</v>
      </c>
      <c r="E643" s="23" t="s">
        <v>97</v>
      </c>
      <c r="F643" s="24" t="s">
        <v>50</v>
      </c>
      <c r="G643" s="24" t="s">
        <v>1407</v>
      </c>
      <c r="H643" s="24" t="s">
        <v>5362</v>
      </c>
      <c r="I643" s="24" t="s">
        <v>7858</v>
      </c>
      <c r="J643" s="24" t="s">
        <v>7994</v>
      </c>
      <c r="K643" s="24" t="s">
        <v>7995</v>
      </c>
      <c r="L643" s="24" t="s">
        <v>531</v>
      </c>
      <c r="M643" s="24" t="s">
        <v>7996</v>
      </c>
      <c r="N643" s="24" t="s">
        <v>7997</v>
      </c>
      <c r="O643" s="24" t="s">
        <v>7998</v>
      </c>
      <c r="P643" s="24" t="s">
        <v>7999</v>
      </c>
      <c r="Q643" s="24" t="s">
        <v>8000</v>
      </c>
      <c r="R643" s="24" t="s">
        <v>8001</v>
      </c>
      <c r="S643" s="24" t="s">
        <v>8002</v>
      </c>
      <c r="T643" s="24" t="s">
        <v>8003</v>
      </c>
      <c r="U643" s="24" t="s">
        <v>183</v>
      </c>
      <c r="V643" s="24"/>
      <c r="W643" s="24"/>
      <c r="X643" s="24"/>
      <c r="Y643" s="24" t="s">
        <v>183</v>
      </c>
      <c r="Z643" s="24"/>
      <c r="AA643" s="24"/>
      <c r="AB643" s="25" t="n">
        <v>10</v>
      </c>
      <c r="AC643" s="24" t="s">
        <v>2761</v>
      </c>
      <c r="AD643" s="24" t="s">
        <v>2762</v>
      </c>
      <c r="AE643" s="24"/>
      <c r="AF643" s="24" t="s">
        <v>168</v>
      </c>
      <c r="AG643" s="24"/>
      <c r="AH643" s="24"/>
      <c r="AI643" s="25" t="n">
        <f aca="false">COUNTIF($B$2:$B$740,B643)</f>
        <v>1</v>
      </c>
    </row>
    <row r="644" customFormat="false" ht="76" hidden="false" customHeight="true" outlineLevel="0" collapsed="false">
      <c r="A644" s="21" t="n">
        <v>643</v>
      </c>
      <c r="B644" s="22" t="s">
        <v>8004</v>
      </c>
      <c r="C644" s="23" t="s">
        <v>9</v>
      </c>
      <c r="D644" s="23" t="s">
        <v>96</v>
      </c>
      <c r="E644" s="23" t="s">
        <v>97</v>
      </c>
      <c r="F644" s="24" t="s">
        <v>50</v>
      </c>
      <c r="G644" s="24" t="s">
        <v>1407</v>
      </c>
      <c r="H644" s="24" t="s">
        <v>5362</v>
      </c>
      <c r="I644" s="24" t="s">
        <v>7858</v>
      </c>
      <c r="J644" s="24" t="s">
        <v>8005</v>
      </c>
      <c r="K644" s="24" t="s">
        <v>8006</v>
      </c>
      <c r="L644" s="24" t="s">
        <v>119</v>
      </c>
      <c r="M644" s="24" t="s">
        <v>2692</v>
      </c>
      <c r="N644" s="24"/>
      <c r="O644" s="24" t="s">
        <v>8007</v>
      </c>
      <c r="P644" s="24" t="s">
        <v>1456</v>
      </c>
      <c r="Q644" s="24" t="s">
        <v>8008</v>
      </c>
      <c r="R644" s="24" t="s">
        <v>8009</v>
      </c>
      <c r="S644" s="24" t="s">
        <v>8010</v>
      </c>
      <c r="T644" s="24" t="s">
        <v>8011</v>
      </c>
      <c r="U644" s="24" t="s">
        <v>183</v>
      </c>
      <c r="V644" s="24"/>
      <c r="W644" s="24"/>
      <c r="X644" s="24" t="s">
        <v>8012</v>
      </c>
      <c r="Y644" s="24" t="s">
        <v>8013</v>
      </c>
      <c r="Z644" s="24"/>
      <c r="AA644" s="24"/>
      <c r="AB644" s="25" t="n">
        <v>10</v>
      </c>
      <c r="AC644" s="24" t="s">
        <v>8014</v>
      </c>
      <c r="AD644" s="24" t="s">
        <v>8015</v>
      </c>
      <c r="AE644" s="24"/>
      <c r="AF644" s="24" t="s">
        <v>168</v>
      </c>
      <c r="AG644" s="24"/>
      <c r="AH644" s="24"/>
      <c r="AI644" s="25" t="n">
        <f aca="false">COUNTIF($B$2:$B$740,B644)</f>
        <v>1</v>
      </c>
    </row>
    <row r="645" customFormat="false" ht="76" hidden="false" customHeight="true" outlineLevel="0" collapsed="false">
      <c r="A645" s="21" t="n">
        <v>644</v>
      </c>
      <c r="B645" s="22" t="s">
        <v>8016</v>
      </c>
      <c r="C645" s="23" t="s">
        <v>12</v>
      </c>
      <c r="D645" s="23" t="s">
        <v>209</v>
      </c>
      <c r="E645" s="23" t="s">
        <v>97</v>
      </c>
      <c r="F645" s="24" t="s">
        <v>50</v>
      </c>
      <c r="G645" s="24" t="s">
        <v>1407</v>
      </c>
      <c r="H645" s="24" t="s">
        <v>5362</v>
      </c>
      <c r="I645" s="24" t="s">
        <v>7858</v>
      </c>
      <c r="J645" s="24" t="s">
        <v>8017</v>
      </c>
      <c r="K645" s="24" t="s">
        <v>8018</v>
      </c>
      <c r="L645" s="24" t="s">
        <v>531</v>
      </c>
      <c r="M645" s="24" t="s">
        <v>2617</v>
      </c>
      <c r="N645" s="24" t="s">
        <v>8019</v>
      </c>
      <c r="O645" s="24" t="s">
        <v>2476</v>
      </c>
      <c r="P645" s="24" t="s">
        <v>8020</v>
      </c>
      <c r="Q645" s="24" t="s">
        <v>2756</v>
      </c>
      <c r="R645" s="24" t="s">
        <v>8021</v>
      </c>
      <c r="S645" s="24" t="s">
        <v>8022</v>
      </c>
      <c r="T645" s="24" t="s">
        <v>8023</v>
      </c>
      <c r="U645" s="24" t="s">
        <v>8024</v>
      </c>
      <c r="V645" s="24" t="s">
        <v>8025</v>
      </c>
      <c r="W645" s="24" t="s">
        <v>8026</v>
      </c>
      <c r="X645" s="24"/>
      <c r="Y645" s="24" t="s">
        <v>8024</v>
      </c>
      <c r="Z645" s="24"/>
      <c r="AA645" s="24"/>
      <c r="AB645" s="25" t="n">
        <v>10</v>
      </c>
      <c r="AC645" s="24" t="s">
        <v>8027</v>
      </c>
      <c r="AD645" s="24" t="s">
        <v>2787</v>
      </c>
      <c r="AE645" s="24"/>
      <c r="AF645" s="24" t="s">
        <v>168</v>
      </c>
      <c r="AG645" s="24"/>
      <c r="AH645" s="24"/>
      <c r="AI645" s="25" t="n">
        <f aca="false">COUNTIF($B$2:$B$740,B645)</f>
        <v>1</v>
      </c>
    </row>
    <row r="646" customFormat="false" ht="76" hidden="false" customHeight="true" outlineLevel="0" collapsed="false">
      <c r="A646" s="21" t="n">
        <v>645</v>
      </c>
      <c r="B646" s="22" t="s">
        <v>8028</v>
      </c>
      <c r="C646" s="23" t="s">
        <v>12</v>
      </c>
      <c r="D646" s="23" t="s">
        <v>209</v>
      </c>
      <c r="E646" s="23" t="s">
        <v>97</v>
      </c>
      <c r="F646" s="24" t="s">
        <v>59</v>
      </c>
      <c r="G646" s="24" t="s">
        <v>98</v>
      </c>
      <c r="H646" s="24" t="s">
        <v>5362</v>
      </c>
      <c r="I646" s="24" t="s">
        <v>7858</v>
      </c>
      <c r="J646" s="24" t="s">
        <v>8029</v>
      </c>
      <c r="K646" s="24" t="s">
        <v>8030</v>
      </c>
      <c r="L646" s="24" t="s">
        <v>531</v>
      </c>
      <c r="M646" s="24" t="s">
        <v>8031</v>
      </c>
      <c r="N646" s="24"/>
      <c r="O646" s="24" t="s">
        <v>8032</v>
      </c>
      <c r="P646" s="24" t="s">
        <v>8033</v>
      </c>
      <c r="Q646" s="24" t="s">
        <v>8034</v>
      </c>
      <c r="R646" s="24" t="s">
        <v>8035</v>
      </c>
      <c r="S646" s="24" t="s">
        <v>8036</v>
      </c>
      <c r="T646" s="24" t="s">
        <v>8037</v>
      </c>
      <c r="U646" s="24" t="s">
        <v>8038</v>
      </c>
      <c r="V646" s="24" t="s">
        <v>8039</v>
      </c>
      <c r="W646" s="24"/>
      <c r="X646" s="24"/>
      <c r="Y646" s="24" t="s">
        <v>8038</v>
      </c>
      <c r="Z646" s="24"/>
      <c r="AA646" s="24"/>
      <c r="AB646" s="25" t="n">
        <v>10</v>
      </c>
      <c r="AC646" s="24" t="s">
        <v>2786</v>
      </c>
      <c r="AD646" s="24" t="s">
        <v>8040</v>
      </c>
      <c r="AE646" s="24"/>
      <c r="AF646" s="24" t="s">
        <v>168</v>
      </c>
      <c r="AG646" s="24"/>
      <c r="AH646" s="24"/>
      <c r="AI646" s="25" t="n">
        <f aca="false">COUNTIF($B$2:$B$740,B646)</f>
        <v>1</v>
      </c>
    </row>
    <row r="647" customFormat="false" ht="76" hidden="false" customHeight="true" outlineLevel="0" collapsed="false">
      <c r="A647" s="21" t="n">
        <v>646</v>
      </c>
      <c r="B647" s="22" t="s">
        <v>8041</v>
      </c>
      <c r="C647" s="23" t="s">
        <v>9</v>
      </c>
      <c r="D647" s="23" t="s">
        <v>96</v>
      </c>
      <c r="E647" s="23" t="s">
        <v>97</v>
      </c>
      <c r="F647" s="24" t="s">
        <v>50</v>
      </c>
      <c r="G647" s="24" t="s">
        <v>1407</v>
      </c>
      <c r="H647" s="24" t="s">
        <v>5362</v>
      </c>
      <c r="I647" s="24" t="s">
        <v>7858</v>
      </c>
      <c r="J647" s="24" t="s">
        <v>8042</v>
      </c>
      <c r="K647" s="24" t="s">
        <v>8043</v>
      </c>
      <c r="L647" s="24" t="s">
        <v>119</v>
      </c>
      <c r="M647" s="24" t="s">
        <v>2617</v>
      </c>
      <c r="N647" s="24" t="s">
        <v>8044</v>
      </c>
      <c r="O647" s="24" t="s">
        <v>8045</v>
      </c>
      <c r="P647" s="24" t="s">
        <v>8046</v>
      </c>
      <c r="Q647" s="24" t="s">
        <v>8047</v>
      </c>
      <c r="R647" s="24" t="s">
        <v>8048</v>
      </c>
      <c r="S647" s="24" t="s">
        <v>8049</v>
      </c>
      <c r="T647" s="24" t="s">
        <v>8050</v>
      </c>
      <c r="U647" s="24" t="s">
        <v>8051</v>
      </c>
      <c r="V647" s="24" t="s">
        <v>8052</v>
      </c>
      <c r="W647" s="24"/>
      <c r="X647" s="24"/>
      <c r="Y647" s="24" t="s">
        <v>183</v>
      </c>
      <c r="Z647" s="24"/>
      <c r="AA647" s="24"/>
      <c r="AB647" s="25" t="n">
        <v>10</v>
      </c>
      <c r="AC647" s="24" t="s">
        <v>8053</v>
      </c>
      <c r="AD647" s="24" t="s">
        <v>8054</v>
      </c>
      <c r="AE647" s="24" t="s">
        <v>8055</v>
      </c>
      <c r="AF647" s="24" t="s">
        <v>168</v>
      </c>
      <c r="AG647" s="24"/>
      <c r="AH647" s="24"/>
      <c r="AI647" s="25" t="n">
        <f aca="false">COUNTIF($B$2:$B$740,B647)</f>
        <v>1</v>
      </c>
    </row>
    <row r="648" customFormat="false" ht="76" hidden="false" customHeight="true" outlineLevel="0" collapsed="false">
      <c r="A648" s="21" t="n">
        <v>647</v>
      </c>
      <c r="B648" s="22" t="s">
        <v>8055</v>
      </c>
      <c r="C648" s="23" t="s">
        <v>9</v>
      </c>
      <c r="D648" s="23" t="s">
        <v>96</v>
      </c>
      <c r="E648" s="23" t="s">
        <v>97</v>
      </c>
      <c r="F648" s="24" t="s">
        <v>50</v>
      </c>
      <c r="G648" s="24" t="s">
        <v>1407</v>
      </c>
      <c r="H648" s="24" t="s">
        <v>5362</v>
      </c>
      <c r="I648" s="24" t="s">
        <v>7858</v>
      </c>
      <c r="J648" s="24" t="s">
        <v>8056</v>
      </c>
      <c r="K648" s="24" t="s">
        <v>8057</v>
      </c>
      <c r="L648" s="24" t="s">
        <v>103</v>
      </c>
      <c r="M648" s="24" t="s">
        <v>2617</v>
      </c>
      <c r="N648" s="24" t="s">
        <v>6847</v>
      </c>
      <c r="O648" s="24" t="s">
        <v>8058</v>
      </c>
      <c r="P648" s="24" t="s">
        <v>8059</v>
      </c>
      <c r="Q648" s="24" t="s">
        <v>8060</v>
      </c>
      <c r="R648" s="24" t="s">
        <v>8061</v>
      </c>
      <c r="S648" s="24" t="s">
        <v>8062</v>
      </c>
      <c r="T648" s="24" t="s">
        <v>8063</v>
      </c>
      <c r="U648" s="24" t="s">
        <v>8064</v>
      </c>
      <c r="V648" s="24" t="s">
        <v>8065</v>
      </c>
      <c r="W648" s="24" t="s">
        <v>8066</v>
      </c>
      <c r="X648" s="24"/>
      <c r="Y648" s="24" t="s">
        <v>183</v>
      </c>
      <c r="Z648" s="24"/>
      <c r="AA648" s="24"/>
      <c r="AB648" s="25" t="n">
        <v>10</v>
      </c>
      <c r="AC648" s="24" t="s">
        <v>8053</v>
      </c>
      <c r="AD648" s="24" t="s">
        <v>8067</v>
      </c>
      <c r="AE648" s="24"/>
      <c r="AF648" s="24" t="s">
        <v>168</v>
      </c>
      <c r="AG648" s="24"/>
      <c r="AH648" s="24"/>
      <c r="AI648" s="25" t="n">
        <f aca="false">COUNTIF($B$2:$B$740,B648)</f>
        <v>1</v>
      </c>
    </row>
    <row r="649" customFormat="false" ht="76" hidden="false" customHeight="true" outlineLevel="0" collapsed="false">
      <c r="A649" s="21" t="n">
        <v>648</v>
      </c>
      <c r="B649" s="22" t="s">
        <v>2809</v>
      </c>
      <c r="C649" s="23" t="s">
        <v>9</v>
      </c>
      <c r="D649" s="23" t="s">
        <v>96</v>
      </c>
      <c r="E649" s="23" t="s">
        <v>97</v>
      </c>
      <c r="F649" s="24" t="s">
        <v>50</v>
      </c>
      <c r="G649" s="24" t="s">
        <v>1407</v>
      </c>
      <c r="H649" s="24" t="s">
        <v>5362</v>
      </c>
      <c r="I649" s="24" t="s">
        <v>8068</v>
      </c>
      <c r="J649" s="24" t="s">
        <v>8069</v>
      </c>
      <c r="K649" s="24" t="s">
        <v>8070</v>
      </c>
      <c r="L649" s="24" t="s">
        <v>531</v>
      </c>
      <c r="M649" s="24" t="s">
        <v>8071</v>
      </c>
      <c r="N649" s="24" t="s">
        <v>8072</v>
      </c>
      <c r="O649" s="24" t="s">
        <v>8073</v>
      </c>
      <c r="P649" s="24" t="s">
        <v>8074</v>
      </c>
      <c r="Q649" s="24" t="s">
        <v>8075</v>
      </c>
      <c r="R649" s="24" t="s">
        <v>8076</v>
      </c>
      <c r="S649" s="24" t="s">
        <v>8077</v>
      </c>
      <c r="T649" s="24" t="s">
        <v>8078</v>
      </c>
      <c r="U649" s="24" t="s">
        <v>8079</v>
      </c>
      <c r="V649" s="24"/>
      <c r="W649" s="24" t="s">
        <v>8075</v>
      </c>
      <c r="X649" s="24"/>
      <c r="Y649" s="24" t="s">
        <v>8079</v>
      </c>
      <c r="Z649" s="24"/>
      <c r="AA649" s="24"/>
      <c r="AB649" s="25" t="n">
        <v>10</v>
      </c>
      <c r="AC649" s="24" t="s">
        <v>8080</v>
      </c>
      <c r="AD649" s="24" t="s">
        <v>8081</v>
      </c>
      <c r="AE649" s="24"/>
      <c r="AF649" s="24" t="s">
        <v>168</v>
      </c>
      <c r="AG649" s="24"/>
      <c r="AH649" s="24"/>
      <c r="AI649" s="25" t="n">
        <f aca="false">COUNTIF($B$2:$B$740,B649)</f>
        <v>1</v>
      </c>
    </row>
    <row r="650" customFormat="false" ht="76" hidden="false" customHeight="true" outlineLevel="0" collapsed="false">
      <c r="A650" s="21" t="n">
        <v>649</v>
      </c>
      <c r="B650" s="22" t="s">
        <v>8082</v>
      </c>
      <c r="C650" s="23" t="s">
        <v>9</v>
      </c>
      <c r="D650" s="23" t="s">
        <v>96</v>
      </c>
      <c r="E650" s="23" t="s">
        <v>97</v>
      </c>
      <c r="F650" s="24" t="s">
        <v>50</v>
      </c>
      <c r="G650" s="24" t="s">
        <v>1407</v>
      </c>
      <c r="H650" s="24" t="s">
        <v>5362</v>
      </c>
      <c r="I650" s="24" t="s">
        <v>8068</v>
      </c>
      <c r="J650" s="24" t="s">
        <v>8083</v>
      </c>
      <c r="K650" s="24" t="s">
        <v>8084</v>
      </c>
      <c r="L650" s="24" t="s">
        <v>103</v>
      </c>
      <c r="M650" s="24" t="s">
        <v>2802</v>
      </c>
      <c r="N650" s="24"/>
      <c r="O650" s="24" t="s">
        <v>8085</v>
      </c>
      <c r="P650" s="24" t="s">
        <v>8086</v>
      </c>
      <c r="Q650" s="24" t="s">
        <v>8087</v>
      </c>
      <c r="R650" s="24" t="s">
        <v>8088</v>
      </c>
      <c r="S650" s="24" t="s">
        <v>8089</v>
      </c>
      <c r="T650" s="24" t="s">
        <v>8090</v>
      </c>
      <c r="U650" s="24" t="s">
        <v>183</v>
      </c>
      <c r="V650" s="24"/>
      <c r="W650" s="24"/>
      <c r="X650" s="24"/>
      <c r="Y650" s="24" t="s">
        <v>183</v>
      </c>
      <c r="Z650" s="24"/>
      <c r="AA650" s="24"/>
      <c r="AB650" s="25" t="n">
        <v>10</v>
      </c>
      <c r="AC650" s="24" t="s">
        <v>8091</v>
      </c>
      <c r="AD650" s="24" t="s">
        <v>8092</v>
      </c>
      <c r="AE650" s="24"/>
      <c r="AF650" s="24" t="s">
        <v>168</v>
      </c>
      <c r="AG650" s="24"/>
      <c r="AH650" s="24"/>
      <c r="AI650" s="25" t="n">
        <f aca="false">COUNTIF($B$2:$B$740,B650)</f>
        <v>1</v>
      </c>
    </row>
    <row r="651" customFormat="false" ht="76" hidden="false" customHeight="true" outlineLevel="0" collapsed="false">
      <c r="A651" s="21" t="n">
        <v>650</v>
      </c>
      <c r="B651" s="22" t="s">
        <v>8093</v>
      </c>
      <c r="C651" s="23" t="s">
        <v>9</v>
      </c>
      <c r="D651" s="23" t="s">
        <v>96</v>
      </c>
      <c r="E651" s="23" t="s">
        <v>97</v>
      </c>
      <c r="F651" s="24" t="s">
        <v>50</v>
      </c>
      <c r="G651" s="24" t="s">
        <v>1407</v>
      </c>
      <c r="H651" s="24" t="s">
        <v>5362</v>
      </c>
      <c r="I651" s="24" t="s">
        <v>8068</v>
      </c>
      <c r="J651" s="24" t="s">
        <v>8094</v>
      </c>
      <c r="K651" s="24" t="s">
        <v>8095</v>
      </c>
      <c r="L651" s="24" t="s">
        <v>119</v>
      </c>
      <c r="M651" s="24" t="s">
        <v>8096</v>
      </c>
      <c r="N651" s="24" t="s">
        <v>8097</v>
      </c>
      <c r="O651" s="24" t="s">
        <v>8098</v>
      </c>
      <c r="P651" s="24" t="s">
        <v>8099</v>
      </c>
      <c r="Q651" s="24" t="s">
        <v>8100</v>
      </c>
      <c r="R651" s="24" t="s">
        <v>8101</v>
      </c>
      <c r="S651" s="24" t="s">
        <v>8102</v>
      </c>
      <c r="T651" s="24" t="s">
        <v>8103</v>
      </c>
      <c r="U651" s="24" t="s">
        <v>183</v>
      </c>
      <c r="V651" s="24"/>
      <c r="W651" s="24"/>
      <c r="X651" s="24"/>
      <c r="Y651" s="24" t="s">
        <v>8104</v>
      </c>
      <c r="Z651" s="24"/>
      <c r="AA651" s="24"/>
      <c r="AB651" s="25" t="n">
        <v>10</v>
      </c>
      <c r="AC651" s="24" t="s">
        <v>2871</v>
      </c>
      <c r="AD651" s="24" t="s">
        <v>8105</v>
      </c>
      <c r="AE651" s="24"/>
      <c r="AF651" s="24" t="s">
        <v>168</v>
      </c>
      <c r="AG651" s="24"/>
      <c r="AH651" s="24"/>
      <c r="AI651" s="25" t="n">
        <f aca="false">COUNTIF($B$2:$B$740,B651)</f>
        <v>1</v>
      </c>
    </row>
    <row r="652" customFormat="false" ht="76" hidden="false" customHeight="true" outlineLevel="0" collapsed="false">
      <c r="A652" s="21" t="n">
        <v>651</v>
      </c>
      <c r="B652" s="22" t="s">
        <v>8106</v>
      </c>
      <c r="C652" s="23" t="s">
        <v>9</v>
      </c>
      <c r="D652" s="23" t="s">
        <v>96</v>
      </c>
      <c r="E652" s="23" t="s">
        <v>97</v>
      </c>
      <c r="F652" s="24" t="s">
        <v>50</v>
      </c>
      <c r="G652" s="24" t="s">
        <v>1407</v>
      </c>
      <c r="H652" s="24" t="s">
        <v>5362</v>
      </c>
      <c r="I652" s="24" t="s">
        <v>8068</v>
      </c>
      <c r="J652" s="24" t="s">
        <v>8107</v>
      </c>
      <c r="K652" s="24" t="s">
        <v>8108</v>
      </c>
      <c r="L652" s="24" t="s">
        <v>531</v>
      </c>
      <c r="M652" s="24" t="s">
        <v>8109</v>
      </c>
      <c r="N652" s="24" t="s">
        <v>2812</v>
      </c>
      <c r="O652" s="24" t="s">
        <v>8110</v>
      </c>
      <c r="P652" s="24" t="s">
        <v>8111</v>
      </c>
      <c r="Q652" s="24" t="s">
        <v>8112</v>
      </c>
      <c r="R652" s="24" t="s">
        <v>8113</v>
      </c>
      <c r="S652" s="24" t="s">
        <v>8114</v>
      </c>
      <c r="T652" s="24" t="s">
        <v>8115</v>
      </c>
      <c r="U652" s="24" t="s">
        <v>183</v>
      </c>
      <c r="V652" s="24"/>
      <c r="W652" s="24" t="s">
        <v>8116</v>
      </c>
      <c r="X652" s="24"/>
      <c r="Y652" s="24" t="s">
        <v>8117</v>
      </c>
      <c r="Z652" s="24"/>
      <c r="AA652" s="24"/>
      <c r="AB652" s="25" t="n">
        <v>10</v>
      </c>
      <c r="AC652" s="24" t="s">
        <v>8118</v>
      </c>
      <c r="AD652" s="24" t="s">
        <v>8119</v>
      </c>
      <c r="AE652" s="24"/>
      <c r="AF652" s="24" t="s">
        <v>168</v>
      </c>
      <c r="AG652" s="24"/>
      <c r="AH652" s="24"/>
      <c r="AI652" s="25" t="n">
        <f aca="false">COUNTIF($B$2:$B$740,B652)</f>
        <v>1</v>
      </c>
    </row>
    <row r="653" customFormat="false" ht="67.2" hidden="false" customHeight="true" outlineLevel="0" collapsed="false">
      <c r="A653" s="26" t="n">
        <v>652</v>
      </c>
      <c r="B653" s="27" t="s">
        <v>2983</v>
      </c>
      <c r="C653" s="24" t="s">
        <v>9</v>
      </c>
      <c r="D653" s="24" t="s">
        <v>96</v>
      </c>
      <c r="E653" s="24" t="s">
        <v>97</v>
      </c>
      <c r="F653" s="24" t="s">
        <v>59</v>
      </c>
      <c r="G653" s="24" t="s">
        <v>98</v>
      </c>
      <c r="H653" s="24" t="s">
        <v>5362</v>
      </c>
      <c r="I653" s="24" t="s">
        <v>8120</v>
      </c>
      <c r="J653" s="24" t="s">
        <v>8121</v>
      </c>
      <c r="K653" s="24" t="s">
        <v>8122</v>
      </c>
      <c r="L653" s="24" t="s">
        <v>1183</v>
      </c>
      <c r="M653" s="24" t="s">
        <v>1195</v>
      </c>
      <c r="N653" s="24" t="s">
        <v>8123</v>
      </c>
      <c r="O653" s="24" t="s">
        <v>8124</v>
      </c>
      <c r="P653" s="24" t="s">
        <v>8125</v>
      </c>
      <c r="Q653" s="24" t="s">
        <v>8126</v>
      </c>
      <c r="R653" s="24" t="s">
        <v>8127</v>
      </c>
      <c r="S653" s="24" t="s">
        <v>8128</v>
      </c>
      <c r="T653" s="24" t="s">
        <v>8129</v>
      </c>
      <c r="U653" s="24" t="s">
        <v>183</v>
      </c>
      <c r="V653" s="24" t="s">
        <v>8130</v>
      </c>
      <c r="W653" s="24"/>
      <c r="X653" s="24"/>
      <c r="Y653" s="24" t="s">
        <v>8131</v>
      </c>
      <c r="Z653" s="24" t="s">
        <v>8132</v>
      </c>
      <c r="AA653" s="24"/>
      <c r="AB653" s="25" t="n">
        <v>70</v>
      </c>
      <c r="AC653" s="24" t="s">
        <v>2886</v>
      </c>
      <c r="AD653" s="24" t="s">
        <v>8133</v>
      </c>
      <c r="AE653" s="24" t="s">
        <v>8134</v>
      </c>
      <c r="AF653" s="24" t="s">
        <v>168</v>
      </c>
      <c r="AG653" s="24"/>
      <c r="AH653" s="24" t="s">
        <v>1050</v>
      </c>
      <c r="AI653" s="25" t="n">
        <f aca="false">COUNTIF($B$2:$B$740,B653)</f>
        <v>1</v>
      </c>
    </row>
    <row r="654" customFormat="false" ht="76" hidden="false" customHeight="true" outlineLevel="0" collapsed="false">
      <c r="A654" s="21" t="n">
        <v>653</v>
      </c>
      <c r="B654" s="22" t="s">
        <v>8135</v>
      </c>
      <c r="C654" s="23" t="s">
        <v>9</v>
      </c>
      <c r="D654" s="23" t="s">
        <v>96</v>
      </c>
      <c r="E654" s="23" t="s">
        <v>97</v>
      </c>
      <c r="F654" s="24" t="s">
        <v>50</v>
      </c>
      <c r="G654" s="24" t="s">
        <v>1407</v>
      </c>
      <c r="H654" s="24" t="s">
        <v>5362</v>
      </c>
      <c r="I654" s="24" t="s">
        <v>8136</v>
      </c>
      <c r="J654" s="24" t="s">
        <v>8137</v>
      </c>
      <c r="K654" s="24" t="s">
        <v>8138</v>
      </c>
      <c r="L654" s="24" t="s">
        <v>173</v>
      </c>
      <c r="M654" s="24" t="s">
        <v>8139</v>
      </c>
      <c r="N654" s="24" t="s">
        <v>8140</v>
      </c>
      <c r="O654" s="24" t="s">
        <v>8141</v>
      </c>
      <c r="P654" s="24" t="s">
        <v>8142</v>
      </c>
      <c r="Q654" s="24" t="s">
        <v>8143</v>
      </c>
      <c r="R654" s="24" t="s">
        <v>8144</v>
      </c>
      <c r="S654" s="24" t="s">
        <v>8145</v>
      </c>
      <c r="T654" s="24" t="s">
        <v>8146</v>
      </c>
      <c r="U654" s="24" t="s">
        <v>183</v>
      </c>
      <c r="V654" s="24"/>
      <c r="W654" s="24" t="s">
        <v>8147</v>
      </c>
      <c r="X654" s="24"/>
      <c r="Y654" s="24" t="s">
        <v>8148</v>
      </c>
      <c r="Z654" s="24"/>
      <c r="AA654" s="24"/>
      <c r="AB654" s="25" t="n">
        <v>80</v>
      </c>
      <c r="AC654" s="24" t="s">
        <v>8149</v>
      </c>
      <c r="AD654" s="24" t="s">
        <v>8150</v>
      </c>
      <c r="AE654" s="24" t="s">
        <v>4844</v>
      </c>
      <c r="AF654" s="24" t="s">
        <v>168</v>
      </c>
      <c r="AG654" s="24"/>
      <c r="AH654" s="24" t="s">
        <v>941</v>
      </c>
      <c r="AI654" s="25" t="n">
        <f aca="false">COUNTIF($B$2:$B$740,B654)</f>
        <v>1</v>
      </c>
    </row>
    <row r="655" customFormat="false" ht="76" hidden="false" customHeight="true" outlineLevel="0" collapsed="false">
      <c r="A655" s="21" t="n">
        <v>654</v>
      </c>
      <c r="B655" s="22" t="s">
        <v>8151</v>
      </c>
      <c r="C655" s="23" t="s">
        <v>12</v>
      </c>
      <c r="D655" s="23" t="s">
        <v>209</v>
      </c>
      <c r="E655" s="23" t="s">
        <v>97</v>
      </c>
      <c r="F655" s="24" t="s">
        <v>50</v>
      </c>
      <c r="G655" s="24" t="s">
        <v>1407</v>
      </c>
      <c r="H655" s="24" t="s">
        <v>5362</v>
      </c>
      <c r="I655" s="24" t="s">
        <v>8136</v>
      </c>
      <c r="J655" s="24" t="s">
        <v>8152</v>
      </c>
      <c r="K655" s="24" t="s">
        <v>8153</v>
      </c>
      <c r="L655" s="24" t="s">
        <v>1183</v>
      </c>
      <c r="M655" s="24" t="s">
        <v>8154</v>
      </c>
      <c r="N655" s="24" t="s">
        <v>8155</v>
      </c>
      <c r="O655" s="24" t="s">
        <v>8156</v>
      </c>
      <c r="P655" s="24" t="s">
        <v>8157</v>
      </c>
      <c r="Q655" s="24" t="s">
        <v>8158</v>
      </c>
      <c r="R655" s="24" t="s">
        <v>8159</v>
      </c>
      <c r="S655" s="24" t="s">
        <v>8160</v>
      </c>
      <c r="T655" s="24" t="s">
        <v>8161</v>
      </c>
      <c r="U655" s="24" t="s">
        <v>183</v>
      </c>
      <c r="V655" s="24" t="s">
        <v>8158</v>
      </c>
      <c r="W655" s="24" t="s">
        <v>8158</v>
      </c>
      <c r="X655" s="24"/>
      <c r="Y655" s="24" t="s">
        <v>183</v>
      </c>
      <c r="Z655" s="24"/>
      <c r="AA655" s="24"/>
      <c r="AB655" s="25" t="n">
        <v>10</v>
      </c>
      <c r="AC655" s="24" t="s">
        <v>8162</v>
      </c>
      <c r="AD655" s="24" t="s">
        <v>8163</v>
      </c>
      <c r="AE655" s="24"/>
      <c r="AF655" s="24" t="s">
        <v>168</v>
      </c>
      <c r="AG655" s="24"/>
      <c r="AH655" s="24"/>
      <c r="AI655" s="25" t="n">
        <f aca="false">COUNTIF($B$2:$B$740,B655)</f>
        <v>1</v>
      </c>
    </row>
    <row r="656" customFormat="false" ht="76" hidden="false" customHeight="true" outlineLevel="0" collapsed="false">
      <c r="A656" s="21" t="n">
        <v>655</v>
      </c>
      <c r="B656" s="22" t="s">
        <v>8164</v>
      </c>
      <c r="C656" s="23" t="s">
        <v>9</v>
      </c>
      <c r="D656" s="23" t="s">
        <v>96</v>
      </c>
      <c r="E656" s="23" t="s">
        <v>97</v>
      </c>
      <c r="F656" s="24" t="s">
        <v>50</v>
      </c>
      <c r="G656" s="24" t="s">
        <v>1407</v>
      </c>
      <c r="H656" s="24" t="s">
        <v>5362</v>
      </c>
      <c r="I656" s="24" t="s">
        <v>8165</v>
      </c>
      <c r="J656" s="24" t="s">
        <v>8166</v>
      </c>
      <c r="K656" s="24" t="s">
        <v>8167</v>
      </c>
      <c r="L656" s="24" t="s">
        <v>119</v>
      </c>
      <c r="M656" s="24" t="s">
        <v>8168</v>
      </c>
      <c r="N656" s="24" t="s">
        <v>2596</v>
      </c>
      <c r="O656" s="24" t="s">
        <v>8169</v>
      </c>
      <c r="P656" s="24" t="s">
        <v>8170</v>
      </c>
      <c r="Q656" s="24" t="s">
        <v>8171</v>
      </c>
      <c r="R656" s="24" t="s">
        <v>8172</v>
      </c>
      <c r="S656" s="24" t="s">
        <v>8173</v>
      </c>
      <c r="T656" s="24" t="s">
        <v>8174</v>
      </c>
      <c r="U656" s="24" t="s">
        <v>8175</v>
      </c>
      <c r="V656" s="24"/>
      <c r="W656" s="24" t="s">
        <v>8176</v>
      </c>
      <c r="X656" s="24"/>
      <c r="Y656" s="24" t="s">
        <v>183</v>
      </c>
      <c r="Z656" s="24"/>
      <c r="AA656" s="24" t="s">
        <v>8177</v>
      </c>
      <c r="AB656" s="25" t="n">
        <v>10</v>
      </c>
      <c r="AC656" s="24" t="s">
        <v>2974</v>
      </c>
      <c r="AD656" s="24" t="s">
        <v>8178</v>
      </c>
      <c r="AE656" s="24"/>
      <c r="AF656" s="24" t="s">
        <v>168</v>
      </c>
      <c r="AG656" s="24"/>
      <c r="AH656" s="24"/>
      <c r="AI656" s="25" t="n">
        <f aca="false">COUNTIF($B$2:$B$740,B656)</f>
        <v>1</v>
      </c>
    </row>
    <row r="657" customFormat="false" ht="76" hidden="false" customHeight="true" outlineLevel="0" collapsed="false">
      <c r="A657" s="21" t="n">
        <v>656</v>
      </c>
      <c r="B657" s="22" t="s">
        <v>8179</v>
      </c>
      <c r="C657" s="23" t="s">
        <v>9</v>
      </c>
      <c r="D657" s="23" t="s">
        <v>96</v>
      </c>
      <c r="E657" s="23" t="s">
        <v>97</v>
      </c>
      <c r="F657" s="24" t="s">
        <v>59</v>
      </c>
      <c r="G657" s="24" t="s">
        <v>98</v>
      </c>
      <c r="H657" s="24" t="s">
        <v>5362</v>
      </c>
      <c r="I657" s="24" t="s">
        <v>8165</v>
      </c>
      <c r="J657" s="24" t="s">
        <v>8180</v>
      </c>
      <c r="K657" s="24" t="s">
        <v>8181</v>
      </c>
      <c r="L657" s="24" t="s">
        <v>103</v>
      </c>
      <c r="M657" s="24" t="s">
        <v>8168</v>
      </c>
      <c r="N657" s="24" t="s">
        <v>8182</v>
      </c>
      <c r="O657" s="24" t="s">
        <v>8183</v>
      </c>
      <c r="P657" s="24" t="s">
        <v>8184</v>
      </c>
      <c r="Q657" s="24" t="s">
        <v>8185</v>
      </c>
      <c r="R657" s="24" t="s">
        <v>8186</v>
      </c>
      <c r="S657" s="24" t="s">
        <v>8187</v>
      </c>
      <c r="T657" s="24" t="s">
        <v>8188</v>
      </c>
      <c r="U657" s="24" t="s">
        <v>183</v>
      </c>
      <c r="V657" s="24" t="s">
        <v>8187</v>
      </c>
      <c r="W657" s="24" t="s">
        <v>8189</v>
      </c>
      <c r="X657" s="24"/>
      <c r="Y657" s="24" t="s">
        <v>8190</v>
      </c>
      <c r="Z657" s="24"/>
      <c r="AA657" s="24" t="s">
        <v>8191</v>
      </c>
      <c r="AB657" s="25" t="n">
        <v>10</v>
      </c>
      <c r="AC657" s="24" t="s">
        <v>2974</v>
      </c>
      <c r="AD657" s="24" t="s">
        <v>8192</v>
      </c>
      <c r="AE657" s="24"/>
      <c r="AF657" s="24" t="s">
        <v>168</v>
      </c>
      <c r="AG657" s="24"/>
      <c r="AH657" s="24"/>
      <c r="AI657" s="25" t="n">
        <f aca="false">COUNTIF($B$2:$B$740,B657)</f>
        <v>1</v>
      </c>
    </row>
    <row r="658" customFormat="false" ht="76" hidden="false" customHeight="true" outlineLevel="0" collapsed="false">
      <c r="A658" s="21" t="n">
        <v>657</v>
      </c>
      <c r="B658" s="22" t="s">
        <v>8193</v>
      </c>
      <c r="C658" s="23" t="s">
        <v>9</v>
      </c>
      <c r="D658" s="23" t="s">
        <v>96</v>
      </c>
      <c r="E658" s="23" t="s">
        <v>97</v>
      </c>
      <c r="F658" s="24" t="s">
        <v>50</v>
      </c>
      <c r="G658" s="24" t="s">
        <v>1407</v>
      </c>
      <c r="H658" s="24" t="s">
        <v>5362</v>
      </c>
      <c r="I658" s="24" t="s">
        <v>8165</v>
      </c>
      <c r="J658" s="24" t="s">
        <v>8194</v>
      </c>
      <c r="K658" s="24" t="s">
        <v>8195</v>
      </c>
      <c r="L658" s="24" t="s">
        <v>119</v>
      </c>
      <c r="M658" s="24" t="s">
        <v>8196</v>
      </c>
      <c r="N658" s="24" t="s">
        <v>8197</v>
      </c>
      <c r="O658" s="24" t="s">
        <v>8198</v>
      </c>
      <c r="P658" s="24" t="s">
        <v>8199</v>
      </c>
      <c r="Q658" s="24" t="s">
        <v>8200</v>
      </c>
      <c r="R658" s="24" t="s">
        <v>8201</v>
      </c>
      <c r="S658" s="24" t="s">
        <v>8202</v>
      </c>
      <c r="T658" s="24" t="s">
        <v>8203</v>
      </c>
      <c r="U658" s="24" t="s">
        <v>183</v>
      </c>
      <c r="V658" s="24" t="s">
        <v>8202</v>
      </c>
      <c r="W658" s="24" t="s">
        <v>8204</v>
      </c>
      <c r="X658" s="24"/>
      <c r="Y658" s="24" t="s">
        <v>8205</v>
      </c>
      <c r="Z658" s="24"/>
      <c r="AA658" s="24"/>
      <c r="AB658" s="25" t="n">
        <v>10</v>
      </c>
      <c r="AC658" s="24" t="s">
        <v>2974</v>
      </c>
      <c r="AD658" s="24" t="s">
        <v>8206</v>
      </c>
      <c r="AE658" s="24"/>
      <c r="AF658" s="24" t="s">
        <v>168</v>
      </c>
      <c r="AG658" s="24"/>
      <c r="AH658" s="24"/>
      <c r="AI658" s="25" t="n">
        <f aca="false">COUNTIF($B$2:$B$740,B658)</f>
        <v>1</v>
      </c>
    </row>
    <row r="659" customFormat="false" ht="76" hidden="false" customHeight="true" outlineLevel="0" collapsed="false">
      <c r="A659" s="21" t="n">
        <v>658</v>
      </c>
      <c r="B659" s="22" t="s">
        <v>8207</v>
      </c>
      <c r="C659" s="23" t="s">
        <v>9</v>
      </c>
      <c r="D659" s="23" t="s">
        <v>96</v>
      </c>
      <c r="E659" s="23" t="s">
        <v>97</v>
      </c>
      <c r="F659" s="24" t="s">
        <v>50</v>
      </c>
      <c r="G659" s="24" t="s">
        <v>1407</v>
      </c>
      <c r="H659" s="24" t="s">
        <v>5362</v>
      </c>
      <c r="I659" s="24" t="s">
        <v>8165</v>
      </c>
      <c r="J659" s="24" t="s">
        <v>8208</v>
      </c>
      <c r="K659" s="24" t="s">
        <v>8209</v>
      </c>
      <c r="L659" s="24" t="s">
        <v>119</v>
      </c>
      <c r="M659" s="24" t="s">
        <v>8168</v>
      </c>
      <c r="N659" s="24" t="s">
        <v>8210</v>
      </c>
      <c r="O659" s="24" t="s">
        <v>8211</v>
      </c>
      <c r="P659" s="24" t="s">
        <v>2970</v>
      </c>
      <c r="Q659" s="24" t="s">
        <v>8212</v>
      </c>
      <c r="R659" s="24" t="s">
        <v>8213</v>
      </c>
      <c r="S659" s="24" t="s">
        <v>8214</v>
      </c>
      <c r="T659" s="24" t="s">
        <v>8215</v>
      </c>
      <c r="U659" s="24" t="s">
        <v>183</v>
      </c>
      <c r="V659" s="24"/>
      <c r="W659" s="24" t="s">
        <v>8216</v>
      </c>
      <c r="X659" s="24" t="s">
        <v>8214</v>
      </c>
      <c r="Y659" s="24" t="s">
        <v>183</v>
      </c>
      <c r="Z659" s="24"/>
      <c r="AA659" s="24"/>
      <c r="AB659" s="25" t="n">
        <v>10</v>
      </c>
      <c r="AC659" s="24" t="s">
        <v>2974</v>
      </c>
      <c r="AD659" s="24" t="s">
        <v>8217</v>
      </c>
      <c r="AE659" s="24"/>
      <c r="AF659" s="24" t="s">
        <v>168</v>
      </c>
      <c r="AG659" s="24"/>
      <c r="AH659" s="24"/>
      <c r="AI659" s="25" t="n">
        <f aca="false">COUNTIF($B$2:$B$740,B659)</f>
        <v>1</v>
      </c>
    </row>
    <row r="660" customFormat="false" ht="76" hidden="false" customHeight="true" outlineLevel="0" collapsed="false">
      <c r="A660" s="21" t="n">
        <v>659</v>
      </c>
      <c r="B660" s="22" t="s">
        <v>8218</v>
      </c>
      <c r="C660" s="23" t="s">
        <v>12</v>
      </c>
      <c r="D660" s="23" t="s">
        <v>209</v>
      </c>
      <c r="E660" s="23" t="s">
        <v>97</v>
      </c>
      <c r="F660" s="24" t="s">
        <v>50</v>
      </c>
      <c r="G660" s="24" t="s">
        <v>1407</v>
      </c>
      <c r="H660" s="24" t="s">
        <v>5362</v>
      </c>
      <c r="I660" s="24" t="s">
        <v>8165</v>
      </c>
      <c r="J660" s="24" t="s">
        <v>8219</v>
      </c>
      <c r="K660" s="24" t="s">
        <v>8220</v>
      </c>
      <c r="L660" s="24" t="s">
        <v>1183</v>
      </c>
      <c r="M660" s="24" t="s">
        <v>8221</v>
      </c>
      <c r="N660" s="24" t="s">
        <v>8222</v>
      </c>
      <c r="O660" s="24" t="s">
        <v>8223</v>
      </c>
      <c r="P660" s="24" t="s">
        <v>8224</v>
      </c>
      <c r="Q660" s="24" t="s">
        <v>8225</v>
      </c>
      <c r="R660" s="24" t="s">
        <v>8226</v>
      </c>
      <c r="S660" s="24" t="s">
        <v>8227</v>
      </c>
      <c r="T660" s="24" t="s">
        <v>8228</v>
      </c>
      <c r="U660" s="24" t="s">
        <v>8229</v>
      </c>
      <c r="V660" s="24"/>
      <c r="W660" s="24" t="s">
        <v>8230</v>
      </c>
      <c r="X660" s="24"/>
      <c r="Y660" s="24" t="s">
        <v>8229</v>
      </c>
      <c r="Z660" s="24"/>
      <c r="AA660" s="24"/>
      <c r="AB660" s="25" t="n">
        <v>10</v>
      </c>
      <c r="AC660" s="24" t="s">
        <v>3035</v>
      </c>
      <c r="AD660" s="24" t="s">
        <v>8231</v>
      </c>
      <c r="AE660" s="24"/>
      <c r="AF660" s="24" t="s">
        <v>168</v>
      </c>
      <c r="AG660" s="24"/>
      <c r="AH660" s="24"/>
      <c r="AI660" s="25" t="n">
        <f aca="false">COUNTIF($B$2:$B$740,B660)</f>
        <v>1</v>
      </c>
    </row>
    <row r="661" customFormat="false" ht="76" hidden="false" customHeight="true" outlineLevel="0" collapsed="false">
      <c r="A661" s="21" t="n">
        <v>660</v>
      </c>
      <c r="B661" s="22" t="s">
        <v>8232</v>
      </c>
      <c r="C661" s="23" t="s">
        <v>9</v>
      </c>
      <c r="D661" s="23" t="s">
        <v>96</v>
      </c>
      <c r="E661" s="23" t="s">
        <v>97</v>
      </c>
      <c r="F661" s="24" t="s">
        <v>50</v>
      </c>
      <c r="G661" s="24" t="s">
        <v>1407</v>
      </c>
      <c r="H661" s="24" t="s">
        <v>5362</v>
      </c>
      <c r="I661" s="24" t="s">
        <v>8233</v>
      </c>
      <c r="J661" s="24" t="s">
        <v>8234</v>
      </c>
      <c r="K661" s="24" t="s">
        <v>8235</v>
      </c>
      <c r="L661" s="24" t="s">
        <v>103</v>
      </c>
      <c r="M661" s="24" t="s">
        <v>3060</v>
      </c>
      <c r="N661" s="24" t="s">
        <v>8236</v>
      </c>
      <c r="O661" s="24" t="s">
        <v>8237</v>
      </c>
      <c r="P661" s="24" t="s">
        <v>2970</v>
      </c>
      <c r="Q661" s="24" t="s">
        <v>8238</v>
      </c>
      <c r="R661" s="24" t="s">
        <v>8239</v>
      </c>
      <c r="S661" s="24" t="s">
        <v>8240</v>
      </c>
      <c r="T661" s="24" t="s">
        <v>8241</v>
      </c>
      <c r="U661" s="24" t="s">
        <v>183</v>
      </c>
      <c r="V661" s="24" t="s">
        <v>8240</v>
      </c>
      <c r="W661" s="24"/>
      <c r="X661" s="24"/>
      <c r="Y661" s="24" t="s">
        <v>8242</v>
      </c>
      <c r="Z661" s="24"/>
      <c r="AA661" s="24"/>
      <c r="AB661" s="25" t="n">
        <v>10</v>
      </c>
      <c r="AC661" s="24" t="s">
        <v>3057</v>
      </c>
      <c r="AD661" s="24" t="s">
        <v>8243</v>
      </c>
      <c r="AE661" s="24"/>
      <c r="AF661" s="24" t="s">
        <v>168</v>
      </c>
      <c r="AG661" s="24"/>
      <c r="AH661" s="24"/>
      <c r="AI661" s="25" t="n">
        <f aca="false">COUNTIF($B$2:$B$740,B661)</f>
        <v>1</v>
      </c>
    </row>
    <row r="662" customFormat="false" ht="76" hidden="false" customHeight="true" outlineLevel="0" collapsed="false">
      <c r="A662" s="21" t="n">
        <v>661</v>
      </c>
      <c r="B662" s="22" t="s">
        <v>8244</v>
      </c>
      <c r="C662" s="23" t="s">
        <v>9</v>
      </c>
      <c r="D662" s="23" t="s">
        <v>96</v>
      </c>
      <c r="E662" s="23" t="s">
        <v>97</v>
      </c>
      <c r="F662" s="24" t="s">
        <v>50</v>
      </c>
      <c r="G662" s="24" t="s">
        <v>1407</v>
      </c>
      <c r="H662" s="24" t="s">
        <v>5362</v>
      </c>
      <c r="I662" s="24" t="s">
        <v>8233</v>
      </c>
      <c r="J662" s="24" t="s">
        <v>8245</v>
      </c>
      <c r="K662" s="24" t="s">
        <v>8246</v>
      </c>
      <c r="L662" s="24" t="s">
        <v>119</v>
      </c>
      <c r="M662" s="24" t="s">
        <v>8247</v>
      </c>
      <c r="N662" s="24"/>
      <c r="O662" s="24" t="s">
        <v>8248</v>
      </c>
      <c r="P662" s="24" t="s">
        <v>8249</v>
      </c>
      <c r="Q662" s="24" t="s">
        <v>8250</v>
      </c>
      <c r="R662" s="24" t="s">
        <v>8251</v>
      </c>
      <c r="S662" s="24" t="s">
        <v>8252</v>
      </c>
      <c r="T662" s="24" t="s">
        <v>8253</v>
      </c>
      <c r="U662" s="24" t="s">
        <v>8254</v>
      </c>
      <c r="V662" s="24" t="s">
        <v>8255</v>
      </c>
      <c r="W662" s="24"/>
      <c r="X662" s="24"/>
      <c r="Y662" s="24" t="s">
        <v>8256</v>
      </c>
      <c r="Z662" s="24"/>
      <c r="AA662" s="24"/>
      <c r="AB662" s="25" t="n">
        <v>80</v>
      </c>
      <c r="AC662" s="24" t="s">
        <v>8257</v>
      </c>
      <c r="AD662" s="24" t="s">
        <v>8258</v>
      </c>
      <c r="AE662" s="24" t="s">
        <v>8259</v>
      </c>
      <c r="AF662" s="24" t="s">
        <v>168</v>
      </c>
      <c r="AG662" s="24"/>
      <c r="AH662" s="24" t="s">
        <v>941</v>
      </c>
      <c r="AI662" s="25" t="n">
        <f aca="false">COUNTIF($B$2:$B$740,B662)</f>
        <v>1</v>
      </c>
    </row>
    <row r="663" customFormat="false" ht="76" hidden="false" customHeight="true" outlineLevel="0" collapsed="false">
      <c r="A663" s="21" t="n">
        <v>662</v>
      </c>
      <c r="B663" s="22" t="s">
        <v>8260</v>
      </c>
      <c r="C663" s="23" t="s">
        <v>9</v>
      </c>
      <c r="D663" s="23" t="s">
        <v>96</v>
      </c>
      <c r="E663" s="23" t="s">
        <v>97</v>
      </c>
      <c r="F663" s="24" t="s">
        <v>50</v>
      </c>
      <c r="G663" s="24" t="s">
        <v>1407</v>
      </c>
      <c r="H663" s="24" t="s">
        <v>5362</v>
      </c>
      <c r="I663" s="24" t="s">
        <v>8233</v>
      </c>
      <c r="J663" s="24" t="s">
        <v>8261</v>
      </c>
      <c r="K663" s="24" t="s">
        <v>8262</v>
      </c>
      <c r="L663" s="24" t="s">
        <v>531</v>
      </c>
      <c r="M663" s="24" t="s">
        <v>8263</v>
      </c>
      <c r="N663" s="24" t="s">
        <v>8264</v>
      </c>
      <c r="O663" s="24" t="s">
        <v>8265</v>
      </c>
      <c r="P663" s="24" t="s">
        <v>8266</v>
      </c>
      <c r="Q663" s="24" t="s">
        <v>8267</v>
      </c>
      <c r="R663" s="24" t="s">
        <v>8268</v>
      </c>
      <c r="S663" s="24" t="s">
        <v>8269</v>
      </c>
      <c r="T663" s="24" t="s">
        <v>8270</v>
      </c>
      <c r="U663" s="24" t="s">
        <v>183</v>
      </c>
      <c r="V663" s="24" t="s">
        <v>8271</v>
      </c>
      <c r="W663" s="24" t="s">
        <v>8272</v>
      </c>
      <c r="X663" s="24"/>
      <c r="Y663" s="24" t="s">
        <v>8273</v>
      </c>
      <c r="Z663" s="24"/>
      <c r="AA663" s="24"/>
      <c r="AB663" s="25" t="n">
        <v>90</v>
      </c>
      <c r="AC663" s="24" t="s">
        <v>8274</v>
      </c>
      <c r="AD663" s="24" t="s">
        <v>8275</v>
      </c>
      <c r="AE663" s="24" t="s">
        <v>8276</v>
      </c>
      <c r="AF663" s="24" t="s">
        <v>168</v>
      </c>
      <c r="AG663" s="24"/>
      <c r="AH663" s="24" t="s">
        <v>8277</v>
      </c>
      <c r="AI663" s="25" t="n">
        <f aca="false">COUNTIF($B$2:$B$740,B663)</f>
        <v>1</v>
      </c>
    </row>
    <row r="664" customFormat="false" ht="76" hidden="false" customHeight="true" outlineLevel="0" collapsed="false">
      <c r="A664" s="21" t="n">
        <v>663</v>
      </c>
      <c r="B664" s="22" t="s">
        <v>8278</v>
      </c>
      <c r="C664" s="23" t="s">
        <v>9</v>
      </c>
      <c r="D664" s="23" t="s">
        <v>96</v>
      </c>
      <c r="E664" s="23" t="s">
        <v>97</v>
      </c>
      <c r="F664" s="24" t="s">
        <v>50</v>
      </c>
      <c r="G664" s="24" t="s">
        <v>1407</v>
      </c>
      <c r="H664" s="24" t="s">
        <v>5362</v>
      </c>
      <c r="I664" s="24" t="s">
        <v>8233</v>
      </c>
      <c r="J664" s="24" t="s">
        <v>8279</v>
      </c>
      <c r="K664" s="24" t="s">
        <v>8280</v>
      </c>
      <c r="L664" s="24" t="s">
        <v>119</v>
      </c>
      <c r="M664" s="24" t="s">
        <v>3075</v>
      </c>
      <c r="N664" s="24" t="s">
        <v>856</v>
      </c>
      <c r="O664" s="24" t="s">
        <v>8281</v>
      </c>
      <c r="P664" s="24" t="s">
        <v>8282</v>
      </c>
      <c r="Q664" s="24" t="s">
        <v>8283</v>
      </c>
      <c r="R664" s="24" t="s">
        <v>8284</v>
      </c>
      <c r="S664" s="24" t="s">
        <v>1084</v>
      </c>
      <c r="T664" s="24" t="s">
        <v>8285</v>
      </c>
      <c r="U664" s="24" t="s">
        <v>183</v>
      </c>
      <c r="V664" s="24"/>
      <c r="W664" s="24" t="s">
        <v>8286</v>
      </c>
      <c r="X664" s="24" t="s">
        <v>8287</v>
      </c>
      <c r="Y664" s="24" t="s">
        <v>183</v>
      </c>
      <c r="Z664" s="24"/>
      <c r="AA664" s="24"/>
      <c r="AB664" s="25" t="n">
        <v>10</v>
      </c>
      <c r="AC664" s="24" t="s">
        <v>3070</v>
      </c>
      <c r="AD664" s="24" t="s">
        <v>8288</v>
      </c>
      <c r="AE664" s="24"/>
      <c r="AF664" s="24" t="s">
        <v>168</v>
      </c>
      <c r="AG664" s="24"/>
      <c r="AH664" s="24"/>
      <c r="AI664" s="25" t="n">
        <f aca="false">COUNTIF($B$2:$B$740,B664)</f>
        <v>1</v>
      </c>
    </row>
    <row r="665" customFormat="false" ht="76" hidden="false" customHeight="true" outlineLevel="0" collapsed="false">
      <c r="A665" s="21" t="n">
        <v>664</v>
      </c>
      <c r="B665" s="22" t="s">
        <v>8289</v>
      </c>
      <c r="C665" s="23" t="s">
        <v>12</v>
      </c>
      <c r="D665" s="23" t="s">
        <v>209</v>
      </c>
      <c r="E665" s="23" t="s">
        <v>97</v>
      </c>
      <c r="F665" s="24" t="s">
        <v>50</v>
      </c>
      <c r="G665" s="24" t="s">
        <v>1407</v>
      </c>
      <c r="H665" s="24" t="s">
        <v>5362</v>
      </c>
      <c r="I665" s="24" t="s">
        <v>8233</v>
      </c>
      <c r="J665" s="24" t="s">
        <v>8290</v>
      </c>
      <c r="K665" s="24" t="s">
        <v>8291</v>
      </c>
      <c r="L665" s="24" t="s">
        <v>531</v>
      </c>
      <c r="M665" s="24" t="s">
        <v>3075</v>
      </c>
      <c r="N665" s="24" t="s">
        <v>8292</v>
      </c>
      <c r="O665" s="24" t="s">
        <v>8293</v>
      </c>
      <c r="P665" s="24" t="s">
        <v>8184</v>
      </c>
      <c r="Q665" s="24" t="s">
        <v>8294</v>
      </c>
      <c r="R665" s="24" t="s">
        <v>8295</v>
      </c>
      <c r="S665" s="24" t="s">
        <v>8296</v>
      </c>
      <c r="T665" s="24" t="s">
        <v>8297</v>
      </c>
      <c r="U665" s="24" t="s">
        <v>8298</v>
      </c>
      <c r="V665" s="24"/>
      <c r="W665" s="24" t="s">
        <v>8299</v>
      </c>
      <c r="X665" s="24"/>
      <c r="Y665" s="24" t="s">
        <v>183</v>
      </c>
      <c r="Z665" s="24"/>
      <c r="AA665" s="24"/>
      <c r="AB665" s="25" t="n">
        <v>10</v>
      </c>
      <c r="AC665" s="24" t="s">
        <v>3070</v>
      </c>
      <c r="AD665" s="24" t="s">
        <v>8300</v>
      </c>
      <c r="AE665" s="24"/>
      <c r="AF665" s="24" t="s">
        <v>168</v>
      </c>
      <c r="AG665" s="24"/>
      <c r="AH665" s="24"/>
      <c r="AI665" s="25" t="n">
        <f aca="false">COUNTIF($B$2:$B$740,B665)</f>
        <v>1</v>
      </c>
    </row>
    <row r="666" customFormat="false" ht="76" hidden="false" customHeight="true" outlineLevel="0" collapsed="false">
      <c r="A666" s="21" t="n">
        <v>665</v>
      </c>
      <c r="B666" s="22" t="s">
        <v>8301</v>
      </c>
      <c r="C666" s="23" t="s">
        <v>9</v>
      </c>
      <c r="D666" s="23" t="s">
        <v>96</v>
      </c>
      <c r="E666" s="23" t="s">
        <v>97</v>
      </c>
      <c r="F666" s="24" t="s">
        <v>50</v>
      </c>
      <c r="G666" s="24" t="s">
        <v>1407</v>
      </c>
      <c r="H666" s="24" t="s">
        <v>5362</v>
      </c>
      <c r="I666" s="24" t="s">
        <v>8302</v>
      </c>
      <c r="J666" s="24" t="s">
        <v>8303</v>
      </c>
      <c r="K666" s="24" t="s">
        <v>3165</v>
      </c>
      <c r="L666" s="24" t="s">
        <v>119</v>
      </c>
      <c r="M666" s="24" t="s">
        <v>232</v>
      </c>
      <c r="N666" s="24" t="s">
        <v>8304</v>
      </c>
      <c r="O666" s="24" t="s">
        <v>8305</v>
      </c>
      <c r="P666" s="24" t="s">
        <v>8306</v>
      </c>
      <c r="Q666" s="24" t="s">
        <v>8307</v>
      </c>
      <c r="R666" s="24" t="s">
        <v>8308</v>
      </c>
      <c r="S666" s="24" t="s">
        <v>8309</v>
      </c>
      <c r="T666" s="24" t="s">
        <v>8310</v>
      </c>
      <c r="U666" s="24" t="s">
        <v>183</v>
      </c>
      <c r="V666" s="24" t="s">
        <v>8309</v>
      </c>
      <c r="W666" s="24" t="s">
        <v>8311</v>
      </c>
      <c r="X666" s="24"/>
      <c r="Y666" s="24" t="s">
        <v>8312</v>
      </c>
      <c r="Z666" s="24"/>
      <c r="AA666" s="24"/>
      <c r="AB666" s="25" t="n">
        <v>80</v>
      </c>
      <c r="AC666" s="24" t="s">
        <v>3260</v>
      </c>
      <c r="AD666" s="24" t="s">
        <v>8313</v>
      </c>
      <c r="AE666" s="24" t="s">
        <v>3173</v>
      </c>
      <c r="AF666" s="24" t="s">
        <v>168</v>
      </c>
      <c r="AG666" s="24"/>
      <c r="AH666" s="24" t="s">
        <v>941</v>
      </c>
      <c r="AI666" s="25" t="n">
        <f aca="false">COUNTIF($B$2:$B$740,B666)</f>
        <v>1</v>
      </c>
    </row>
    <row r="667" customFormat="false" ht="76" hidden="false" customHeight="true" outlineLevel="0" collapsed="false">
      <c r="A667" s="21" t="n">
        <v>666</v>
      </c>
      <c r="B667" s="22" t="s">
        <v>8314</v>
      </c>
      <c r="C667" s="23" t="s">
        <v>12</v>
      </c>
      <c r="D667" s="23" t="s">
        <v>209</v>
      </c>
      <c r="E667" s="23" t="s">
        <v>97</v>
      </c>
      <c r="F667" s="24" t="s">
        <v>50</v>
      </c>
      <c r="G667" s="24" t="s">
        <v>1407</v>
      </c>
      <c r="H667" s="24" t="s">
        <v>5362</v>
      </c>
      <c r="I667" s="24" t="s">
        <v>8302</v>
      </c>
      <c r="J667" s="24" t="s">
        <v>8315</v>
      </c>
      <c r="K667" s="24" t="s">
        <v>8316</v>
      </c>
      <c r="L667" s="24" t="s">
        <v>531</v>
      </c>
      <c r="M667" s="24" t="s">
        <v>3301</v>
      </c>
      <c r="N667" s="24" t="s">
        <v>8317</v>
      </c>
      <c r="O667" s="24" t="s">
        <v>8318</v>
      </c>
      <c r="P667" s="24" t="s">
        <v>8319</v>
      </c>
      <c r="Q667" s="24" t="s">
        <v>8320</v>
      </c>
      <c r="R667" s="24" t="s">
        <v>8321</v>
      </c>
      <c r="S667" s="24" t="s">
        <v>8322</v>
      </c>
      <c r="T667" s="24" t="s">
        <v>8323</v>
      </c>
      <c r="U667" s="24" t="s">
        <v>183</v>
      </c>
      <c r="V667" s="24"/>
      <c r="W667" s="24" t="s">
        <v>8324</v>
      </c>
      <c r="X667" s="24"/>
      <c r="Y667" s="24" t="s">
        <v>8325</v>
      </c>
      <c r="Z667" s="24"/>
      <c r="AA667" s="24"/>
      <c r="AB667" s="25" t="n">
        <v>10</v>
      </c>
      <c r="AC667" s="24" t="s">
        <v>8326</v>
      </c>
      <c r="AD667" s="24" t="s">
        <v>3296</v>
      </c>
      <c r="AE667" s="24"/>
      <c r="AF667" s="24" t="s">
        <v>168</v>
      </c>
      <c r="AG667" s="24"/>
      <c r="AH667" s="24"/>
      <c r="AI667" s="25" t="n">
        <f aca="false">COUNTIF($B$2:$B$740,B667)</f>
        <v>1</v>
      </c>
    </row>
    <row r="668" customFormat="false" ht="76" hidden="false" customHeight="true" outlineLevel="0" collapsed="false">
      <c r="A668" s="21" t="n">
        <v>667</v>
      </c>
      <c r="B668" s="22" t="s">
        <v>3333</v>
      </c>
      <c r="C668" s="23" t="s">
        <v>9</v>
      </c>
      <c r="D668" s="23" t="s">
        <v>96</v>
      </c>
      <c r="E668" s="23" t="s">
        <v>97</v>
      </c>
      <c r="F668" s="24" t="s">
        <v>50</v>
      </c>
      <c r="G668" s="24" t="s">
        <v>1407</v>
      </c>
      <c r="H668" s="24" t="s">
        <v>5362</v>
      </c>
      <c r="I668" s="24" t="s">
        <v>8327</v>
      </c>
      <c r="J668" s="24" t="s">
        <v>8328</v>
      </c>
      <c r="K668" s="24" t="s">
        <v>8329</v>
      </c>
      <c r="L668" s="24" t="s">
        <v>119</v>
      </c>
      <c r="M668" s="24" t="s">
        <v>3326</v>
      </c>
      <c r="N668" s="24" t="s">
        <v>8330</v>
      </c>
      <c r="O668" s="24" t="s">
        <v>8331</v>
      </c>
      <c r="P668" s="24" t="s">
        <v>8332</v>
      </c>
      <c r="Q668" s="24" t="s">
        <v>8333</v>
      </c>
      <c r="R668" s="24" t="s">
        <v>8334</v>
      </c>
      <c r="S668" s="24" t="s">
        <v>8335</v>
      </c>
      <c r="T668" s="24" t="s">
        <v>8336</v>
      </c>
      <c r="U668" s="24" t="s">
        <v>8337</v>
      </c>
      <c r="V668" s="24"/>
      <c r="W668" s="24" t="s">
        <v>8333</v>
      </c>
      <c r="X668" s="24"/>
      <c r="Y668" s="24" t="s">
        <v>8337</v>
      </c>
      <c r="Z668" s="24"/>
      <c r="AA668" s="24"/>
      <c r="AB668" s="25" t="n">
        <v>10</v>
      </c>
      <c r="AC668" s="24" t="s">
        <v>3345</v>
      </c>
      <c r="AD668" s="24" t="s">
        <v>8338</v>
      </c>
      <c r="AE668" s="24"/>
      <c r="AF668" s="24" t="s">
        <v>168</v>
      </c>
      <c r="AG668" s="24"/>
      <c r="AH668" s="24"/>
      <c r="AI668" s="25" t="n">
        <f aca="false">COUNTIF($B$2:$B$740,B668)</f>
        <v>1</v>
      </c>
    </row>
    <row r="669" customFormat="false" ht="76" hidden="false" customHeight="true" outlineLevel="0" collapsed="false">
      <c r="A669" s="21" t="n">
        <v>668</v>
      </c>
      <c r="B669" s="22" t="s">
        <v>8339</v>
      </c>
      <c r="C669" s="23" t="s">
        <v>9</v>
      </c>
      <c r="D669" s="23" t="s">
        <v>96</v>
      </c>
      <c r="E669" s="23" t="s">
        <v>97</v>
      </c>
      <c r="F669" s="24" t="s">
        <v>50</v>
      </c>
      <c r="G669" s="24" t="s">
        <v>1407</v>
      </c>
      <c r="H669" s="24" t="s">
        <v>5362</v>
      </c>
      <c r="I669" s="24" t="s">
        <v>8327</v>
      </c>
      <c r="J669" s="24" t="s">
        <v>8340</v>
      </c>
      <c r="K669" s="24" t="s">
        <v>8341</v>
      </c>
      <c r="L669" s="24" t="s">
        <v>119</v>
      </c>
      <c r="M669" s="24" t="s">
        <v>3326</v>
      </c>
      <c r="N669" s="24" t="s">
        <v>8342</v>
      </c>
      <c r="O669" s="24" t="s">
        <v>8343</v>
      </c>
      <c r="P669" s="24" t="s">
        <v>8344</v>
      </c>
      <c r="Q669" s="24" t="s">
        <v>8345</v>
      </c>
      <c r="R669" s="24" t="s">
        <v>8346</v>
      </c>
      <c r="S669" s="24" t="s">
        <v>8347</v>
      </c>
      <c r="T669" s="24" t="s">
        <v>8348</v>
      </c>
      <c r="U669" s="24" t="s">
        <v>8349</v>
      </c>
      <c r="V669" s="24"/>
      <c r="W669" s="24" t="s">
        <v>8350</v>
      </c>
      <c r="X669" s="24"/>
      <c r="Y669" s="24" t="s">
        <v>8351</v>
      </c>
      <c r="Z669" s="24"/>
      <c r="AA669" s="24"/>
      <c r="AB669" s="25" t="n">
        <v>10</v>
      </c>
      <c r="AC669" s="24" t="s">
        <v>3323</v>
      </c>
      <c r="AD669" s="24" t="s">
        <v>8352</v>
      </c>
      <c r="AE669" s="24"/>
      <c r="AF669" s="24" t="s">
        <v>168</v>
      </c>
      <c r="AG669" s="24"/>
      <c r="AH669" s="24"/>
      <c r="AI669" s="25" t="n">
        <f aca="false">COUNTIF($B$2:$B$740,B669)</f>
        <v>1</v>
      </c>
    </row>
    <row r="670" customFormat="false" ht="76" hidden="false" customHeight="true" outlineLevel="0" collapsed="false">
      <c r="A670" s="21" t="n">
        <v>669</v>
      </c>
      <c r="B670" s="22" t="s">
        <v>8353</v>
      </c>
      <c r="C670" s="23" t="s">
        <v>9</v>
      </c>
      <c r="D670" s="23" t="s">
        <v>96</v>
      </c>
      <c r="E670" s="23" t="s">
        <v>97</v>
      </c>
      <c r="F670" s="24" t="s">
        <v>56</v>
      </c>
      <c r="G670" s="24" t="s">
        <v>1805</v>
      </c>
      <c r="H670" s="24" t="s">
        <v>5362</v>
      </c>
      <c r="I670" s="24" t="s">
        <v>8327</v>
      </c>
      <c r="J670" s="24" t="s">
        <v>8354</v>
      </c>
      <c r="K670" s="24" t="s">
        <v>8355</v>
      </c>
      <c r="L670" s="24" t="s">
        <v>119</v>
      </c>
      <c r="M670" s="24" t="s">
        <v>3366</v>
      </c>
      <c r="N670" s="24"/>
      <c r="O670" s="24" t="s">
        <v>8356</v>
      </c>
      <c r="P670" s="24" t="s">
        <v>8357</v>
      </c>
      <c r="Q670" s="24" t="s">
        <v>8358</v>
      </c>
      <c r="R670" s="24" t="s">
        <v>8359</v>
      </c>
      <c r="S670" s="24" t="s">
        <v>8360</v>
      </c>
      <c r="T670" s="24" t="s">
        <v>8361</v>
      </c>
      <c r="U670" s="24" t="s">
        <v>8362</v>
      </c>
      <c r="V670" s="24"/>
      <c r="W670" s="24" t="s">
        <v>8363</v>
      </c>
      <c r="X670" s="24" t="s">
        <v>8364</v>
      </c>
      <c r="Y670" s="24" t="s">
        <v>8365</v>
      </c>
      <c r="Z670" s="24"/>
      <c r="AA670" s="24"/>
      <c r="AB670" s="25" t="n">
        <v>60</v>
      </c>
      <c r="AC670" s="24" t="s">
        <v>3351</v>
      </c>
      <c r="AD670" s="24" t="s">
        <v>8366</v>
      </c>
      <c r="AE670" s="24"/>
      <c r="AF670" s="24" t="s">
        <v>168</v>
      </c>
      <c r="AG670" s="24"/>
      <c r="AH670" s="24" t="s">
        <v>168</v>
      </c>
      <c r="AI670" s="25" t="n">
        <f aca="false">COUNTIF($B$2:$B$740,B670)</f>
        <v>1</v>
      </c>
    </row>
    <row r="671" customFormat="false" ht="76" hidden="false" customHeight="true" outlineLevel="0" collapsed="false">
      <c r="A671" s="21" t="n">
        <v>670</v>
      </c>
      <c r="B671" s="22" t="s">
        <v>8367</v>
      </c>
      <c r="C671" s="23" t="s">
        <v>9</v>
      </c>
      <c r="D671" s="23" t="s">
        <v>96</v>
      </c>
      <c r="E671" s="23" t="s">
        <v>97</v>
      </c>
      <c r="F671" s="24" t="s">
        <v>50</v>
      </c>
      <c r="G671" s="24" t="s">
        <v>1407</v>
      </c>
      <c r="H671" s="24" t="s">
        <v>5362</v>
      </c>
      <c r="I671" s="24" t="s">
        <v>8327</v>
      </c>
      <c r="J671" s="24" t="s">
        <v>8368</v>
      </c>
      <c r="K671" s="24" t="s">
        <v>8369</v>
      </c>
      <c r="L671" s="24" t="s">
        <v>119</v>
      </c>
      <c r="M671" s="24" t="s">
        <v>2162</v>
      </c>
      <c r="N671" s="24" t="s">
        <v>8370</v>
      </c>
      <c r="O671" s="24" t="s">
        <v>8371</v>
      </c>
      <c r="P671" s="24" t="s">
        <v>8372</v>
      </c>
      <c r="Q671" s="24" t="s">
        <v>8373</v>
      </c>
      <c r="R671" s="24" t="s">
        <v>8374</v>
      </c>
      <c r="S671" s="24" t="s">
        <v>8375</v>
      </c>
      <c r="T671" s="24" t="s">
        <v>8376</v>
      </c>
      <c r="U671" s="24" t="s">
        <v>8377</v>
      </c>
      <c r="V671" s="24"/>
      <c r="W671" s="24"/>
      <c r="X671" s="24"/>
      <c r="Y671" s="24" t="s">
        <v>8378</v>
      </c>
      <c r="Z671" s="24"/>
      <c r="AA671" s="24" t="s">
        <v>8379</v>
      </c>
      <c r="AB671" s="25" t="n">
        <v>10</v>
      </c>
      <c r="AC671" s="24" t="s">
        <v>3375</v>
      </c>
      <c r="AD671" s="24" t="s">
        <v>8380</v>
      </c>
      <c r="AE671" s="24"/>
      <c r="AF671" s="24" t="s">
        <v>168</v>
      </c>
      <c r="AG671" s="24"/>
      <c r="AH671" s="24"/>
      <c r="AI671" s="25" t="n">
        <f aca="false">COUNTIF($B$2:$B$740,B671)</f>
        <v>1</v>
      </c>
    </row>
    <row r="672" customFormat="false" ht="76" hidden="false" customHeight="true" outlineLevel="0" collapsed="false">
      <c r="A672" s="21" t="n">
        <v>671</v>
      </c>
      <c r="B672" s="22" t="s">
        <v>8381</v>
      </c>
      <c r="C672" s="23" t="s">
        <v>9</v>
      </c>
      <c r="D672" s="23" t="s">
        <v>96</v>
      </c>
      <c r="E672" s="23" t="s">
        <v>97</v>
      </c>
      <c r="F672" s="24" t="s">
        <v>50</v>
      </c>
      <c r="G672" s="24" t="s">
        <v>1407</v>
      </c>
      <c r="H672" s="24" t="s">
        <v>5362</v>
      </c>
      <c r="I672" s="24" t="s">
        <v>8327</v>
      </c>
      <c r="J672" s="24" t="s">
        <v>8382</v>
      </c>
      <c r="K672" s="24" t="s">
        <v>8383</v>
      </c>
      <c r="L672" s="24" t="s">
        <v>119</v>
      </c>
      <c r="M672" s="24" t="s">
        <v>2162</v>
      </c>
      <c r="N672" s="24" t="s">
        <v>8384</v>
      </c>
      <c r="O672" s="24" t="s">
        <v>8385</v>
      </c>
      <c r="P672" s="24" t="s">
        <v>8386</v>
      </c>
      <c r="Q672" s="24" t="s">
        <v>8387</v>
      </c>
      <c r="R672" s="24" t="s">
        <v>8388</v>
      </c>
      <c r="S672" s="24" t="s">
        <v>8389</v>
      </c>
      <c r="T672" s="24" t="s">
        <v>8390</v>
      </c>
      <c r="U672" s="24" t="s">
        <v>8391</v>
      </c>
      <c r="V672" s="24" t="s">
        <v>8392</v>
      </c>
      <c r="W672" s="24" t="s">
        <v>8393</v>
      </c>
      <c r="X672" s="24" t="s">
        <v>8386</v>
      </c>
      <c r="Y672" s="24" t="s">
        <v>8394</v>
      </c>
      <c r="Z672" s="24"/>
      <c r="AA672" s="24"/>
      <c r="AB672" s="25" t="n">
        <v>10</v>
      </c>
      <c r="AC672" s="24" t="s">
        <v>3375</v>
      </c>
      <c r="AD672" s="24" t="s">
        <v>8395</v>
      </c>
      <c r="AE672" s="24"/>
      <c r="AF672" s="24" t="s">
        <v>168</v>
      </c>
      <c r="AG672" s="24"/>
      <c r="AH672" s="24"/>
      <c r="AI672" s="25" t="n">
        <f aca="false">COUNTIF($B$2:$B$740,B672)</f>
        <v>1</v>
      </c>
    </row>
    <row r="673" customFormat="false" ht="76" hidden="false" customHeight="true" outlineLevel="0" collapsed="false">
      <c r="A673" s="21" t="n">
        <v>672</v>
      </c>
      <c r="B673" s="22" t="s">
        <v>8396</v>
      </c>
      <c r="C673" s="23" t="s">
        <v>9</v>
      </c>
      <c r="D673" s="23" t="s">
        <v>96</v>
      </c>
      <c r="E673" s="23" t="s">
        <v>97</v>
      </c>
      <c r="F673" s="24" t="s">
        <v>56</v>
      </c>
      <c r="G673" s="24" t="s">
        <v>1805</v>
      </c>
      <c r="H673" s="24" t="s">
        <v>5362</v>
      </c>
      <c r="I673" s="24" t="s">
        <v>8397</v>
      </c>
      <c r="J673" s="24" t="s">
        <v>8398</v>
      </c>
      <c r="K673" s="24" t="s">
        <v>8399</v>
      </c>
      <c r="L673" s="24" t="s">
        <v>119</v>
      </c>
      <c r="M673" s="24" t="s">
        <v>3398</v>
      </c>
      <c r="N673" s="24" t="s">
        <v>8400</v>
      </c>
      <c r="O673" s="24" t="s">
        <v>8401</v>
      </c>
      <c r="P673" s="24" t="s">
        <v>8402</v>
      </c>
      <c r="Q673" s="24" t="s">
        <v>8403</v>
      </c>
      <c r="R673" s="24" t="s">
        <v>8404</v>
      </c>
      <c r="S673" s="24" t="s">
        <v>8405</v>
      </c>
      <c r="T673" s="24" t="s">
        <v>8406</v>
      </c>
      <c r="U673" s="24" t="s">
        <v>8407</v>
      </c>
      <c r="V673" s="24"/>
      <c r="W673" s="24" t="s">
        <v>8408</v>
      </c>
      <c r="X673" s="24"/>
      <c r="Y673" s="24" t="s">
        <v>8409</v>
      </c>
      <c r="Z673" s="24"/>
      <c r="AA673" s="24"/>
      <c r="AB673" s="25" t="n">
        <v>10</v>
      </c>
      <c r="AC673" s="24" t="s">
        <v>8410</v>
      </c>
      <c r="AD673" s="24" t="s">
        <v>8411</v>
      </c>
      <c r="AE673" s="24"/>
      <c r="AF673" s="24" t="s">
        <v>168</v>
      </c>
      <c r="AG673" s="24"/>
      <c r="AH673" s="24"/>
      <c r="AI673" s="25" t="n">
        <f aca="false">COUNTIF($B$2:$B$740,B673)</f>
        <v>1</v>
      </c>
    </row>
    <row r="674" customFormat="false" ht="76" hidden="false" customHeight="true" outlineLevel="0" collapsed="false">
      <c r="A674" s="21" t="n">
        <v>673</v>
      </c>
      <c r="B674" s="22" t="s">
        <v>8412</v>
      </c>
      <c r="C674" s="23" t="s">
        <v>9</v>
      </c>
      <c r="D674" s="23" t="s">
        <v>96</v>
      </c>
      <c r="E674" s="23" t="s">
        <v>97</v>
      </c>
      <c r="F674" s="24" t="s">
        <v>59</v>
      </c>
      <c r="G674" s="24" t="s">
        <v>98</v>
      </c>
      <c r="H674" s="24" t="s">
        <v>5362</v>
      </c>
      <c r="I674" s="24" t="s">
        <v>8397</v>
      </c>
      <c r="J674" s="24" t="s">
        <v>8413</v>
      </c>
      <c r="K674" s="24" t="s">
        <v>2919</v>
      </c>
      <c r="L674" s="24" t="s">
        <v>103</v>
      </c>
      <c r="M674" s="24" t="s">
        <v>8414</v>
      </c>
      <c r="N674" s="24"/>
      <c r="O674" s="24" t="s">
        <v>2979</v>
      </c>
      <c r="P674" s="24" t="s">
        <v>2970</v>
      </c>
      <c r="Q674" s="24" t="s">
        <v>2935</v>
      </c>
      <c r="R674" s="24" t="s">
        <v>8415</v>
      </c>
      <c r="S674" s="24" t="s">
        <v>2925</v>
      </c>
      <c r="T674" s="24" t="s">
        <v>8416</v>
      </c>
      <c r="U674" s="24" t="s">
        <v>183</v>
      </c>
      <c r="V674" s="24"/>
      <c r="W674" s="24" t="s">
        <v>8417</v>
      </c>
      <c r="X674" s="24"/>
      <c r="Y674" s="24" t="s">
        <v>183</v>
      </c>
      <c r="Z674" s="24"/>
      <c r="AA674" s="24"/>
      <c r="AB674" s="25" t="n">
        <v>10</v>
      </c>
      <c r="AC674" s="24" t="s">
        <v>3413</v>
      </c>
      <c r="AD674" s="24" t="s">
        <v>8418</v>
      </c>
      <c r="AE674" s="24" t="s">
        <v>2983</v>
      </c>
      <c r="AF674" s="24" t="s">
        <v>168</v>
      </c>
      <c r="AG674" s="24"/>
      <c r="AH674" s="24"/>
      <c r="AI674" s="25" t="n">
        <f aca="false">COUNTIF($B$2:$B$740,B674)</f>
        <v>1</v>
      </c>
    </row>
    <row r="675" customFormat="false" ht="76" hidden="false" customHeight="true" outlineLevel="0" collapsed="false">
      <c r="A675" s="21" t="n">
        <v>674</v>
      </c>
      <c r="B675" s="22" t="s">
        <v>8419</v>
      </c>
      <c r="C675" s="23" t="s">
        <v>9</v>
      </c>
      <c r="D675" s="23" t="s">
        <v>96</v>
      </c>
      <c r="E675" s="23" t="s">
        <v>97</v>
      </c>
      <c r="F675" s="24" t="s">
        <v>50</v>
      </c>
      <c r="G675" s="24" t="s">
        <v>1407</v>
      </c>
      <c r="H675" s="24" t="s">
        <v>5362</v>
      </c>
      <c r="I675" s="24" t="s">
        <v>8397</v>
      </c>
      <c r="J675" s="24" t="s">
        <v>8420</v>
      </c>
      <c r="K675" s="24" t="s">
        <v>8421</v>
      </c>
      <c r="L675" s="24" t="s">
        <v>103</v>
      </c>
      <c r="M675" s="24" t="s">
        <v>8422</v>
      </c>
      <c r="N675" s="24" t="s">
        <v>8423</v>
      </c>
      <c r="O675" s="24" t="s">
        <v>8424</v>
      </c>
      <c r="P675" s="24" t="s">
        <v>8425</v>
      </c>
      <c r="Q675" s="24" t="s">
        <v>8426</v>
      </c>
      <c r="R675" s="24" t="s">
        <v>8427</v>
      </c>
      <c r="S675" s="24" t="s">
        <v>8428</v>
      </c>
      <c r="T675" s="24" t="s">
        <v>8429</v>
      </c>
      <c r="U675" s="24" t="s">
        <v>183</v>
      </c>
      <c r="V675" s="24"/>
      <c r="W675" s="24" t="s">
        <v>8430</v>
      </c>
      <c r="X675" s="24"/>
      <c r="Y675" s="24" t="s">
        <v>8431</v>
      </c>
      <c r="Z675" s="24"/>
      <c r="AA675" s="24"/>
      <c r="AB675" s="25" t="n">
        <v>10</v>
      </c>
      <c r="AC675" s="24" t="s">
        <v>3413</v>
      </c>
      <c r="AD675" s="24" t="s">
        <v>8432</v>
      </c>
      <c r="AE675" s="24"/>
      <c r="AF675" s="24" t="s">
        <v>168</v>
      </c>
      <c r="AG675" s="24"/>
      <c r="AH675" s="24"/>
      <c r="AI675" s="25" t="n">
        <f aca="false">COUNTIF($B$2:$B$740,B675)</f>
        <v>1</v>
      </c>
    </row>
    <row r="676" customFormat="false" ht="76" hidden="false" customHeight="true" outlineLevel="0" collapsed="false">
      <c r="A676" s="21" t="n">
        <v>675</v>
      </c>
      <c r="B676" s="22" t="s">
        <v>8433</v>
      </c>
      <c r="C676" s="23" t="s">
        <v>9</v>
      </c>
      <c r="D676" s="23" t="s">
        <v>96</v>
      </c>
      <c r="E676" s="23" t="s">
        <v>97</v>
      </c>
      <c r="F676" s="24" t="s">
        <v>56</v>
      </c>
      <c r="G676" s="24" t="s">
        <v>1805</v>
      </c>
      <c r="H676" s="24" t="s">
        <v>5362</v>
      </c>
      <c r="I676" s="24" t="s">
        <v>8397</v>
      </c>
      <c r="J676" s="24" t="s">
        <v>8434</v>
      </c>
      <c r="K676" s="24" t="s">
        <v>1913</v>
      </c>
      <c r="L676" s="24" t="s">
        <v>119</v>
      </c>
      <c r="M676" s="24" t="s">
        <v>8435</v>
      </c>
      <c r="N676" s="24"/>
      <c r="O676" s="24" t="s">
        <v>8436</v>
      </c>
      <c r="P676" s="24" t="s">
        <v>8437</v>
      </c>
      <c r="Q676" s="24" t="s">
        <v>8438</v>
      </c>
      <c r="R676" s="24" t="s">
        <v>8439</v>
      </c>
      <c r="S676" s="24" t="s">
        <v>8440</v>
      </c>
      <c r="T676" s="24" t="s">
        <v>8441</v>
      </c>
      <c r="U676" s="24" t="s">
        <v>8442</v>
      </c>
      <c r="V676" s="24"/>
      <c r="W676" s="24"/>
      <c r="X676" s="24"/>
      <c r="Y676" s="24" t="s">
        <v>8443</v>
      </c>
      <c r="Z676" s="24"/>
      <c r="AA676" s="24" t="s">
        <v>8444</v>
      </c>
      <c r="AB676" s="25" t="n">
        <v>10</v>
      </c>
      <c r="AC676" s="24" t="s">
        <v>3413</v>
      </c>
      <c r="AD676" s="24" t="s">
        <v>8445</v>
      </c>
      <c r="AE676" s="24"/>
      <c r="AF676" s="24" t="s">
        <v>168</v>
      </c>
      <c r="AG676" s="24"/>
      <c r="AH676" s="24"/>
      <c r="AI676" s="25" t="n">
        <f aca="false">COUNTIF($B$2:$B$740,B676)</f>
        <v>1</v>
      </c>
    </row>
    <row r="677" customFormat="false" ht="76" hidden="false" customHeight="true" outlineLevel="0" collapsed="false">
      <c r="A677" s="21" t="n">
        <v>676</v>
      </c>
      <c r="B677" s="22" t="s">
        <v>8446</v>
      </c>
      <c r="C677" s="23" t="s">
        <v>12</v>
      </c>
      <c r="D677" s="23" t="s">
        <v>209</v>
      </c>
      <c r="E677" s="23" t="s">
        <v>97</v>
      </c>
      <c r="F677" s="24" t="s">
        <v>50</v>
      </c>
      <c r="G677" s="24" t="s">
        <v>1407</v>
      </c>
      <c r="H677" s="24" t="s">
        <v>5362</v>
      </c>
      <c r="I677" s="24" t="s">
        <v>8397</v>
      </c>
      <c r="J677" s="24" t="s">
        <v>8447</v>
      </c>
      <c r="K677" s="24" t="s">
        <v>8448</v>
      </c>
      <c r="L677" s="24" t="s">
        <v>531</v>
      </c>
      <c r="M677" s="24" t="s">
        <v>8449</v>
      </c>
      <c r="N677" s="24" t="s">
        <v>8450</v>
      </c>
      <c r="O677" s="24" t="s">
        <v>8451</v>
      </c>
      <c r="P677" s="24" t="s">
        <v>8452</v>
      </c>
      <c r="Q677" s="24" t="s">
        <v>8453</v>
      </c>
      <c r="R677" s="24" t="s">
        <v>8454</v>
      </c>
      <c r="S677" s="24" t="s">
        <v>8455</v>
      </c>
      <c r="T677" s="24" t="s">
        <v>8456</v>
      </c>
      <c r="U677" s="24" t="s">
        <v>183</v>
      </c>
      <c r="V677" s="24"/>
      <c r="W677" s="24" t="s">
        <v>8453</v>
      </c>
      <c r="X677" s="24"/>
      <c r="Y677" s="24" t="s">
        <v>183</v>
      </c>
      <c r="Z677" s="24"/>
      <c r="AA677" s="24"/>
      <c r="AB677" s="25" t="n">
        <v>10</v>
      </c>
      <c r="AC677" s="24" t="s">
        <v>8457</v>
      </c>
      <c r="AD677" s="24" t="s">
        <v>3435</v>
      </c>
      <c r="AE677" s="24" t="s">
        <v>3421</v>
      </c>
      <c r="AF677" s="24" t="s">
        <v>168</v>
      </c>
      <c r="AG677" s="24"/>
      <c r="AH677" s="24"/>
      <c r="AI677" s="25" t="n">
        <f aca="false">COUNTIF($B$2:$B$740,B677)</f>
        <v>1</v>
      </c>
    </row>
    <row r="678" customFormat="false" ht="76" hidden="false" customHeight="true" outlineLevel="0" collapsed="false">
      <c r="A678" s="21" t="n">
        <v>677</v>
      </c>
      <c r="B678" s="22" t="s">
        <v>8458</v>
      </c>
      <c r="C678" s="23" t="s">
        <v>12</v>
      </c>
      <c r="D678" s="23" t="s">
        <v>209</v>
      </c>
      <c r="E678" s="23" t="s">
        <v>97</v>
      </c>
      <c r="F678" s="24" t="s">
        <v>50</v>
      </c>
      <c r="G678" s="24" t="s">
        <v>1407</v>
      </c>
      <c r="H678" s="24" t="s">
        <v>5362</v>
      </c>
      <c r="I678" s="24" t="s">
        <v>8397</v>
      </c>
      <c r="J678" s="24" t="s">
        <v>8459</v>
      </c>
      <c r="K678" s="24" t="s">
        <v>8460</v>
      </c>
      <c r="L678" s="24" t="s">
        <v>531</v>
      </c>
      <c r="M678" s="24" t="s">
        <v>8461</v>
      </c>
      <c r="N678" s="24" t="s">
        <v>8462</v>
      </c>
      <c r="O678" s="24" t="s">
        <v>8463</v>
      </c>
      <c r="P678" s="24" t="s">
        <v>8464</v>
      </c>
      <c r="Q678" s="24" t="s">
        <v>8465</v>
      </c>
      <c r="R678" s="24" t="s">
        <v>8466</v>
      </c>
      <c r="S678" s="24" t="s">
        <v>8467</v>
      </c>
      <c r="T678" s="24" t="s">
        <v>8468</v>
      </c>
      <c r="U678" s="24" t="s">
        <v>8469</v>
      </c>
      <c r="V678" s="24" t="s">
        <v>8470</v>
      </c>
      <c r="W678" s="24"/>
      <c r="X678" s="24"/>
      <c r="Y678" s="24" t="s">
        <v>183</v>
      </c>
      <c r="Z678" s="24"/>
      <c r="AA678" s="24"/>
      <c r="AB678" s="25" t="n">
        <v>10</v>
      </c>
      <c r="AC678" s="24" t="s">
        <v>8471</v>
      </c>
      <c r="AD678" s="24" t="s">
        <v>8472</v>
      </c>
      <c r="AE678" s="24"/>
      <c r="AF678" s="24" t="s">
        <v>168</v>
      </c>
      <c r="AG678" s="24"/>
      <c r="AH678" s="24"/>
      <c r="AI678" s="25" t="n">
        <f aca="false">COUNTIF($B$2:$B$740,B678)</f>
        <v>1</v>
      </c>
    </row>
    <row r="679" customFormat="false" ht="76" hidden="false" customHeight="true" outlineLevel="0" collapsed="false">
      <c r="A679" s="21" t="n">
        <v>678</v>
      </c>
      <c r="B679" s="22" t="s">
        <v>8473</v>
      </c>
      <c r="C679" s="23" t="s">
        <v>12</v>
      </c>
      <c r="D679" s="23" t="s">
        <v>209</v>
      </c>
      <c r="E679" s="23" t="s">
        <v>97</v>
      </c>
      <c r="F679" s="24" t="s">
        <v>50</v>
      </c>
      <c r="G679" s="24" t="s">
        <v>1407</v>
      </c>
      <c r="H679" s="24" t="s">
        <v>5362</v>
      </c>
      <c r="I679" s="24" t="s">
        <v>8397</v>
      </c>
      <c r="J679" s="24" t="s">
        <v>8474</v>
      </c>
      <c r="K679" s="24" t="s">
        <v>8475</v>
      </c>
      <c r="L679" s="24" t="s">
        <v>531</v>
      </c>
      <c r="M679" s="24" t="s">
        <v>8476</v>
      </c>
      <c r="N679" s="24"/>
      <c r="O679" s="24" t="s">
        <v>8477</v>
      </c>
      <c r="P679" s="24" t="s">
        <v>8478</v>
      </c>
      <c r="Q679" s="24" t="s">
        <v>8479</v>
      </c>
      <c r="R679" s="24" t="s">
        <v>8480</v>
      </c>
      <c r="S679" s="24" t="s">
        <v>8481</v>
      </c>
      <c r="T679" s="24" t="s">
        <v>8482</v>
      </c>
      <c r="U679" s="24" t="s">
        <v>183</v>
      </c>
      <c r="V679" s="24"/>
      <c r="W679" s="24"/>
      <c r="X679" s="24"/>
      <c r="Y679" s="24" t="s">
        <v>8483</v>
      </c>
      <c r="Z679" s="24"/>
      <c r="AA679" s="24"/>
      <c r="AB679" s="25" t="n">
        <v>10</v>
      </c>
      <c r="AC679" s="24" t="s">
        <v>8484</v>
      </c>
      <c r="AD679" s="24" t="s">
        <v>8485</v>
      </c>
      <c r="AE679" s="24"/>
      <c r="AF679" s="24" t="s">
        <v>168</v>
      </c>
      <c r="AG679" s="24"/>
      <c r="AH679" s="24"/>
      <c r="AI679" s="25" t="n">
        <f aca="false">COUNTIF($B$2:$B$740,B679)</f>
        <v>1</v>
      </c>
    </row>
    <row r="680" customFormat="false" ht="76" hidden="false" customHeight="true" outlineLevel="0" collapsed="false">
      <c r="A680" s="21" t="n">
        <v>679</v>
      </c>
      <c r="B680" s="22" t="s">
        <v>8486</v>
      </c>
      <c r="C680" s="23" t="s">
        <v>9</v>
      </c>
      <c r="D680" s="23" t="s">
        <v>96</v>
      </c>
      <c r="E680" s="23" t="s">
        <v>8487</v>
      </c>
      <c r="F680" s="24" t="s">
        <v>50</v>
      </c>
      <c r="G680" s="24" t="s">
        <v>1407</v>
      </c>
      <c r="H680" s="24" t="s">
        <v>8488</v>
      </c>
      <c r="I680" s="24" t="s">
        <v>50</v>
      </c>
      <c r="J680" s="24" t="s">
        <v>8489</v>
      </c>
      <c r="K680" s="24" t="s">
        <v>8490</v>
      </c>
      <c r="L680" s="24" t="s">
        <v>1183</v>
      </c>
      <c r="M680" s="24" t="s">
        <v>8491</v>
      </c>
      <c r="N680" s="24" t="s">
        <v>8492</v>
      </c>
      <c r="O680" s="24" t="s">
        <v>8493</v>
      </c>
      <c r="P680" s="24" t="s">
        <v>8494</v>
      </c>
      <c r="Q680" s="24" t="s">
        <v>8495</v>
      </c>
      <c r="R680" s="24" t="s">
        <v>8496</v>
      </c>
      <c r="S680" s="24" t="s">
        <v>8497</v>
      </c>
      <c r="T680" s="24" t="s">
        <v>8498</v>
      </c>
      <c r="U680" s="24"/>
      <c r="V680" s="24"/>
      <c r="W680" s="24"/>
      <c r="X680" s="24"/>
      <c r="Y680" s="24" t="s">
        <v>8499</v>
      </c>
      <c r="Z680" s="24" t="s">
        <v>8493</v>
      </c>
      <c r="AA680" s="24"/>
      <c r="AB680" s="25" t="n">
        <v>60</v>
      </c>
      <c r="AC680" s="24" t="s">
        <v>8500</v>
      </c>
      <c r="AD680" s="24" t="s">
        <v>8501</v>
      </c>
      <c r="AE680" s="24" t="s">
        <v>8502</v>
      </c>
      <c r="AF680" s="24" t="s">
        <v>115</v>
      </c>
      <c r="AG680" s="24"/>
      <c r="AH680" s="24" t="s">
        <v>8503</v>
      </c>
      <c r="AI680" s="25" t="n">
        <f aca="false">COUNTIF($B$2:$B$740,B680)</f>
        <v>1</v>
      </c>
    </row>
    <row r="681" customFormat="false" ht="76" hidden="false" customHeight="true" outlineLevel="0" collapsed="false">
      <c r="A681" s="21" t="n">
        <v>680</v>
      </c>
      <c r="B681" s="22" t="s">
        <v>8504</v>
      </c>
      <c r="C681" s="23" t="s">
        <v>9</v>
      </c>
      <c r="D681" s="23" t="s">
        <v>96</v>
      </c>
      <c r="E681" s="23" t="s">
        <v>8487</v>
      </c>
      <c r="F681" s="24" t="s">
        <v>52</v>
      </c>
      <c r="G681" s="24" t="s">
        <v>6636</v>
      </c>
      <c r="H681" s="24" t="s">
        <v>8488</v>
      </c>
      <c r="I681" s="24" t="s">
        <v>52</v>
      </c>
      <c r="J681" s="24" t="s">
        <v>8505</v>
      </c>
      <c r="K681" s="24" t="s">
        <v>8506</v>
      </c>
      <c r="L681" s="24" t="s">
        <v>103</v>
      </c>
      <c r="M681" s="24" t="s">
        <v>605</v>
      </c>
      <c r="N681" s="24" t="s">
        <v>8507</v>
      </c>
      <c r="O681" s="24" t="s">
        <v>8508</v>
      </c>
      <c r="P681" s="24" t="s">
        <v>8509</v>
      </c>
      <c r="Q681" s="24" t="s">
        <v>8510</v>
      </c>
      <c r="R681" s="24" t="s">
        <v>8511</v>
      </c>
      <c r="S681" s="24" t="s">
        <v>8512</v>
      </c>
      <c r="T681" s="24" t="s">
        <v>8513</v>
      </c>
      <c r="U681" s="24" t="s">
        <v>8514</v>
      </c>
      <c r="V681" s="24"/>
      <c r="W681" s="24"/>
      <c r="X681" s="24" t="s">
        <v>8515</v>
      </c>
      <c r="Y681" s="24"/>
      <c r="Z681" s="24"/>
      <c r="AA681" s="24"/>
      <c r="AB681" s="25" t="n">
        <v>60</v>
      </c>
      <c r="AC681" s="24" t="s">
        <v>8516</v>
      </c>
      <c r="AD681" s="24" t="s">
        <v>8517</v>
      </c>
      <c r="AE681" s="24" t="s">
        <v>8518</v>
      </c>
      <c r="AF681" s="24" t="s">
        <v>115</v>
      </c>
      <c r="AG681" s="24"/>
      <c r="AH681" s="24" t="s">
        <v>8503</v>
      </c>
      <c r="AI681" s="25" t="n">
        <f aca="false">COUNTIF($B$2:$B$740,B681)</f>
        <v>1</v>
      </c>
    </row>
    <row r="682" customFormat="false" ht="134.4" hidden="false" customHeight="true" outlineLevel="0" collapsed="false">
      <c r="A682" s="26" t="n">
        <v>681</v>
      </c>
      <c r="B682" s="27" t="s">
        <v>8519</v>
      </c>
      <c r="C682" s="24" t="s">
        <v>9</v>
      </c>
      <c r="D682" s="24" t="s">
        <v>96</v>
      </c>
      <c r="E682" s="24" t="s">
        <v>8487</v>
      </c>
      <c r="F682" s="24" t="s">
        <v>54</v>
      </c>
      <c r="G682" s="24" t="s">
        <v>1714</v>
      </c>
      <c r="H682" s="24" t="s">
        <v>8488</v>
      </c>
      <c r="I682" s="24" t="s">
        <v>54</v>
      </c>
      <c r="J682" s="24" t="s">
        <v>8520</v>
      </c>
      <c r="K682" s="24" t="s">
        <v>4560</v>
      </c>
      <c r="L682" s="24" t="s">
        <v>1183</v>
      </c>
      <c r="M682" s="24" t="s">
        <v>1195</v>
      </c>
      <c r="N682" s="24" t="s">
        <v>8521</v>
      </c>
      <c r="O682" s="24" t="s">
        <v>8522</v>
      </c>
      <c r="P682" s="24" t="s">
        <v>8523</v>
      </c>
      <c r="Q682" s="24" t="s">
        <v>8524</v>
      </c>
      <c r="R682" s="24" t="s">
        <v>8525</v>
      </c>
      <c r="S682" s="24" t="s">
        <v>8526</v>
      </c>
      <c r="T682" s="24" t="s">
        <v>8527</v>
      </c>
      <c r="U682" s="24"/>
      <c r="V682" s="24"/>
      <c r="W682" s="24"/>
      <c r="X682" s="24" t="s">
        <v>8528</v>
      </c>
      <c r="Y682" s="24"/>
      <c r="Z682" s="24"/>
      <c r="AA682" s="24"/>
      <c r="AB682" s="25" t="n">
        <v>110</v>
      </c>
      <c r="AC682" s="24" t="s">
        <v>8529</v>
      </c>
      <c r="AD682" s="24" t="s">
        <v>8530</v>
      </c>
      <c r="AE682" s="24" t="s">
        <v>8531</v>
      </c>
      <c r="AF682" s="24" t="s">
        <v>168</v>
      </c>
      <c r="AG682" s="24"/>
      <c r="AH682" s="24" t="s">
        <v>8532</v>
      </c>
      <c r="AI682" s="25" t="n">
        <f aca="false">COUNTIF($B$2:$B$740,B682)</f>
        <v>1</v>
      </c>
    </row>
    <row r="683" customFormat="false" ht="76" hidden="false" customHeight="true" outlineLevel="0" collapsed="false">
      <c r="A683" s="21" t="n">
        <v>682</v>
      </c>
      <c r="B683" s="22" t="s">
        <v>8533</v>
      </c>
      <c r="C683" s="23" t="s">
        <v>9</v>
      </c>
      <c r="D683" s="23" t="s">
        <v>96</v>
      </c>
      <c r="E683" s="23" t="s">
        <v>8487</v>
      </c>
      <c r="F683" s="24" t="s">
        <v>50</v>
      </c>
      <c r="G683" s="24" t="s">
        <v>1407</v>
      </c>
      <c r="H683" s="24" t="s">
        <v>8488</v>
      </c>
      <c r="I683" s="24" t="s">
        <v>50</v>
      </c>
      <c r="J683" s="24" t="s">
        <v>8534</v>
      </c>
      <c r="K683" s="24" t="s">
        <v>8535</v>
      </c>
      <c r="L683" s="24" t="s">
        <v>119</v>
      </c>
      <c r="M683" s="24" t="s">
        <v>8536</v>
      </c>
      <c r="N683" s="24" t="s">
        <v>8537</v>
      </c>
      <c r="O683" s="24" t="s">
        <v>8538</v>
      </c>
      <c r="P683" s="24" t="s">
        <v>8539</v>
      </c>
      <c r="Q683" s="24" t="s">
        <v>8540</v>
      </c>
      <c r="R683" s="24" t="s">
        <v>8541</v>
      </c>
      <c r="S683" s="24" t="s">
        <v>8542</v>
      </c>
      <c r="T683" s="24" t="s">
        <v>8543</v>
      </c>
      <c r="U683" s="24" t="s">
        <v>8544</v>
      </c>
      <c r="V683" s="24"/>
      <c r="W683" s="24"/>
      <c r="X683" s="24" t="s">
        <v>8545</v>
      </c>
      <c r="Y683" s="24" t="s">
        <v>8546</v>
      </c>
      <c r="Z683" s="24"/>
      <c r="AA683" s="24"/>
      <c r="AB683" s="25" t="n">
        <v>80</v>
      </c>
      <c r="AC683" s="24" t="s">
        <v>8547</v>
      </c>
      <c r="AD683" s="24" t="s">
        <v>8548</v>
      </c>
      <c r="AE683" s="24" t="s">
        <v>8549</v>
      </c>
      <c r="AF683" s="24" t="s">
        <v>168</v>
      </c>
      <c r="AG683" s="24"/>
      <c r="AH683" s="24" t="s">
        <v>941</v>
      </c>
      <c r="AI683" s="25" t="n">
        <f aca="false">COUNTIF($B$2:$B$740,B683)</f>
        <v>1</v>
      </c>
    </row>
    <row r="684" customFormat="false" ht="76" hidden="false" customHeight="true" outlineLevel="0" collapsed="false">
      <c r="A684" s="21" t="n">
        <v>683</v>
      </c>
      <c r="B684" s="22" t="s">
        <v>8550</v>
      </c>
      <c r="C684" s="23" t="s">
        <v>9</v>
      </c>
      <c r="D684" s="23" t="s">
        <v>96</v>
      </c>
      <c r="E684" s="23" t="s">
        <v>8487</v>
      </c>
      <c r="F684" s="24" t="s">
        <v>57</v>
      </c>
      <c r="G684" s="24" t="s">
        <v>57</v>
      </c>
      <c r="H684" s="24" t="s">
        <v>8488</v>
      </c>
      <c r="I684" s="24" t="s">
        <v>57</v>
      </c>
      <c r="J684" s="24" t="s">
        <v>8551</v>
      </c>
      <c r="K684" s="24" t="s">
        <v>8552</v>
      </c>
      <c r="L684" s="24" t="s">
        <v>103</v>
      </c>
      <c r="M684" s="24" t="s">
        <v>2083</v>
      </c>
      <c r="N684" s="24" t="s">
        <v>8553</v>
      </c>
      <c r="O684" s="24" t="s">
        <v>8554</v>
      </c>
      <c r="P684" s="24" t="s">
        <v>8555</v>
      </c>
      <c r="Q684" s="24" t="s">
        <v>8556</v>
      </c>
      <c r="R684" s="24" t="s">
        <v>8557</v>
      </c>
      <c r="S684" s="24" t="s">
        <v>8558</v>
      </c>
      <c r="T684" s="24" t="s">
        <v>8559</v>
      </c>
      <c r="U684" s="24"/>
      <c r="V684" s="24"/>
      <c r="W684" s="24"/>
      <c r="X684" s="24"/>
      <c r="Y684" s="24" t="s">
        <v>8560</v>
      </c>
      <c r="Z684" s="24"/>
      <c r="AA684" s="24"/>
      <c r="AB684" s="25" t="n">
        <v>60</v>
      </c>
      <c r="AC684" s="24" t="s">
        <v>8561</v>
      </c>
      <c r="AD684" s="24" t="s">
        <v>8562</v>
      </c>
      <c r="AE684" s="24" t="s">
        <v>8563</v>
      </c>
      <c r="AF684" s="24" t="s">
        <v>115</v>
      </c>
      <c r="AG684" s="24"/>
      <c r="AH684" s="24" t="s">
        <v>8503</v>
      </c>
      <c r="AI684" s="25" t="n">
        <f aca="false">COUNTIF($B$2:$B$740,B684)</f>
        <v>1</v>
      </c>
    </row>
    <row r="685" customFormat="false" ht="76" hidden="false" customHeight="true" outlineLevel="0" collapsed="false">
      <c r="A685" s="21" t="n">
        <v>684</v>
      </c>
      <c r="B685" s="22" t="s">
        <v>8564</v>
      </c>
      <c r="C685" s="23" t="s">
        <v>9</v>
      </c>
      <c r="D685" s="23" t="s">
        <v>96</v>
      </c>
      <c r="E685" s="23" t="s">
        <v>8487</v>
      </c>
      <c r="F685" s="24" t="s">
        <v>57</v>
      </c>
      <c r="G685" s="24" t="s">
        <v>57</v>
      </c>
      <c r="H685" s="24" t="s">
        <v>8488</v>
      </c>
      <c r="I685" s="24" t="s">
        <v>57</v>
      </c>
      <c r="J685" s="24" t="s">
        <v>8565</v>
      </c>
      <c r="K685" s="24" t="s">
        <v>8566</v>
      </c>
      <c r="L685" s="24" t="s">
        <v>103</v>
      </c>
      <c r="M685" s="24" t="s">
        <v>605</v>
      </c>
      <c r="N685" s="24" t="s">
        <v>8567</v>
      </c>
      <c r="O685" s="24" t="s">
        <v>8568</v>
      </c>
      <c r="P685" s="24" t="s">
        <v>8569</v>
      </c>
      <c r="Q685" s="24" t="s">
        <v>8570</v>
      </c>
      <c r="R685" s="24" t="s">
        <v>8571</v>
      </c>
      <c r="S685" s="24" t="s">
        <v>8572</v>
      </c>
      <c r="T685" s="24" t="s">
        <v>8573</v>
      </c>
      <c r="U685" s="24"/>
      <c r="V685" s="24"/>
      <c r="W685" s="24"/>
      <c r="X685" s="24" t="s">
        <v>8572</v>
      </c>
      <c r="Y685" s="24"/>
      <c r="Z685" s="24"/>
      <c r="AA685" s="24"/>
      <c r="AB685" s="25" t="n">
        <v>60</v>
      </c>
      <c r="AC685" s="24" t="s">
        <v>8574</v>
      </c>
      <c r="AD685" s="24" t="s">
        <v>8575</v>
      </c>
      <c r="AE685" s="24" t="s">
        <v>8576</v>
      </c>
      <c r="AF685" s="24" t="s">
        <v>115</v>
      </c>
      <c r="AG685" s="24"/>
      <c r="AH685" s="24" t="s">
        <v>8503</v>
      </c>
      <c r="AI685" s="25" t="n">
        <f aca="false">COUNTIF($B$2:$B$740,B685)</f>
        <v>1</v>
      </c>
    </row>
    <row r="686" customFormat="false" ht="76" hidden="false" customHeight="true" outlineLevel="0" collapsed="false">
      <c r="A686" s="21" t="n">
        <v>685</v>
      </c>
      <c r="B686" s="22" t="s">
        <v>8577</v>
      </c>
      <c r="C686" s="23" t="s">
        <v>9</v>
      </c>
      <c r="D686" s="23" t="s">
        <v>96</v>
      </c>
      <c r="E686" s="23" t="s">
        <v>8487</v>
      </c>
      <c r="F686" s="24" t="s">
        <v>54</v>
      </c>
      <c r="G686" s="24" t="s">
        <v>1714</v>
      </c>
      <c r="H686" s="24" t="s">
        <v>8488</v>
      </c>
      <c r="I686" s="24" t="s">
        <v>54</v>
      </c>
      <c r="J686" s="24" t="s">
        <v>8578</v>
      </c>
      <c r="K686" s="24" t="s">
        <v>4560</v>
      </c>
      <c r="L686" s="24" t="s">
        <v>1183</v>
      </c>
      <c r="M686" s="24" t="s">
        <v>1195</v>
      </c>
      <c r="N686" s="24" t="s">
        <v>8579</v>
      </c>
      <c r="O686" s="24" t="s">
        <v>8580</v>
      </c>
      <c r="P686" s="24" t="s">
        <v>8581</v>
      </c>
      <c r="Q686" s="24" t="s">
        <v>8582</v>
      </c>
      <c r="R686" s="24" t="s">
        <v>8583</v>
      </c>
      <c r="S686" s="24" t="s">
        <v>8584</v>
      </c>
      <c r="T686" s="24" t="s">
        <v>8585</v>
      </c>
      <c r="U686" s="24"/>
      <c r="V686" s="24"/>
      <c r="W686" s="24"/>
      <c r="X686" s="24" t="s">
        <v>8586</v>
      </c>
      <c r="Y686" s="24" t="s">
        <v>8587</v>
      </c>
      <c r="Z686" s="24"/>
      <c r="AA686" s="24" t="s">
        <v>8588</v>
      </c>
      <c r="AB686" s="25" t="n">
        <v>60</v>
      </c>
      <c r="AC686" s="24" t="s">
        <v>8589</v>
      </c>
      <c r="AD686" s="24" t="s">
        <v>8590</v>
      </c>
      <c r="AE686" s="24" t="s">
        <v>8591</v>
      </c>
      <c r="AF686" s="24" t="s">
        <v>115</v>
      </c>
      <c r="AG686" s="24"/>
      <c r="AH686" s="24" t="s">
        <v>8503</v>
      </c>
      <c r="AI686" s="25" t="n">
        <f aca="false">COUNTIF($B$2:$B$740,B686)</f>
        <v>1</v>
      </c>
    </row>
    <row r="687" customFormat="false" ht="76" hidden="false" customHeight="true" outlineLevel="0" collapsed="false">
      <c r="A687" s="21" t="n">
        <v>686</v>
      </c>
      <c r="B687" s="22" t="s">
        <v>8592</v>
      </c>
      <c r="C687" s="23" t="s">
        <v>9</v>
      </c>
      <c r="D687" s="23" t="s">
        <v>96</v>
      </c>
      <c r="E687" s="23" t="s">
        <v>8487</v>
      </c>
      <c r="F687" s="24" t="s">
        <v>58</v>
      </c>
      <c r="G687" s="24" t="s">
        <v>8593</v>
      </c>
      <c r="H687" s="24" t="s">
        <v>8488</v>
      </c>
      <c r="I687" s="24" t="s">
        <v>58</v>
      </c>
      <c r="J687" s="24" t="s">
        <v>8594</v>
      </c>
      <c r="K687" s="24" t="s">
        <v>8595</v>
      </c>
      <c r="L687" s="24" t="s">
        <v>119</v>
      </c>
      <c r="M687" s="24" t="s">
        <v>8596</v>
      </c>
      <c r="N687" s="24" t="s">
        <v>8597</v>
      </c>
      <c r="O687" s="24" t="s">
        <v>8598</v>
      </c>
      <c r="P687" s="24" t="s">
        <v>8599</v>
      </c>
      <c r="Q687" s="24" t="s">
        <v>8600</v>
      </c>
      <c r="R687" s="24" t="s">
        <v>8601</v>
      </c>
      <c r="S687" s="24" t="s">
        <v>8602</v>
      </c>
      <c r="T687" s="24" t="s">
        <v>8603</v>
      </c>
      <c r="U687" s="24"/>
      <c r="V687" s="24" t="s">
        <v>8604</v>
      </c>
      <c r="W687" s="24"/>
      <c r="X687" s="24"/>
      <c r="Y687" s="24"/>
      <c r="Z687" s="24"/>
      <c r="AA687" s="24"/>
      <c r="AB687" s="25" t="n">
        <v>80</v>
      </c>
      <c r="AC687" s="24" t="s">
        <v>8605</v>
      </c>
      <c r="AD687" s="24" t="s">
        <v>8606</v>
      </c>
      <c r="AE687" s="24" t="s">
        <v>8607</v>
      </c>
      <c r="AF687" s="24" t="s">
        <v>168</v>
      </c>
      <c r="AG687" s="24"/>
      <c r="AH687" s="24" t="s">
        <v>941</v>
      </c>
      <c r="AI687" s="25" t="n">
        <f aca="false">COUNTIF($B$2:$B$740,B687)</f>
        <v>1</v>
      </c>
    </row>
    <row r="688" customFormat="false" ht="57.6" hidden="false" customHeight="true" outlineLevel="0" collapsed="false">
      <c r="A688" s="26" t="n">
        <v>687</v>
      </c>
      <c r="B688" s="27" t="s">
        <v>8608</v>
      </c>
      <c r="C688" s="24" t="s">
        <v>9</v>
      </c>
      <c r="D688" s="24" t="s">
        <v>96</v>
      </c>
      <c r="E688" s="24" t="s">
        <v>8487</v>
      </c>
      <c r="F688" s="24" t="s">
        <v>58</v>
      </c>
      <c r="G688" s="24" t="s">
        <v>8593</v>
      </c>
      <c r="H688" s="24" t="s">
        <v>8488</v>
      </c>
      <c r="I688" s="24" t="s">
        <v>58</v>
      </c>
      <c r="J688" s="24" t="s">
        <v>8609</v>
      </c>
      <c r="K688" s="24" t="s">
        <v>8610</v>
      </c>
      <c r="L688" s="24" t="s">
        <v>103</v>
      </c>
      <c r="M688" s="24" t="s">
        <v>1292</v>
      </c>
      <c r="N688" s="24" t="s">
        <v>8611</v>
      </c>
      <c r="O688" s="24" t="s">
        <v>8612</v>
      </c>
      <c r="P688" s="24" t="s">
        <v>8613</v>
      </c>
      <c r="Q688" s="24" t="s">
        <v>8614</v>
      </c>
      <c r="R688" s="24" t="s">
        <v>8615</v>
      </c>
      <c r="S688" s="24" t="s">
        <v>8616</v>
      </c>
      <c r="T688" s="24" t="s">
        <v>8617</v>
      </c>
      <c r="U688" s="24" t="s">
        <v>8618</v>
      </c>
      <c r="V688" s="24"/>
      <c r="W688" s="24"/>
      <c r="X688" s="24"/>
      <c r="Y688" s="24" t="s">
        <v>8618</v>
      </c>
      <c r="Z688" s="24"/>
      <c r="AA688" s="24" t="s">
        <v>8619</v>
      </c>
      <c r="AB688" s="25" t="n">
        <v>80</v>
      </c>
      <c r="AC688" s="24" t="s">
        <v>8620</v>
      </c>
      <c r="AD688" s="24" t="s">
        <v>8621</v>
      </c>
      <c r="AE688" s="24" t="s">
        <v>8622</v>
      </c>
      <c r="AF688" s="24" t="s">
        <v>168</v>
      </c>
      <c r="AG688" s="24"/>
      <c r="AH688" s="24" t="s">
        <v>941</v>
      </c>
      <c r="AI688" s="25" t="n">
        <f aca="false">COUNTIF($B$2:$B$740,B688)</f>
        <v>1</v>
      </c>
    </row>
    <row r="689" customFormat="false" ht="92.4" hidden="false" customHeight="true" outlineLevel="0" collapsed="false">
      <c r="A689" s="28" t="n">
        <v>688</v>
      </c>
      <c r="B689" s="28" t="s">
        <v>8623</v>
      </c>
      <c r="C689" s="28" t="s">
        <v>9</v>
      </c>
      <c r="D689" s="28" t="s">
        <v>96</v>
      </c>
      <c r="E689" s="28" t="s">
        <v>8487</v>
      </c>
      <c r="F689" s="28" t="s">
        <v>52</v>
      </c>
      <c r="G689" s="28" t="s">
        <v>6636</v>
      </c>
      <c r="H689" s="28" t="s">
        <v>8624</v>
      </c>
      <c r="I689" s="28" t="s">
        <v>8625</v>
      </c>
      <c r="J689" s="28" t="s">
        <v>8626</v>
      </c>
      <c r="K689" s="28" t="s">
        <v>8627</v>
      </c>
      <c r="L689" s="28" t="s">
        <v>8628</v>
      </c>
      <c r="M689" s="28" t="s">
        <v>8629</v>
      </c>
      <c r="N689" s="28" t="s">
        <v>8630</v>
      </c>
      <c r="O689" s="28" t="s">
        <v>8631</v>
      </c>
      <c r="P689" s="28" t="s">
        <v>8632</v>
      </c>
      <c r="Q689" s="28" t="s">
        <v>8633</v>
      </c>
      <c r="R689" s="28" t="s">
        <v>8634</v>
      </c>
      <c r="S689" s="28" t="s">
        <v>8635</v>
      </c>
      <c r="T689" s="28" t="s">
        <v>8636</v>
      </c>
      <c r="U689" s="28" t="s">
        <v>8637</v>
      </c>
      <c r="V689" s="28" t="s">
        <v>8638</v>
      </c>
      <c r="W689" s="28" t="s">
        <v>8639</v>
      </c>
      <c r="X689" s="28" t="s">
        <v>8640</v>
      </c>
      <c r="Y689" s="28"/>
      <c r="Z689" s="28" t="s">
        <v>8641</v>
      </c>
      <c r="AA689" s="28" t="s">
        <v>8642</v>
      </c>
      <c r="AB689" s="28" t="n">
        <v>60</v>
      </c>
      <c r="AC689" s="28" t="s">
        <v>8643</v>
      </c>
      <c r="AD689" s="28"/>
      <c r="AE689" s="28" t="s">
        <v>8644</v>
      </c>
      <c r="AF689" s="28" t="s">
        <v>115</v>
      </c>
      <c r="AG689" s="28"/>
      <c r="AH689" s="28" t="s">
        <v>8645</v>
      </c>
      <c r="AI689" s="28" t="n">
        <f aca="false">COUNTIF($B$2:$B$740,B689)</f>
        <v>1</v>
      </c>
    </row>
    <row r="690" customFormat="false" ht="132" hidden="false" customHeight="true" outlineLevel="0" collapsed="false">
      <c r="A690" s="28" t="n">
        <v>689</v>
      </c>
      <c r="B690" s="28" t="s">
        <v>8646</v>
      </c>
      <c r="C690" s="28" t="s">
        <v>9</v>
      </c>
      <c r="D690" s="28" t="s">
        <v>96</v>
      </c>
      <c r="E690" s="28" t="s">
        <v>8487</v>
      </c>
      <c r="F690" s="28" t="s">
        <v>59</v>
      </c>
      <c r="G690" s="28" t="s">
        <v>98</v>
      </c>
      <c r="H690" s="28" t="s">
        <v>8624</v>
      </c>
      <c r="I690" s="28" t="s">
        <v>8647</v>
      </c>
      <c r="J690" s="28" t="s">
        <v>8648</v>
      </c>
      <c r="K690" s="28" t="s">
        <v>8649</v>
      </c>
      <c r="L690" s="28" t="s">
        <v>173</v>
      </c>
      <c r="M690" s="28" t="s">
        <v>8650</v>
      </c>
      <c r="N690" s="28" t="s">
        <v>8651</v>
      </c>
      <c r="O690" s="28" t="s">
        <v>8652</v>
      </c>
      <c r="P690" s="28" t="s">
        <v>8653</v>
      </c>
      <c r="Q690" s="28" t="s">
        <v>8654</v>
      </c>
      <c r="R690" s="28" t="s">
        <v>8655</v>
      </c>
      <c r="S690" s="28" t="s">
        <v>8656</v>
      </c>
      <c r="T690" s="28" t="s">
        <v>8657</v>
      </c>
      <c r="U690" s="28" t="s">
        <v>8637</v>
      </c>
      <c r="V690" s="28" t="s">
        <v>8638</v>
      </c>
      <c r="W690" s="28" t="s">
        <v>8658</v>
      </c>
      <c r="X690" s="28" t="s">
        <v>8659</v>
      </c>
      <c r="Y690" s="28"/>
      <c r="Z690" s="28"/>
      <c r="AA690" s="28" t="s">
        <v>8660</v>
      </c>
      <c r="AB690" s="28" t="n">
        <v>60</v>
      </c>
      <c r="AC690" s="28" t="s">
        <v>8643</v>
      </c>
      <c r="AD690" s="28"/>
      <c r="AE690" s="28" t="s">
        <v>8661</v>
      </c>
      <c r="AF690" s="28" t="s">
        <v>115</v>
      </c>
      <c r="AG690" s="28"/>
      <c r="AH690" s="28" t="s">
        <v>8645</v>
      </c>
      <c r="AI690" s="28" t="n">
        <f aca="false">COUNTIF($B$2:$B$740,B690)</f>
        <v>1</v>
      </c>
    </row>
    <row r="691" customFormat="false" ht="316.8" hidden="false" customHeight="true" outlineLevel="0" collapsed="false">
      <c r="A691" s="28" t="n">
        <v>690</v>
      </c>
      <c r="B691" s="28" t="s">
        <v>8662</v>
      </c>
      <c r="C691" s="28" t="s">
        <v>9</v>
      </c>
      <c r="D691" s="28" t="s">
        <v>96</v>
      </c>
      <c r="E691" s="28" t="s">
        <v>8487</v>
      </c>
      <c r="F691" s="28" t="s">
        <v>59</v>
      </c>
      <c r="G691" s="28" t="s">
        <v>98</v>
      </c>
      <c r="H691" s="28" t="s">
        <v>8624</v>
      </c>
      <c r="I691" s="28" t="s">
        <v>8647</v>
      </c>
      <c r="J691" s="28" t="s">
        <v>8663</v>
      </c>
      <c r="K691" s="28" t="s">
        <v>8664</v>
      </c>
      <c r="L691" s="28" t="s">
        <v>8665</v>
      </c>
      <c r="M691" s="28" t="s">
        <v>8666</v>
      </c>
      <c r="N691" s="28" t="s">
        <v>8667</v>
      </c>
      <c r="O691" s="28" t="s">
        <v>8668</v>
      </c>
      <c r="P691" s="28" t="s">
        <v>8669</v>
      </c>
      <c r="Q691" s="28" t="s">
        <v>8670</v>
      </c>
      <c r="R691" s="28" t="s">
        <v>8671</v>
      </c>
      <c r="S691" s="28" t="s">
        <v>8672</v>
      </c>
      <c r="T691" s="28" t="s">
        <v>8673</v>
      </c>
      <c r="U691" s="28" t="s">
        <v>8637</v>
      </c>
      <c r="V691" s="28" t="s">
        <v>8638</v>
      </c>
      <c r="W691" s="28" t="s">
        <v>8674</v>
      </c>
      <c r="X691" s="28" t="s">
        <v>8675</v>
      </c>
      <c r="Y691" s="28"/>
      <c r="Z691" s="28"/>
      <c r="AA691" s="28" t="s">
        <v>8676</v>
      </c>
      <c r="AB691" s="28" t="n">
        <v>60</v>
      </c>
      <c r="AC691" s="28" t="s">
        <v>8643</v>
      </c>
      <c r="AD691" s="28"/>
      <c r="AE691" s="28" t="s">
        <v>8677</v>
      </c>
      <c r="AF691" s="28" t="s">
        <v>115</v>
      </c>
      <c r="AG691" s="28"/>
      <c r="AH691" s="28" t="s">
        <v>8645</v>
      </c>
      <c r="AI691" s="28" t="n">
        <f aca="false">COUNTIF($B$2:$B$740,B691)</f>
        <v>1</v>
      </c>
    </row>
    <row r="692" customFormat="false" ht="132" hidden="false" customHeight="true" outlineLevel="0" collapsed="false">
      <c r="A692" s="28" t="n">
        <v>691</v>
      </c>
      <c r="B692" s="28" t="s">
        <v>8678</v>
      </c>
      <c r="C692" s="28" t="s">
        <v>9</v>
      </c>
      <c r="D692" s="28" t="s">
        <v>96</v>
      </c>
      <c r="E692" s="28" t="s">
        <v>8487</v>
      </c>
      <c r="F692" s="28" t="s">
        <v>59</v>
      </c>
      <c r="G692" s="28" t="s">
        <v>98</v>
      </c>
      <c r="H692" s="28" t="s">
        <v>8624</v>
      </c>
      <c r="I692" s="28" t="s">
        <v>8647</v>
      </c>
      <c r="J692" s="28" t="s">
        <v>8679</v>
      </c>
      <c r="K692" s="28" t="s">
        <v>8680</v>
      </c>
      <c r="L692" s="28" t="s">
        <v>173</v>
      </c>
      <c r="M692" s="28" t="s">
        <v>1292</v>
      </c>
      <c r="N692" s="28" t="s">
        <v>8681</v>
      </c>
      <c r="O692" s="28" t="s">
        <v>8682</v>
      </c>
      <c r="P692" s="28" t="s">
        <v>8683</v>
      </c>
      <c r="Q692" s="28" t="s">
        <v>8684</v>
      </c>
      <c r="R692" s="28" t="s">
        <v>8685</v>
      </c>
      <c r="S692" s="28" t="s">
        <v>8686</v>
      </c>
      <c r="T692" s="28" t="s">
        <v>8687</v>
      </c>
      <c r="U692" s="28" t="s">
        <v>8637</v>
      </c>
      <c r="V692" s="28" t="s">
        <v>8638</v>
      </c>
      <c r="W692" s="28"/>
      <c r="X692" s="28" t="s">
        <v>8688</v>
      </c>
      <c r="Y692" s="28"/>
      <c r="Z692" s="28" t="s">
        <v>8689</v>
      </c>
      <c r="AA692" s="28" t="s">
        <v>8690</v>
      </c>
      <c r="AB692" s="28" t="n">
        <v>60</v>
      </c>
      <c r="AC692" s="28" t="s">
        <v>8643</v>
      </c>
      <c r="AD692" s="28"/>
      <c r="AE692" s="28" t="s">
        <v>8691</v>
      </c>
      <c r="AF692" s="28" t="s">
        <v>115</v>
      </c>
      <c r="AG692" s="28"/>
      <c r="AH692" s="28" t="s">
        <v>8645</v>
      </c>
      <c r="AI692" s="28" t="n">
        <f aca="false">COUNTIF($B$2:$B$740,B692)</f>
        <v>1</v>
      </c>
    </row>
    <row r="693" customFormat="false" ht="118.8" hidden="false" customHeight="true" outlineLevel="0" collapsed="false">
      <c r="A693" s="28" t="n">
        <v>692</v>
      </c>
      <c r="B693" s="28" t="s">
        <v>8692</v>
      </c>
      <c r="C693" s="28" t="s">
        <v>9</v>
      </c>
      <c r="D693" s="28" t="s">
        <v>96</v>
      </c>
      <c r="E693" s="28" t="s">
        <v>8487</v>
      </c>
      <c r="F693" s="28" t="s">
        <v>54</v>
      </c>
      <c r="G693" s="28" t="s">
        <v>1714</v>
      </c>
      <c r="H693" s="28" t="s">
        <v>8624</v>
      </c>
      <c r="I693" s="28" t="s">
        <v>8693</v>
      </c>
      <c r="J693" s="28" t="s">
        <v>8694</v>
      </c>
      <c r="K693" s="28" t="s">
        <v>8695</v>
      </c>
      <c r="L693" s="28" t="s">
        <v>1183</v>
      </c>
      <c r="M693" s="28" t="s">
        <v>1195</v>
      </c>
      <c r="N693" s="28" t="s">
        <v>8696</v>
      </c>
      <c r="O693" s="28" t="s">
        <v>8697</v>
      </c>
      <c r="P693" s="28" t="s">
        <v>8698</v>
      </c>
      <c r="Q693" s="28" t="s">
        <v>8699</v>
      </c>
      <c r="R693" s="28" t="s">
        <v>8700</v>
      </c>
      <c r="S693" s="28" t="s">
        <v>8701</v>
      </c>
      <c r="T693" s="28" t="s">
        <v>8702</v>
      </c>
      <c r="U693" s="28" t="s">
        <v>8637</v>
      </c>
      <c r="V693" s="28" t="s">
        <v>8638</v>
      </c>
      <c r="W693" s="28"/>
      <c r="X693" s="28" t="s">
        <v>8703</v>
      </c>
      <c r="Y693" s="28"/>
      <c r="Z693" s="28" t="s">
        <v>8704</v>
      </c>
      <c r="AA693" s="28" t="s">
        <v>8705</v>
      </c>
      <c r="AB693" s="28" t="n">
        <v>60</v>
      </c>
      <c r="AC693" s="28" t="s">
        <v>8643</v>
      </c>
      <c r="AD693" s="28"/>
      <c r="AE693" s="28" t="s">
        <v>8706</v>
      </c>
      <c r="AF693" s="28" t="s">
        <v>115</v>
      </c>
      <c r="AG693" s="28"/>
      <c r="AH693" s="28" t="s">
        <v>8645</v>
      </c>
      <c r="AI693" s="28" t="n">
        <f aca="false">COUNTIF($B$2:$B$740,B693)</f>
        <v>1</v>
      </c>
    </row>
    <row r="694" customFormat="false" ht="145.2" hidden="false" customHeight="true" outlineLevel="0" collapsed="false">
      <c r="A694" s="28" t="n">
        <v>693</v>
      </c>
      <c r="B694" s="28" t="s">
        <v>8707</v>
      </c>
      <c r="C694" s="28" t="s">
        <v>9</v>
      </c>
      <c r="D694" s="28" t="s">
        <v>96</v>
      </c>
      <c r="E694" s="28" t="s">
        <v>8487</v>
      </c>
      <c r="F694" s="28" t="s">
        <v>54</v>
      </c>
      <c r="G694" s="28" t="s">
        <v>1714</v>
      </c>
      <c r="H694" s="28" t="s">
        <v>8624</v>
      </c>
      <c r="I694" s="28" t="s">
        <v>8693</v>
      </c>
      <c r="J694" s="28" t="s">
        <v>8708</v>
      </c>
      <c r="K694" s="28" t="s">
        <v>8709</v>
      </c>
      <c r="L694" s="28" t="s">
        <v>1183</v>
      </c>
      <c r="M694" s="28" t="s">
        <v>1195</v>
      </c>
      <c r="N694" s="28" t="s">
        <v>8710</v>
      </c>
      <c r="O694" s="28" t="s">
        <v>8711</v>
      </c>
      <c r="P694" s="28" t="s">
        <v>8712</v>
      </c>
      <c r="Q694" s="28" t="s">
        <v>8713</v>
      </c>
      <c r="R694" s="28" t="s">
        <v>8714</v>
      </c>
      <c r="S694" s="28" t="s">
        <v>8715</v>
      </c>
      <c r="T694" s="28" t="s">
        <v>8716</v>
      </c>
      <c r="U694" s="28" t="s">
        <v>8637</v>
      </c>
      <c r="V694" s="28" t="s">
        <v>8638</v>
      </c>
      <c r="W694" s="28" t="s">
        <v>8717</v>
      </c>
      <c r="X694" s="28" t="s">
        <v>8718</v>
      </c>
      <c r="Y694" s="28"/>
      <c r="Z694" s="28" t="s">
        <v>8719</v>
      </c>
      <c r="AA694" s="28" t="s">
        <v>8720</v>
      </c>
      <c r="AB694" s="28" t="n">
        <v>60</v>
      </c>
      <c r="AC694" s="28" t="s">
        <v>8643</v>
      </c>
      <c r="AD694" s="28"/>
      <c r="AE694" s="28" t="s">
        <v>8721</v>
      </c>
      <c r="AF694" s="28" t="s">
        <v>115</v>
      </c>
      <c r="AG694" s="28"/>
      <c r="AH694" s="28" t="s">
        <v>8645</v>
      </c>
      <c r="AI694" s="28" t="n">
        <f aca="false">COUNTIF($B$2:$B$740,B694)</f>
        <v>1</v>
      </c>
    </row>
    <row r="695" customFormat="false" ht="105.6" hidden="false" customHeight="true" outlineLevel="0" collapsed="false">
      <c r="A695" s="28" t="n">
        <v>694</v>
      </c>
      <c r="B695" s="28" t="s">
        <v>8722</v>
      </c>
      <c r="C695" s="28" t="s">
        <v>9</v>
      </c>
      <c r="D695" s="28" t="s">
        <v>96</v>
      </c>
      <c r="E695" s="28" t="s">
        <v>8487</v>
      </c>
      <c r="F695" s="28" t="s">
        <v>50</v>
      </c>
      <c r="G695" s="28" t="s">
        <v>1407</v>
      </c>
      <c r="H695" s="28" t="s">
        <v>8624</v>
      </c>
      <c r="I695" s="28" t="s">
        <v>8723</v>
      </c>
      <c r="J695" s="28" t="s">
        <v>8724</v>
      </c>
      <c r="K695" s="28" t="s">
        <v>8725</v>
      </c>
      <c r="L695" s="28" t="s">
        <v>8665</v>
      </c>
      <c r="M695" s="28" t="s">
        <v>8726</v>
      </c>
      <c r="N695" s="28" t="s">
        <v>8727</v>
      </c>
      <c r="O695" s="28" t="s">
        <v>8728</v>
      </c>
      <c r="P695" s="28" t="s">
        <v>8729</v>
      </c>
      <c r="Q695" s="28" t="s">
        <v>8730</v>
      </c>
      <c r="R695" s="28" t="s">
        <v>8731</v>
      </c>
      <c r="S695" s="28" t="s">
        <v>8732</v>
      </c>
      <c r="T695" s="28" t="s">
        <v>8733</v>
      </c>
      <c r="U695" s="28" t="s">
        <v>8637</v>
      </c>
      <c r="V695" s="28" t="s">
        <v>8638</v>
      </c>
      <c r="W695" s="28" t="s">
        <v>8734</v>
      </c>
      <c r="X695" s="28" t="s">
        <v>8735</v>
      </c>
      <c r="Y695" s="28"/>
      <c r="Z695" s="28"/>
      <c r="AA695" s="28" t="s">
        <v>8736</v>
      </c>
      <c r="AB695" s="28" t="n">
        <v>60</v>
      </c>
      <c r="AC695" s="28" t="s">
        <v>8643</v>
      </c>
      <c r="AD695" s="28"/>
      <c r="AE695" s="28" t="s">
        <v>8737</v>
      </c>
      <c r="AF695" s="28" t="s">
        <v>115</v>
      </c>
      <c r="AG695" s="28"/>
      <c r="AH695" s="28" t="s">
        <v>8645</v>
      </c>
      <c r="AI695" s="28" t="n">
        <f aca="false">COUNTIF($B$2:$B$740,B695)</f>
        <v>1</v>
      </c>
    </row>
    <row r="696" customFormat="false" ht="132" hidden="false" customHeight="true" outlineLevel="0" collapsed="false">
      <c r="A696" s="28" t="n">
        <v>695</v>
      </c>
      <c r="B696" s="28" t="s">
        <v>8738</v>
      </c>
      <c r="C696" s="28" t="s">
        <v>9</v>
      </c>
      <c r="D696" s="28" t="s">
        <v>96</v>
      </c>
      <c r="E696" s="28" t="s">
        <v>8487</v>
      </c>
      <c r="F696" s="28" t="s">
        <v>52</v>
      </c>
      <c r="G696" s="28" t="s">
        <v>6636</v>
      </c>
      <c r="H696" s="28" t="s">
        <v>8624</v>
      </c>
      <c r="I696" s="28" t="s">
        <v>8739</v>
      </c>
      <c r="J696" s="28" t="s">
        <v>8740</v>
      </c>
      <c r="K696" s="28" t="s">
        <v>8741</v>
      </c>
      <c r="L696" s="28" t="s">
        <v>8628</v>
      </c>
      <c r="M696" s="28" t="s">
        <v>8742</v>
      </c>
      <c r="N696" s="28" t="s">
        <v>8743</v>
      </c>
      <c r="O696" s="28" t="s">
        <v>8744</v>
      </c>
      <c r="P696" s="28" t="s">
        <v>8745</v>
      </c>
      <c r="Q696" s="28" t="s">
        <v>8746</v>
      </c>
      <c r="R696" s="28" t="s">
        <v>8747</v>
      </c>
      <c r="S696" s="28" t="s">
        <v>8748</v>
      </c>
      <c r="T696" s="28" t="s">
        <v>8749</v>
      </c>
      <c r="U696" s="28" t="s">
        <v>8637</v>
      </c>
      <c r="V696" s="28" t="s">
        <v>8638</v>
      </c>
      <c r="W696" s="28"/>
      <c r="X696" s="28" t="s">
        <v>8750</v>
      </c>
      <c r="Y696" s="28" t="s">
        <v>8751</v>
      </c>
      <c r="Z696" s="28" t="s">
        <v>8752</v>
      </c>
      <c r="AA696" s="28" t="s">
        <v>8753</v>
      </c>
      <c r="AB696" s="28" t="n">
        <v>60</v>
      </c>
      <c r="AC696" s="28" t="s">
        <v>8643</v>
      </c>
      <c r="AD696" s="28"/>
      <c r="AE696" s="28" t="s">
        <v>8754</v>
      </c>
      <c r="AF696" s="28" t="s">
        <v>115</v>
      </c>
      <c r="AG696" s="28"/>
      <c r="AH696" s="28" t="s">
        <v>8645</v>
      </c>
      <c r="AI696" s="28" t="n">
        <f aca="false">COUNTIF($B$2:$B$740,B696)</f>
        <v>1</v>
      </c>
    </row>
    <row r="697" customFormat="false" ht="66" hidden="false" customHeight="true" outlineLevel="0" collapsed="false">
      <c r="A697" s="28" t="n">
        <v>696</v>
      </c>
      <c r="B697" s="28" t="s">
        <v>8755</v>
      </c>
      <c r="C697" s="28" t="s">
        <v>9</v>
      </c>
      <c r="D697" s="28" t="s">
        <v>96</v>
      </c>
      <c r="E697" s="28" t="s">
        <v>8487</v>
      </c>
      <c r="F697" s="28" t="s">
        <v>53</v>
      </c>
      <c r="G697" s="28" t="s">
        <v>5159</v>
      </c>
      <c r="H697" s="28" t="s">
        <v>8624</v>
      </c>
      <c r="I697" s="28" t="s">
        <v>8756</v>
      </c>
      <c r="J697" s="28" t="s">
        <v>8757</v>
      </c>
      <c r="K697" s="28" t="s">
        <v>8758</v>
      </c>
      <c r="L697" s="28" t="s">
        <v>1183</v>
      </c>
      <c r="M697" s="28" t="s">
        <v>8759</v>
      </c>
      <c r="N697" s="28" t="s">
        <v>8760</v>
      </c>
      <c r="O697" s="28" t="s">
        <v>8761</v>
      </c>
      <c r="P697" s="28" t="s">
        <v>8762</v>
      </c>
      <c r="Q697" s="28" t="s">
        <v>8763</v>
      </c>
      <c r="R697" s="28" t="s">
        <v>8764</v>
      </c>
      <c r="S697" s="28" t="s">
        <v>8765</v>
      </c>
      <c r="T697" s="28" t="s">
        <v>8766</v>
      </c>
      <c r="U697" s="28" t="s">
        <v>8767</v>
      </c>
      <c r="V697" s="28" t="s">
        <v>8768</v>
      </c>
      <c r="W697" s="28"/>
      <c r="X697" s="28" t="s">
        <v>8769</v>
      </c>
      <c r="Y697" s="28"/>
      <c r="Z697" s="28" t="s">
        <v>8770</v>
      </c>
      <c r="AA697" s="28" t="s">
        <v>8771</v>
      </c>
      <c r="AB697" s="28" t="n">
        <v>80</v>
      </c>
      <c r="AC697" s="28" t="s">
        <v>8772</v>
      </c>
      <c r="AD697" s="28" t="s">
        <v>8773</v>
      </c>
      <c r="AE697" s="28" t="s">
        <v>8774</v>
      </c>
      <c r="AF697" s="28" t="s">
        <v>168</v>
      </c>
      <c r="AG697" s="28"/>
      <c r="AH697" s="28" t="s">
        <v>941</v>
      </c>
      <c r="AI697" s="28" t="n">
        <f aca="false">COUNTIF($B$2:$B$740,B697)</f>
        <v>1</v>
      </c>
    </row>
    <row r="698" customFormat="false" ht="66" hidden="false" customHeight="true" outlineLevel="0" collapsed="false">
      <c r="A698" s="28" t="n">
        <v>697</v>
      </c>
      <c r="B698" s="28" t="s">
        <v>4557</v>
      </c>
      <c r="C698" s="28" t="s">
        <v>9</v>
      </c>
      <c r="D698" s="28" t="s">
        <v>96</v>
      </c>
      <c r="E698" s="28" t="s">
        <v>8487</v>
      </c>
      <c r="F698" s="28" t="s">
        <v>53</v>
      </c>
      <c r="G698" s="28" t="s">
        <v>5159</v>
      </c>
      <c r="H698" s="28" t="s">
        <v>8624</v>
      </c>
      <c r="I698" s="28" t="s">
        <v>8756</v>
      </c>
      <c r="J698" s="28" t="s">
        <v>8775</v>
      </c>
      <c r="K698" s="28" t="s">
        <v>8776</v>
      </c>
      <c r="L698" s="28" t="s">
        <v>1183</v>
      </c>
      <c r="M698" s="28" t="s">
        <v>8777</v>
      </c>
      <c r="N698" s="28" t="s">
        <v>8778</v>
      </c>
      <c r="O698" s="28" t="s">
        <v>8779</v>
      </c>
      <c r="P698" s="28" t="s">
        <v>8780</v>
      </c>
      <c r="Q698" s="28" t="s">
        <v>8781</v>
      </c>
      <c r="R698" s="28" t="s">
        <v>8782</v>
      </c>
      <c r="S698" s="28" t="s">
        <v>8783</v>
      </c>
      <c r="T698" s="28" t="s">
        <v>8784</v>
      </c>
      <c r="U698" s="28" t="s">
        <v>8767</v>
      </c>
      <c r="V698" s="28" t="s">
        <v>8768</v>
      </c>
      <c r="W698" s="28"/>
      <c r="X698" s="28" t="s">
        <v>8785</v>
      </c>
      <c r="Y698" s="28"/>
      <c r="Z698" s="28" t="s">
        <v>8786</v>
      </c>
      <c r="AA698" s="28" t="s">
        <v>8787</v>
      </c>
      <c r="AB698" s="28" t="n">
        <v>70</v>
      </c>
      <c r="AC698" s="28" t="s">
        <v>8788</v>
      </c>
      <c r="AD698" s="28" t="s">
        <v>8789</v>
      </c>
      <c r="AE698" s="28" t="s">
        <v>8790</v>
      </c>
      <c r="AF698" s="28" t="s">
        <v>115</v>
      </c>
      <c r="AG698" s="28"/>
      <c r="AH698" s="28" t="s">
        <v>8791</v>
      </c>
      <c r="AI698" s="28" t="n">
        <f aca="false">COUNTIF($B$2:$B$740,B698)</f>
        <v>1</v>
      </c>
    </row>
    <row r="699" customFormat="false" ht="66" hidden="false" customHeight="true" outlineLevel="0" collapsed="false">
      <c r="A699" s="28" t="n">
        <v>698</v>
      </c>
      <c r="B699" s="28" t="s">
        <v>8792</v>
      </c>
      <c r="C699" s="28" t="s">
        <v>9</v>
      </c>
      <c r="D699" s="28" t="s">
        <v>96</v>
      </c>
      <c r="E699" s="28" t="s">
        <v>8487</v>
      </c>
      <c r="F699" s="28" t="s">
        <v>53</v>
      </c>
      <c r="G699" s="28" t="s">
        <v>5159</v>
      </c>
      <c r="H699" s="28" t="s">
        <v>8624</v>
      </c>
      <c r="I699" s="28" t="s">
        <v>8793</v>
      </c>
      <c r="J699" s="28" t="s">
        <v>8794</v>
      </c>
      <c r="K699" s="28" t="s">
        <v>8795</v>
      </c>
      <c r="L699" s="28" t="s">
        <v>1183</v>
      </c>
      <c r="M699" s="28" t="s">
        <v>8796</v>
      </c>
      <c r="N699" s="28" t="s">
        <v>8797</v>
      </c>
      <c r="O699" s="28" t="s">
        <v>8798</v>
      </c>
      <c r="P699" s="28" t="s">
        <v>8799</v>
      </c>
      <c r="Q699" s="28" t="s">
        <v>8800</v>
      </c>
      <c r="R699" s="28" t="s">
        <v>8801</v>
      </c>
      <c r="S699" s="28" t="s">
        <v>8802</v>
      </c>
      <c r="T699" s="28" t="s">
        <v>8803</v>
      </c>
      <c r="U699" s="28" t="s">
        <v>8767</v>
      </c>
      <c r="V699" s="28" t="s">
        <v>8768</v>
      </c>
      <c r="W699" s="28"/>
      <c r="X699" s="28" t="s">
        <v>8804</v>
      </c>
      <c r="Y699" s="28"/>
      <c r="Z699" s="28" t="s">
        <v>8805</v>
      </c>
      <c r="AA699" s="28" t="s">
        <v>8806</v>
      </c>
      <c r="AB699" s="28" t="n">
        <v>70</v>
      </c>
      <c r="AC699" s="28" t="s">
        <v>8788</v>
      </c>
      <c r="AD699" s="28" t="s">
        <v>8807</v>
      </c>
      <c r="AE699" s="28" t="s">
        <v>8808</v>
      </c>
      <c r="AF699" s="28" t="s">
        <v>115</v>
      </c>
      <c r="AG699" s="28"/>
      <c r="AH699" s="28" t="s">
        <v>8791</v>
      </c>
      <c r="AI699" s="28" t="n">
        <f aca="false">COUNTIF($B$2:$B$740,B699)</f>
        <v>1</v>
      </c>
    </row>
    <row r="700" customFormat="false" ht="92.4" hidden="false" customHeight="true" outlineLevel="0" collapsed="false">
      <c r="A700" s="28" t="n">
        <v>699</v>
      </c>
      <c r="B700" s="28" t="s">
        <v>8809</v>
      </c>
      <c r="C700" s="28" t="s">
        <v>9</v>
      </c>
      <c r="D700" s="28" t="s">
        <v>96</v>
      </c>
      <c r="E700" s="28" t="s">
        <v>8487</v>
      </c>
      <c r="F700" s="28" t="s">
        <v>53</v>
      </c>
      <c r="G700" s="28" t="s">
        <v>5159</v>
      </c>
      <c r="H700" s="28" t="s">
        <v>8624</v>
      </c>
      <c r="I700" s="28" t="s">
        <v>8793</v>
      </c>
      <c r="J700" s="28" t="s">
        <v>8810</v>
      </c>
      <c r="K700" s="28" t="s">
        <v>8811</v>
      </c>
      <c r="L700" s="28" t="s">
        <v>1183</v>
      </c>
      <c r="M700" s="28" t="s">
        <v>8812</v>
      </c>
      <c r="N700" s="28" t="s">
        <v>8813</v>
      </c>
      <c r="O700" s="28" t="s">
        <v>8814</v>
      </c>
      <c r="P700" s="28" t="s">
        <v>8815</v>
      </c>
      <c r="Q700" s="28" t="s">
        <v>8816</v>
      </c>
      <c r="R700" s="28" t="s">
        <v>8817</v>
      </c>
      <c r="S700" s="28" t="s">
        <v>8818</v>
      </c>
      <c r="T700" s="28" t="s">
        <v>8819</v>
      </c>
      <c r="U700" s="28" t="s">
        <v>8767</v>
      </c>
      <c r="V700" s="28" t="s">
        <v>8768</v>
      </c>
      <c r="W700" s="28"/>
      <c r="X700" s="28" t="s">
        <v>8820</v>
      </c>
      <c r="Y700" s="28"/>
      <c r="Z700" s="28" t="s">
        <v>8821</v>
      </c>
      <c r="AA700" s="28" t="s">
        <v>8822</v>
      </c>
      <c r="AB700" s="28" t="n">
        <v>70</v>
      </c>
      <c r="AC700" s="28" t="s">
        <v>8788</v>
      </c>
      <c r="AD700" s="28" t="s">
        <v>8823</v>
      </c>
      <c r="AE700" s="28" t="s">
        <v>8824</v>
      </c>
      <c r="AF700" s="28" t="s">
        <v>115</v>
      </c>
      <c r="AG700" s="28"/>
      <c r="AH700" s="28" t="s">
        <v>8791</v>
      </c>
      <c r="AI700" s="28" t="n">
        <f aca="false">COUNTIF($B$2:$B$740,B700)</f>
        <v>1</v>
      </c>
    </row>
    <row r="701" customFormat="false" ht="79.2" hidden="false" customHeight="true" outlineLevel="0" collapsed="false">
      <c r="A701" s="28" t="n">
        <v>700</v>
      </c>
      <c r="B701" s="28" t="s">
        <v>8825</v>
      </c>
      <c r="C701" s="28" t="s">
        <v>9</v>
      </c>
      <c r="D701" s="28" t="s">
        <v>96</v>
      </c>
      <c r="E701" s="28" t="s">
        <v>8487</v>
      </c>
      <c r="F701" s="28" t="s">
        <v>53</v>
      </c>
      <c r="G701" s="28" t="s">
        <v>5159</v>
      </c>
      <c r="H701" s="28" t="s">
        <v>8624</v>
      </c>
      <c r="I701" s="28" t="s">
        <v>8793</v>
      </c>
      <c r="J701" s="28" t="s">
        <v>8826</v>
      </c>
      <c r="K701" s="28" t="s">
        <v>8827</v>
      </c>
      <c r="L701" s="28" t="s">
        <v>1183</v>
      </c>
      <c r="M701" s="28" t="s">
        <v>8828</v>
      </c>
      <c r="N701" s="28" t="s">
        <v>8829</v>
      </c>
      <c r="O701" s="28" t="s">
        <v>8830</v>
      </c>
      <c r="P701" s="28" t="s">
        <v>8831</v>
      </c>
      <c r="Q701" s="28" t="s">
        <v>8832</v>
      </c>
      <c r="R701" s="28" t="s">
        <v>8833</v>
      </c>
      <c r="S701" s="28" t="s">
        <v>8834</v>
      </c>
      <c r="T701" s="28" t="s">
        <v>8835</v>
      </c>
      <c r="U701" s="28" t="s">
        <v>8767</v>
      </c>
      <c r="V701" s="28" t="s">
        <v>8768</v>
      </c>
      <c r="W701" s="28"/>
      <c r="X701" s="28" t="s">
        <v>8836</v>
      </c>
      <c r="Y701" s="28"/>
      <c r="Z701" s="28" t="s">
        <v>8837</v>
      </c>
      <c r="AA701" s="28" t="s">
        <v>8838</v>
      </c>
      <c r="AB701" s="28" t="n">
        <v>80</v>
      </c>
      <c r="AC701" s="28" t="s">
        <v>8772</v>
      </c>
      <c r="AD701" s="28" t="s">
        <v>8839</v>
      </c>
      <c r="AE701" s="28" t="s">
        <v>8840</v>
      </c>
      <c r="AF701" s="28" t="s">
        <v>168</v>
      </c>
      <c r="AG701" s="28"/>
      <c r="AH701" s="28" t="s">
        <v>941</v>
      </c>
      <c r="AI701" s="28" t="n">
        <f aca="false">COUNTIF($B$2:$B$740,B701)</f>
        <v>1</v>
      </c>
    </row>
    <row r="702" customFormat="false" ht="105.6" hidden="false" customHeight="true" outlineLevel="0" collapsed="false">
      <c r="A702" s="28" t="n">
        <v>701</v>
      </c>
      <c r="B702" s="28" t="s">
        <v>8841</v>
      </c>
      <c r="C702" s="28" t="s">
        <v>9</v>
      </c>
      <c r="D702" s="28" t="s">
        <v>96</v>
      </c>
      <c r="E702" s="28" t="s">
        <v>8487</v>
      </c>
      <c r="F702" s="28" t="s">
        <v>59</v>
      </c>
      <c r="G702" s="28" t="s">
        <v>98</v>
      </c>
      <c r="H702" s="28" t="s">
        <v>8624</v>
      </c>
      <c r="I702" s="28" t="s">
        <v>8842</v>
      </c>
      <c r="J702" s="28" t="s">
        <v>8843</v>
      </c>
      <c r="K702" s="28" t="s">
        <v>8844</v>
      </c>
      <c r="L702" s="28" t="s">
        <v>1183</v>
      </c>
      <c r="M702" s="28" t="s">
        <v>8845</v>
      </c>
      <c r="N702" s="28" t="s">
        <v>8846</v>
      </c>
      <c r="O702" s="28" t="s">
        <v>8847</v>
      </c>
      <c r="P702" s="28" t="s">
        <v>8848</v>
      </c>
      <c r="Q702" s="28" t="s">
        <v>8849</v>
      </c>
      <c r="R702" s="28" t="s">
        <v>8850</v>
      </c>
      <c r="S702" s="28" t="s">
        <v>8851</v>
      </c>
      <c r="T702" s="28" t="s">
        <v>8852</v>
      </c>
      <c r="U702" s="28" t="s">
        <v>8767</v>
      </c>
      <c r="V702" s="28" t="s">
        <v>8768</v>
      </c>
      <c r="W702" s="28"/>
      <c r="X702" s="28" t="s">
        <v>8853</v>
      </c>
      <c r="Y702" s="28"/>
      <c r="Z702" s="28" t="s">
        <v>8854</v>
      </c>
      <c r="AA702" s="28" t="s">
        <v>8855</v>
      </c>
      <c r="AB702" s="28" t="n">
        <v>100</v>
      </c>
      <c r="AC702" s="28" t="s">
        <v>8856</v>
      </c>
      <c r="AD702" s="28" t="s">
        <v>8857</v>
      </c>
      <c r="AE702" s="28" t="s">
        <v>8858</v>
      </c>
      <c r="AF702" s="28" t="s">
        <v>168</v>
      </c>
      <c r="AG702" s="28" t="s">
        <v>168</v>
      </c>
      <c r="AH702" s="28" t="s">
        <v>545</v>
      </c>
      <c r="AI702" s="28" t="n">
        <f aca="false">COUNTIF($B$2:$B$740,B702)</f>
        <v>1</v>
      </c>
    </row>
    <row r="703" customFormat="false" ht="52.8" hidden="false" customHeight="true" outlineLevel="0" collapsed="false">
      <c r="A703" s="28" t="n">
        <v>702</v>
      </c>
      <c r="B703" s="28" t="s">
        <v>8859</v>
      </c>
      <c r="C703" s="28" t="s">
        <v>9</v>
      </c>
      <c r="D703" s="28" t="s">
        <v>96</v>
      </c>
      <c r="E703" s="28" t="s">
        <v>8487</v>
      </c>
      <c r="F703" s="28" t="s">
        <v>59</v>
      </c>
      <c r="G703" s="28" t="s">
        <v>98</v>
      </c>
      <c r="H703" s="28" t="s">
        <v>8624</v>
      </c>
      <c r="I703" s="28" t="s">
        <v>8842</v>
      </c>
      <c r="J703" s="28" t="s">
        <v>8860</v>
      </c>
      <c r="K703" s="28" t="s">
        <v>8861</v>
      </c>
      <c r="L703" s="28" t="s">
        <v>1183</v>
      </c>
      <c r="M703" s="28" t="s">
        <v>8846</v>
      </c>
      <c r="N703" s="28" t="s">
        <v>8862</v>
      </c>
      <c r="O703" s="28" t="s">
        <v>8863</v>
      </c>
      <c r="P703" s="28" t="s">
        <v>8864</v>
      </c>
      <c r="Q703" s="28" t="s">
        <v>8865</v>
      </c>
      <c r="R703" s="28" t="s">
        <v>8866</v>
      </c>
      <c r="S703" s="28" t="s">
        <v>8867</v>
      </c>
      <c r="T703" s="28" t="s">
        <v>8868</v>
      </c>
      <c r="U703" s="28" t="s">
        <v>8767</v>
      </c>
      <c r="V703" s="28" t="s">
        <v>8768</v>
      </c>
      <c r="W703" s="28" t="s">
        <v>8869</v>
      </c>
      <c r="X703" s="28" t="s">
        <v>8870</v>
      </c>
      <c r="Y703" s="28"/>
      <c r="Z703" s="28" t="s">
        <v>8871</v>
      </c>
      <c r="AA703" s="28" t="s">
        <v>8872</v>
      </c>
      <c r="AB703" s="28" t="n">
        <v>70</v>
      </c>
      <c r="AC703" s="28" t="s">
        <v>8788</v>
      </c>
      <c r="AD703" s="28" t="s">
        <v>8873</v>
      </c>
      <c r="AE703" s="28" t="s">
        <v>8874</v>
      </c>
      <c r="AF703" s="28" t="s">
        <v>115</v>
      </c>
      <c r="AG703" s="28"/>
      <c r="AH703" s="28" t="s">
        <v>8791</v>
      </c>
      <c r="AI703" s="28" t="n">
        <f aca="false">COUNTIF($B$2:$B$740,B703)</f>
        <v>1</v>
      </c>
    </row>
    <row r="704" customFormat="false" ht="92.4" hidden="false" customHeight="true" outlineLevel="0" collapsed="false">
      <c r="A704" s="28" t="n">
        <v>703</v>
      </c>
      <c r="B704" s="28" t="s">
        <v>8875</v>
      </c>
      <c r="C704" s="28" t="s">
        <v>9</v>
      </c>
      <c r="D704" s="28" t="s">
        <v>96</v>
      </c>
      <c r="E704" s="28" t="s">
        <v>8487</v>
      </c>
      <c r="F704" s="28" t="s">
        <v>54</v>
      </c>
      <c r="G704" s="28" t="s">
        <v>1714</v>
      </c>
      <c r="H704" s="28" t="s">
        <v>8624</v>
      </c>
      <c r="I704" s="28" t="s">
        <v>8842</v>
      </c>
      <c r="J704" s="28" t="s">
        <v>8876</v>
      </c>
      <c r="K704" s="28" t="s">
        <v>8877</v>
      </c>
      <c r="L704" s="28" t="s">
        <v>1183</v>
      </c>
      <c r="M704" s="28" t="s">
        <v>8878</v>
      </c>
      <c r="N704" s="28" t="s">
        <v>8879</v>
      </c>
      <c r="O704" s="28" t="s">
        <v>8880</v>
      </c>
      <c r="P704" s="28" t="s">
        <v>8881</v>
      </c>
      <c r="Q704" s="28" t="s">
        <v>8882</v>
      </c>
      <c r="R704" s="28" t="s">
        <v>8883</v>
      </c>
      <c r="S704" s="28" t="s">
        <v>8884</v>
      </c>
      <c r="T704" s="28" t="s">
        <v>8885</v>
      </c>
      <c r="U704" s="28" t="s">
        <v>8767</v>
      </c>
      <c r="V704" s="28" t="s">
        <v>8768</v>
      </c>
      <c r="W704" s="28"/>
      <c r="X704" s="28" t="s">
        <v>8886</v>
      </c>
      <c r="Y704" s="28"/>
      <c r="Z704" s="28" t="s">
        <v>8887</v>
      </c>
      <c r="AA704" s="28" t="s">
        <v>8888</v>
      </c>
      <c r="AB704" s="28" t="n">
        <v>100</v>
      </c>
      <c r="AC704" s="28" t="s">
        <v>8856</v>
      </c>
      <c r="AD704" s="28" t="s">
        <v>8889</v>
      </c>
      <c r="AE704" s="28" t="s">
        <v>8890</v>
      </c>
      <c r="AF704" s="28" t="s">
        <v>168</v>
      </c>
      <c r="AG704" s="28" t="s">
        <v>168</v>
      </c>
      <c r="AH704" s="28" t="s">
        <v>545</v>
      </c>
      <c r="AI704" s="28" t="n">
        <f aca="false">COUNTIF($B$2:$B$740,B704)</f>
        <v>1</v>
      </c>
    </row>
    <row r="705" customFormat="false" ht="145.2" hidden="false" customHeight="true" outlineLevel="0" collapsed="false">
      <c r="A705" s="28" t="n">
        <v>704</v>
      </c>
      <c r="B705" s="28" t="s">
        <v>8891</v>
      </c>
      <c r="C705" s="28" t="s">
        <v>9</v>
      </c>
      <c r="D705" s="28" t="s">
        <v>96</v>
      </c>
      <c r="E705" s="28" t="s">
        <v>8487</v>
      </c>
      <c r="F705" s="28" t="s">
        <v>54</v>
      </c>
      <c r="G705" s="28" t="s">
        <v>1714</v>
      </c>
      <c r="H705" s="28" t="s">
        <v>8624</v>
      </c>
      <c r="I705" s="28" t="s">
        <v>8892</v>
      </c>
      <c r="J705" s="28" t="s">
        <v>8893</v>
      </c>
      <c r="K705" s="28" t="s">
        <v>8894</v>
      </c>
      <c r="L705" s="28" t="s">
        <v>1183</v>
      </c>
      <c r="M705" s="28" t="s">
        <v>8895</v>
      </c>
      <c r="N705" s="28" t="s">
        <v>8896</v>
      </c>
      <c r="O705" s="28" t="s">
        <v>8897</v>
      </c>
      <c r="P705" s="28" t="s">
        <v>8898</v>
      </c>
      <c r="Q705" s="28" t="s">
        <v>8899</v>
      </c>
      <c r="R705" s="28" t="s">
        <v>8900</v>
      </c>
      <c r="S705" s="28" t="s">
        <v>8901</v>
      </c>
      <c r="T705" s="28" t="s">
        <v>8902</v>
      </c>
      <c r="U705" s="28" t="s">
        <v>8767</v>
      </c>
      <c r="V705" s="28" t="s">
        <v>8768</v>
      </c>
      <c r="W705" s="28"/>
      <c r="X705" s="28" t="s">
        <v>8903</v>
      </c>
      <c r="Y705" s="28"/>
      <c r="Z705" s="28" t="s">
        <v>8904</v>
      </c>
      <c r="AA705" s="28" t="s">
        <v>8905</v>
      </c>
      <c r="AB705" s="28" t="n">
        <v>70</v>
      </c>
      <c r="AC705" s="28" t="s">
        <v>8788</v>
      </c>
      <c r="AD705" s="28" t="s">
        <v>8906</v>
      </c>
      <c r="AE705" s="28" t="s">
        <v>8907</v>
      </c>
      <c r="AF705" s="28" t="s">
        <v>115</v>
      </c>
      <c r="AG705" s="28"/>
      <c r="AH705" s="28" t="s">
        <v>8791</v>
      </c>
      <c r="AI705" s="28" t="n">
        <f aca="false">COUNTIF($B$2:$B$740,B705)</f>
        <v>1</v>
      </c>
    </row>
    <row r="706" customFormat="false" ht="66" hidden="false" customHeight="true" outlineLevel="0" collapsed="false">
      <c r="A706" s="28" t="n">
        <v>705</v>
      </c>
      <c r="B706" s="28" t="s">
        <v>8908</v>
      </c>
      <c r="C706" s="28" t="s">
        <v>9</v>
      </c>
      <c r="D706" s="28" t="s">
        <v>96</v>
      </c>
      <c r="E706" s="28" t="s">
        <v>8487</v>
      </c>
      <c r="F706" s="28" t="s">
        <v>54</v>
      </c>
      <c r="G706" s="28" t="s">
        <v>1714</v>
      </c>
      <c r="H706" s="28" t="s">
        <v>8624</v>
      </c>
      <c r="I706" s="28" t="s">
        <v>8892</v>
      </c>
      <c r="J706" s="28" t="s">
        <v>8909</v>
      </c>
      <c r="K706" s="28" t="s">
        <v>8910</v>
      </c>
      <c r="L706" s="28" t="s">
        <v>1183</v>
      </c>
      <c r="M706" s="28" t="s">
        <v>8895</v>
      </c>
      <c r="N706" s="28" t="s">
        <v>8911</v>
      </c>
      <c r="O706" s="28" t="s">
        <v>8912</v>
      </c>
      <c r="P706" s="28" t="s">
        <v>8913</v>
      </c>
      <c r="Q706" s="28" t="s">
        <v>8914</v>
      </c>
      <c r="R706" s="28" t="s">
        <v>8915</v>
      </c>
      <c r="S706" s="28" t="s">
        <v>8916</v>
      </c>
      <c r="T706" s="28" t="s">
        <v>8917</v>
      </c>
      <c r="U706" s="28" t="s">
        <v>8767</v>
      </c>
      <c r="V706" s="28" t="s">
        <v>8768</v>
      </c>
      <c r="W706" s="28" t="s">
        <v>8918</v>
      </c>
      <c r="X706" s="28" t="s">
        <v>8870</v>
      </c>
      <c r="Y706" s="28"/>
      <c r="Z706" s="28" t="s">
        <v>8919</v>
      </c>
      <c r="AA706" s="28" t="s">
        <v>8920</v>
      </c>
      <c r="AB706" s="28" t="n">
        <v>70</v>
      </c>
      <c r="AC706" s="28" t="s">
        <v>8788</v>
      </c>
      <c r="AD706" s="28" t="s">
        <v>8921</v>
      </c>
      <c r="AE706" s="28" t="s">
        <v>8922</v>
      </c>
      <c r="AF706" s="28" t="s">
        <v>115</v>
      </c>
      <c r="AG706" s="28"/>
      <c r="AH706" s="28" t="s">
        <v>8791</v>
      </c>
      <c r="AI706" s="28" t="n">
        <f aca="false">COUNTIF($B$2:$B$740,B706)</f>
        <v>1</v>
      </c>
    </row>
    <row r="707" customFormat="false" ht="66" hidden="false" customHeight="true" outlineLevel="0" collapsed="false">
      <c r="A707" s="28" t="n">
        <v>706</v>
      </c>
      <c r="B707" s="28" t="s">
        <v>4291</v>
      </c>
      <c r="C707" s="28" t="s">
        <v>9</v>
      </c>
      <c r="D707" s="28" t="s">
        <v>96</v>
      </c>
      <c r="E707" s="28" t="s">
        <v>8487</v>
      </c>
      <c r="F707" s="28" t="s">
        <v>54</v>
      </c>
      <c r="G707" s="28" t="s">
        <v>1714</v>
      </c>
      <c r="H707" s="28" t="s">
        <v>8624</v>
      </c>
      <c r="I707" s="28" t="s">
        <v>8892</v>
      </c>
      <c r="J707" s="28" t="s">
        <v>8923</v>
      </c>
      <c r="K707" s="28" t="s">
        <v>8924</v>
      </c>
      <c r="L707" s="28" t="s">
        <v>1183</v>
      </c>
      <c r="M707" s="28" t="s">
        <v>8925</v>
      </c>
      <c r="N707" s="28" t="s">
        <v>8926</v>
      </c>
      <c r="O707" s="28" t="s">
        <v>8927</v>
      </c>
      <c r="P707" s="28" t="s">
        <v>8928</v>
      </c>
      <c r="Q707" s="28" t="s">
        <v>8929</v>
      </c>
      <c r="R707" s="28" t="s">
        <v>8930</v>
      </c>
      <c r="S707" s="28" t="s">
        <v>8931</v>
      </c>
      <c r="T707" s="28" t="s">
        <v>8932</v>
      </c>
      <c r="U707" s="28" t="s">
        <v>8767</v>
      </c>
      <c r="V707" s="28" t="s">
        <v>8768</v>
      </c>
      <c r="W707" s="28" t="s">
        <v>8933</v>
      </c>
      <c r="X707" s="28" t="s">
        <v>8934</v>
      </c>
      <c r="Y707" s="28"/>
      <c r="Z707" s="28" t="s">
        <v>8935</v>
      </c>
      <c r="AA707" s="28" t="s">
        <v>8936</v>
      </c>
      <c r="AB707" s="28" t="n">
        <v>70</v>
      </c>
      <c r="AC707" s="28" t="s">
        <v>8788</v>
      </c>
      <c r="AD707" s="28" t="s">
        <v>8937</v>
      </c>
      <c r="AE707" s="28" t="s">
        <v>8938</v>
      </c>
      <c r="AF707" s="28" t="s">
        <v>115</v>
      </c>
      <c r="AG707" s="28"/>
      <c r="AH707" s="28" t="s">
        <v>8791</v>
      </c>
      <c r="AI707" s="28" t="n">
        <f aca="false">COUNTIF($B$2:$B$740,B707)</f>
        <v>1</v>
      </c>
    </row>
    <row r="708" customFormat="false" ht="92.4" hidden="false" customHeight="true" outlineLevel="0" collapsed="false">
      <c r="A708" s="28" t="n">
        <v>707</v>
      </c>
      <c r="B708" s="28" t="s">
        <v>8939</v>
      </c>
      <c r="C708" s="28" t="s">
        <v>9</v>
      </c>
      <c r="D708" s="28" t="s">
        <v>96</v>
      </c>
      <c r="E708" s="28" t="s">
        <v>8487</v>
      </c>
      <c r="F708" s="28" t="s">
        <v>54</v>
      </c>
      <c r="G708" s="28" t="s">
        <v>1714</v>
      </c>
      <c r="H708" s="28" t="s">
        <v>8624</v>
      </c>
      <c r="I708" s="28" t="s">
        <v>8892</v>
      </c>
      <c r="J708" s="28" t="s">
        <v>8940</v>
      </c>
      <c r="K708" s="28" t="s">
        <v>8941</v>
      </c>
      <c r="L708" s="28" t="s">
        <v>1183</v>
      </c>
      <c r="M708" s="28" t="s">
        <v>8942</v>
      </c>
      <c r="N708" s="28" t="s">
        <v>8943</v>
      </c>
      <c r="O708" s="28" t="s">
        <v>8944</v>
      </c>
      <c r="P708" s="28" t="s">
        <v>8945</v>
      </c>
      <c r="Q708" s="28" t="s">
        <v>8946</v>
      </c>
      <c r="R708" s="28" t="s">
        <v>8947</v>
      </c>
      <c r="S708" s="28" t="s">
        <v>8948</v>
      </c>
      <c r="T708" s="28" t="s">
        <v>8949</v>
      </c>
      <c r="U708" s="28" t="s">
        <v>8767</v>
      </c>
      <c r="V708" s="28" t="s">
        <v>8768</v>
      </c>
      <c r="W708" s="28" t="s">
        <v>8950</v>
      </c>
      <c r="X708" s="28" t="s">
        <v>8951</v>
      </c>
      <c r="Y708" s="28"/>
      <c r="Z708" s="28" t="s">
        <v>8952</v>
      </c>
      <c r="AA708" s="28" t="s">
        <v>8953</v>
      </c>
      <c r="AB708" s="28" t="n">
        <v>70</v>
      </c>
      <c r="AC708" s="28" t="s">
        <v>8788</v>
      </c>
      <c r="AD708" s="28" t="s">
        <v>8954</v>
      </c>
      <c r="AE708" s="28" t="s">
        <v>8955</v>
      </c>
      <c r="AF708" s="28" t="s">
        <v>115</v>
      </c>
      <c r="AG708" s="28"/>
      <c r="AH708" s="28" t="s">
        <v>8791</v>
      </c>
      <c r="AI708" s="28" t="n">
        <f aca="false">COUNTIF($B$2:$B$740,B708)</f>
        <v>1</v>
      </c>
    </row>
    <row r="709" customFormat="false" ht="105.6" hidden="false" customHeight="true" outlineLevel="0" collapsed="false">
      <c r="A709" s="28" t="n">
        <v>708</v>
      </c>
      <c r="B709" s="28" t="s">
        <v>1551</v>
      </c>
      <c r="C709" s="28" t="s">
        <v>9</v>
      </c>
      <c r="D709" s="28" t="s">
        <v>96</v>
      </c>
      <c r="E709" s="28" t="s">
        <v>8487</v>
      </c>
      <c r="F709" s="28" t="s">
        <v>57</v>
      </c>
      <c r="G709" s="28" t="s">
        <v>57</v>
      </c>
      <c r="H709" s="28" t="s">
        <v>8624</v>
      </c>
      <c r="I709" s="28" t="s">
        <v>8956</v>
      </c>
      <c r="J709" s="28" t="s">
        <v>8957</v>
      </c>
      <c r="K709" s="28" t="s">
        <v>8958</v>
      </c>
      <c r="L709" s="28" t="s">
        <v>1183</v>
      </c>
      <c r="M709" s="28" t="s">
        <v>8895</v>
      </c>
      <c r="N709" s="28" t="s">
        <v>8959</v>
      </c>
      <c r="O709" s="28" t="s">
        <v>8960</v>
      </c>
      <c r="P709" s="28" t="s">
        <v>8961</v>
      </c>
      <c r="Q709" s="28" t="s">
        <v>8962</v>
      </c>
      <c r="R709" s="28" t="s">
        <v>8963</v>
      </c>
      <c r="S709" s="28" t="s">
        <v>8964</v>
      </c>
      <c r="T709" s="28" t="s">
        <v>8965</v>
      </c>
      <c r="U709" s="28" t="s">
        <v>8767</v>
      </c>
      <c r="V709" s="28" t="s">
        <v>8768</v>
      </c>
      <c r="W709" s="28"/>
      <c r="X709" s="28" t="s">
        <v>8966</v>
      </c>
      <c r="Y709" s="28"/>
      <c r="Z709" s="28" t="s">
        <v>8967</v>
      </c>
      <c r="AA709" s="28" t="s">
        <v>8968</v>
      </c>
      <c r="AB709" s="28" t="n">
        <v>100</v>
      </c>
      <c r="AC709" s="28" t="s">
        <v>8856</v>
      </c>
      <c r="AD709" s="28" t="s">
        <v>8969</v>
      </c>
      <c r="AE709" s="28" t="s">
        <v>8970</v>
      </c>
      <c r="AF709" s="28" t="s">
        <v>168</v>
      </c>
      <c r="AG709" s="28" t="s">
        <v>168</v>
      </c>
      <c r="AH709" s="28" t="s">
        <v>545</v>
      </c>
      <c r="AI709" s="28" t="n">
        <f aca="false">COUNTIF($B$2:$B$740,B709)</f>
        <v>1</v>
      </c>
    </row>
    <row r="710" customFormat="false" ht="92.4" hidden="false" customHeight="true" outlineLevel="0" collapsed="false">
      <c r="A710" s="28" t="n">
        <v>709</v>
      </c>
      <c r="B710" s="28" t="s">
        <v>8971</v>
      </c>
      <c r="C710" s="28" t="s">
        <v>9</v>
      </c>
      <c r="D710" s="28" t="s">
        <v>96</v>
      </c>
      <c r="E710" s="28" t="s">
        <v>8487</v>
      </c>
      <c r="F710" s="28" t="s">
        <v>57</v>
      </c>
      <c r="G710" s="28" t="s">
        <v>57</v>
      </c>
      <c r="H710" s="28" t="s">
        <v>8624</v>
      </c>
      <c r="I710" s="28" t="s">
        <v>8956</v>
      </c>
      <c r="J710" s="28" t="s">
        <v>8972</v>
      </c>
      <c r="K710" s="28" t="s">
        <v>8973</v>
      </c>
      <c r="L710" s="28" t="s">
        <v>8665</v>
      </c>
      <c r="M710" s="28" t="s">
        <v>8974</v>
      </c>
      <c r="N710" s="28" t="s">
        <v>8975</v>
      </c>
      <c r="O710" s="28" t="s">
        <v>8976</v>
      </c>
      <c r="P710" s="28" t="s">
        <v>8977</v>
      </c>
      <c r="Q710" s="28" t="s">
        <v>8978</v>
      </c>
      <c r="R710" s="28" t="s">
        <v>8979</v>
      </c>
      <c r="S710" s="28" t="s">
        <v>8980</v>
      </c>
      <c r="T710" s="28" t="s">
        <v>8981</v>
      </c>
      <c r="U710" s="28" t="s">
        <v>8767</v>
      </c>
      <c r="V710" s="28" t="s">
        <v>8768</v>
      </c>
      <c r="W710" s="28"/>
      <c r="X710" s="28" t="s">
        <v>8982</v>
      </c>
      <c r="Y710" s="28"/>
      <c r="Z710" s="28" t="s">
        <v>8983</v>
      </c>
      <c r="AA710" s="28" t="s">
        <v>8984</v>
      </c>
      <c r="AB710" s="28" t="n">
        <v>80</v>
      </c>
      <c r="AC710" s="28" t="s">
        <v>8772</v>
      </c>
      <c r="AD710" s="28" t="s">
        <v>8985</v>
      </c>
      <c r="AE710" s="28" t="s">
        <v>8986</v>
      </c>
      <c r="AF710" s="28" t="s">
        <v>168</v>
      </c>
      <c r="AG710" s="28"/>
      <c r="AH710" s="28" t="s">
        <v>941</v>
      </c>
      <c r="AI710" s="28" t="n">
        <f aca="false">COUNTIF($B$2:$B$740,B710)</f>
        <v>1</v>
      </c>
    </row>
    <row r="711" customFormat="false" ht="79.2" hidden="false" customHeight="true" outlineLevel="0" collapsed="false">
      <c r="A711" s="28" t="n">
        <v>710</v>
      </c>
      <c r="B711" s="28" t="s">
        <v>8987</v>
      </c>
      <c r="C711" s="28" t="s">
        <v>9</v>
      </c>
      <c r="D711" s="28" t="s">
        <v>96</v>
      </c>
      <c r="E711" s="28" t="s">
        <v>8487</v>
      </c>
      <c r="F711" s="28" t="s">
        <v>54</v>
      </c>
      <c r="G711" s="28" t="s">
        <v>1714</v>
      </c>
      <c r="H711" s="28" t="s">
        <v>8624</v>
      </c>
      <c r="I711" s="28" t="s">
        <v>8988</v>
      </c>
      <c r="J711" s="28" t="s">
        <v>8989</v>
      </c>
      <c r="K711" s="28" t="s">
        <v>8990</v>
      </c>
      <c r="L711" s="28" t="s">
        <v>1183</v>
      </c>
      <c r="M711" s="28" t="s">
        <v>8991</v>
      </c>
      <c r="N711" s="28" t="s">
        <v>8992</v>
      </c>
      <c r="O711" s="28" t="s">
        <v>8993</v>
      </c>
      <c r="P711" s="28" t="s">
        <v>8994</v>
      </c>
      <c r="Q711" s="28" t="s">
        <v>8995</v>
      </c>
      <c r="R711" s="28" t="s">
        <v>8996</v>
      </c>
      <c r="S711" s="28" t="s">
        <v>8997</v>
      </c>
      <c r="T711" s="28" t="s">
        <v>8998</v>
      </c>
      <c r="U711" s="28" t="s">
        <v>8767</v>
      </c>
      <c r="V711" s="28" t="s">
        <v>8768</v>
      </c>
      <c r="W711" s="28" t="s">
        <v>8999</v>
      </c>
      <c r="X711" s="28" t="s">
        <v>9000</v>
      </c>
      <c r="Y711" s="28"/>
      <c r="Z711" s="28" t="s">
        <v>9001</v>
      </c>
      <c r="AA711" s="28" t="s">
        <v>9002</v>
      </c>
      <c r="AB711" s="28" t="n">
        <v>70</v>
      </c>
      <c r="AC711" s="28" t="s">
        <v>8788</v>
      </c>
      <c r="AD711" s="28" t="s">
        <v>9003</v>
      </c>
      <c r="AE711" s="28" t="s">
        <v>9004</v>
      </c>
      <c r="AF711" s="28" t="s">
        <v>115</v>
      </c>
      <c r="AG711" s="28"/>
      <c r="AH711" s="28" t="s">
        <v>8791</v>
      </c>
      <c r="AI711" s="28" t="n">
        <f aca="false">COUNTIF($B$2:$B$740,B711)</f>
        <v>1</v>
      </c>
    </row>
    <row r="712" customFormat="false" ht="79.2" hidden="false" customHeight="true" outlineLevel="0" collapsed="false">
      <c r="A712" s="28" t="n">
        <v>711</v>
      </c>
      <c r="B712" s="28" t="s">
        <v>9005</v>
      </c>
      <c r="C712" s="28" t="s">
        <v>9</v>
      </c>
      <c r="D712" s="28" t="s">
        <v>96</v>
      </c>
      <c r="E712" s="28" t="s">
        <v>8487</v>
      </c>
      <c r="F712" s="28" t="s">
        <v>50</v>
      </c>
      <c r="G712" s="28" t="s">
        <v>1407</v>
      </c>
      <c r="H712" s="28" t="s">
        <v>8624</v>
      </c>
      <c r="I712" s="28" t="s">
        <v>9006</v>
      </c>
      <c r="J712" s="28" t="s">
        <v>9007</v>
      </c>
      <c r="K712" s="28" t="s">
        <v>9008</v>
      </c>
      <c r="L712" s="28" t="s">
        <v>8665</v>
      </c>
      <c r="M712" s="28" t="s">
        <v>9009</v>
      </c>
      <c r="N712" s="28" t="s">
        <v>9010</v>
      </c>
      <c r="O712" s="28" t="s">
        <v>9011</v>
      </c>
      <c r="P712" s="28" t="s">
        <v>9012</v>
      </c>
      <c r="Q712" s="28" t="s">
        <v>9013</v>
      </c>
      <c r="R712" s="28" t="s">
        <v>9014</v>
      </c>
      <c r="S712" s="28" t="s">
        <v>9015</v>
      </c>
      <c r="T712" s="28" t="s">
        <v>9016</v>
      </c>
      <c r="U712" s="28" t="s">
        <v>8767</v>
      </c>
      <c r="V712" s="28" t="s">
        <v>8768</v>
      </c>
      <c r="W712" s="28" t="s">
        <v>9017</v>
      </c>
      <c r="X712" s="28" t="s">
        <v>9018</v>
      </c>
      <c r="Y712" s="28"/>
      <c r="Z712" s="28"/>
      <c r="AA712" s="28" t="s">
        <v>9019</v>
      </c>
      <c r="AB712" s="28" t="n">
        <v>100</v>
      </c>
      <c r="AC712" s="28" t="s">
        <v>9020</v>
      </c>
      <c r="AD712" s="28" t="s">
        <v>9021</v>
      </c>
      <c r="AE712" s="28" t="s">
        <v>9022</v>
      </c>
      <c r="AF712" s="28" t="s">
        <v>115</v>
      </c>
      <c r="AG712" s="28" t="s">
        <v>168</v>
      </c>
      <c r="AH712" s="28" t="s">
        <v>545</v>
      </c>
      <c r="AI712" s="28" t="n">
        <f aca="false">COUNTIF($B$2:$B$740,B712)</f>
        <v>1</v>
      </c>
    </row>
    <row r="713" customFormat="false" ht="92.4" hidden="false" customHeight="true" outlineLevel="0" collapsed="false">
      <c r="A713" s="28" t="n">
        <v>712</v>
      </c>
      <c r="B713" s="28" t="s">
        <v>9023</v>
      </c>
      <c r="C713" s="28" t="s">
        <v>9</v>
      </c>
      <c r="D713" s="28" t="s">
        <v>96</v>
      </c>
      <c r="E713" s="28" t="s">
        <v>8487</v>
      </c>
      <c r="F713" s="28" t="s">
        <v>54</v>
      </c>
      <c r="G713" s="28" t="s">
        <v>1714</v>
      </c>
      <c r="H713" s="28" t="s">
        <v>8624</v>
      </c>
      <c r="I713" s="28" t="s">
        <v>8988</v>
      </c>
      <c r="J713" s="28" t="s">
        <v>9024</v>
      </c>
      <c r="K713" s="28" t="s">
        <v>9025</v>
      </c>
      <c r="L713" s="28" t="s">
        <v>1183</v>
      </c>
      <c r="M713" s="28" t="s">
        <v>9026</v>
      </c>
      <c r="N713" s="28" t="s">
        <v>9027</v>
      </c>
      <c r="O713" s="28" t="s">
        <v>9028</v>
      </c>
      <c r="P713" s="28" t="s">
        <v>9029</v>
      </c>
      <c r="Q713" s="28" t="s">
        <v>9030</v>
      </c>
      <c r="R713" s="28" t="s">
        <v>9031</v>
      </c>
      <c r="S713" s="28" t="s">
        <v>9032</v>
      </c>
      <c r="T713" s="28" t="s">
        <v>9033</v>
      </c>
      <c r="U713" s="28" t="s">
        <v>8767</v>
      </c>
      <c r="V713" s="28" t="s">
        <v>8768</v>
      </c>
      <c r="W713" s="28"/>
      <c r="X713" s="28" t="s">
        <v>9034</v>
      </c>
      <c r="Y713" s="28"/>
      <c r="Z713" s="28" t="s">
        <v>9035</v>
      </c>
      <c r="AA713" s="28" t="s">
        <v>9036</v>
      </c>
      <c r="AB713" s="28" t="n">
        <v>70</v>
      </c>
      <c r="AC713" s="28" t="s">
        <v>8788</v>
      </c>
      <c r="AD713" s="28" t="s">
        <v>9037</v>
      </c>
      <c r="AE713" s="28" t="s">
        <v>9038</v>
      </c>
      <c r="AF713" s="28" t="s">
        <v>115</v>
      </c>
      <c r="AG713" s="28"/>
      <c r="AH713" s="28" t="s">
        <v>8791</v>
      </c>
      <c r="AI713" s="28" t="n">
        <f aca="false">COUNTIF($B$2:$B$740,B713)</f>
        <v>1</v>
      </c>
    </row>
    <row r="714" customFormat="false" ht="158.4" hidden="false" customHeight="true" outlineLevel="0" collapsed="false">
      <c r="A714" s="28" t="n">
        <v>713</v>
      </c>
      <c r="B714" s="28" t="s">
        <v>9039</v>
      </c>
      <c r="C714" s="28" t="s">
        <v>9</v>
      </c>
      <c r="D714" s="28" t="s">
        <v>96</v>
      </c>
      <c r="E714" s="28" t="s">
        <v>8487</v>
      </c>
      <c r="F714" s="28" t="s">
        <v>50</v>
      </c>
      <c r="G714" s="28" t="s">
        <v>1407</v>
      </c>
      <c r="H714" s="28" t="s">
        <v>8624</v>
      </c>
      <c r="I714" s="28" t="s">
        <v>9040</v>
      </c>
      <c r="J714" s="28" t="s">
        <v>9041</v>
      </c>
      <c r="K714" s="28" t="s">
        <v>9042</v>
      </c>
      <c r="L714" s="28" t="s">
        <v>1183</v>
      </c>
      <c r="M714" s="28" t="s">
        <v>9043</v>
      </c>
      <c r="N714" s="28" t="s">
        <v>9044</v>
      </c>
      <c r="O714" s="28" t="s">
        <v>9045</v>
      </c>
      <c r="P714" s="28" t="s">
        <v>9046</v>
      </c>
      <c r="Q714" s="28" t="s">
        <v>9047</v>
      </c>
      <c r="R714" s="28" t="s">
        <v>9048</v>
      </c>
      <c r="S714" s="28" t="s">
        <v>9049</v>
      </c>
      <c r="T714" s="28" t="s">
        <v>9050</v>
      </c>
      <c r="U714" s="28" t="s">
        <v>9051</v>
      </c>
      <c r="V714" s="28" t="s">
        <v>8768</v>
      </c>
      <c r="W714" s="28" t="s">
        <v>9052</v>
      </c>
      <c r="X714" s="28" t="s">
        <v>9053</v>
      </c>
      <c r="Y714" s="28"/>
      <c r="Z714" s="28" t="s">
        <v>9054</v>
      </c>
      <c r="AA714" s="28" t="s">
        <v>9055</v>
      </c>
      <c r="AB714" s="28" t="n">
        <v>100</v>
      </c>
      <c r="AC714" s="28" t="s">
        <v>9056</v>
      </c>
      <c r="AD714" s="28" t="s">
        <v>9057</v>
      </c>
      <c r="AE714" s="28" t="s">
        <v>9058</v>
      </c>
      <c r="AF714" s="28" t="s">
        <v>168</v>
      </c>
      <c r="AG714" s="28" t="s">
        <v>168</v>
      </c>
      <c r="AH714" s="28" t="s">
        <v>545</v>
      </c>
      <c r="AI714" s="28" t="n">
        <f aca="false">COUNTIF($B$2:$B$740,B714)</f>
        <v>1</v>
      </c>
    </row>
    <row r="715" customFormat="false" ht="66" hidden="false" customHeight="true" outlineLevel="0" collapsed="false">
      <c r="A715" s="28" t="n">
        <v>714</v>
      </c>
      <c r="B715" s="28" t="s">
        <v>1049</v>
      </c>
      <c r="C715" s="28" t="s">
        <v>9</v>
      </c>
      <c r="D715" s="28" t="s">
        <v>96</v>
      </c>
      <c r="E715" s="28" t="s">
        <v>8487</v>
      </c>
      <c r="F715" s="28" t="s">
        <v>50</v>
      </c>
      <c r="G715" s="28" t="s">
        <v>1407</v>
      </c>
      <c r="H715" s="28" t="s">
        <v>8624</v>
      </c>
      <c r="I715" s="28" t="s">
        <v>9059</v>
      </c>
      <c r="J715" s="28" t="s">
        <v>9060</v>
      </c>
      <c r="K715" s="28" t="s">
        <v>9061</v>
      </c>
      <c r="L715" s="28" t="s">
        <v>1183</v>
      </c>
      <c r="M715" s="28" t="s">
        <v>9062</v>
      </c>
      <c r="N715" s="28" t="s">
        <v>9063</v>
      </c>
      <c r="O715" s="28" t="s">
        <v>9064</v>
      </c>
      <c r="P715" s="28" t="s">
        <v>9065</v>
      </c>
      <c r="Q715" s="28" t="s">
        <v>9066</v>
      </c>
      <c r="R715" s="28" t="s">
        <v>9067</v>
      </c>
      <c r="S715" s="28" t="s">
        <v>9068</v>
      </c>
      <c r="T715" s="28" t="s">
        <v>9069</v>
      </c>
      <c r="U715" s="28" t="s">
        <v>8767</v>
      </c>
      <c r="V715" s="28" t="s">
        <v>8768</v>
      </c>
      <c r="W715" s="28"/>
      <c r="X715" s="28" t="s">
        <v>9070</v>
      </c>
      <c r="Y715" s="28"/>
      <c r="Z715" s="28" t="s">
        <v>9071</v>
      </c>
      <c r="AA715" s="28" t="s">
        <v>9072</v>
      </c>
      <c r="AB715" s="28" t="n">
        <v>80</v>
      </c>
      <c r="AC715" s="28" t="s">
        <v>8772</v>
      </c>
      <c r="AD715" s="28" t="s">
        <v>9073</v>
      </c>
      <c r="AE715" s="28" t="s">
        <v>9074</v>
      </c>
      <c r="AF715" s="28" t="s">
        <v>168</v>
      </c>
      <c r="AG715" s="28"/>
      <c r="AH715" s="28" t="s">
        <v>941</v>
      </c>
      <c r="AI715" s="28" t="n">
        <f aca="false">COUNTIF($B$2:$B$740,B715)</f>
        <v>1</v>
      </c>
    </row>
    <row r="716" customFormat="false" ht="79.2" hidden="false" customHeight="true" outlineLevel="0" collapsed="false">
      <c r="A716" s="28" t="n">
        <v>715</v>
      </c>
      <c r="B716" s="28" t="s">
        <v>9075</v>
      </c>
      <c r="C716" s="28" t="s">
        <v>9</v>
      </c>
      <c r="D716" s="28" t="s">
        <v>96</v>
      </c>
      <c r="E716" s="28" t="s">
        <v>8487</v>
      </c>
      <c r="F716" s="28" t="s">
        <v>50</v>
      </c>
      <c r="G716" s="28" t="s">
        <v>1407</v>
      </c>
      <c r="H716" s="28" t="s">
        <v>8624</v>
      </c>
      <c r="I716" s="28" t="s">
        <v>9076</v>
      </c>
      <c r="J716" s="28" t="s">
        <v>9076</v>
      </c>
      <c r="K716" s="28" t="s">
        <v>9077</v>
      </c>
      <c r="L716" s="28" t="s">
        <v>8665</v>
      </c>
      <c r="M716" s="28" t="s">
        <v>9078</v>
      </c>
      <c r="N716" s="28" t="s">
        <v>9079</v>
      </c>
      <c r="O716" s="28" t="s">
        <v>9080</v>
      </c>
      <c r="P716" s="28" t="s">
        <v>9081</v>
      </c>
      <c r="Q716" s="28" t="s">
        <v>9082</v>
      </c>
      <c r="R716" s="28" t="s">
        <v>9083</v>
      </c>
      <c r="S716" s="28" t="s">
        <v>9084</v>
      </c>
      <c r="T716" s="28" t="s">
        <v>9085</v>
      </c>
      <c r="U716" s="28" t="s">
        <v>8767</v>
      </c>
      <c r="V716" s="28" t="s">
        <v>8768</v>
      </c>
      <c r="W716" s="28" t="s">
        <v>9086</v>
      </c>
      <c r="X716" s="28" t="s">
        <v>9087</v>
      </c>
      <c r="Y716" s="28"/>
      <c r="Z716" s="28"/>
      <c r="AA716" s="28" t="s">
        <v>9088</v>
      </c>
      <c r="AB716" s="28" t="n">
        <v>100</v>
      </c>
      <c r="AC716" s="28" t="s">
        <v>8856</v>
      </c>
      <c r="AD716" s="28" t="s">
        <v>9089</v>
      </c>
      <c r="AE716" s="28" t="s">
        <v>9090</v>
      </c>
      <c r="AF716" s="28" t="s">
        <v>168</v>
      </c>
      <c r="AG716" s="28" t="s">
        <v>168</v>
      </c>
      <c r="AH716" s="28" t="s">
        <v>545</v>
      </c>
      <c r="AI716" s="28" t="n">
        <f aca="false">COUNTIF($B$2:$B$740,B716)</f>
        <v>1</v>
      </c>
    </row>
    <row r="717" customFormat="false" ht="145.2" hidden="false" customHeight="true" outlineLevel="0" collapsed="false">
      <c r="A717" s="28" t="n">
        <v>716</v>
      </c>
      <c r="B717" s="28" t="s">
        <v>9091</v>
      </c>
      <c r="C717" s="28" t="s">
        <v>9</v>
      </c>
      <c r="D717" s="28" t="s">
        <v>96</v>
      </c>
      <c r="E717" s="28" t="s">
        <v>8487</v>
      </c>
      <c r="F717" s="28" t="s">
        <v>50</v>
      </c>
      <c r="G717" s="28" t="s">
        <v>1407</v>
      </c>
      <c r="H717" s="28" t="s">
        <v>8624</v>
      </c>
      <c r="I717" s="28" t="s">
        <v>9092</v>
      </c>
      <c r="J717" s="28" t="s">
        <v>9093</v>
      </c>
      <c r="K717" s="28" t="s">
        <v>9094</v>
      </c>
      <c r="L717" s="28" t="s">
        <v>8665</v>
      </c>
      <c r="M717" s="28" t="s">
        <v>9095</v>
      </c>
      <c r="N717" s="28" t="s">
        <v>9096</v>
      </c>
      <c r="O717" s="28" t="s">
        <v>9097</v>
      </c>
      <c r="P717" s="28" t="s">
        <v>9098</v>
      </c>
      <c r="Q717" s="28" t="s">
        <v>9099</v>
      </c>
      <c r="R717" s="28" t="s">
        <v>9100</v>
      </c>
      <c r="S717" s="28" t="s">
        <v>9101</v>
      </c>
      <c r="T717" s="28" t="s">
        <v>9102</v>
      </c>
      <c r="U717" s="28" t="s">
        <v>8767</v>
      </c>
      <c r="V717" s="28" t="s">
        <v>8768</v>
      </c>
      <c r="W717" s="28"/>
      <c r="X717" s="28" t="s">
        <v>9103</v>
      </c>
      <c r="Y717" s="28"/>
      <c r="Z717" s="28"/>
      <c r="AA717" s="28" t="s">
        <v>9104</v>
      </c>
      <c r="AB717" s="28" t="n">
        <v>80</v>
      </c>
      <c r="AC717" s="28" t="s">
        <v>8772</v>
      </c>
      <c r="AD717" s="28" t="s">
        <v>9105</v>
      </c>
      <c r="AE717" s="28" t="s">
        <v>9106</v>
      </c>
      <c r="AF717" s="28" t="s">
        <v>168</v>
      </c>
      <c r="AG717" s="28"/>
      <c r="AH717" s="28" t="s">
        <v>941</v>
      </c>
      <c r="AI717" s="28" t="n">
        <f aca="false">COUNTIF($B$2:$B$740,B717)</f>
        <v>1</v>
      </c>
    </row>
    <row r="718" customFormat="false" ht="118.8" hidden="false" customHeight="true" outlineLevel="0" collapsed="false">
      <c r="A718" s="28" t="n">
        <v>717</v>
      </c>
      <c r="B718" s="28" t="s">
        <v>9107</v>
      </c>
      <c r="C718" s="28" t="s">
        <v>9</v>
      </c>
      <c r="D718" s="28" t="s">
        <v>96</v>
      </c>
      <c r="E718" s="28" t="s">
        <v>8487</v>
      </c>
      <c r="F718" s="28" t="s">
        <v>50</v>
      </c>
      <c r="G718" s="28" t="s">
        <v>1407</v>
      </c>
      <c r="H718" s="28" t="s">
        <v>8624</v>
      </c>
      <c r="I718" s="28" t="s">
        <v>9108</v>
      </c>
      <c r="J718" s="28" t="s">
        <v>9109</v>
      </c>
      <c r="K718" s="28" t="s">
        <v>9110</v>
      </c>
      <c r="L718" s="28" t="s">
        <v>8665</v>
      </c>
      <c r="M718" s="28" t="s">
        <v>9111</v>
      </c>
      <c r="N718" s="28" t="s">
        <v>9112</v>
      </c>
      <c r="O718" s="28" t="s">
        <v>9113</v>
      </c>
      <c r="P718" s="28" t="s">
        <v>9114</v>
      </c>
      <c r="Q718" s="28" t="s">
        <v>9115</v>
      </c>
      <c r="R718" s="28" t="s">
        <v>9116</v>
      </c>
      <c r="S718" s="28" t="s">
        <v>9117</v>
      </c>
      <c r="T718" s="28" t="s">
        <v>9118</v>
      </c>
      <c r="U718" s="28" t="s">
        <v>8767</v>
      </c>
      <c r="V718" s="28" t="s">
        <v>8768</v>
      </c>
      <c r="W718" s="28" t="s">
        <v>9119</v>
      </c>
      <c r="X718" s="28" t="s">
        <v>9120</v>
      </c>
      <c r="Y718" s="28"/>
      <c r="Z718" s="28"/>
      <c r="AA718" s="28" t="s">
        <v>9121</v>
      </c>
      <c r="AB718" s="28" t="n">
        <v>100</v>
      </c>
      <c r="AC718" s="28" t="s">
        <v>9020</v>
      </c>
      <c r="AD718" s="28" t="s">
        <v>9122</v>
      </c>
      <c r="AE718" s="28" t="s">
        <v>9123</v>
      </c>
      <c r="AF718" s="28" t="s">
        <v>115</v>
      </c>
      <c r="AG718" s="28" t="s">
        <v>168</v>
      </c>
      <c r="AH718" s="28" t="s">
        <v>545</v>
      </c>
      <c r="AI718" s="28" t="n">
        <f aca="false">COUNTIF($B$2:$B$740,B718)</f>
        <v>1</v>
      </c>
    </row>
    <row r="719" customFormat="false" ht="132" hidden="false" customHeight="true" outlineLevel="0" collapsed="false">
      <c r="A719" s="28" t="n">
        <v>718</v>
      </c>
      <c r="B719" s="28" t="s">
        <v>9124</v>
      </c>
      <c r="C719" s="28" t="s">
        <v>9</v>
      </c>
      <c r="D719" s="28" t="s">
        <v>96</v>
      </c>
      <c r="E719" s="28" t="s">
        <v>8487</v>
      </c>
      <c r="F719" s="28" t="s">
        <v>54</v>
      </c>
      <c r="G719" s="28" t="s">
        <v>1714</v>
      </c>
      <c r="H719" s="28" t="s">
        <v>8624</v>
      </c>
      <c r="I719" s="28" t="s">
        <v>9125</v>
      </c>
      <c r="J719" s="28" t="s">
        <v>9126</v>
      </c>
      <c r="K719" s="28" t="s">
        <v>9127</v>
      </c>
      <c r="L719" s="28" t="s">
        <v>1183</v>
      </c>
      <c r="M719" s="28" t="s">
        <v>8796</v>
      </c>
      <c r="N719" s="28" t="s">
        <v>9128</v>
      </c>
      <c r="O719" s="28" t="s">
        <v>9129</v>
      </c>
      <c r="P719" s="28" t="s">
        <v>9130</v>
      </c>
      <c r="Q719" s="28" t="s">
        <v>9131</v>
      </c>
      <c r="R719" s="28" t="s">
        <v>9132</v>
      </c>
      <c r="S719" s="28" t="s">
        <v>9133</v>
      </c>
      <c r="T719" s="28" t="s">
        <v>9134</v>
      </c>
      <c r="U719" s="28" t="s">
        <v>8767</v>
      </c>
      <c r="V719" s="28" t="s">
        <v>8768</v>
      </c>
      <c r="W719" s="28"/>
      <c r="X719" s="28" t="s">
        <v>9135</v>
      </c>
      <c r="Y719" s="28"/>
      <c r="Z719" s="28" t="s">
        <v>9136</v>
      </c>
      <c r="AA719" s="28" t="s">
        <v>9137</v>
      </c>
      <c r="AB719" s="28" t="n">
        <v>80</v>
      </c>
      <c r="AC719" s="28" t="s">
        <v>8772</v>
      </c>
      <c r="AD719" s="28" t="s">
        <v>9138</v>
      </c>
      <c r="AE719" s="28" t="s">
        <v>9139</v>
      </c>
      <c r="AF719" s="28" t="s">
        <v>168</v>
      </c>
      <c r="AG719" s="28"/>
      <c r="AH719" s="28" t="s">
        <v>941</v>
      </c>
      <c r="AI719" s="28" t="n">
        <f aca="false">COUNTIF($B$2:$B$740,B719)</f>
        <v>1</v>
      </c>
    </row>
    <row r="720" customFormat="false" ht="79.2" hidden="false" customHeight="true" outlineLevel="0" collapsed="false">
      <c r="A720" s="28" t="n">
        <v>719</v>
      </c>
      <c r="B720" s="28" t="s">
        <v>9140</v>
      </c>
      <c r="C720" s="28" t="s">
        <v>9</v>
      </c>
      <c r="D720" s="28" t="s">
        <v>96</v>
      </c>
      <c r="E720" s="28" t="s">
        <v>8487</v>
      </c>
      <c r="F720" s="28" t="s">
        <v>53</v>
      </c>
      <c r="G720" s="28" t="s">
        <v>5159</v>
      </c>
      <c r="H720" s="28" t="s">
        <v>8624</v>
      </c>
      <c r="I720" s="28" t="s">
        <v>9141</v>
      </c>
      <c r="J720" s="28" t="s">
        <v>9142</v>
      </c>
      <c r="K720" s="28" t="s">
        <v>9143</v>
      </c>
      <c r="L720" s="28" t="s">
        <v>8665</v>
      </c>
      <c r="M720" s="28" t="s">
        <v>9144</v>
      </c>
      <c r="N720" s="28" t="s">
        <v>9145</v>
      </c>
      <c r="O720" s="28" t="s">
        <v>9146</v>
      </c>
      <c r="P720" s="28" t="s">
        <v>9147</v>
      </c>
      <c r="Q720" s="28" t="s">
        <v>9148</v>
      </c>
      <c r="R720" s="28" t="s">
        <v>9149</v>
      </c>
      <c r="S720" s="28" t="s">
        <v>9150</v>
      </c>
      <c r="T720" s="28" t="s">
        <v>9151</v>
      </c>
      <c r="U720" s="28" t="s">
        <v>8767</v>
      </c>
      <c r="V720" s="28" t="s">
        <v>8768</v>
      </c>
      <c r="W720" s="28"/>
      <c r="X720" s="28" t="s">
        <v>9152</v>
      </c>
      <c r="Y720" s="28"/>
      <c r="Z720" s="28"/>
      <c r="AA720" s="28" t="s">
        <v>9153</v>
      </c>
      <c r="AB720" s="28" t="n">
        <v>80</v>
      </c>
      <c r="AC720" s="28" t="s">
        <v>8772</v>
      </c>
      <c r="AD720" s="28" t="s">
        <v>9154</v>
      </c>
      <c r="AE720" s="28" t="s">
        <v>9155</v>
      </c>
      <c r="AF720" s="28" t="s">
        <v>168</v>
      </c>
      <c r="AG720" s="28"/>
      <c r="AH720" s="28" t="s">
        <v>941</v>
      </c>
      <c r="AI720" s="28" t="n">
        <f aca="false">COUNTIF($B$2:$B$740,B720)</f>
        <v>1</v>
      </c>
    </row>
    <row r="721" customFormat="false" ht="66" hidden="false" customHeight="true" outlineLevel="0" collapsed="false">
      <c r="A721" s="28" t="n">
        <v>720</v>
      </c>
      <c r="B721" s="28" t="s">
        <v>9156</v>
      </c>
      <c r="C721" s="28" t="s">
        <v>9</v>
      </c>
      <c r="D721" s="28" t="s">
        <v>96</v>
      </c>
      <c r="E721" s="28" t="s">
        <v>8487</v>
      </c>
      <c r="F721" s="28" t="s">
        <v>53</v>
      </c>
      <c r="G721" s="28" t="s">
        <v>5159</v>
      </c>
      <c r="H721" s="28" t="s">
        <v>8624</v>
      </c>
      <c r="I721" s="28" t="s">
        <v>9157</v>
      </c>
      <c r="J721" s="28" t="s">
        <v>9158</v>
      </c>
      <c r="K721" s="28" t="s">
        <v>9159</v>
      </c>
      <c r="L721" s="28" t="s">
        <v>9160</v>
      </c>
      <c r="M721" s="28" t="s">
        <v>9161</v>
      </c>
      <c r="N721" s="28" t="s">
        <v>9162</v>
      </c>
      <c r="O721" s="28" t="s">
        <v>9163</v>
      </c>
      <c r="P721" s="28" t="s">
        <v>9164</v>
      </c>
      <c r="Q721" s="28" t="s">
        <v>9165</v>
      </c>
      <c r="R721" s="28" t="s">
        <v>9166</v>
      </c>
      <c r="S721" s="28" t="s">
        <v>9167</v>
      </c>
      <c r="T721" s="28" t="s">
        <v>9168</v>
      </c>
      <c r="U721" s="28" t="s">
        <v>8767</v>
      </c>
      <c r="V721" s="28" t="s">
        <v>8768</v>
      </c>
      <c r="W721" s="28"/>
      <c r="X721" s="28" t="s">
        <v>9169</v>
      </c>
      <c r="Y721" s="28"/>
      <c r="Z721" s="28"/>
      <c r="AA721" s="28" t="s">
        <v>9170</v>
      </c>
      <c r="AB721" s="28" t="n">
        <v>110</v>
      </c>
      <c r="AC721" s="28" t="s">
        <v>9171</v>
      </c>
      <c r="AD721" s="28" t="s">
        <v>9172</v>
      </c>
      <c r="AE721" s="28" t="s">
        <v>9173</v>
      </c>
      <c r="AF721" s="28" t="s">
        <v>168</v>
      </c>
      <c r="AG721" s="28"/>
      <c r="AH721" s="28" t="s">
        <v>9174</v>
      </c>
      <c r="AI721" s="28" t="n">
        <f aca="false">COUNTIF($B$2:$B$740,B721)</f>
        <v>1</v>
      </c>
    </row>
    <row r="722" customFormat="false" ht="105.6" hidden="false" customHeight="true" outlineLevel="0" collapsed="false">
      <c r="A722" s="28" t="n">
        <v>721</v>
      </c>
      <c r="B722" s="28" t="s">
        <v>9175</v>
      </c>
      <c r="C722" s="28" t="s">
        <v>9</v>
      </c>
      <c r="D722" s="28" t="s">
        <v>96</v>
      </c>
      <c r="E722" s="28" t="s">
        <v>8487</v>
      </c>
      <c r="F722" s="28" t="s">
        <v>59</v>
      </c>
      <c r="G722" s="28" t="s">
        <v>9176</v>
      </c>
      <c r="H722" s="28" t="s">
        <v>8624</v>
      </c>
      <c r="I722" s="28" t="s">
        <v>9177</v>
      </c>
      <c r="J722" s="28" t="s">
        <v>9178</v>
      </c>
      <c r="K722" s="28" t="s">
        <v>9179</v>
      </c>
      <c r="L722" s="28" t="s">
        <v>9180</v>
      </c>
      <c r="M722" s="28" t="s">
        <v>9181</v>
      </c>
      <c r="N722" s="28" t="s">
        <v>9182</v>
      </c>
      <c r="O722" s="28" t="s">
        <v>9183</v>
      </c>
      <c r="P722" s="28" t="s">
        <v>9184</v>
      </c>
      <c r="Q722" s="28" t="s">
        <v>9185</v>
      </c>
      <c r="R722" s="28" t="s">
        <v>9186</v>
      </c>
      <c r="S722" s="28" t="s">
        <v>9187</v>
      </c>
      <c r="T722" s="28" t="s">
        <v>9188</v>
      </c>
      <c r="U722" s="28" t="s">
        <v>9189</v>
      </c>
      <c r="V722" s="28" t="s">
        <v>9190</v>
      </c>
      <c r="W722" s="28" t="s">
        <v>9191</v>
      </c>
      <c r="X722" s="28" t="s">
        <v>9192</v>
      </c>
      <c r="Y722" s="28"/>
      <c r="Z722" s="28" t="s">
        <v>9193</v>
      </c>
      <c r="AA722" s="28" t="s">
        <v>9194</v>
      </c>
      <c r="AB722" s="28" t="n">
        <v>100</v>
      </c>
      <c r="AC722" s="28" t="s">
        <v>9195</v>
      </c>
      <c r="AD722" s="28" t="s">
        <v>9196</v>
      </c>
      <c r="AE722" s="28" t="s">
        <v>9197</v>
      </c>
      <c r="AF722" s="28" t="s">
        <v>115</v>
      </c>
      <c r="AG722" s="28" t="s">
        <v>168</v>
      </c>
      <c r="AH722" s="28" t="s">
        <v>545</v>
      </c>
      <c r="AI722" s="28" t="n">
        <f aca="false">COUNTIF($B$2:$B$740,B722)</f>
        <v>1</v>
      </c>
    </row>
    <row r="723" customFormat="false" ht="79.2" hidden="false" customHeight="true" outlineLevel="0" collapsed="false">
      <c r="A723" s="28" t="n">
        <v>722</v>
      </c>
      <c r="B723" s="28" t="s">
        <v>9198</v>
      </c>
      <c r="C723" s="28" t="s">
        <v>9</v>
      </c>
      <c r="D723" s="28" t="s">
        <v>96</v>
      </c>
      <c r="E723" s="28" t="s">
        <v>8487</v>
      </c>
      <c r="F723" s="28" t="s">
        <v>50</v>
      </c>
      <c r="G723" s="28" t="s">
        <v>1407</v>
      </c>
      <c r="H723" s="28" t="s">
        <v>8624</v>
      </c>
      <c r="I723" s="28" t="s">
        <v>9177</v>
      </c>
      <c r="J723" s="28" t="s">
        <v>9199</v>
      </c>
      <c r="K723" s="28" t="s">
        <v>9200</v>
      </c>
      <c r="L723" s="28" t="s">
        <v>9201</v>
      </c>
      <c r="M723" s="28" t="s">
        <v>9009</v>
      </c>
      <c r="N723" s="28" t="s">
        <v>9202</v>
      </c>
      <c r="O723" s="28" t="s">
        <v>9203</v>
      </c>
      <c r="P723" s="28" t="s">
        <v>9204</v>
      </c>
      <c r="Q723" s="28" t="s">
        <v>9205</v>
      </c>
      <c r="R723" s="28" t="s">
        <v>9206</v>
      </c>
      <c r="S723" s="28" t="s">
        <v>9207</v>
      </c>
      <c r="T723" s="28" t="s">
        <v>9208</v>
      </c>
      <c r="U723" s="28" t="s">
        <v>9189</v>
      </c>
      <c r="V723" s="28" t="s">
        <v>9190</v>
      </c>
      <c r="W723" s="28" t="s">
        <v>9209</v>
      </c>
      <c r="X723" s="28" t="s">
        <v>9210</v>
      </c>
      <c r="Y723" s="28"/>
      <c r="Z723" s="28" t="s">
        <v>9193</v>
      </c>
      <c r="AA723" s="28" t="s">
        <v>9194</v>
      </c>
      <c r="AB723" s="28" t="n">
        <v>80</v>
      </c>
      <c r="AC723" s="28" t="s">
        <v>9211</v>
      </c>
      <c r="AD723" s="28" t="s">
        <v>9212</v>
      </c>
      <c r="AE723" s="28" t="s">
        <v>9213</v>
      </c>
      <c r="AF723" s="28" t="s">
        <v>168</v>
      </c>
      <c r="AG723" s="28" t="s">
        <v>168</v>
      </c>
      <c r="AH723" s="28" t="s">
        <v>9214</v>
      </c>
      <c r="AI723" s="28" t="n">
        <f aca="false">COUNTIF($B$2:$B$740,B723)</f>
        <v>1</v>
      </c>
    </row>
    <row r="724" customFormat="false" ht="79.2" hidden="false" customHeight="true" outlineLevel="0" collapsed="false">
      <c r="A724" s="28" t="n">
        <v>723</v>
      </c>
      <c r="B724" s="28" t="s">
        <v>2247</v>
      </c>
      <c r="C724" s="28" t="s">
        <v>9</v>
      </c>
      <c r="D724" s="28" t="s">
        <v>96</v>
      </c>
      <c r="E724" s="28" t="s">
        <v>8487</v>
      </c>
      <c r="F724" s="28" t="s">
        <v>50</v>
      </c>
      <c r="G724" s="28" t="s">
        <v>57</v>
      </c>
      <c r="H724" s="28" t="s">
        <v>8624</v>
      </c>
      <c r="I724" s="28" t="s">
        <v>9177</v>
      </c>
      <c r="J724" s="28" t="s">
        <v>9215</v>
      </c>
      <c r="K724" s="28" t="s">
        <v>9216</v>
      </c>
      <c r="L724" s="28" t="s">
        <v>173</v>
      </c>
      <c r="M724" s="28" t="s">
        <v>9217</v>
      </c>
      <c r="N724" s="28" t="s">
        <v>9218</v>
      </c>
      <c r="O724" s="28" t="s">
        <v>9219</v>
      </c>
      <c r="P724" s="28" t="s">
        <v>9220</v>
      </c>
      <c r="Q724" s="28" t="s">
        <v>9221</v>
      </c>
      <c r="R724" s="28" t="s">
        <v>9222</v>
      </c>
      <c r="S724" s="28" t="s">
        <v>9223</v>
      </c>
      <c r="T724" s="28" t="s">
        <v>9224</v>
      </c>
      <c r="U724" s="28" t="s">
        <v>9189</v>
      </c>
      <c r="V724" s="28" t="s">
        <v>9190</v>
      </c>
      <c r="W724" s="28" t="s">
        <v>9225</v>
      </c>
      <c r="X724" s="28" t="s">
        <v>9192</v>
      </c>
      <c r="Y724" s="28"/>
      <c r="Z724" s="28" t="s">
        <v>9193</v>
      </c>
      <c r="AA724" s="28" t="s">
        <v>9194</v>
      </c>
      <c r="AB724" s="28" t="n">
        <v>80</v>
      </c>
      <c r="AC724" s="28" t="s">
        <v>9226</v>
      </c>
      <c r="AD724" s="28" t="s">
        <v>2246</v>
      </c>
      <c r="AE724" s="28" t="s">
        <v>9227</v>
      </c>
      <c r="AF724" s="28" t="s">
        <v>115</v>
      </c>
      <c r="AG724" s="28" t="s">
        <v>168</v>
      </c>
      <c r="AH724" s="28" t="s">
        <v>9228</v>
      </c>
      <c r="AI724" s="28" t="n">
        <f aca="false">COUNTIF($B$2:$B$740,B724)</f>
        <v>1</v>
      </c>
    </row>
    <row r="725" customFormat="false" ht="79.2" hidden="false" customHeight="true" outlineLevel="0" collapsed="false">
      <c r="A725" s="28" t="n">
        <v>724</v>
      </c>
      <c r="B725" s="28" t="s">
        <v>2292</v>
      </c>
      <c r="C725" s="28" t="s">
        <v>9</v>
      </c>
      <c r="D725" s="28" t="s">
        <v>96</v>
      </c>
      <c r="E725" s="28" t="s">
        <v>8487</v>
      </c>
      <c r="F725" s="28" t="s">
        <v>50</v>
      </c>
      <c r="G725" s="28" t="s">
        <v>57</v>
      </c>
      <c r="H725" s="28" t="s">
        <v>8624</v>
      </c>
      <c r="I725" s="28" t="s">
        <v>9177</v>
      </c>
      <c r="J725" s="28" t="s">
        <v>9229</v>
      </c>
      <c r="K725" s="28" t="s">
        <v>9230</v>
      </c>
      <c r="L725" s="28" t="s">
        <v>173</v>
      </c>
      <c r="M725" s="28" t="s">
        <v>9231</v>
      </c>
      <c r="N725" s="28" t="s">
        <v>9232</v>
      </c>
      <c r="O725" s="28" t="s">
        <v>9233</v>
      </c>
      <c r="P725" s="28" t="s">
        <v>9234</v>
      </c>
      <c r="Q725" s="28" t="s">
        <v>9235</v>
      </c>
      <c r="R725" s="28" t="s">
        <v>9236</v>
      </c>
      <c r="S725" s="28" t="s">
        <v>9237</v>
      </c>
      <c r="T725" s="28" t="s">
        <v>9238</v>
      </c>
      <c r="U725" s="28" t="s">
        <v>9189</v>
      </c>
      <c r="V725" s="28" t="s">
        <v>9190</v>
      </c>
      <c r="W725" s="28" t="s">
        <v>9239</v>
      </c>
      <c r="X725" s="28" t="s">
        <v>9192</v>
      </c>
      <c r="Y725" s="28"/>
      <c r="Z725" s="28" t="s">
        <v>9193</v>
      </c>
      <c r="AA725" s="28" t="s">
        <v>9194</v>
      </c>
      <c r="AB725" s="28" t="n">
        <v>80</v>
      </c>
      <c r="AC725" s="28" t="s">
        <v>9226</v>
      </c>
      <c r="AD725" s="28" t="s">
        <v>2246</v>
      </c>
      <c r="AE725" s="28" t="s">
        <v>9240</v>
      </c>
      <c r="AF725" s="28" t="s">
        <v>115</v>
      </c>
      <c r="AG725" s="28" t="s">
        <v>168</v>
      </c>
      <c r="AH725" s="28" t="s">
        <v>9228</v>
      </c>
      <c r="AI725" s="28" t="n">
        <f aca="false">COUNTIF($B$2:$B$740,B725)</f>
        <v>1</v>
      </c>
    </row>
    <row r="726" customFormat="false" ht="118.8" hidden="false" customHeight="true" outlineLevel="0" collapsed="false">
      <c r="A726" s="28" t="n">
        <v>725</v>
      </c>
      <c r="B726" s="28" t="s">
        <v>3173</v>
      </c>
      <c r="C726" s="28" t="s">
        <v>9</v>
      </c>
      <c r="D726" s="28" t="s">
        <v>96</v>
      </c>
      <c r="E726" s="28" t="s">
        <v>8487</v>
      </c>
      <c r="F726" s="28" t="s">
        <v>50</v>
      </c>
      <c r="G726" s="28" t="s">
        <v>1407</v>
      </c>
      <c r="H726" s="28" t="s">
        <v>8624</v>
      </c>
      <c r="I726" s="28" t="s">
        <v>9177</v>
      </c>
      <c r="J726" s="28" t="s">
        <v>9241</v>
      </c>
      <c r="K726" s="28" t="s">
        <v>9242</v>
      </c>
      <c r="L726" s="28" t="s">
        <v>9243</v>
      </c>
      <c r="M726" s="28" t="s">
        <v>9244</v>
      </c>
      <c r="N726" s="28" t="s">
        <v>951</v>
      </c>
      <c r="O726" s="28" t="s">
        <v>9245</v>
      </c>
      <c r="P726" s="28" t="s">
        <v>9246</v>
      </c>
      <c r="Q726" s="28" t="s">
        <v>9247</v>
      </c>
      <c r="R726" s="28" t="s">
        <v>9248</v>
      </c>
      <c r="S726" s="28" t="s">
        <v>9249</v>
      </c>
      <c r="T726" s="28" t="s">
        <v>9250</v>
      </c>
      <c r="U726" s="28" t="s">
        <v>9189</v>
      </c>
      <c r="V726" s="28" t="s">
        <v>9190</v>
      </c>
      <c r="W726" s="28"/>
      <c r="X726" s="28" t="s">
        <v>9192</v>
      </c>
      <c r="Y726" s="28"/>
      <c r="Z726" s="28" t="s">
        <v>9193</v>
      </c>
      <c r="AA726" s="28" t="s">
        <v>9194</v>
      </c>
      <c r="AB726" s="28" t="n">
        <v>80</v>
      </c>
      <c r="AC726" s="28" t="s">
        <v>9226</v>
      </c>
      <c r="AD726" s="28" t="s">
        <v>955</v>
      </c>
      <c r="AE726" s="28" t="s">
        <v>9251</v>
      </c>
      <c r="AF726" s="28" t="s">
        <v>115</v>
      </c>
      <c r="AG726" s="28" t="s">
        <v>168</v>
      </c>
      <c r="AH726" s="28" t="s">
        <v>9228</v>
      </c>
      <c r="AI726" s="28" t="n">
        <f aca="false">COUNTIF($B$2:$B$740,B726)</f>
        <v>1</v>
      </c>
    </row>
    <row r="727" customFormat="false" ht="66" hidden="false" customHeight="true" outlineLevel="0" collapsed="false">
      <c r="A727" s="28" t="n">
        <v>726</v>
      </c>
      <c r="B727" s="28" t="s">
        <v>7840</v>
      </c>
      <c r="C727" s="28" t="s">
        <v>9</v>
      </c>
      <c r="D727" s="28" t="s">
        <v>96</v>
      </c>
      <c r="E727" s="28" t="s">
        <v>8487</v>
      </c>
      <c r="F727" s="28" t="s">
        <v>50</v>
      </c>
      <c r="G727" s="28" t="s">
        <v>1407</v>
      </c>
      <c r="H727" s="28" t="s">
        <v>8624</v>
      </c>
      <c r="I727" s="28" t="s">
        <v>9177</v>
      </c>
      <c r="J727" s="28" t="s">
        <v>9252</v>
      </c>
      <c r="K727" s="28" t="s">
        <v>9253</v>
      </c>
      <c r="L727" s="28" t="s">
        <v>9254</v>
      </c>
      <c r="M727" s="28" t="s">
        <v>9255</v>
      </c>
      <c r="N727" s="28" t="s">
        <v>9256</v>
      </c>
      <c r="O727" s="28" t="s">
        <v>9257</v>
      </c>
      <c r="P727" s="28" t="s">
        <v>9258</v>
      </c>
      <c r="Q727" s="28" t="s">
        <v>9259</v>
      </c>
      <c r="R727" s="28" t="s">
        <v>9260</v>
      </c>
      <c r="S727" s="28" t="s">
        <v>9261</v>
      </c>
      <c r="T727" s="28" t="s">
        <v>9262</v>
      </c>
      <c r="U727" s="28" t="s">
        <v>9189</v>
      </c>
      <c r="V727" s="28" t="s">
        <v>9190</v>
      </c>
      <c r="W727" s="28"/>
      <c r="X727" s="28" t="s">
        <v>9192</v>
      </c>
      <c r="Y727" s="28"/>
      <c r="Z727" s="28" t="s">
        <v>9193</v>
      </c>
      <c r="AA727" s="28" t="s">
        <v>9194</v>
      </c>
      <c r="AB727" s="28" t="n">
        <v>80</v>
      </c>
      <c r="AC727" s="28" t="s">
        <v>9226</v>
      </c>
      <c r="AD727" s="28" t="s">
        <v>9263</v>
      </c>
      <c r="AE727" s="28" t="s">
        <v>9264</v>
      </c>
      <c r="AF727" s="28" t="s">
        <v>115</v>
      </c>
      <c r="AG727" s="28" t="s">
        <v>168</v>
      </c>
      <c r="AH727" s="28" t="s">
        <v>9228</v>
      </c>
      <c r="AI727" s="28" t="n">
        <f aca="false">COUNTIF($B$2:$B$740,B727)</f>
        <v>1</v>
      </c>
    </row>
    <row r="728" customFormat="false" ht="79.2" hidden="false" customHeight="true" outlineLevel="0" collapsed="false">
      <c r="A728" s="28" t="n">
        <v>727</v>
      </c>
      <c r="B728" s="28" t="s">
        <v>6279</v>
      </c>
      <c r="C728" s="28" t="s">
        <v>9</v>
      </c>
      <c r="D728" s="28" t="s">
        <v>96</v>
      </c>
      <c r="E728" s="28" t="s">
        <v>8487</v>
      </c>
      <c r="F728" s="28" t="s">
        <v>58</v>
      </c>
      <c r="G728" s="28" t="s">
        <v>1407</v>
      </c>
      <c r="H728" s="28" t="s">
        <v>8624</v>
      </c>
      <c r="I728" s="28" t="s">
        <v>9177</v>
      </c>
      <c r="J728" s="28" t="s">
        <v>9265</v>
      </c>
      <c r="K728" s="28" t="s">
        <v>9266</v>
      </c>
      <c r="L728" s="28" t="s">
        <v>8665</v>
      </c>
      <c r="M728" s="28" t="s">
        <v>9267</v>
      </c>
      <c r="N728" s="28" t="s">
        <v>9268</v>
      </c>
      <c r="O728" s="28" t="s">
        <v>9269</v>
      </c>
      <c r="P728" s="28" t="s">
        <v>9270</v>
      </c>
      <c r="Q728" s="28" t="s">
        <v>9271</v>
      </c>
      <c r="R728" s="28" t="s">
        <v>9272</v>
      </c>
      <c r="S728" s="28" t="s">
        <v>9273</v>
      </c>
      <c r="T728" s="28" t="s">
        <v>9274</v>
      </c>
      <c r="U728" s="28" t="s">
        <v>9189</v>
      </c>
      <c r="V728" s="28" t="s">
        <v>9190</v>
      </c>
      <c r="W728" s="28" t="s">
        <v>9275</v>
      </c>
      <c r="X728" s="28" t="s">
        <v>9192</v>
      </c>
      <c r="Y728" s="28"/>
      <c r="Z728" s="28" t="s">
        <v>9193</v>
      </c>
      <c r="AA728" s="28" t="s">
        <v>9194</v>
      </c>
      <c r="AB728" s="28" t="n">
        <v>80</v>
      </c>
      <c r="AC728" s="28" t="s">
        <v>9226</v>
      </c>
      <c r="AD728" s="28" t="s">
        <v>9276</v>
      </c>
      <c r="AE728" s="28" t="s">
        <v>9277</v>
      </c>
      <c r="AF728" s="28" t="s">
        <v>115</v>
      </c>
      <c r="AG728" s="28" t="s">
        <v>168</v>
      </c>
      <c r="AH728" s="28" t="s">
        <v>9228</v>
      </c>
      <c r="AI728" s="28" t="n">
        <f aca="false">COUNTIF($B$2:$B$740,B728)</f>
        <v>1</v>
      </c>
    </row>
    <row r="729" customFormat="false" ht="66" hidden="false" customHeight="true" outlineLevel="0" collapsed="false">
      <c r="A729" s="28" t="n">
        <v>728</v>
      </c>
      <c r="B729" s="28" t="s">
        <v>3477</v>
      </c>
      <c r="C729" s="28" t="s">
        <v>9</v>
      </c>
      <c r="D729" s="28" t="s">
        <v>96</v>
      </c>
      <c r="E729" s="28" t="s">
        <v>8487</v>
      </c>
      <c r="F729" s="28" t="s">
        <v>58</v>
      </c>
      <c r="G729" s="28" t="s">
        <v>8593</v>
      </c>
      <c r="H729" s="28" t="s">
        <v>8624</v>
      </c>
      <c r="I729" s="28" t="s">
        <v>9177</v>
      </c>
      <c r="J729" s="28" t="s">
        <v>9278</v>
      </c>
      <c r="K729" s="28" t="s">
        <v>9279</v>
      </c>
      <c r="L729" s="28" t="s">
        <v>8628</v>
      </c>
      <c r="M729" s="28" t="s">
        <v>9280</v>
      </c>
      <c r="N729" s="28" t="s">
        <v>9281</v>
      </c>
      <c r="O729" s="28" t="s">
        <v>9282</v>
      </c>
      <c r="P729" s="28" t="s">
        <v>9283</v>
      </c>
      <c r="Q729" s="28" t="s">
        <v>9284</v>
      </c>
      <c r="R729" s="28" t="s">
        <v>9285</v>
      </c>
      <c r="S729" s="28" t="s">
        <v>9286</v>
      </c>
      <c r="T729" s="28" t="s">
        <v>9287</v>
      </c>
      <c r="U729" s="28" t="s">
        <v>9189</v>
      </c>
      <c r="V729" s="28" t="s">
        <v>9190</v>
      </c>
      <c r="W729" s="28"/>
      <c r="X729" s="28" t="s">
        <v>9192</v>
      </c>
      <c r="Y729" s="28"/>
      <c r="Z729" s="28" t="s">
        <v>9193</v>
      </c>
      <c r="AA729" s="28" t="s">
        <v>9194</v>
      </c>
      <c r="AB729" s="28" t="n">
        <v>80</v>
      </c>
      <c r="AC729" s="28" t="s">
        <v>9226</v>
      </c>
      <c r="AD729" s="28" t="s">
        <v>9288</v>
      </c>
      <c r="AE729" s="28" t="s">
        <v>9289</v>
      </c>
      <c r="AF729" s="28" t="s">
        <v>115</v>
      </c>
      <c r="AG729" s="28" t="s">
        <v>168</v>
      </c>
      <c r="AH729" s="28" t="s">
        <v>9228</v>
      </c>
      <c r="AI729" s="28" t="n">
        <f aca="false">COUNTIF($B$2:$B$740,B729)</f>
        <v>1</v>
      </c>
    </row>
    <row r="730" customFormat="false" ht="92.4" hidden="false" customHeight="true" outlineLevel="0" collapsed="false">
      <c r="A730" s="28" t="n">
        <v>729</v>
      </c>
      <c r="B730" s="28" t="s">
        <v>7179</v>
      </c>
      <c r="C730" s="28" t="s">
        <v>9</v>
      </c>
      <c r="D730" s="28" t="s">
        <v>96</v>
      </c>
      <c r="E730" s="28" t="s">
        <v>8487</v>
      </c>
      <c r="F730" s="28" t="s">
        <v>57</v>
      </c>
      <c r="G730" s="28" t="s">
        <v>57</v>
      </c>
      <c r="H730" s="28" t="s">
        <v>8624</v>
      </c>
      <c r="I730" s="28" t="s">
        <v>9177</v>
      </c>
      <c r="J730" s="28" t="s">
        <v>9290</v>
      </c>
      <c r="K730" s="28" t="s">
        <v>9291</v>
      </c>
      <c r="L730" s="28" t="s">
        <v>1183</v>
      </c>
      <c r="M730" s="28" t="s">
        <v>9292</v>
      </c>
      <c r="N730" s="28" t="s">
        <v>9293</v>
      </c>
      <c r="O730" s="28" t="s">
        <v>9294</v>
      </c>
      <c r="P730" s="28" t="s">
        <v>9295</v>
      </c>
      <c r="Q730" s="28" t="s">
        <v>9296</v>
      </c>
      <c r="R730" s="28" t="s">
        <v>9297</v>
      </c>
      <c r="S730" s="28" t="s">
        <v>9298</v>
      </c>
      <c r="T730" s="28" t="s">
        <v>9299</v>
      </c>
      <c r="U730" s="28" t="s">
        <v>9189</v>
      </c>
      <c r="V730" s="28" t="s">
        <v>9190</v>
      </c>
      <c r="W730" s="28"/>
      <c r="X730" s="28" t="s">
        <v>9192</v>
      </c>
      <c r="Y730" s="28"/>
      <c r="Z730" s="28" t="s">
        <v>9193</v>
      </c>
      <c r="AA730" s="28" t="s">
        <v>9194</v>
      </c>
      <c r="AB730" s="28" t="n">
        <v>80</v>
      </c>
      <c r="AC730" s="28" t="s">
        <v>9226</v>
      </c>
      <c r="AD730" s="28" t="s">
        <v>9300</v>
      </c>
      <c r="AE730" s="28" t="s">
        <v>9301</v>
      </c>
      <c r="AF730" s="28" t="s">
        <v>115</v>
      </c>
      <c r="AG730" s="28" t="s">
        <v>168</v>
      </c>
      <c r="AH730" s="28" t="s">
        <v>9228</v>
      </c>
      <c r="AI730" s="28" t="n">
        <f aca="false">COUNTIF($B$2:$B$740,B730)</f>
        <v>1</v>
      </c>
    </row>
    <row r="731" customFormat="false" ht="52.8" hidden="false" customHeight="true" outlineLevel="0" collapsed="false">
      <c r="A731" s="28" t="n">
        <v>730</v>
      </c>
      <c r="B731" s="28" t="s">
        <v>9302</v>
      </c>
      <c r="C731" s="28" t="s">
        <v>9</v>
      </c>
      <c r="D731" s="28" t="s">
        <v>96</v>
      </c>
      <c r="E731" s="28" t="s">
        <v>8487</v>
      </c>
      <c r="F731" s="28" t="s">
        <v>54</v>
      </c>
      <c r="G731" s="28" t="s">
        <v>9176</v>
      </c>
      <c r="H731" s="28" t="s">
        <v>8624</v>
      </c>
      <c r="I731" s="28" t="s">
        <v>9177</v>
      </c>
      <c r="J731" s="28" t="s">
        <v>9303</v>
      </c>
      <c r="K731" s="28" t="s">
        <v>9304</v>
      </c>
      <c r="L731" s="28" t="s">
        <v>1183</v>
      </c>
      <c r="M731" s="28" t="s">
        <v>9305</v>
      </c>
      <c r="N731" s="28" t="s">
        <v>9306</v>
      </c>
      <c r="O731" s="28" t="s">
        <v>9307</v>
      </c>
      <c r="P731" s="28" t="s">
        <v>9308</v>
      </c>
      <c r="Q731" s="28" t="s">
        <v>9309</v>
      </c>
      <c r="R731" s="28" t="s">
        <v>9310</v>
      </c>
      <c r="S731" s="28" t="s">
        <v>9311</v>
      </c>
      <c r="T731" s="28" t="s">
        <v>9312</v>
      </c>
      <c r="U731" s="28" t="s">
        <v>9189</v>
      </c>
      <c r="V731" s="28" t="s">
        <v>9190</v>
      </c>
      <c r="W731" s="28" t="s">
        <v>9313</v>
      </c>
      <c r="X731" s="28" t="s">
        <v>9192</v>
      </c>
      <c r="Y731" s="28"/>
      <c r="Z731" s="28" t="s">
        <v>9193</v>
      </c>
      <c r="AA731" s="28" t="s">
        <v>9194</v>
      </c>
      <c r="AB731" s="28" t="n">
        <v>80</v>
      </c>
      <c r="AC731" s="28" t="s">
        <v>9226</v>
      </c>
      <c r="AD731" s="28" t="s">
        <v>9314</v>
      </c>
      <c r="AE731" s="28" t="s">
        <v>9315</v>
      </c>
      <c r="AF731" s="28" t="s">
        <v>115</v>
      </c>
      <c r="AG731" s="28" t="s">
        <v>168</v>
      </c>
      <c r="AH731" s="28" t="s">
        <v>9228</v>
      </c>
      <c r="AI731" s="28" t="n">
        <f aca="false">COUNTIF($B$2:$B$740,B731)</f>
        <v>1</v>
      </c>
    </row>
    <row r="732" customFormat="false" ht="52.8" hidden="false" customHeight="true" outlineLevel="0" collapsed="false">
      <c r="A732" s="28" t="n">
        <v>731</v>
      </c>
      <c r="B732" s="28" t="s">
        <v>9316</v>
      </c>
      <c r="C732" s="28" t="s">
        <v>9</v>
      </c>
      <c r="D732" s="28" t="s">
        <v>96</v>
      </c>
      <c r="E732" s="28" t="s">
        <v>8487</v>
      </c>
      <c r="F732" s="28" t="s">
        <v>50</v>
      </c>
      <c r="G732" s="28" t="s">
        <v>1407</v>
      </c>
      <c r="H732" s="28" t="s">
        <v>8624</v>
      </c>
      <c r="I732" s="28" t="s">
        <v>9177</v>
      </c>
      <c r="J732" s="28" t="s">
        <v>9317</v>
      </c>
      <c r="K732" s="28" t="s">
        <v>9318</v>
      </c>
      <c r="L732" s="28" t="s">
        <v>8665</v>
      </c>
      <c r="M732" s="28" t="s">
        <v>9009</v>
      </c>
      <c r="N732" s="28" t="s">
        <v>9319</v>
      </c>
      <c r="O732" s="28" t="s">
        <v>9320</v>
      </c>
      <c r="P732" s="28" t="s">
        <v>9321</v>
      </c>
      <c r="Q732" s="28" t="s">
        <v>9322</v>
      </c>
      <c r="R732" s="28" t="s">
        <v>9323</v>
      </c>
      <c r="S732" s="28" t="s">
        <v>9324</v>
      </c>
      <c r="T732" s="28" t="s">
        <v>9325</v>
      </c>
      <c r="U732" s="28" t="s">
        <v>9189</v>
      </c>
      <c r="V732" s="28" t="s">
        <v>9190</v>
      </c>
      <c r="W732" s="28" t="s">
        <v>9326</v>
      </c>
      <c r="X732" s="28" t="s">
        <v>9192</v>
      </c>
      <c r="Y732" s="28"/>
      <c r="Z732" s="28" t="s">
        <v>9193</v>
      </c>
      <c r="AA732" s="28" t="s">
        <v>9194</v>
      </c>
      <c r="AB732" s="28" t="n">
        <v>80</v>
      </c>
      <c r="AC732" s="28" t="s">
        <v>9226</v>
      </c>
      <c r="AD732" s="28" t="s">
        <v>9327</v>
      </c>
      <c r="AE732" s="28" t="s">
        <v>9328</v>
      </c>
      <c r="AF732" s="28" t="s">
        <v>115</v>
      </c>
      <c r="AG732" s="28" t="s">
        <v>168</v>
      </c>
      <c r="AH732" s="28" t="s">
        <v>9228</v>
      </c>
      <c r="AI732" s="28" t="n">
        <f aca="false">COUNTIF($B$2:$B$740,B732)</f>
        <v>1</v>
      </c>
    </row>
    <row r="733" customFormat="false" ht="79.2" hidden="false" customHeight="true" outlineLevel="0" collapsed="false">
      <c r="A733" s="28" t="n">
        <v>732</v>
      </c>
      <c r="B733" s="28" t="s">
        <v>9329</v>
      </c>
      <c r="C733" s="28" t="s">
        <v>9</v>
      </c>
      <c r="D733" s="28" t="s">
        <v>96</v>
      </c>
      <c r="E733" s="28" t="s">
        <v>8487</v>
      </c>
      <c r="F733" s="28" t="s">
        <v>53</v>
      </c>
      <c r="G733" s="28" t="s">
        <v>9176</v>
      </c>
      <c r="H733" s="28" t="s">
        <v>8624</v>
      </c>
      <c r="I733" s="28" t="s">
        <v>9177</v>
      </c>
      <c r="J733" s="28" t="s">
        <v>9330</v>
      </c>
      <c r="K733" s="28" t="s">
        <v>9331</v>
      </c>
      <c r="L733" s="28" t="s">
        <v>1183</v>
      </c>
      <c r="M733" s="28" t="s">
        <v>9332</v>
      </c>
      <c r="N733" s="28" t="s">
        <v>9333</v>
      </c>
      <c r="O733" s="28" t="s">
        <v>9334</v>
      </c>
      <c r="P733" s="28" t="s">
        <v>9335</v>
      </c>
      <c r="Q733" s="28" t="s">
        <v>9336</v>
      </c>
      <c r="R733" s="28" t="s">
        <v>9337</v>
      </c>
      <c r="S733" s="28" t="s">
        <v>9338</v>
      </c>
      <c r="T733" s="28" t="s">
        <v>9339</v>
      </c>
      <c r="U733" s="28" t="s">
        <v>9189</v>
      </c>
      <c r="V733" s="28" t="s">
        <v>9190</v>
      </c>
      <c r="W733" s="28"/>
      <c r="X733" s="28" t="s">
        <v>9192</v>
      </c>
      <c r="Y733" s="28"/>
      <c r="Z733" s="28" t="s">
        <v>9193</v>
      </c>
      <c r="AA733" s="28" t="s">
        <v>9194</v>
      </c>
      <c r="AB733" s="28" t="n">
        <v>80</v>
      </c>
      <c r="AC733" s="28" t="s">
        <v>9226</v>
      </c>
      <c r="AD733" s="28" t="s">
        <v>9340</v>
      </c>
      <c r="AE733" s="28" t="s">
        <v>9341</v>
      </c>
      <c r="AF733" s="28" t="s">
        <v>115</v>
      </c>
      <c r="AG733" s="28" t="s">
        <v>168</v>
      </c>
      <c r="AH733" s="28" t="s">
        <v>9228</v>
      </c>
      <c r="AI733" s="28" t="n">
        <f aca="false">COUNTIF($B$2:$B$740,B733)</f>
        <v>1</v>
      </c>
    </row>
    <row r="734" customFormat="false" ht="92.4" hidden="false" customHeight="true" outlineLevel="0" collapsed="false">
      <c r="A734" s="28" t="n">
        <v>733</v>
      </c>
      <c r="B734" s="28" t="s">
        <v>3006</v>
      </c>
      <c r="C734" s="28" t="s">
        <v>9</v>
      </c>
      <c r="D734" s="28" t="s">
        <v>96</v>
      </c>
      <c r="E734" s="28" t="s">
        <v>8487</v>
      </c>
      <c r="F734" s="28" t="s">
        <v>51</v>
      </c>
      <c r="G734" s="28" t="s">
        <v>1407</v>
      </c>
      <c r="H734" s="28" t="s">
        <v>8624</v>
      </c>
      <c r="I734" s="28" t="s">
        <v>9177</v>
      </c>
      <c r="J734" s="28" t="s">
        <v>9342</v>
      </c>
      <c r="K734" s="28" t="s">
        <v>9343</v>
      </c>
      <c r="L734" s="28" t="s">
        <v>8665</v>
      </c>
      <c r="M734" s="28" t="s">
        <v>9344</v>
      </c>
      <c r="N734" s="28" t="s">
        <v>9345</v>
      </c>
      <c r="O734" s="28" t="s">
        <v>9346</v>
      </c>
      <c r="P734" s="28" t="s">
        <v>9347</v>
      </c>
      <c r="Q734" s="28" t="s">
        <v>9348</v>
      </c>
      <c r="R734" s="28" t="s">
        <v>9349</v>
      </c>
      <c r="S734" s="28" t="s">
        <v>9350</v>
      </c>
      <c r="T734" s="28" t="s">
        <v>9351</v>
      </c>
      <c r="U734" s="28" t="s">
        <v>9189</v>
      </c>
      <c r="V734" s="28" t="s">
        <v>9190</v>
      </c>
      <c r="W734" s="28"/>
      <c r="X734" s="28" t="s">
        <v>9192</v>
      </c>
      <c r="Y734" s="28"/>
      <c r="Z734" s="28" t="s">
        <v>9193</v>
      </c>
      <c r="AA734" s="28" t="s">
        <v>9194</v>
      </c>
      <c r="AB734" s="28" t="n">
        <v>80</v>
      </c>
      <c r="AC734" s="28" t="s">
        <v>9226</v>
      </c>
      <c r="AD734" s="28" t="s">
        <v>3005</v>
      </c>
      <c r="AE734" s="28" t="s">
        <v>9352</v>
      </c>
      <c r="AF734" s="28" t="s">
        <v>115</v>
      </c>
      <c r="AG734" s="28" t="s">
        <v>168</v>
      </c>
      <c r="AH734" s="28" t="s">
        <v>9228</v>
      </c>
      <c r="AI734" s="28" t="n">
        <f aca="false">COUNTIF($B$2:$B$740,B734)</f>
        <v>1</v>
      </c>
    </row>
    <row r="735" customFormat="false" ht="224.4" hidden="false" customHeight="true" outlineLevel="0" collapsed="false">
      <c r="A735" s="28" t="n">
        <v>734</v>
      </c>
      <c r="B735" s="28" t="s">
        <v>9353</v>
      </c>
      <c r="C735" s="28" t="s">
        <v>9</v>
      </c>
      <c r="D735" s="28" t="s">
        <v>96</v>
      </c>
      <c r="E735" s="28" t="s">
        <v>8487</v>
      </c>
      <c r="F735" s="28" t="s">
        <v>50</v>
      </c>
      <c r="G735" s="28" t="s">
        <v>1407</v>
      </c>
      <c r="H735" s="28" t="s">
        <v>8624</v>
      </c>
      <c r="I735" s="28" t="s">
        <v>9354</v>
      </c>
      <c r="J735" s="28" t="s">
        <v>9355</v>
      </c>
      <c r="K735" s="28" t="s">
        <v>9356</v>
      </c>
      <c r="L735" s="28" t="s">
        <v>119</v>
      </c>
      <c r="M735" s="28" t="s">
        <v>9357</v>
      </c>
      <c r="N735" s="28" t="s">
        <v>9358</v>
      </c>
      <c r="O735" s="28" t="s">
        <v>9359</v>
      </c>
      <c r="P735" s="28" t="s">
        <v>9360</v>
      </c>
      <c r="Q735" s="28" t="s">
        <v>9361</v>
      </c>
      <c r="R735" s="28" t="s">
        <v>9362</v>
      </c>
      <c r="S735" s="28" t="s">
        <v>9363</v>
      </c>
      <c r="T735" s="28" t="s">
        <v>9364</v>
      </c>
      <c r="U735" s="28" t="s">
        <v>9365</v>
      </c>
      <c r="V735" s="28" t="s">
        <v>9366</v>
      </c>
      <c r="W735" s="28" t="s">
        <v>9367</v>
      </c>
      <c r="X735" s="28" t="s">
        <v>9368</v>
      </c>
      <c r="Y735" s="28" t="s">
        <v>9369</v>
      </c>
      <c r="Z735" s="28" t="s">
        <v>9370</v>
      </c>
      <c r="AA735" s="28" t="s">
        <v>9371</v>
      </c>
      <c r="AB735" s="28" t="n">
        <v>100</v>
      </c>
      <c r="AC735" s="28" t="s">
        <v>9372</v>
      </c>
      <c r="AD735" s="28" t="s">
        <v>543</v>
      </c>
      <c r="AE735" s="28" t="s">
        <v>9373</v>
      </c>
      <c r="AF735" s="28" t="s">
        <v>115</v>
      </c>
      <c r="AG735" s="28" t="s">
        <v>168</v>
      </c>
      <c r="AH735" s="28" t="s">
        <v>545</v>
      </c>
      <c r="AI735" s="28" t="n">
        <f aca="false">COUNTIF($B$2:$B$740,B735)</f>
        <v>1</v>
      </c>
    </row>
    <row r="736" customFormat="false" ht="303.7" hidden="false" customHeight="false" outlineLevel="0" collapsed="false">
      <c r="A736" s="28" t="n">
        <v>735</v>
      </c>
      <c r="B736" s="28" t="s">
        <v>562</v>
      </c>
      <c r="C736" s="28" t="s">
        <v>9</v>
      </c>
      <c r="D736" s="28" t="s">
        <v>96</v>
      </c>
      <c r="E736" s="28" t="s">
        <v>8487</v>
      </c>
      <c r="F736" s="28" t="s">
        <v>57</v>
      </c>
      <c r="G736" s="28" t="s">
        <v>57</v>
      </c>
      <c r="H736" s="28" t="s">
        <v>8624</v>
      </c>
      <c r="I736" s="28" t="s">
        <v>1499</v>
      </c>
      <c r="J736" s="28" t="s">
        <v>9374</v>
      </c>
      <c r="K736" s="28" t="s">
        <v>9375</v>
      </c>
      <c r="L736" s="28" t="s">
        <v>9376</v>
      </c>
      <c r="M736" s="28" t="s">
        <v>9377</v>
      </c>
      <c r="N736" s="28" t="s">
        <v>9378</v>
      </c>
      <c r="O736" s="28" t="s">
        <v>9379</v>
      </c>
      <c r="P736" s="28" t="s">
        <v>9380</v>
      </c>
      <c r="Q736" s="28" t="s">
        <v>9381</v>
      </c>
      <c r="R736" s="28" t="s">
        <v>9382</v>
      </c>
      <c r="S736" s="28" t="s">
        <v>9383</v>
      </c>
      <c r="T736" s="28" t="s">
        <v>9384</v>
      </c>
      <c r="U736" s="28" t="s">
        <v>9385</v>
      </c>
      <c r="V736" s="28" t="s">
        <v>9386</v>
      </c>
      <c r="W736" s="28" t="s">
        <v>9387</v>
      </c>
      <c r="X736" s="28" t="s">
        <v>9388</v>
      </c>
      <c r="Y736" s="28" t="s">
        <v>9389</v>
      </c>
      <c r="Z736" s="28" t="s">
        <v>9390</v>
      </c>
      <c r="AA736" s="28" t="s">
        <v>9391</v>
      </c>
      <c r="AB736" s="28" t="n">
        <v>100</v>
      </c>
      <c r="AC736" s="28" t="s">
        <v>9392</v>
      </c>
      <c r="AD736" s="28" t="s">
        <v>561</v>
      </c>
      <c r="AE736" s="28" t="s">
        <v>9393</v>
      </c>
      <c r="AF736" s="28" t="s">
        <v>115</v>
      </c>
      <c r="AG736" s="28" t="s">
        <v>168</v>
      </c>
      <c r="AH736" s="28" t="s">
        <v>9394</v>
      </c>
      <c r="AI736" s="28" t="n">
        <f aca="false">COUNTIF($B$2:$B$740,B736)</f>
        <v>1</v>
      </c>
    </row>
    <row r="737" customFormat="false" ht="46.25" hidden="false" customHeight="false" outlineLevel="0" collapsed="false">
      <c r="A737" s="28" t="n">
        <v>736</v>
      </c>
      <c r="B737" s="28" t="s">
        <v>9395</v>
      </c>
      <c r="C737" s="28" t="s">
        <v>9</v>
      </c>
      <c r="D737" s="28" t="s">
        <v>96</v>
      </c>
      <c r="E737" s="28" t="s">
        <v>8487</v>
      </c>
      <c r="F737" s="28" t="s">
        <v>57</v>
      </c>
      <c r="G737" s="28" t="s">
        <v>57</v>
      </c>
      <c r="H737" s="28" t="s">
        <v>8624</v>
      </c>
      <c r="I737" s="28" t="s">
        <v>1499</v>
      </c>
      <c r="J737" s="28" t="s">
        <v>9396</v>
      </c>
      <c r="K737" s="28" t="s">
        <v>9397</v>
      </c>
      <c r="L737" s="28" t="s">
        <v>9376</v>
      </c>
      <c r="M737" s="28" t="s">
        <v>9377</v>
      </c>
      <c r="N737" s="28" t="s">
        <v>9398</v>
      </c>
      <c r="O737" s="28" t="s">
        <v>9399</v>
      </c>
      <c r="P737" s="28" t="s">
        <v>9400</v>
      </c>
      <c r="Q737" s="28" t="s">
        <v>9401</v>
      </c>
      <c r="R737" s="28" t="s">
        <v>9402</v>
      </c>
      <c r="S737" s="28" t="s">
        <v>9403</v>
      </c>
      <c r="T737" s="28" t="s">
        <v>9404</v>
      </c>
      <c r="U737" s="28" t="s">
        <v>9405</v>
      </c>
      <c r="V737" s="28" t="s">
        <v>9406</v>
      </c>
      <c r="W737" s="28" t="s">
        <v>9407</v>
      </c>
      <c r="X737" s="28" t="s">
        <v>9408</v>
      </c>
      <c r="Y737" s="28" t="s">
        <v>9409</v>
      </c>
      <c r="Z737" s="28" t="s">
        <v>9406</v>
      </c>
      <c r="AA737" s="28" t="s">
        <v>9410</v>
      </c>
      <c r="AB737" s="28" t="n">
        <v>100</v>
      </c>
      <c r="AC737" s="28" t="s">
        <v>9392</v>
      </c>
      <c r="AD737" s="28" t="s">
        <v>561</v>
      </c>
      <c r="AE737" s="28" t="s">
        <v>9411</v>
      </c>
      <c r="AF737" s="28" t="s">
        <v>115</v>
      </c>
      <c r="AG737" s="28" t="s">
        <v>168</v>
      </c>
      <c r="AH737" s="28" t="s">
        <v>9394</v>
      </c>
      <c r="AI737" s="28" t="n">
        <f aca="false">COUNTIF($B$2:$B$740,B737)</f>
        <v>1</v>
      </c>
    </row>
    <row r="738" customFormat="false" ht="102.2" hidden="false" customHeight="false" outlineLevel="0" collapsed="false">
      <c r="A738" s="28" t="n">
        <v>737</v>
      </c>
      <c r="B738" s="28" t="s">
        <v>9412</v>
      </c>
      <c r="C738" s="28" t="s">
        <v>9</v>
      </c>
      <c r="D738" s="28" t="s">
        <v>96</v>
      </c>
      <c r="E738" s="28" t="s">
        <v>8487</v>
      </c>
      <c r="F738" s="28" t="s">
        <v>57</v>
      </c>
      <c r="G738" s="28" t="s">
        <v>57</v>
      </c>
      <c r="H738" s="28" t="s">
        <v>8624</v>
      </c>
      <c r="I738" s="28" t="s">
        <v>1499</v>
      </c>
      <c r="J738" s="28" t="s">
        <v>9413</v>
      </c>
      <c r="K738" s="28" t="s">
        <v>9414</v>
      </c>
      <c r="L738" s="28" t="s">
        <v>9415</v>
      </c>
      <c r="M738" s="28" t="s">
        <v>9377</v>
      </c>
      <c r="N738" s="28" t="s">
        <v>9416</v>
      </c>
      <c r="O738" s="28" t="s">
        <v>9417</v>
      </c>
      <c r="P738" s="28" t="s">
        <v>9418</v>
      </c>
      <c r="Q738" s="28" t="s">
        <v>9419</v>
      </c>
      <c r="R738" s="28" t="s">
        <v>9420</v>
      </c>
      <c r="S738" s="28" t="s">
        <v>9421</v>
      </c>
      <c r="T738" s="28" t="s">
        <v>9422</v>
      </c>
      <c r="U738" s="28" t="s">
        <v>9423</v>
      </c>
      <c r="V738" s="28" t="s">
        <v>9424</v>
      </c>
      <c r="W738" s="28" t="s">
        <v>9425</v>
      </c>
      <c r="X738" s="28" t="s">
        <v>9426</v>
      </c>
      <c r="Y738" s="28" t="s">
        <v>9427</v>
      </c>
      <c r="Z738" s="28" t="s">
        <v>9428</v>
      </c>
      <c r="AA738" s="28" t="s">
        <v>9429</v>
      </c>
      <c r="AB738" s="28" t="n">
        <v>100</v>
      </c>
      <c r="AC738" s="28" t="s">
        <v>9392</v>
      </c>
      <c r="AD738" s="28" t="s">
        <v>561</v>
      </c>
      <c r="AE738" s="28" t="s">
        <v>9430</v>
      </c>
      <c r="AF738" s="28" t="s">
        <v>115</v>
      </c>
      <c r="AG738" s="28" t="s">
        <v>168</v>
      </c>
      <c r="AH738" s="28" t="s">
        <v>9394</v>
      </c>
      <c r="AI738" s="28" t="n">
        <f aca="false">COUNTIF($B$2:$B$740,B738)</f>
        <v>1</v>
      </c>
    </row>
    <row r="739" customFormat="false" ht="46.25" hidden="false" customHeight="false" outlineLevel="0" collapsed="false">
      <c r="A739" s="28" t="n">
        <v>738</v>
      </c>
      <c r="B739" s="28" t="s">
        <v>9431</v>
      </c>
      <c r="C739" s="28" t="s">
        <v>9</v>
      </c>
      <c r="D739" s="28" t="s">
        <v>96</v>
      </c>
      <c r="E739" s="28" t="s">
        <v>8487</v>
      </c>
      <c r="F739" s="28" t="s">
        <v>57</v>
      </c>
      <c r="G739" s="28" t="s">
        <v>57</v>
      </c>
      <c r="H739" s="28" t="s">
        <v>8624</v>
      </c>
      <c r="I739" s="28" t="s">
        <v>1499</v>
      </c>
      <c r="J739" s="28" t="s">
        <v>9432</v>
      </c>
      <c r="K739" s="28" t="s">
        <v>9433</v>
      </c>
      <c r="L739" s="28" t="s">
        <v>9376</v>
      </c>
      <c r="M739" s="28" t="s">
        <v>9434</v>
      </c>
      <c r="N739" s="28" t="s">
        <v>9435</v>
      </c>
      <c r="O739" s="28" t="s">
        <v>9436</v>
      </c>
      <c r="P739" s="28" t="s">
        <v>9437</v>
      </c>
      <c r="Q739" s="28" t="s">
        <v>9438</v>
      </c>
      <c r="R739" s="28" t="s">
        <v>9439</v>
      </c>
      <c r="S739" s="28" t="s">
        <v>9440</v>
      </c>
      <c r="T739" s="28" t="s">
        <v>9441</v>
      </c>
      <c r="U739" s="28" t="s">
        <v>9406</v>
      </c>
      <c r="V739" s="28" t="s">
        <v>9406</v>
      </c>
      <c r="W739" s="28" t="s">
        <v>9442</v>
      </c>
      <c r="X739" s="28" t="s">
        <v>9443</v>
      </c>
      <c r="Y739" s="28" t="s">
        <v>9444</v>
      </c>
      <c r="Z739" s="28" t="s">
        <v>9406</v>
      </c>
      <c r="AA739" s="28" t="s">
        <v>9445</v>
      </c>
      <c r="AB739" s="28" t="n">
        <v>100</v>
      </c>
      <c r="AC739" s="28" t="s">
        <v>9392</v>
      </c>
      <c r="AD739" s="28" t="s">
        <v>561</v>
      </c>
      <c r="AE739" s="28" t="s">
        <v>9446</v>
      </c>
      <c r="AF739" s="28" t="s">
        <v>115</v>
      </c>
      <c r="AG739" s="28" t="s">
        <v>168</v>
      </c>
      <c r="AH739" s="28" t="s">
        <v>9394</v>
      </c>
      <c r="AI739" s="28" t="n">
        <f aca="false">COUNTIF($B$2:$B$740,B739)</f>
        <v>1</v>
      </c>
    </row>
    <row r="740" customFormat="false" ht="46.25" hidden="false" customHeight="false" outlineLevel="0" collapsed="false">
      <c r="A740" s="1" t="n">
        <v>739</v>
      </c>
      <c r="B740" s="1" t="s">
        <v>9447</v>
      </c>
      <c r="C740" s="1" t="s">
        <v>9</v>
      </c>
      <c r="D740" s="1" t="s">
        <v>96</v>
      </c>
      <c r="E740" s="1" t="s">
        <v>8487</v>
      </c>
      <c r="F740" s="1" t="s">
        <v>54</v>
      </c>
      <c r="G740" s="1" t="s">
        <v>57</v>
      </c>
      <c r="H740" s="1" t="s">
        <v>8624</v>
      </c>
      <c r="I740" s="1" t="s">
        <v>9448</v>
      </c>
      <c r="J740" s="1" t="s">
        <v>9449</v>
      </c>
      <c r="K740" s="1" t="s">
        <v>9450</v>
      </c>
      <c r="L740" s="1" t="s">
        <v>9180</v>
      </c>
      <c r="M740" s="1" t="s">
        <v>9377</v>
      </c>
      <c r="N740" s="1" t="s">
        <v>9451</v>
      </c>
      <c r="O740" s="1" t="s">
        <v>9452</v>
      </c>
      <c r="P740" s="1" t="s">
        <v>9453</v>
      </c>
      <c r="Q740" s="1" t="s">
        <v>9454</v>
      </c>
      <c r="R740" s="1" t="s">
        <v>9455</v>
      </c>
      <c r="S740" s="1" t="s">
        <v>9456</v>
      </c>
      <c r="T740" s="1" t="s">
        <v>9457</v>
      </c>
      <c r="U740" s="1" t="s">
        <v>9458</v>
      </c>
      <c r="V740" s="1" t="s">
        <v>9459</v>
      </c>
      <c r="W740" s="1" t="s">
        <v>9460</v>
      </c>
      <c r="X740" s="1" t="s">
        <v>9461</v>
      </c>
      <c r="Y740" s="1" t="s">
        <v>9462</v>
      </c>
      <c r="Z740" s="1" t="s">
        <v>9463</v>
      </c>
      <c r="AA740" s="1" t="s">
        <v>9464</v>
      </c>
      <c r="AB740" s="1" t="n">
        <v>110</v>
      </c>
      <c r="AC740" s="1" t="s">
        <v>9465</v>
      </c>
      <c r="AD740" s="1" t="s">
        <v>9466</v>
      </c>
      <c r="AE740" s="29" t="s">
        <v>9467</v>
      </c>
      <c r="AF740" s="1" t="s">
        <v>115</v>
      </c>
      <c r="AG740" s="1" t="s">
        <v>168</v>
      </c>
      <c r="AH740" s="1" t="s">
        <v>9468</v>
      </c>
      <c r="AI740" s="1" t="n">
        <f aca="false">COUNTIF($B$2:$B$740,B740)</f>
        <v>1</v>
      </c>
    </row>
  </sheetData>
  <conditionalFormatting sqref="C2:C688">
    <cfRule type="containsText" priority="2" operator="containsText" aboveAverage="0" equalAverage="0" bottom="0" percent="0" rank="0" text="Активно" dxfId="11">
      <formula>NOT(ISERROR(SEARCH("Активно",C2)))</formula>
    </cfRule>
    <cfRule type="containsText" priority="3" operator="containsText" aboveAverage="0" equalAverage="0" bottom="0" percent="0" rank="0" text="Не автоматизируется" dxfId="12">
      <formula>NOT(ISERROR(SEARCH("Не автоматизируется",C2)))</formula>
    </cfRule>
  </conditionalFormatting>
  <conditionalFormatting sqref="AG2:AH688">
    <cfRule type="containsText" priority="4" operator="containsText" aboveAverage="0" equalAverage="0" bottom="0" percent="0" rank="0" text="Да" dxfId="13">
      <formula>NOT(ISERROR(SEARCH("Да",AG2)))</formula>
    </cfRule>
  </conditionalFormatting>
  <conditionalFormatting sqref="AI2:AI688">
    <cfRule type="expression" priority="5" aboveAverage="0" equalAverage="0" bottom="0" percent="0" rank="0" text="" dxfId="14">
      <formula>AI2&lt;&gt;1</formula>
    </cfRule>
  </conditionalFormatting>
  <conditionalFormatting sqref="C689:C696">
    <cfRule type="containsText" priority="6" operator="containsText" aboveAverage="0" equalAverage="0" bottom="0" percent="0" rank="0" text="Активно" dxfId="15">
      <formula>NOT(ISERROR(SEARCH("Активно",C689)))</formula>
    </cfRule>
  </conditionalFormatting>
  <conditionalFormatting sqref="AI689:AI696">
    <cfRule type="cellIs" priority="7" operator="equal" aboveAverage="0" equalAverage="0" bottom="0" percent="0" rank="0" text="" dxfId="16">
      <formula>1</formula>
    </cfRule>
    <cfRule type="cellIs" priority="8" operator="notEqual" aboveAverage="0" equalAverage="0" bottom="0" percent="0" rank="0" text="" dxfId="17">
      <formula>1</formula>
    </cfRule>
  </conditionalFormatting>
  <conditionalFormatting sqref="C697:C721">
    <cfRule type="containsText" priority="9" operator="containsText" aboveAverage="0" equalAverage="0" bottom="0" percent="0" rank="0" text="Активно" dxfId="18">
      <formula>NOT(ISERROR(SEARCH("Активно",C697)))</formula>
    </cfRule>
  </conditionalFormatting>
  <conditionalFormatting sqref="AI697:AI721">
    <cfRule type="cellIs" priority="10" operator="equal" aboveAverage="0" equalAverage="0" bottom="0" percent="0" rank="0" text="" dxfId="19">
      <formula>1</formula>
    </cfRule>
    <cfRule type="cellIs" priority="11" operator="notEqual" aboveAverage="0" equalAverage="0" bottom="0" percent="0" rank="0" text="" dxfId="20">
      <formula>1</formula>
    </cfRule>
  </conditionalFormatting>
  <conditionalFormatting sqref="C735">
    <cfRule type="containsText" priority="12" operator="containsText" aboveAverage="0" equalAverage="0" bottom="0" percent="0" rank="0" text="Активно" dxfId="21">
      <formula>NOT(ISERROR(SEARCH("Активно",C735)))</formula>
    </cfRule>
  </conditionalFormatting>
  <conditionalFormatting sqref="AI735">
    <cfRule type="cellIs" priority="13" operator="equal" aboveAverage="0" equalAverage="0" bottom="0" percent="0" rank="0" text="" dxfId="22">
      <formula>1</formula>
    </cfRule>
    <cfRule type="cellIs" priority="14" operator="notEqual" aboveAverage="0" equalAverage="0" bottom="0" percent="0" rank="0" text="" dxfId="23">
      <formula>1</formula>
    </cfRule>
  </conditionalFormatting>
  <dataValidations count="8">
    <dataValidation allowBlank="false" errorStyle="stop" operator="between" showDropDown="false" showErrorMessage="false" showInputMessage="false" sqref="C2:C688" type="list">
      <formula1>"Активно,Не автоматизируется"</formula1>
      <formula2>0</formula2>
    </dataValidation>
    <dataValidation allowBlank="false" errorStyle="stop" operator="between" showDropDown="false" showErrorMessage="false" showInputMessage="false" sqref="D2:D688" type="list">
      <formula1>"Реализовать в игровом ядре,Не реализовывать в Windows-приложении"</formula1>
      <formula2>0</formula2>
    </dataValidation>
    <dataValidation allowBlank="false" errorStyle="stop" operator="between" showDropDown="false" showErrorMessage="false" showInputMessage="false" sqref="C689:C696" type="list">
      <formula1>"Активно,Не автоматизируется"</formula1>
      <formula2>0</formula2>
    </dataValidation>
    <dataValidation allowBlank="false" errorStyle="stop" operator="between" showDropDown="false" showErrorMessage="false" showInputMessage="false" sqref="D689:D696" type="list">
      <formula1>"Реализовать в игровом ядре,Не реализовывать в Windows-приложении"</formula1>
      <formula2>0</formula2>
    </dataValidation>
    <dataValidation allowBlank="false" errorStyle="stop" operator="between" showDropDown="false" showErrorMessage="false" showInputMessage="false" sqref="C697:C721" type="list">
      <formula1>"Активно,Не автоматизируется"</formula1>
      <formula2>0</formula2>
    </dataValidation>
    <dataValidation allowBlank="false" errorStyle="stop" operator="between" showDropDown="false" showErrorMessage="false" showInputMessage="false" sqref="D697:D721" type="list">
      <formula1>"Реализовать в игровом ядре,Не реализовывать в Windows-приложении"</formula1>
      <formula2>0</formula2>
    </dataValidation>
    <dataValidation allowBlank="false" errorStyle="stop" operator="between" showDropDown="false" showErrorMessage="false" showInputMessage="false" sqref="C735" type="list">
      <formula1>"Активно,Не автоматизируется"</formula1>
      <formula2>0</formula2>
    </dataValidation>
    <dataValidation allowBlank="false" errorStyle="stop" operator="between" showDropDown="false" showErrorMessage="false" showInputMessage="false" sqref="D735" type="list">
      <formula1>"Реализовать в игровом ядре,Не реализовывать в Windows-приложении"</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28"/>
    <col collapsed="false" customWidth="true" hidden="false" outlineLevel="0" max="4" min="4" style="1" width="25"/>
    <col collapsed="false" customWidth="true" hidden="false" outlineLevel="0" max="5" min="5" style="1" width="30"/>
    <col collapsed="false" customWidth="true" hidden="false" outlineLevel="0" max="6" min="6" style="1" width="100"/>
    <col collapsed="false" customWidth="true" hidden="false" outlineLevel="0" max="7" min="7" style="1" width="22"/>
    <col collapsed="false" customWidth="true" hidden="false" outlineLevel="0" max="8" min="8" style="1" width="14"/>
  </cols>
  <sheetData>
    <row r="1" customFormat="false" ht="36" hidden="false" customHeight="true" outlineLevel="0" collapsed="false">
      <c r="A1" s="4" t="s">
        <v>9469</v>
      </c>
      <c r="B1" s="5" t="s">
        <v>61</v>
      </c>
      <c r="C1" s="5" t="s">
        <v>66</v>
      </c>
      <c r="D1" s="5" t="s">
        <v>48</v>
      </c>
      <c r="E1" s="5" t="s">
        <v>9470</v>
      </c>
      <c r="F1" s="5" t="s">
        <v>9471</v>
      </c>
      <c r="G1" s="5" t="s">
        <v>9472</v>
      </c>
      <c r="H1" s="6" t="s">
        <v>87</v>
      </c>
    </row>
    <row r="2" customFormat="false" ht="54" hidden="false" customHeight="true" outlineLevel="0" collapsed="false">
      <c r="A2" s="30" t="s">
        <v>9473</v>
      </c>
      <c r="B2" s="30" t="s">
        <v>95</v>
      </c>
      <c r="C2" s="31" t="s">
        <v>98</v>
      </c>
      <c r="D2" s="31" t="s">
        <v>59</v>
      </c>
      <c r="E2" s="31" t="s">
        <v>82</v>
      </c>
      <c r="F2" s="31" t="s">
        <v>107</v>
      </c>
      <c r="G2" s="31" t="s">
        <v>9</v>
      </c>
      <c r="H2" s="31" t="n">
        <v>10</v>
      </c>
    </row>
    <row r="3" customFormat="false" ht="54" hidden="false" customHeight="true" outlineLevel="0" collapsed="false">
      <c r="A3" s="32" t="s">
        <v>9474</v>
      </c>
      <c r="B3" s="32" t="s">
        <v>95</v>
      </c>
      <c r="C3" s="33" t="s">
        <v>98</v>
      </c>
      <c r="D3" s="33" t="s">
        <v>59</v>
      </c>
      <c r="E3" s="33" t="s">
        <v>82</v>
      </c>
      <c r="F3" s="33" t="s">
        <v>109</v>
      </c>
      <c r="G3" s="33" t="s">
        <v>9</v>
      </c>
      <c r="H3" s="33" t="n">
        <v>10</v>
      </c>
    </row>
    <row r="4" customFormat="false" ht="54" hidden="false" customHeight="true" outlineLevel="0" collapsed="false">
      <c r="A4" s="32" t="s">
        <v>9475</v>
      </c>
      <c r="B4" s="32" t="s">
        <v>116</v>
      </c>
      <c r="C4" s="33" t="s">
        <v>98</v>
      </c>
      <c r="D4" s="33" t="s">
        <v>59</v>
      </c>
      <c r="E4" s="33" t="s">
        <v>82</v>
      </c>
      <c r="F4" s="33" t="s">
        <v>123</v>
      </c>
      <c r="G4" s="33" t="s">
        <v>9</v>
      </c>
      <c r="H4" s="33" t="n">
        <v>10</v>
      </c>
    </row>
    <row r="5" customFormat="false" ht="54" hidden="false" customHeight="true" outlineLevel="0" collapsed="false">
      <c r="A5" s="32" t="s">
        <v>9476</v>
      </c>
      <c r="B5" s="32" t="s">
        <v>130</v>
      </c>
      <c r="C5" s="33" t="s">
        <v>98</v>
      </c>
      <c r="D5" s="33" t="s">
        <v>59</v>
      </c>
      <c r="E5" s="33" t="s">
        <v>82</v>
      </c>
      <c r="F5" s="33" t="s">
        <v>107</v>
      </c>
      <c r="G5" s="33" t="s">
        <v>9</v>
      </c>
      <c r="H5" s="33" t="n">
        <v>10</v>
      </c>
    </row>
    <row r="6" customFormat="false" ht="54" hidden="false" customHeight="true" outlineLevel="0" collapsed="false">
      <c r="A6" s="32" t="s">
        <v>9477</v>
      </c>
      <c r="B6" s="32" t="s">
        <v>130</v>
      </c>
      <c r="C6" s="33" t="s">
        <v>98</v>
      </c>
      <c r="D6" s="33" t="s">
        <v>59</v>
      </c>
      <c r="E6" s="33" t="s">
        <v>82</v>
      </c>
      <c r="F6" s="33" t="s">
        <v>136</v>
      </c>
      <c r="G6" s="33" t="s">
        <v>9</v>
      </c>
      <c r="H6" s="33" t="n">
        <v>10</v>
      </c>
    </row>
    <row r="7" customFormat="false" ht="54" hidden="false" customHeight="true" outlineLevel="0" collapsed="false">
      <c r="A7" s="32" t="s">
        <v>9478</v>
      </c>
      <c r="B7" s="32" t="s">
        <v>142</v>
      </c>
      <c r="C7" s="33" t="s">
        <v>98</v>
      </c>
      <c r="D7" s="33" t="s">
        <v>59</v>
      </c>
      <c r="E7" s="33" t="s">
        <v>82</v>
      </c>
      <c r="F7" s="33" t="s">
        <v>147</v>
      </c>
      <c r="G7" s="33" t="s">
        <v>9</v>
      </c>
      <c r="H7" s="33" t="n">
        <v>10</v>
      </c>
    </row>
    <row r="8" customFormat="false" ht="54" hidden="false" customHeight="true" outlineLevel="0" collapsed="false">
      <c r="A8" s="32" t="s">
        <v>9479</v>
      </c>
      <c r="B8" s="32" t="s">
        <v>142</v>
      </c>
      <c r="C8" s="33" t="s">
        <v>98</v>
      </c>
      <c r="D8" s="33" t="s">
        <v>59</v>
      </c>
      <c r="E8" s="33" t="s">
        <v>82</v>
      </c>
      <c r="F8" s="33" t="s">
        <v>149</v>
      </c>
      <c r="G8" s="33" t="s">
        <v>9</v>
      </c>
      <c r="H8" s="33" t="n">
        <v>10</v>
      </c>
    </row>
    <row r="9" customFormat="false" ht="54" hidden="false" customHeight="true" outlineLevel="0" collapsed="false">
      <c r="A9" s="32" t="s">
        <v>9480</v>
      </c>
      <c r="B9" s="32" t="s">
        <v>154</v>
      </c>
      <c r="C9" s="33" t="s">
        <v>98</v>
      </c>
      <c r="D9" s="33" t="s">
        <v>59</v>
      </c>
      <c r="E9" s="33" t="s">
        <v>82</v>
      </c>
      <c r="F9" s="33" t="s">
        <v>147</v>
      </c>
      <c r="G9" s="33" t="s">
        <v>9</v>
      </c>
      <c r="H9" s="33" t="n">
        <v>10</v>
      </c>
    </row>
    <row r="10" customFormat="false" ht="54" hidden="false" customHeight="true" outlineLevel="0" collapsed="false">
      <c r="A10" s="32" t="s">
        <v>9481</v>
      </c>
      <c r="B10" s="32" t="s">
        <v>154</v>
      </c>
      <c r="C10" s="33" t="s">
        <v>98</v>
      </c>
      <c r="D10" s="33" t="s">
        <v>59</v>
      </c>
      <c r="E10" s="33" t="s">
        <v>82</v>
      </c>
      <c r="F10" s="33" t="s">
        <v>9482</v>
      </c>
      <c r="G10" s="33" t="s">
        <v>9</v>
      </c>
      <c r="H10" s="33" t="n">
        <v>10</v>
      </c>
    </row>
    <row r="11" customFormat="false" ht="54" hidden="false" customHeight="true" outlineLevel="0" collapsed="false">
      <c r="A11" s="32" t="s">
        <v>9483</v>
      </c>
      <c r="B11" s="32" t="s">
        <v>170</v>
      </c>
      <c r="C11" s="33" t="s">
        <v>98</v>
      </c>
      <c r="D11" s="33" t="s">
        <v>59</v>
      </c>
      <c r="E11" s="33" t="s">
        <v>80</v>
      </c>
      <c r="F11" s="33" t="s">
        <v>183</v>
      </c>
      <c r="G11" s="33" t="s">
        <v>9</v>
      </c>
      <c r="H11" s="33" t="n">
        <v>10</v>
      </c>
    </row>
    <row r="12" customFormat="false" ht="54" hidden="false" customHeight="true" outlineLevel="0" collapsed="false">
      <c r="A12" s="32" t="s">
        <v>9484</v>
      </c>
      <c r="B12" s="32" t="s">
        <v>170</v>
      </c>
      <c r="C12" s="33" t="s">
        <v>98</v>
      </c>
      <c r="D12" s="33" t="s">
        <v>59</v>
      </c>
      <c r="E12" s="33" t="s">
        <v>80</v>
      </c>
      <c r="F12" s="33" t="s">
        <v>9485</v>
      </c>
      <c r="G12" s="33" t="s">
        <v>9</v>
      </c>
      <c r="H12" s="33" t="n">
        <v>10</v>
      </c>
    </row>
    <row r="13" customFormat="false" ht="54" hidden="false" customHeight="true" outlineLevel="0" collapsed="false">
      <c r="A13" s="32" t="s">
        <v>9486</v>
      </c>
      <c r="B13" s="32" t="s">
        <v>170</v>
      </c>
      <c r="C13" s="33" t="s">
        <v>98</v>
      </c>
      <c r="D13" s="33" t="s">
        <v>59</v>
      </c>
      <c r="E13" s="33" t="s">
        <v>80</v>
      </c>
      <c r="F13" s="33" t="s">
        <v>9487</v>
      </c>
      <c r="G13" s="33" t="s">
        <v>9</v>
      </c>
      <c r="H13" s="33" t="n">
        <v>10</v>
      </c>
    </row>
    <row r="14" customFormat="false" ht="54" hidden="false" customHeight="true" outlineLevel="0" collapsed="false">
      <c r="A14" s="32" t="s">
        <v>9488</v>
      </c>
      <c r="B14" s="32" t="s">
        <v>170</v>
      </c>
      <c r="C14" s="33" t="s">
        <v>98</v>
      </c>
      <c r="D14" s="33" t="s">
        <v>59</v>
      </c>
      <c r="E14" s="33" t="s">
        <v>82</v>
      </c>
      <c r="F14" s="33" t="s">
        <v>182</v>
      </c>
      <c r="G14" s="33" t="s">
        <v>9</v>
      </c>
      <c r="H14" s="33" t="n">
        <v>10</v>
      </c>
    </row>
    <row r="15" customFormat="false" ht="54" hidden="false" customHeight="true" outlineLevel="0" collapsed="false">
      <c r="A15" s="32" t="s">
        <v>9489</v>
      </c>
      <c r="B15" s="32" t="s">
        <v>170</v>
      </c>
      <c r="C15" s="33" t="s">
        <v>98</v>
      </c>
      <c r="D15" s="33" t="s">
        <v>59</v>
      </c>
      <c r="E15" s="33" t="s">
        <v>84</v>
      </c>
      <c r="F15" s="33" t="s">
        <v>183</v>
      </c>
      <c r="G15" s="33" t="s">
        <v>9</v>
      </c>
      <c r="H15" s="33" t="n">
        <v>10</v>
      </c>
    </row>
    <row r="16" customFormat="false" ht="54" hidden="false" customHeight="true" outlineLevel="0" collapsed="false">
      <c r="A16" s="32" t="s">
        <v>9490</v>
      </c>
      <c r="B16" s="32" t="s">
        <v>186</v>
      </c>
      <c r="C16" s="33" t="s">
        <v>98</v>
      </c>
      <c r="D16" s="33" t="s">
        <v>59</v>
      </c>
      <c r="E16" s="33" t="s">
        <v>80</v>
      </c>
      <c r="F16" s="33" t="s">
        <v>195</v>
      </c>
      <c r="G16" s="33" t="s">
        <v>9</v>
      </c>
      <c r="H16" s="33" t="n">
        <v>10</v>
      </c>
    </row>
    <row r="17" customFormat="false" ht="54" hidden="false" customHeight="true" outlineLevel="0" collapsed="false">
      <c r="A17" s="32" t="s">
        <v>9491</v>
      </c>
      <c r="B17" s="32" t="s">
        <v>197</v>
      </c>
      <c r="C17" s="33" t="s">
        <v>98</v>
      </c>
      <c r="D17" s="33" t="s">
        <v>59</v>
      </c>
      <c r="E17" s="33" t="s">
        <v>80</v>
      </c>
      <c r="F17" s="33" t="s">
        <v>200</v>
      </c>
      <c r="G17" s="33" t="s">
        <v>9</v>
      </c>
      <c r="H17" s="33" t="n">
        <v>10</v>
      </c>
    </row>
    <row r="18" customFormat="false" ht="54" hidden="false" customHeight="true" outlineLevel="0" collapsed="false">
      <c r="A18" s="32" t="s">
        <v>9492</v>
      </c>
      <c r="B18" s="32" t="s">
        <v>197</v>
      </c>
      <c r="C18" s="33" t="s">
        <v>98</v>
      </c>
      <c r="D18" s="33" t="s">
        <v>59</v>
      </c>
      <c r="E18" s="33" t="s">
        <v>80</v>
      </c>
      <c r="F18" s="33" t="s">
        <v>9493</v>
      </c>
      <c r="G18" s="33" t="s">
        <v>9</v>
      </c>
      <c r="H18" s="33" t="n">
        <v>10</v>
      </c>
    </row>
    <row r="19" customFormat="false" ht="54" hidden="false" customHeight="true" outlineLevel="0" collapsed="false">
      <c r="A19" s="32" t="s">
        <v>9494</v>
      </c>
      <c r="B19" s="32" t="s">
        <v>197</v>
      </c>
      <c r="C19" s="33" t="s">
        <v>98</v>
      </c>
      <c r="D19" s="33" t="s">
        <v>59</v>
      </c>
      <c r="E19" s="33" t="s">
        <v>80</v>
      </c>
      <c r="F19" s="33" t="s">
        <v>205</v>
      </c>
      <c r="G19" s="33" t="s">
        <v>9</v>
      </c>
      <c r="H19" s="33" t="n">
        <v>10</v>
      </c>
    </row>
    <row r="20" customFormat="false" ht="54" hidden="false" customHeight="true" outlineLevel="0" collapsed="false">
      <c r="A20" s="32" t="s">
        <v>9495</v>
      </c>
      <c r="B20" s="32" t="s">
        <v>208</v>
      </c>
      <c r="C20" s="33" t="s">
        <v>98</v>
      </c>
      <c r="D20" s="33" t="s">
        <v>59</v>
      </c>
      <c r="E20" s="33" t="s">
        <v>80</v>
      </c>
      <c r="F20" s="33" t="s">
        <v>183</v>
      </c>
      <c r="G20" s="33" t="s">
        <v>12</v>
      </c>
      <c r="H20" s="33" t="n">
        <v>10</v>
      </c>
    </row>
    <row r="21" customFormat="false" ht="54" hidden="false" customHeight="true" outlineLevel="0" collapsed="false">
      <c r="A21" s="32" t="s">
        <v>9496</v>
      </c>
      <c r="B21" s="32" t="s">
        <v>208</v>
      </c>
      <c r="C21" s="33" t="s">
        <v>98</v>
      </c>
      <c r="D21" s="33" t="s">
        <v>59</v>
      </c>
      <c r="E21" s="33" t="s">
        <v>80</v>
      </c>
      <c r="F21" s="33" t="s">
        <v>9497</v>
      </c>
      <c r="G21" s="33" t="s">
        <v>12</v>
      </c>
      <c r="H21" s="33" t="n">
        <v>10</v>
      </c>
    </row>
    <row r="22" customFormat="false" ht="54" hidden="false" customHeight="true" outlineLevel="0" collapsed="false">
      <c r="A22" s="32" t="s">
        <v>9498</v>
      </c>
      <c r="B22" s="32" t="s">
        <v>208</v>
      </c>
      <c r="C22" s="33" t="s">
        <v>98</v>
      </c>
      <c r="D22" s="33" t="s">
        <v>59</v>
      </c>
      <c r="E22" s="33" t="s">
        <v>81</v>
      </c>
      <c r="F22" s="33" t="s">
        <v>216</v>
      </c>
      <c r="G22" s="33" t="s">
        <v>12</v>
      </c>
      <c r="H22" s="33" t="n">
        <v>10</v>
      </c>
    </row>
    <row r="23" customFormat="false" ht="54" hidden="false" customHeight="true" outlineLevel="0" collapsed="false">
      <c r="A23" s="32" t="s">
        <v>9499</v>
      </c>
      <c r="B23" s="32" t="s">
        <v>208</v>
      </c>
      <c r="C23" s="33" t="s">
        <v>98</v>
      </c>
      <c r="D23" s="33" t="s">
        <v>59</v>
      </c>
      <c r="E23" s="33" t="s">
        <v>81</v>
      </c>
      <c r="F23" s="33" t="s">
        <v>223</v>
      </c>
      <c r="G23" s="33" t="s">
        <v>12</v>
      </c>
      <c r="H23" s="33" t="n">
        <v>10</v>
      </c>
    </row>
    <row r="24" customFormat="false" ht="54" hidden="false" customHeight="true" outlineLevel="0" collapsed="false">
      <c r="A24" s="32" t="s">
        <v>9500</v>
      </c>
      <c r="B24" s="32" t="s">
        <v>208</v>
      </c>
      <c r="C24" s="33" t="s">
        <v>98</v>
      </c>
      <c r="D24" s="33" t="s">
        <v>59</v>
      </c>
      <c r="E24" s="33" t="s">
        <v>81</v>
      </c>
      <c r="F24" s="33" t="s">
        <v>219</v>
      </c>
      <c r="G24" s="33" t="s">
        <v>12</v>
      </c>
      <c r="H24" s="33" t="n">
        <v>10</v>
      </c>
    </row>
    <row r="25" customFormat="false" ht="54" hidden="false" customHeight="true" outlineLevel="0" collapsed="false">
      <c r="A25" s="32" t="s">
        <v>9501</v>
      </c>
      <c r="B25" s="32" t="s">
        <v>208</v>
      </c>
      <c r="C25" s="33" t="s">
        <v>98</v>
      </c>
      <c r="D25" s="33" t="s">
        <v>59</v>
      </c>
      <c r="E25" s="33" t="s">
        <v>82</v>
      </c>
      <c r="F25" s="33" t="s">
        <v>223</v>
      </c>
      <c r="G25" s="33" t="s">
        <v>12</v>
      </c>
      <c r="H25" s="33" t="n">
        <v>10</v>
      </c>
    </row>
    <row r="26" customFormat="false" ht="54" hidden="false" customHeight="true" outlineLevel="0" collapsed="false">
      <c r="A26" s="32" t="s">
        <v>9502</v>
      </c>
      <c r="B26" s="32" t="s">
        <v>208</v>
      </c>
      <c r="C26" s="33" t="s">
        <v>98</v>
      </c>
      <c r="D26" s="33" t="s">
        <v>59</v>
      </c>
      <c r="E26" s="33" t="s">
        <v>84</v>
      </c>
      <c r="F26" s="33" t="s">
        <v>217</v>
      </c>
      <c r="G26" s="33" t="s">
        <v>12</v>
      </c>
      <c r="H26" s="33" t="n">
        <v>10</v>
      </c>
    </row>
    <row r="27" customFormat="false" ht="54" hidden="false" customHeight="true" outlineLevel="0" collapsed="false">
      <c r="A27" s="32" t="s">
        <v>9503</v>
      </c>
      <c r="B27" s="32" t="s">
        <v>208</v>
      </c>
      <c r="C27" s="33" t="s">
        <v>98</v>
      </c>
      <c r="D27" s="33" t="s">
        <v>59</v>
      </c>
      <c r="E27" s="33" t="s">
        <v>84</v>
      </c>
      <c r="F27" s="33" t="s">
        <v>183</v>
      </c>
      <c r="G27" s="33" t="s">
        <v>12</v>
      </c>
      <c r="H27" s="33" t="n">
        <v>10</v>
      </c>
    </row>
    <row r="28" customFormat="false" ht="54" hidden="false" customHeight="true" outlineLevel="0" collapsed="false">
      <c r="A28" s="32" t="s">
        <v>9504</v>
      </c>
      <c r="B28" s="32" t="s">
        <v>208</v>
      </c>
      <c r="C28" s="33" t="s">
        <v>98</v>
      </c>
      <c r="D28" s="33" t="s">
        <v>59</v>
      </c>
      <c r="E28" s="33" t="s">
        <v>84</v>
      </c>
      <c r="F28" s="33" t="s">
        <v>9505</v>
      </c>
      <c r="G28" s="33" t="s">
        <v>12</v>
      </c>
      <c r="H28" s="33" t="n">
        <v>10</v>
      </c>
    </row>
    <row r="29" customFormat="false" ht="54" hidden="false" customHeight="true" outlineLevel="0" collapsed="false">
      <c r="A29" s="32" t="s">
        <v>9506</v>
      </c>
      <c r="B29" s="32" t="s">
        <v>208</v>
      </c>
      <c r="C29" s="33" t="s">
        <v>98</v>
      </c>
      <c r="D29" s="33" t="s">
        <v>59</v>
      </c>
      <c r="E29" s="33" t="s">
        <v>86</v>
      </c>
      <c r="F29" s="33" t="s">
        <v>223</v>
      </c>
      <c r="G29" s="33" t="s">
        <v>12</v>
      </c>
      <c r="H29" s="33" t="n">
        <v>10</v>
      </c>
    </row>
    <row r="30" customFormat="false" ht="54" hidden="false" customHeight="true" outlineLevel="0" collapsed="false">
      <c r="A30" s="32" t="s">
        <v>9507</v>
      </c>
      <c r="B30" s="32" t="s">
        <v>229</v>
      </c>
      <c r="C30" s="33" t="s">
        <v>98</v>
      </c>
      <c r="D30" s="33" t="s">
        <v>59</v>
      </c>
      <c r="E30" s="33" t="s">
        <v>80</v>
      </c>
      <c r="F30" s="33" t="s">
        <v>236</v>
      </c>
      <c r="G30" s="33" t="s">
        <v>9</v>
      </c>
      <c r="H30" s="33" t="n">
        <v>10</v>
      </c>
    </row>
    <row r="31" customFormat="false" ht="54" hidden="false" customHeight="true" outlineLevel="0" collapsed="false">
      <c r="A31" s="32" t="s">
        <v>9508</v>
      </c>
      <c r="B31" s="32" t="s">
        <v>229</v>
      </c>
      <c r="C31" s="33" t="s">
        <v>98</v>
      </c>
      <c r="D31" s="33" t="s">
        <v>59</v>
      </c>
      <c r="E31" s="33" t="s">
        <v>80</v>
      </c>
      <c r="F31" s="33" t="s">
        <v>9509</v>
      </c>
      <c r="G31" s="33" t="s">
        <v>9</v>
      </c>
      <c r="H31" s="33" t="n">
        <v>10</v>
      </c>
    </row>
    <row r="32" customFormat="false" ht="54" hidden="false" customHeight="true" outlineLevel="0" collapsed="false">
      <c r="A32" s="32" t="s">
        <v>9510</v>
      </c>
      <c r="B32" s="32" t="s">
        <v>229</v>
      </c>
      <c r="C32" s="33" t="s">
        <v>98</v>
      </c>
      <c r="D32" s="33" t="s">
        <v>59</v>
      </c>
      <c r="E32" s="33" t="s">
        <v>80</v>
      </c>
      <c r="F32" s="33" t="s">
        <v>9511</v>
      </c>
      <c r="G32" s="33" t="s">
        <v>9</v>
      </c>
      <c r="H32" s="33" t="n">
        <v>10</v>
      </c>
    </row>
    <row r="33" customFormat="false" ht="54" hidden="false" customHeight="true" outlineLevel="0" collapsed="false">
      <c r="A33" s="32" t="s">
        <v>9512</v>
      </c>
      <c r="B33" s="32" t="s">
        <v>229</v>
      </c>
      <c r="C33" s="33" t="s">
        <v>98</v>
      </c>
      <c r="D33" s="33" t="s">
        <v>59</v>
      </c>
      <c r="E33" s="33" t="s">
        <v>80</v>
      </c>
      <c r="F33" s="33" t="s">
        <v>238</v>
      </c>
      <c r="G33" s="33" t="s">
        <v>9</v>
      </c>
      <c r="H33" s="33" t="n">
        <v>10</v>
      </c>
    </row>
    <row r="34" customFormat="false" ht="54" hidden="false" customHeight="true" outlineLevel="0" collapsed="false">
      <c r="A34" s="32" t="s">
        <v>9513</v>
      </c>
      <c r="B34" s="32" t="s">
        <v>229</v>
      </c>
      <c r="C34" s="33" t="s">
        <v>98</v>
      </c>
      <c r="D34" s="33" t="s">
        <v>59</v>
      </c>
      <c r="E34" s="33" t="s">
        <v>82</v>
      </c>
      <c r="F34" s="33" t="s">
        <v>9509</v>
      </c>
      <c r="G34" s="33" t="s">
        <v>9</v>
      </c>
      <c r="H34" s="33" t="n">
        <v>10</v>
      </c>
    </row>
    <row r="35" customFormat="false" ht="54" hidden="false" customHeight="true" outlineLevel="0" collapsed="false">
      <c r="A35" s="32" t="s">
        <v>9514</v>
      </c>
      <c r="B35" s="32" t="s">
        <v>229</v>
      </c>
      <c r="C35" s="33" t="s">
        <v>98</v>
      </c>
      <c r="D35" s="33" t="s">
        <v>59</v>
      </c>
      <c r="E35" s="33" t="s">
        <v>82</v>
      </c>
      <c r="F35" s="33" t="s">
        <v>9511</v>
      </c>
      <c r="G35" s="33" t="s">
        <v>9</v>
      </c>
      <c r="H35" s="33" t="n">
        <v>10</v>
      </c>
    </row>
    <row r="36" customFormat="false" ht="54" hidden="false" customHeight="true" outlineLevel="0" collapsed="false">
      <c r="A36" s="32" t="s">
        <v>9515</v>
      </c>
      <c r="B36" s="32" t="s">
        <v>229</v>
      </c>
      <c r="C36" s="33" t="s">
        <v>98</v>
      </c>
      <c r="D36" s="33" t="s">
        <v>59</v>
      </c>
      <c r="E36" s="33" t="s">
        <v>84</v>
      </c>
      <c r="F36" s="33" t="s">
        <v>9509</v>
      </c>
      <c r="G36" s="33" t="s">
        <v>9</v>
      </c>
      <c r="H36" s="33" t="n">
        <v>10</v>
      </c>
    </row>
    <row r="37" customFormat="false" ht="54" hidden="false" customHeight="true" outlineLevel="0" collapsed="false">
      <c r="A37" s="32" t="s">
        <v>9516</v>
      </c>
      <c r="B37" s="32" t="s">
        <v>229</v>
      </c>
      <c r="C37" s="33" t="s">
        <v>98</v>
      </c>
      <c r="D37" s="33" t="s">
        <v>59</v>
      </c>
      <c r="E37" s="33" t="s">
        <v>84</v>
      </c>
      <c r="F37" s="33" t="s">
        <v>9511</v>
      </c>
      <c r="G37" s="33" t="s">
        <v>9</v>
      </c>
      <c r="H37" s="33" t="n">
        <v>10</v>
      </c>
    </row>
    <row r="38" customFormat="false" ht="54" hidden="false" customHeight="true" outlineLevel="0" collapsed="false">
      <c r="A38" s="32" t="s">
        <v>9517</v>
      </c>
      <c r="B38" s="32" t="s">
        <v>229</v>
      </c>
      <c r="C38" s="33" t="s">
        <v>98</v>
      </c>
      <c r="D38" s="33" t="s">
        <v>59</v>
      </c>
      <c r="E38" s="33" t="s">
        <v>84</v>
      </c>
      <c r="F38" s="33" t="s">
        <v>239</v>
      </c>
      <c r="G38" s="33" t="s">
        <v>9</v>
      </c>
      <c r="H38" s="33" t="n">
        <v>10</v>
      </c>
    </row>
    <row r="39" customFormat="false" ht="54" hidden="false" customHeight="true" outlineLevel="0" collapsed="false">
      <c r="A39" s="32" t="s">
        <v>9518</v>
      </c>
      <c r="B39" s="32" t="s">
        <v>244</v>
      </c>
      <c r="C39" s="33" t="s">
        <v>98</v>
      </c>
      <c r="D39" s="33" t="s">
        <v>59</v>
      </c>
      <c r="E39" s="33" t="s">
        <v>81</v>
      </c>
      <c r="F39" s="33" t="s">
        <v>250</v>
      </c>
      <c r="G39" s="33" t="s">
        <v>9</v>
      </c>
      <c r="H39" s="33" t="n">
        <v>10</v>
      </c>
    </row>
    <row r="40" customFormat="false" ht="54" hidden="false" customHeight="true" outlineLevel="0" collapsed="false">
      <c r="A40" s="32" t="s">
        <v>9519</v>
      </c>
      <c r="B40" s="32" t="s">
        <v>244</v>
      </c>
      <c r="C40" s="33" t="s">
        <v>98</v>
      </c>
      <c r="D40" s="33" t="s">
        <v>59</v>
      </c>
      <c r="E40" s="33" t="s">
        <v>81</v>
      </c>
      <c r="F40" s="33" t="s">
        <v>251</v>
      </c>
      <c r="G40" s="33" t="s">
        <v>9</v>
      </c>
      <c r="H40" s="33" t="n">
        <v>10</v>
      </c>
    </row>
    <row r="41" customFormat="false" ht="54" hidden="false" customHeight="true" outlineLevel="0" collapsed="false">
      <c r="A41" s="32" t="s">
        <v>9520</v>
      </c>
      <c r="B41" s="32" t="s">
        <v>244</v>
      </c>
      <c r="C41" s="33" t="s">
        <v>98</v>
      </c>
      <c r="D41" s="33" t="s">
        <v>59</v>
      </c>
      <c r="E41" s="33" t="s">
        <v>81</v>
      </c>
      <c r="F41" s="33" t="s">
        <v>252</v>
      </c>
      <c r="G41" s="33" t="s">
        <v>9</v>
      </c>
      <c r="H41" s="33" t="n">
        <v>10</v>
      </c>
    </row>
    <row r="42" customFormat="false" ht="54" hidden="false" customHeight="true" outlineLevel="0" collapsed="false">
      <c r="A42" s="32" t="s">
        <v>9521</v>
      </c>
      <c r="B42" s="32" t="s">
        <v>244</v>
      </c>
      <c r="C42" s="33" t="s">
        <v>98</v>
      </c>
      <c r="D42" s="33" t="s">
        <v>59</v>
      </c>
      <c r="E42" s="33" t="s">
        <v>82</v>
      </c>
      <c r="F42" s="33" t="s">
        <v>252</v>
      </c>
      <c r="G42" s="33" t="s">
        <v>9</v>
      </c>
      <c r="H42" s="33" t="n">
        <v>10</v>
      </c>
    </row>
    <row r="43" customFormat="false" ht="54" hidden="false" customHeight="true" outlineLevel="0" collapsed="false">
      <c r="A43" s="32" t="s">
        <v>9522</v>
      </c>
      <c r="B43" s="32" t="s">
        <v>269</v>
      </c>
      <c r="C43" s="33" t="s">
        <v>98</v>
      </c>
      <c r="D43" s="33" t="s">
        <v>59</v>
      </c>
      <c r="E43" s="33" t="s">
        <v>80</v>
      </c>
      <c r="F43" s="33" t="s">
        <v>9523</v>
      </c>
      <c r="G43" s="33" t="s">
        <v>9</v>
      </c>
      <c r="H43" s="33" t="n">
        <v>10</v>
      </c>
    </row>
    <row r="44" customFormat="false" ht="54" hidden="false" customHeight="true" outlineLevel="0" collapsed="false">
      <c r="A44" s="32" t="s">
        <v>9524</v>
      </c>
      <c r="B44" s="32" t="s">
        <v>269</v>
      </c>
      <c r="C44" s="33" t="s">
        <v>98</v>
      </c>
      <c r="D44" s="33" t="s">
        <v>59</v>
      </c>
      <c r="E44" s="33" t="s">
        <v>80</v>
      </c>
      <c r="F44" s="33" t="s">
        <v>279</v>
      </c>
      <c r="G44" s="33" t="s">
        <v>9</v>
      </c>
      <c r="H44" s="33" t="n">
        <v>10</v>
      </c>
    </row>
    <row r="45" customFormat="false" ht="54" hidden="false" customHeight="true" outlineLevel="0" collapsed="false">
      <c r="A45" s="32" t="s">
        <v>9525</v>
      </c>
      <c r="B45" s="32" t="s">
        <v>269</v>
      </c>
      <c r="C45" s="33" t="s">
        <v>98</v>
      </c>
      <c r="D45" s="33" t="s">
        <v>59</v>
      </c>
      <c r="E45" s="33" t="s">
        <v>82</v>
      </c>
      <c r="F45" s="33" t="s">
        <v>9526</v>
      </c>
      <c r="G45" s="33" t="s">
        <v>9</v>
      </c>
      <c r="H45" s="33" t="n">
        <v>10</v>
      </c>
    </row>
    <row r="46" customFormat="false" ht="54" hidden="false" customHeight="true" outlineLevel="0" collapsed="false">
      <c r="A46" s="32" t="s">
        <v>9527</v>
      </c>
      <c r="B46" s="32" t="s">
        <v>269</v>
      </c>
      <c r="C46" s="33" t="s">
        <v>98</v>
      </c>
      <c r="D46" s="33" t="s">
        <v>59</v>
      </c>
      <c r="E46" s="33" t="s">
        <v>82</v>
      </c>
      <c r="F46" s="33" t="s">
        <v>9523</v>
      </c>
      <c r="G46" s="33" t="s">
        <v>9</v>
      </c>
      <c r="H46" s="33" t="n">
        <v>10</v>
      </c>
    </row>
    <row r="47" customFormat="false" ht="54" hidden="false" customHeight="true" outlineLevel="0" collapsed="false">
      <c r="A47" s="32" t="s">
        <v>9528</v>
      </c>
      <c r="B47" s="32" t="s">
        <v>285</v>
      </c>
      <c r="C47" s="33" t="s">
        <v>98</v>
      </c>
      <c r="D47" s="33" t="s">
        <v>59</v>
      </c>
      <c r="E47" s="33" t="s">
        <v>80</v>
      </c>
      <c r="F47" s="33" t="s">
        <v>293</v>
      </c>
      <c r="G47" s="33" t="s">
        <v>9</v>
      </c>
      <c r="H47" s="33" t="n">
        <v>10</v>
      </c>
    </row>
    <row r="48" customFormat="false" ht="54" hidden="false" customHeight="true" outlineLevel="0" collapsed="false">
      <c r="A48" s="32" t="s">
        <v>9529</v>
      </c>
      <c r="B48" s="32" t="s">
        <v>285</v>
      </c>
      <c r="C48" s="33" t="s">
        <v>98</v>
      </c>
      <c r="D48" s="33" t="s">
        <v>59</v>
      </c>
      <c r="E48" s="33" t="s">
        <v>82</v>
      </c>
      <c r="F48" s="33" t="s">
        <v>9530</v>
      </c>
      <c r="G48" s="33" t="s">
        <v>9</v>
      </c>
      <c r="H48" s="33" t="n">
        <v>10</v>
      </c>
    </row>
    <row r="49" customFormat="false" ht="54" hidden="false" customHeight="true" outlineLevel="0" collapsed="false">
      <c r="A49" s="32" t="s">
        <v>9531</v>
      </c>
      <c r="B49" s="32" t="s">
        <v>285</v>
      </c>
      <c r="C49" s="33" t="s">
        <v>98</v>
      </c>
      <c r="D49" s="33" t="s">
        <v>59</v>
      </c>
      <c r="E49" s="33" t="s">
        <v>82</v>
      </c>
      <c r="F49" s="33" t="s">
        <v>9532</v>
      </c>
      <c r="G49" s="33" t="s">
        <v>9</v>
      </c>
      <c r="H49" s="33" t="n">
        <v>10</v>
      </c>
    </row>
    <row r="50" customFormat="false" ht="54" hidden="false" customHeight="true" outlineLevel="0" collapsed="false">
      <c r="A50" s="32" t="s">
        <v>9533</v>
      </c>
      <c r="B50" s="32" t="s">
        <v>285</v>
      </c>
      <c r="C50" s="33" t="s">
        <v>98</v>
      </c>
      <c r="D50" s="33" t="s">
        <v>59</v>
      </c>
      <c r="E50" s="33" t="s">
        <v>82</v>
      </c>
      <c r="F50" s="33" t="s">
        <v>9534</v>
      </c>
      <c r="G50" s="33" t="s">
        <v>9</v>
      </c>
      <c r="H50" s="33" t="n">
        <v>10</v>
      </c>
    </row>
    <row r="51" customFormat="false" ht="54" hidden="false" customHeight="true" outlineLevel="0" collapsed="false">
      <c r="A51" s="32" t="s">
        <v>9535</v>
      </c>
      <c r="B51" s="32" t="s">
        <v>285</v>
      </c>
      <c r="C51" s="33" t="s">
        <v>98</v>
      </c>
      <c r="D51" s="33" t="s">
        <v>59</v>
      </c>
      <c r="E51" s="33" t="s">
        <v>82</v>
      </c>
      <c r="F51" s="33" t="s">
        <v>293</v>
      </c>
      <c r="G51" s="33" t="s">
        <v>9</v>
      </c>
      <c r="H51" s="33" t="n">
        <v>10</v>
      </c>
    </row>
    <row r="52" customFormat="false" ht="54" hidden="false" customHeight="true" outlineLevel="0" collapsed="false">
      <c r="A52" s="32" t="s">
        <v>9536</v>
      </c>
      <c r="B52" s="32" t="s">
        <v>297</v>
      </c>
      <c r="C52" s="33" t="s">
        <v>98</v>
      </c>
      <c r="D52" s="33" t="s">
        <v>59</v>
      </c>
      <c r="E52" s="33" t="s">
        <v>80</v>
      </c>
      <c r="F52" s="33" t="s">
        <v>309</v>
      </c>
      <c r="G52" s="33" t="s">
        <v>9</v>
      </c>
      <c r="H52" s="33" t="n">
        <v>10</v>
      </c>
    </row>
    <row r="53" customFormat="false" ht="54" hidden="false" customHeight="true" outlineLevel="0" collapsed="false">
      <c r="A53" s="32" t="s">
        <v>9537</v>
      </c>
      <c r="B53" s="32" t="s">
        <v>297</v>
      </c>
      <c r="C53" s="33" t="s">
        <v>98</v>
      </c>
      <c r="D53" s="33" t="s">
        <v>59</v>
      </c>
      <c r="E53" s="33" t="s">
        <v>80</v>
      </c>
      <c r="F53" s="33" t="s">
        <v>310</v>
      </c>
      <c r="G53" s="33" t="s">
        <v>9</v>
      </c>
      <c r="H53" s="33" t="n">
        <v>10</v>
      </c>
    </row>
    <row r="54" customFormat="false" ht="54" hidden="false" customHeight="true" outlineLevel="0" collapsed="false">
      <c r="A54" s="32" t="s">
        <v>9538</v>
      </c>
      <c r="B54" s="32" t="s">
        <v>297</v>
      </c>
      <c r="C54" s="33" t="s">
        <v>98</v>
      </c>
      <c r="D54" s="33" t="s">
        <v>59</v>
      </c>
      <c r="E54" s="33" t="s">
        <v>82</v>
      </c>
      <c r="F54" s="33" t="s">
        <v>309</v>
      </c>
      <c r="G54" s="33" t="s">
        <v>9</v>
      </c>
      <c r="H54" s="33" t="n">
        <v>10</v>
      </c>
    </row>
    <row r="55" customFormat="false" ht="54" hidden="false" customHeight="true" outlineLevel="0" collapsed="false">
      <c r="A55" s="32" t="s">
        <v>9539</v>
      </c>
      <c r="B55" s="32" t="s">
        <v>297</v>
      </c>
      <c r="C55" s="33" t="s">
        <v>98</v>
      </c>
      <c r="D55" s="33" t="s">
        <v>59</v>
      </c>
      <c r="E55" s="33" t="s">
        <v>84</v>
      </c>
      <c r="F55" s="33" t="s">
        <v>310</v>
      </c>
      <c r="G55" s="33" t="s">
        <v>9</v>
      </c>
      <c r="H55" s="33" t="n">
        <v>10</v>
      </c>
    </row>
    <row r="56" customFormat="false" ht="54" hidden="false" customHeight="true" outlineLevel="0" collapsed="false">
      <c r="A56" s="32" t="s">
        <v>9540</v>
      </c>
      <c r="B56" s="32" t="s">
        <v>297</v>
      </c>
      <c r="C56" s="33" t="s">
        <v>98</v>
      </c>
      <c r="D56" s="33" t="s">
        <v>59</v>
      </c>
      <c r="E56" s="33" t="s">
        <v>86</v>
      </c>
      <c r="F56" s="33" t="s">
        <v>310</v>
      </c>
      <c r="G56" s="33" t="s">
        <v>9</v>
      </c>
      <c r="H56" s="33" t="n">
        <v>10</v>
      </c>
    </row>
    <row r="57" customFormat="false" ht="54" hidden="false" customHeight="true" outlineLevel="0" collapsed="false">
      <c r="A57" s="32" t="s">
        <v>9541</v>
      </c>
      <c r="B57" s="32" t="s">
        <v>312</v>
      </c>
      <c r="C57" s="33" t="s">
        <v>98</v>
      </c>
      <c r="D57" s="33" t="s">
        <v>59</v>
      </c>
      <c r="E57" s="33" t="s">
        <v>80</v>
      </c>
      <c r="F57" s="33" t="s">
        <v>321</v>
      </c>
      <c r="G57" s="33" t="s">
        <v>9</v>
      </c>
      <c r="H57" s="33" t="n">
        <v>10</v>
      </c>
    </row>
    <row r="58" customFormat="false" ht="54" hidden="false" customHeight="true" outlineLevel="0" collapsed="false">
      <c r="A58" s="32" t="s">
        <v>9542</v>
      </c>
      <c r="B58" s="32" t="s">
        <v>312</v>
      </c>
      <c r="C58" s="33" t="s">
        <v>98</v>
      </c>
      <c r="D58" s="33" t="s">
        <v>59</v>
      </c>
      <c r="E58" s="33" t="s">
        <v>82</v>
      </c>
      <c r="F58" s="33" t="s">
        <v>317</v>
      </c>
      <c r="G58" s="33" t="s">
        <v>9</v>
      </c>
      <c r="H58" s="33" t="n">
        <v>10</v>
      </c>
    </row>
    <row r="59" customFormat="false" ht="54" hidden="false" customHeight="true" outlineLevel="0" collapsed="false">
      <c r="A59" s="32" t="s">
        <v>9543</v>
      </c>
      <c r="B59" s="32" t="s">
        <v>312</v>
      </c>
      <c r="C59" s="33" t="s">
        <v>98</v>
      </c>
      <c r="D59" s="33" t="s">
        <v>59</v>
      </c>
      <c r="E59" s="33" t="s">
        <v>82</v>
      </c>
      <c r="F59" s="33" t="s">
        <v>321</v>
      </c>
      <c r="G59" s="33" t="s">
        <v>9</v>
      </c>
      <c r="H59" s="33" t="n">
        <v>10</v>
      </c>
    </row>
    <row r="60" customFormat="false" ht="54" hidden="false" customHeight="true" outlineLevel="0" collapsed="false">
      <c r="A60" s="32" t="s">
        <v>9544</v>
      </c>
      <c r="B60" s="32" t="s">
        <v>324</v>
      </c>
      <c r="C60" s="33" t="s">
        <v>98</v>
      </c>
      <c r="D60" s="33" t="s">
        <v>59</v>
      </c>
      <c r="E60" s="33" t="s">
        <v>80</v>
      </c>
      <c r="F60" s="33" t="s">
        <v>333</v>
      </c>
      <c r="G60" s="33" t="s">
        <v>9</v>
      </c>
      <c r="H60" s="33" t="n">
        <v>10</v>
      </c>
    </row>
    <row r="61" customFormat="false" ht="54" hidden="false" customHeight="true" outlineLevel="0" collapsed="false">
      <c r="A61" s="32" t="s">
        <v>9545</v>
      </c>
      <c r="B61" s="32" t="s">
        <v>324</v>
      </c>
      <c r="C61" s="33" t="s">
        <v>98</v>
      </c>
      <c r="D61" s="33" t="s">
        <v>59</v>
      </c>
      <c r="E61" s="33" t="s">
        <v>82</v>
      </c>
      <c r="F61" s="33" t="s">
        <v>333</v>
      </c>
      <c r="G61" s="33" t="s">
        <v>9</v>
      </c>
      <c r="H61" s="33" t="n">
        <v>10</v>
      </c>
    </row>
    <row r="62" customFormat="false" ht="54" hidden="false" customHeight="true" outlineLevel="0" collapsed="false">
      <c r="A62" s="32" t="s">
        <v>9546</v>
      </c>
      <c r="B62" s="32" t="s">
        <v>335</v>
      </c>
      <c r="C62" s="33" t="s">
        <v>98</v>
      </c>
      <c r="D62" s="33" t="s">
        <v>59</v>
      </c>
      <c r="E62" s="33" t="s">
        <v>82</v>
      </c>
      <c r="F62" s="33" t="s">
        <v>9547</v>
      </c>
      <c r="G62" s="33" t="s">
        <v>9</v>
      </c>
      <c r="H62" s="33" t="n">
        <v>10</v>
      </c>
    </row>
    <row r="63" customFormat="false" ht="54" hidden="false" customHeight="true" outlineLevel="0" collapsed="false">
      <c r="A63" s="32" t="s">
        <v>9548</v>
      </c>
      <c r="B63" s="32" t="s">
        <v>335</v>
      </c>
      <c r="C63" s="33" t="s">
        <v>98</v>
      </c>
      <c r="D63" s="33" t="s">
        <v>59</v>
      </c>
      <c r="E63" s="33" t="s">
        <v>82</v>
      </c>
      <c r="F63" s="33" t="s">
        <v>9549</v>
      </c>
      <c r="G63" s="33" t="s">
        <v>9</v>
      </c>
      <c r="H63" s="33" t="n">
        <v>10</v>
      </c>
    </row>
    <row r="64" customFormat="false" ht="54" hidden="false" customHeight="true" outlineLevel="0" collapsed="false">
      <c r="A64" s="32" t="s">
        <v>9550</v>
      </c>
      <c r="B64" s="32" t="s">
        <v>335</v>
      </c>
      <c r="C64" s="33" t="s">
        <v>98</v>
      </c>
      <c r="D64" s="33" t="s">
        <v>59</v>
      </c>
      <c r="E64" s="33" t="s">
        <v>82</v>
      </c>
      <c r="F64" s="33" t="s">
        <v>9551</v>
      </c>
      <c r="G64" s="33" t="s">
        <v>9</v>
      </c>
      <c r="H64" s="33" t="n">
        <v>10</v>
      </c>
    </row>
    <row r="65" customFormat="false" ht="54" hidden="false" customHeight="true" outlineLevel="0" collapsed="false">
      <c r="A65" s="32" t="s">
        <v>9552</v>
      </c>
      <c r="B65" s="32" t="s">
        <v>349</v>
      </c>
      <c r="C65" s="33" t="s">
        <v>98</v>
      </c>
      <c r="D65" s="33" t="s">
        <v>59</v>
      </c>
      <c r="E65" s="33" t="s">
        <v>82</v>
      </c>
      <c r="F65" s="33" t="s">
        <v>9553</v>
      </c>
      <c r="G65" s="33" t="s">
        <v>9</v>
      </c>
      <c r="H65" s="33" t="n">
        <v>10</v>
      </c>
    </row>
    <row r="66" customFormat="false" ht="54" hidden="false" customHeight="true" outlineLevel="0" collapsed="false">
      <c r="A66" s="32" t="s">
        <v>9554</v>
      </c>
      <c r="B66" s="32" t="s">
        <v>349</v>
      </c>
      <c r="C66" s="33" t="s">
        <v>98</v>
      </c>
      <c r="D66" s="33" t="s">
        <v>59</v>
      </c>
      <c r="E66" s="33" t="s">
        <v>82</v>
      </c>
      <c r="F66" s="33" t="s">
        <v>9555</v>
      </c>
      <c r="G66" s="33" t="s">
        <v>9</v>
      </c>
      <c r="H66" s="33" t="n">
        <v>10</v>
      </c>
    </row>
    <row r="67" customFormat="false" ht="54" hidden="false" customHeight="true" outlineLevel="0" collapsed="false">
      <c r="A67" s="32" t="s">
        <v>9556</v>
      </c>
      <c r="B67" s="32" t="s">
        <v>349</v>
      </c>
      <c r="C67" s="33" t="s">
        <v>98</v>
      </c>
      <c r="D67" s="33" t="s">
        <v>59</v>
      </c>
      <c r="E67" s="33" t="s">
        <v>82</v>
      </c>
      <c r="F67" s="33" t="s">
        <v>9557</v>
      </c>
      <c r="G67" s="33" t="s">
        <v>9</v>
      </c>
      <c r="H67" s="33" t="n">
        <v>10</v>
      </c>
    </row>
    <row r="68" customFormat="false" ht="54" hidden="false" customHeight="true" outlineLevel="0" collapsed="false">
      <c r="A68" s="32" t="s">
        <v>9558</v>
      </c>
      <c r="B68" s="32" t="s">
        <v>360</v>
      </c>
      <c r="C68" s="33" t="s">
        <v>98</v>
      </c>
      <c r="D68" s="33" t="s">
        <v>59</v>
      </c>
      <c r="E68" s="33" t="s">
        <v>82</v>
      </c>
      <c r="F68" s="33" t="s">
        <v>9559</v>
      </c>
      <c r="G68" s="33" t="s">
        <v>9</v>
      </c>
      <c r="H68" s="33" t="n">
        <v>10</v>
      </c>
    </row>
    <row r="69" customFormat="false" ht="54" hidden="false" customHeight="true" outlineLevel="0" collapsed="false">
      <c r="A69" s="32" t="s">
        <v>9560</v>
      </c>
      <c r="B69" s="32" t="s">
        <v>360</v>
      </c>
      <c r="C69" s="33" t="s">
        <v>98</v>
      </c>
      <c r="D69" s="33" t="s">
        <v>59</v>
      </c>
      <c r="E69" s="33" t="s">
        <v>82</v>
      </c>
      <c r="F69" s="33" t="s">
        <v>9561</v>
      </c>
      <c r="G69" s="33" t="s">
        <v>9</v>
      </c>
      <c r="H69" s="33" t="n">
        <v>10</v>
      </c>
    </row>
    <row r="70" customFormat="false" ht="54" hidden="false" customHeight="true" outlineLevel="0" collapsed="false">
      <c r="A70" s="32" t="s">
        <v>9562</v>
      </c>
      <c r="B70" s="32" t="s">
        <v>360</v>
      </c>
      <c r="C70" s="33" t="s">
        <v>98</v>
      </c>
      <c r="D70" s="33" t="s">
        <v>59</v>
      </c>
      <c r="E70" s="33" t="s">
        <v>82</v>
      </c>
      <c r="F70" s="33" t="s">
        <v>9563</v>
      </c>
      <c r="G70" s="33" t="s">
        <v>9</v>
      </c>
      <c r="H70" s="33" t="n">
        <v>10</v>
      </c>
    </row>
    <row r="71" customFormat="false" ht="54" hidden="false" customHeight="true" outlineLevel="0" collapsed="false">
      <c r="A71" s="32" t="s">
        <v>9564</v>
      </c>
      <c r="B71" s="32" t="s">
        <v>370</v>
      </c>
      <c r="C71" s="33" t="s">
        <v>98</v>
      </c>
      <c r="D71" s="33" t="s">
        <v>59</v>
      </c>
      <c r="E71" s="33" t="s">
        <v>82</v>
      </c>
      <c r="F71" s="33" t="s">
        <v>9565</v>
      </c>
      <c r="G71" s="33" t="s">
        <v>9</v>
      </c>
      <c r="H71" s="33" t="n">
        <v>10</v>
      </c>
    </row>
    <row r="72" customFormat="false" ht="54" hidden="false" customHeight="true" outlineLevel="0" collapsed="false">
      <c r="A72" s="32" t="s">
        <v>9566</v>
      </c>
      <c r="B72" s="32" t="s">
        <v>370</v>
      </c>
      <c r="C72" s="33" t="s">
        <v>98</v>
      </c>
      <c r="D72" s="33" t="s">
        <v>59</v>
      </c>
      <c r="E72" s="33" t="s">
        <v>82</v>
      </c>
      <c r="F72" s="33" t="s">
        <v>9567</v>
      </c>
      <c r="G72" s="33" t="s">
        <v>9</v>
      </c>
      <c r="H72" s="33" t="n">
        <v>10</v>
      </c>
    </row>
    <row r="73" customFormat="false" ht="54" hidden="false" customHeight="true" outlineLevel="0" collapsed="false">
      <c r="A73" s="32" t="s">
        <v>9568</v>
      </c>
      <c r="B73" s="32" t="s">
        <v>370</v>
      </c>
      <c r="C73" s="33" t="s">
        <v>98</v>
      </c>
      <c r="D73" s="33" t="s">
        <v>59</v>
      </c>
      <c r="E73" s="33" t="s">
        <v>82</v>
      </c>
      <c r="F73" s="33" t="s">
        <v>9563</v>
      </c>
      <c r="G73" s="33" t="s">
        <v>9</v>
      </c>
      <c r="H73" s="33" t="n">
        <v>10</v>
      </c>
    </row>
    <row r="74" customFormat="false" ht="54" hidden="false" customHeight="true" outlineLevel="0" collapsed="false">
      <c r="A74" s="32" t="s">
        <v>9569</v>
      </c>
      <c r="B74" s="32" t="s">
        <v>381</v>
      </c>
      <c r="C74" s="33" t="s">
        <v>98</v>
      </c>
      <c r="D74" s="33" t="s">
        <v>59</v>
      </c>
      <c r="E74" s="33" t="s">
        <v>80</v>
      </c>
      <c r="F74" s="33" t="s">
        <v>390</v>
      </c>
      <c r="G74" s="33" t="s">
        <v>9</v>
      </c>
      <c r="H74" s="33" t="n">
        <v>10</v>
      </c>
    </row>
    <row r="75" customFormat="false" ht="54" hidden="false" customHeight="true" outlineLevel="0" collapsed="false">
      <c r="A75" s="32" t="s">
        <v>9570</v>
      </c>
      <c r="B75" s="32" t="s">
        <v>381</v>
      </c>
      <c r="C75" s="33" t="s">
        <v>98</v>
      </c>
      <c r="D75" s="33" t="s">
        <v>59</v>
      </c>
      <c r="E75" s="33" t="s">
        <v>82</v>
      </c>
      <c r="F75" s="33" t="s">
        <v>9571</v>
      </c>
      <c r="G75" s="33" t="s">
        <v>9</v>
      </c>
      <c r="H75" s="33" t="n">
        <v>10</v>
      </c>
    </row>
    <row r="76" customFormat="false" ht="54" hidden="false" customHeight="true" outlineLevel="0" collapsed="false">
      <c r="A76" s="32" t="s">
        <v>9572</v>
      </c>
      <c r="B76" s="32" t="s">
        <v>381</v>
      </c>
      <c r="C76" s="33" t="s">
        <v>98</v>
      </c>
      <c r="D76" s="33" t="s">
        <v>59</v>
      </c>
      <c r="E76" s="33" t="s">
        <v>82</v>
      </c>
      <c r="F76" s="33" t="s">
        <v>9573</v>
      </c>
      <c r="G76" s="33" t="s">
        <v>9</v>
      </c>
      <c r="H76" s="33" t="n">
        <v>10</v>
      </c>
    </row>
    <row r="77" customFormat="false" ht="54" hidden="false" customHeight="true" outlineLevel="0" collapsed="false">
      <c r="A77" s="32" t="s">
        <v>9574</v>
      </c>
      <c r="B77" s="32" t="s">
        <v>381</v>
      </c>
      <c r="C77" s="33" t="s">
        <v>98</v>
      </c>
      <c r="D77" s="33" t="s">
        <v>59</v>
      </c>
      <c r="E77" s="33" t="s">
        <v>82</v>
      </c>
      <c r="F77" s="33" t="s">
        <v>9575</v>
      </c>
      <c r="G77" s="33" t="s">
        <v>9</v>
      </c>
      <c r="H77" s="33" t="n">
        <v>10</v>
      </c>
    </row>
    <row r="78" customFormat="false" ht="54" hidden="false" customHeight="true" outlineLevel="0" collapsed="false">
      <c r="A78" s="32" t="s">
        <v>9576</v>
      </c>
      <c r="B78" s="32" t="s">
        <v>381</v>
      </c>
      <c r="C78" s="33" t="s">
        <v>98</v>
      </c>
      <c r="D78" s="33" t="s">
        <v>59</v>
      </c>
      <c r="E78" s="33" t="s">
        <v>84</v>
      </c>
      <c r="F78" s="33" t="s">
        <v>390</v>
      </c>
      <c r="G78" s="33" t="s">
        <v>9</v>
      </c>
      <c r="H78" s="33" t="n">
        <v>10</v>
      </c>
    </row>
    <row r="79" customFormat="false" ht="54" hidden="false" customHeight="true" outlineLevel="0" collapsed="false">
      <c r="A79" s="32" t="s">
        <v>9577</v>
      </c>
      <c r="B79" s="32" t="s">
        <v>394</v>
      </c>
      <c r="C79" s="33" t="s">
        <v>98</v>
      </c>
      <c r="D79" s="33" t="s">
        <v>59</v>
      </c>
      <c r="E79" s="33" t="s">
        <v>80</v>
      </c>
      <c r="F79" s="33" t="s">
        <v>183</v>
      </c>
      <c r="G79" s="33" t="s">
        <v>9</v>
      </c>
      <c r="H79" s="33" t="n">
        <v>10</v>
      </c>
    </row>
    <row r="80" customFormat="false" ht="54" hidden="false" customHeight="true" outlineLevel="0" collapsed="false">
      <c r="A80" s="32" t="s">
        <v>9578</v>
      </c>
      <c r="B80" s="32" t="s">
        <v>394</v>
      </c>
      <c r="C80" s="33" t="s">
        <v>98</v>
      </c>
      <c r="D80" s="33" t="s">
        <v>59</v>
      </c>
      <c r="E80" s="33" t="s">
        <v>82</v>
      </c>
      <c r="F80" s="33" t="s">
        <v>401</v>
      </c>
      <c r="G80" s="33" t="s">
        <v>9</v>
      </c>
      <c r="H80" s="33" t="n">
        <v>10</v>
      </c>
    </row>
    <row r="81" customFormat="false" ht="54" hidden="false" customHeight="true" outlineLevel="0" collapsed="false">
      <c r="A81" s="32" t="s">
        <v>9579</v>
      </c>
      <c r="B81" s="32" t="s">
        <v>394</v>
      </c>
      <c r="C81" s="33" t="s">
        <v>98</v>
      </c>
      <c r="D81" s="33" t="s">
        <v>59</v>
      </c>
      <c r="E81" s="33" t="s">
        <v>82</v>
      </c>
      <c r="F81" s="33" t="s">
        <v>402</v>
      </c>
      <c r="G81" s="33" t="s">
        <v>9</v>
      </c>
      <c r="H81" s="33" t="n">
        <v>10</v>
      </c>
    </row>
    <row r="82" customFormat="false" ht="54" hidden="false" customHeight="true" outlineLevel="0" collapsed="false">
      <c r="A82" s="32" t="s">
        <v>9580</v>
      </c>
      <c r="B82" s="32" t="s">
        <v>394</v>
      </c>
      <c r="C82" s="33" t="s">
        <v>98</v>
      </c>
      <c r="D82" s="33" t="s">
        <v>59</v>
      </c>
      <c r="E82" s="33" t="s">
        <v>82</v>
      </c>
      <c r="F82" s="33" t="s">
        <v>9581</v>
      </c>
      <c r="G82" s="33" t="s">
        <v>9</v>
      </c>
      <c r="H82" s="33" t="n">
        <v>10</v>
      </c>
    </row>
    <row r="83" customFormat="false" ht="54" hidden="false" customHeight="true" outlineLevel="0" collapsed="false">
      <c r="A83" s="32" t="s">
        <v>9582</v>
      </c>
      <c r="B83" s="32" t="s">
        <v>394</v>
      </c>
      <c r="C83" s="33" t="s">
        <v>98</v>
      </c>
      <c r="D83" s="33" t="s">
        <v>59</v>
      </c>
      <c r="E83" s="33" t="s">
        <v>82</v>
      </c>
      <c r="F83" s="33" t="s">
        <v>182</v>
      </c>
      <c r="G83" s="33" t="s">
        <v>9</v>
      </c>
      <c r="H83" s="33" t="n">
        <v>10</v>
      </c>
    </row>
    <row r="84" customFormat="false" ht="54" hidden="false" customHeight="true" outlineLevel="0" collapsed="false">
      <c r="A84" s="32" t="s">
        <v>9583</v>
      </c>
      <c r="B84" s="32" t="s">
        <v>394</v>
      </c>
      <c r="C84" s="33" t="s">
        <v>98</v>
      </c>
      <c r="D84" s="33" t="s">
        <v>59</v>
      </c>
      <c r="E84" s="33" t="s">
        <v>84</v>
      </c>
      <c r="F84" s="33" t="s">
        <v>183</v>
      </c>
      <c r="G84" s="33" t="s">
        <v>9</v>
      </c>
      <c r="H84" s="33" t="n">
        <v>10</v>
      </c>
    </row>
    <row r="85" customFormat="false" ht="54" hidden="false" customHeight="true" outlineLevel="0" collapsed="false">
      <c r="A85" s="32" t="s">
        <v>9584</v>
      </c>
      <c r="B85" s="32" t="s">
        <v>409</v>
      </c>
      <c r="C85" s="33" t="s">
        <v>98</v>
      </c>
      <c r="D85" s="33" t="s">
        <v>59</v>
      </c>
      <c r="E85" s="33" t="s">
        <v>82</v>
      </c>
      <c r="F85" s="33" t="s">
        <v>414</v>
      </c>
      <c r="G85" s="33" t="s">
        <v>9</v>
      </c>
      <c r="H85" s="33" t="n">
        <v>10</v>
      </c>
    </row>
    <row r="86" customFormat="false" ht="54" hidden="false" customHeight="true" outlineLevel="0" collapsed="false">
      <c r="A86" s="32" t="s">
        <v>9585</v>
      </c>
      <c r="B86" s="32" t="s">
        <v>409</v>
      </c>
      <c r="C86" s="33" t="s">
        <v>98</v>
      </c>
      <c r="D86" s="33" t="s">
        <v>59</v>
      </c>
      <c r="E86" s="33" t="s">
        <v>82</v>
      </c>
      <c r="F86" s="33" t="s">
        <v>416</v>
      </c>
      <c r="G86" s="33" t="s">
        <v>9</v>
      </c>
      <c r="H86" s="33" t="n">
        <v>10</v>
      </c>
    </row>
    <row r="87" customFormat="false" ht="54" hidden="false" customHeight="true" outlineLevel="0" collapsed="false">
      <c r="A87" s="32" t="s">
        <v>9586</v>
      </c>
      <c r="B87" s="32" t="s">
        <v>409</v>
      </c>
      <c r="C87" s="33" t="s">
        <v>98</v>
      </c>
      <c r="D87" s="33" t="s">
        <v>59</v>
      </c>
      <c r="E87" s="33" t="s">
        <v>86</v>
      </c>
      <c r="F87" s="33" t="s">
        <v>416</v>
      </c>
      <c r="G87" s="33" t="s">
        <v>9</v>
      </c>
      <c r="H87" s="33" t="n">
        <v>10</v>
      </c>
    </row>
    <row r="88" customFormat="false" ht="54" hidden="false" customHeight="true" outlineLevel="0" collapsed="false">
      <c r="A88" s="32" t="s">
        <v>9587</v>
      </c>
      <c r="B88" s="32" t="s">
        <v>421</v>
      </c>
      <c r="C88" s="33" t="s">
        <v>98</v>
      </c>
      <c r="D88" s="33" t="s">
        <v>59</v>
      </c>
      <c r="E88" s="33" t="s">
        <v>82</v>
      </c>
      <c r="F88" s="33" t="s">
        <v>427</v>
      </c>
      <c r="G88" s="33" t="s">
        <v>9</v>
      </c>
      <c r="H88" s="33" t="n">
        <v>10</v>
      </c>
    </row>
    <row r="89" customFormat="false" ht="54" hidden="false" customHeight="true" outlineLevel="0" collapsed="false">
      <c r="A89" s="32" t="s">
        <v>9588</v>
      </c>
      <c r="B89" s="32" t="s">
        <v>421</v>
      </c>
      <c r="C89" s="33" t="s">
        <v>98</v>
      </c>
      <c r="D89" s="33" t="s">
        <v>59</v>
      </c>
      <c r="E89" s="33" t="s">
        <v>82</v>
      </c>
      <c r="F89" s="33" t="s">
        <v>9589</v>
      </c>
      <c r="G89" s="33" t="s">
        <v>9</v>
      </c>
      <c r="H89" s="33" t="n">
        <v>10</v>
      </c>
    </row>
    <row r="90" customFormat="false" ht="54" hidden="false" customHeight="true" outlineLevel="0" collapsed="false">
      <c r="A90" s="32" t="s">
        <v>9590</v>
      </c>
      <c r="B90" s="32" t="s">
        <v>421</v>
      </c>
      <c r="C90" s="33" t="s">
        <v>98</v>
      </c>
      <c r="D90" s="33" t="s">
        <v>59</v>
      </c>
      <c r="E90" s="33" t="s">
        <v>82</v>
      </c>
      <c r="F90" s="33" t="s">
        <v>9591</v>
      </c>
      <c r="G90" s="33" t="s">
        <v>9</v>
      </c>
      <c r="H90" s="33" t="n">
        <v>10</v>
      </c>
    </row>
    <row r="91" customFormat="false" ht="54" hidden="false" customHeight="true" outlineLevel="0" collapsed="false">
      <c r="A91" s="32" t="s">
        <v>9592</v>
      </c>
      <c r="B91" s="32" t="s">
        <v>433</v>
      </c>
      <c r="C91" s="33" t="s">
        <v>98</v>
      </c>
      <c r="D91" s="33" t="s">
        <v>59</v>
      </c>
      <c r="E91" s="33" t="s">
        <v>82</v>
      </c>
      <c r="F91" s="33" t="s">
        <v>438</v>
      </c>
      <c r="G91" s="33" t="s">
        <v>9</v>
      </c>
      <c r="H91" s="33" t="n">
        <v>10</v>
      </c>
    </row>
    <row r="92" customFormat="false" ht="54" hidden="false" customHeight="true" outlineLevel="0" collapsed="false">
      <c r="A92" s="32" t="s">
        <v>9593</v>
      </c>
      <c r="B92" s="32" t="s">
        <v>433</v>
      </c>
      <c r="C92" s="33" t="s">
        <v>98</v>
      </c>
      <c r="D92" s="33" t="s">
        <v>59</v>
      </c>
      <c r="E92" s="33" t="s">
        <v>82</v>
      </c>
      <c r="F92" s="33" t="s">
        <v>439</v>
      </c>
      <c r="G92" s="33" t="s">
        <v>9</v>
      </c>
      <c r="H92" s="33" t="n">
        <v>10</v>
      </c>
    </row>
    <row r="93" customFormat="false" ht="54" hidden="false" customHeight="true" outlineLevel="0" collapsed="false">
      <c r="A93" s="32" t="s">
        <v>9594</v>
      </c>
      <c r="B93" s="32" t="s">
        <v>443</v>
      </c>
      <c r="C93" s="33" t="s">
        <v>98</v>
      </c>
      <c r="D93" s="33" t="s">
        <v>59</v>
      </c>
      <c r="E93" s="33" t="s">
        <v>82</v>
      </c>
      <c r="F93" s="33" t="s">
        <v>448</v>
      </c>
      <c r="G93" s="33" t="s">
        <v>9</v>
      </c>
      <c r="H93" s="33" t="n">
        <v>10</v>
      </c>
    </row>
    <row r="94" customFormat="false" ht="54" hidden="false" customHeight="true" outlineLevel="0" collapsed="false">
      <c r="A94" s="32" t="s">
        <v>9595</v>
      </c>
      <c r="B94" s="32" t="s">
        <v>443</v>
      </c>
      <c r="C94" s="33" t="s">
        <v>98</v>
      </c>
      <c r="D94" s="33" t="s">
        <v>59</v>
      </c>
      <c r="E94" s="33" t="s">
        <v>82</v>
      </c>
      <c r="F94" s="33" t="s">
        <v>449</v>
      </c>
      <c r="G94" s="33" t="s">
        <v>9</v>
      </c>
      <c r="H94" s="33" t="n">
        <v>10</v>
      </c>
    </row>
    <row r="95" customFormat="false" ht="54" hidden="false" customHeight="true" outlineLevel="0" collapsed="false">
      <c r="A95" s="32" t="s">
        <v>9596</v>
      </c>
      <c r="B95" s="32" t="s">
        <v>443</v>
      </c>
      <c r="C95" s="33" t="s">
        <v>98</v>
      </c>
      <c r="D95" s="33" t="s">
        <v>59</v>
      </c>
      <c r="E95" s="33" t="s">
        <v>84</v>
      </c>
      <c r="F95" s="33" t="s">
        <v>449</v>
      </c>
      <c r="G95" s="33" t="s">
        <v>9</v>
      </c>
      <c r="H95" s="33" t="n">
        <v>10</v>
      </c>
    </row>
    <row r="96" customFormat="false" ht="54" hidden="false" customHeight="true" outlineLevel="0" collapsed="false">
      <c r="A96" s="32" t="s">
        <v>9597</v>
      </c>
      <c r="B96" s="32" t="s">
        <v>454</v>
      </c>
      <c r="C96" s="33" t="s">
        <v>98</v>
      </c>
      <c r="D96" s="33" t="s">
        <v>59</v>
      </c>
      <c r="E96" s="33" t="s">
        <v>80</v>
      </c>
      <c r="F96" s="33" t="s">
        <v>461</v>
      </c>
      <c r="G96" s="33" t="s">
        <v>9</v>
      </c>
      <c r="H96" s="33" t="n">
        <v>10</v>
      </c>
    </row>
    <row r="97" customFormat="false" ht="54" hidden="false" customHeight="true" outlineLevel="0" collapsed="false">
      <c r="A97" s="32" t="s">
        <v>9598</v>
      </c>
      <c r="B97" s="32" t="s">
        <v>454</v>
      </c>
      <c r="C97" s="33" t="s">
        <v>98</v>
      </c>
      <c r="D97" s="33" t="s">
        <v>59</v>
      </c>
      <c r="E97" s="33" t="s">
        <v>81</v>
      </c>
      <c r="F97" s="33" t="s">
        <v>460</v>
      </c>
      <c r="G97" s="33" t="s">
        <v>9</v>
      </c>
      <c r="H97" s="33" t="n">
        <v>10</v>
      </c>
    </row>
    <row r="98" customFormat="false" ht="54" hidden="false" customHeight="true" outlineLevel="0" collapsed="false">
      <c r="A98" s="32" t="s">
        <v>9599</v>
      </c>
      <c r="B98" s="32" t="s">
        <v>454</v>
      </c>
      <c r="C98" s="33" t="s">
        <v>98</v>
      </c>
      <c r="D98" s="33" t="s">
        <v>59</v>
      </c>
      <c r="E98" s="33" t="s">
        <v>81</v>
      </c>
      <c r="F98" s="33" t="s">
        <v>461</v>
      </c>
      <c r="G98" s="33" t="s">
        <v>9</v>
      </c>
      <c r="H98" s="33" t="n">
        <v>10</v>
      </c>
    </row>
    <row r="99" customFormat="false" ht="54" hidden="false" customHeight="true" outlineLevel="0" collapsed="false">
      <c r="A99" s="32" t="s">
        <v>9600</v>
      </c>
      <c r="B99" s="32" t="s">
        <v>454</v>
      </c>
      <c r="C99" s="33" t="s">
        <v>98</v>
      </c>
      <c r="D99" s="33" t="s">
        <v>59</v>
      </c>
      <c r="E99" s="33" t="s">
        <v>81</v>
      </c>
      <c r="F99" s="33" t="s">
        <v>463</v>
      </c>
      <c r="G99" s="33" t="s">
        <v>9</v>
      </c>
      <c r="H99" s="33" t="n">
        <v>10</v>
      </c>
    </row>
    <row r="100" customFormat="false" ht="54" hidden="false" customHeight="true" outlineLevel="0" collapsed="false">
      <c r="A100" s="32" t="s">
        <v>9601</v>
      </c>
      <c r="B100" s="32" t="s">
        <v>454</v>
      </c>
      <c r="C100" s="33" t="s">
        <v>98</v>
      </c>
      <c r="D100" s="33" t="s">
        <v>59</v>
      </c>
      <c r="E100" s="33" t="s">
        <v>81</v>
      </c>
      <c r="F100" s="33" t="s">
        <v>464</v>
      </c>
      <c r="G100" s="33" t="s">
        <v>9</v>
      </c>
      <c r="H100" s="33" t="n">
        <v>10</v>
      </c>
    </row>
    <row r="101" customFormat="false" ht="54" hidden="false" customHeight="true" outlineLevel="0" collapsed="false">
      <c r="A101" s="32" t="s">
        <v>9602</v>
      </c>
      <c r="B101" s="32" t="s">
        <v>454</v>
      </c>
      <c r="C101" s="33" t="s">
        <v>98</v>
      </c>
      <c r="D101" s="33" t="s">
        <v>59</v>
      </c>
      <c r="E101" s="33" t="s">
        <v>82</v>
      </c>
      <c r="F101" s="33" t="s">
        <v>463</v>
      </c>
      <c r="G101" s="33" t="s">
        <v>9</v>
      </c>
      <c r="H101" s="33" t="n">
        <v>10</v>
      </c>
    </row>
    <row r="102" customFormat="false" ht="54" hidden="false" customHeight="true" outlineLevel="0" collapsed="false">
      <c r="A102" s="32" t="s">
        <v>9603</v>
      </c>
      <c r="B102" s="32" t="s">
        <v>454</v>
      </c>
      <c r="C102" s="33" t="s">
        <v>98</v>
      </c>
      <c r="D102" s="33" t="s">
        <v>59</v>
      </c>
      <c r="E102" s="33" t="s">
        <v>84</v>
      </c>
      <c r="F102" s="33" t="s">
        <v>461</v>
      </c>
      <c r="G102" s="33" t="s">
        <v>9</v>
      </c>
      <c r="H102" s="33" t="n">
        <v>10</v>
      </c>
    </row>
    <row r="103" customFormat="false" ht="54" hidden="false" customHeight="true" outlineLevel="0" collapsed="false">
      <c r="A103" s="32" t="s">
        <v>9604</v>
      </c>
      <c r="B103" s="32" t="s">
        <v>468</v>
      </c>
      <c r="C103" s="33" t="s">
        <v>98</v>
      </c>
      <c r="D103" s="33" t="s">
        <v>59</v>
      </c>
      <c r="E103" s="33" t="s">
        <v>81</v>
      </c>
      <c r="F103" s="33" t="s">
        <v>473</v>
      </c>
      <c r="G103" s="33" t="s">
        <v>9</v>
      </c>
      <c r="H103" s="33" t="n">
        <v>10</v>
      </c>
    </row>
    <row r="104" customFormat="false" ht="54" hidden="false" customHeight="true" outlineLevel="0" collapsed="false">
      <c r="A104" s="32" t="s">
        <v>9605</v>
      </c>
      <c r="B104" s="32" t="s">
        <v>468</v>
      </c>
      <c r="C104" s="33" t="s">
        <v>98</v>
      </c>
      <c r="D104" s="33" t="s">
        <v>59</v>
      </c>
      <c r="E104" s="33" t="s">
        <v>81</v>
      </c>
      <c r="F104" s="33" t="s">
        <v>474</v>
      </c>
      <c r="G104" s="33" t="s">
        <v>9</v>
      </c>
      <c r="H104" s="33" t="n">
        <v>10</v>
      </c>
    </row>
    <row r="105" customFormat="false" ht="54" hidden="false" customHeight="true" outlineLevel="0" collapsed="false">
      <c r="A105" s="32" t="s">
        <v>9606</v>
      </c>
      <c r="B105" s="32" t="s">
        <v>468</v>
      </c>
      <c r="C105" s="33" t="s">
        <v>98</v>
      </c>
      <c r="D105" s="33" t="s">
        <v>59</v>
      </c>
      <c r="E105" s="33" t="s">
        <v>81</v>
      </c>
      <c r="F105" s="33" t="s">
        <v>475</v>
      </c>
      <c r="G105" s="33" t="s">
        <v>9</v>
      </c>
      <c r="H105" s="33" t="n">
        <v>10</v>
      </c>
    </row>
    <row r="106" customFormat="false" ht="54" hidden="false" customHeight="true" outlineLevel="0" collapsed="false">
      <c r="A106" s="32" t="s">
        <v>9607</v>
      </c>
      <c r="B106" s="32" t="s">
        <v>468</v>
      </c>
      <c r="C106" s="33" t="s">
        <v>98</v>
      </c>
      <c r="D106" s="33" t="s">
        <v>59</v>
      </c>
      <c r="E106" s="33" t="s">
        <v>81</v>
      </c>
      <c r="F106" s="33" t="s">
        <v>476</v>
      </c>
      <c r="G106" s="33" t="s">
        <v>9</v>
      </c>
      <c r="H106" s="33" t="n">
        <v>10</v>
      </c>
    </row>
    <row r="107" customFormat="false" ht="54" hidden="false" customHeight="true" outlineLevel="0" collapsed="false">
      <c r="A107" s="32" t="s">
        <v>9608</v>
      </c>
      <c r="B107" s="32" t="s">
        <v>468</v>
      </c>
      <c r="C107" s="33" t="s">
        <v>98</v>
      </c>
      <c r="D107" s="33" t="s">
        <v>59</v>
      </c>
      <c r="E107" s="33" t="s">
        <v>82</v>
      </c>
      <c r="F107" s="33" t="s">
        <v>475</v>
      </c>
      <c r="G107" s="33" t="s">
        <v>9</v>
      </c>
      <c r="H107" s="33" t="n">
        <v>10</v>
      </c>
    </row>
    <row r="108" customFormat="false" ht="54" hidden="false" customHeight="true" outlineLevel="0" collapsed="false">
      <c r="A108" s="32" t="s">
        <v>9609</v>
      </c>
      <c r="B108" s="32" t="s">
        <v>481</v>
      </c>
      <c r="C108" s="33" t="s">
        <v>98</v>
      </c>
      <c r="D108" s="33" t="s">
        <v>59</v>
      </c>
      <c r="E108" s="33" t="s">
        <v>80</v>
      </c>
      <c r="F108" s="33" t="s">
        <v>489</v>
      </c>
      <c r="G108" s="33" t="s">
        <v>9</v>
      </c>
      <c r="H108" s="33" t="n">
        <v>10</v>
      </c>
    </row>
    <row r="109" customFormat="false" ht="54" hidden="false" customHeight="true" outlineLevel="0" collapsed="false">
      <c r="A109" s="32" t="s">
        <v>9610</v>
      </c>
      <c r="B109" s="32" t="s">
        <v>481</v>
      </c>
      <c r="C109" s="33" t="s">
        <v>98</v>
      </c>
      <c r="D109" s="33" t="s">
        <v>59</v>
      </c>
      <c r="E109" s="33" t="s">
        <v>81</v>
      </c>
      <c r="F109" s="33" t="s">
        <v>487</v>
      </c>
      <c r="G109" s="33" t="s">
        <v>9</v>
      </c>
      <c r="H109" s="33" t="n">
        <v>10</v>
      </c>
    </row>
    <row r="110" customFormat="false" ht="54" hidden="false" customHeight="true" outlineLevel="0" collapsed="false">
      <c r="A110" s="32" t="s">
        <v>9611</v>
      </c>
      <c r="B110" s="32" t="s">
        <v>481</v>
      </c>
      <c r="C110" s="33" t="s">
        <v>98</v>
      </c>
      <c r="D110" s="33" t="s">
        <v>59</v>
      </c>
      <c r="E110" s="33" t="s">
        <v>84</v>
      </c>
      <c r="F110" s="33" t="s">
        <v>489</v>
      </c>
      <c r="G110" s="33" t="s">
        <v>9</v>
      </c>
      <c r="H110" s="33" t="n">
        <v>10</v>
      </c>
    </row>
    <row r="111" customFormat="false" ht="54" hidden="false" customHeight="true" outlineLevel="0" collapsed="false">
      <c r="A111" s="32" t="s">
        <v>9612</v>
      </c>
      <c r="B111" s="32" t="s">
        <v>492</v>
      </c>
      <c r="C111" s="33" t="s">
        <v>98</v>
      </c>
      <c r="D111" s="33" t="s">
        <v>59</v>
      </c>
      <c r="E111" s="33" t="s">
        <v>81</v>
      </c>
      <c r="F111" s="33" t="s">
        <v>496</v>
      </c>
      <c r="G111" s="33" t="s">
        <v>9</v>
      </c>
      <c r="H111" s="33" t="n">
        <v>10</v>
      </c>
    </row>
    <row r="112" customFormat="false" ht="54" hidden="false" customHeight="true" outlineLevel="0" collapsed="false">
      <c r="A112" s="32" t="s">
        <v>9613</v>
      </c>
      <c r="B112" s="32" t="s">
        <v>492</v>
      </c>
      <c r="C112" s="33" t="s">
        <v>98</v>
      </c>
      <c r="D112" s="33" t="s">
        <v>59</v>
      </c>
      <c r="E112" s="33" t="s">
        <v>82</v>
      </c>
      <c r="F112" s="33" t="s">
        <v>497</v>
      </c>
      <c r="G112" s="33" t="s">
        <v>9</v>
      </c>
      <c r="H112" s="33" t="n">
        <v>10</v>
      </c>
    </row>
    <row r="113" customFormat="false" ht="54" hidden="false" customHeight="true" outlineLevel="0" collapsed="false">
      <c r="A113" s="32" t="s">
        <v>9614</v>
      </c>
      <c r="B113" s="32" t="s">
        <v>492</v>
      </c>
      <c r="C113" s="33" t="s">
        <v>98</v>
      </c>
      <c r="D113" s="33" t="s">
        <v>59</v>
      </c>
      <c r="E113" s="33" t="s">
        <v>82</v>
      </c>
      <c r="F113" s="33" t="s">
        <v>498</v>
      </c>
      <c r="G113" s="33" t="s">
        <v>9</v>
      </c>
      <c r="H113" s="33" t="n">
        <v>10</v>
      </c>
    </row>
    <row r="114" customFormat="false" ht="54" hidden="false" customHeight="true" outlineLevel="0" collapsed="false">
      <c r="A114" s="32" t="s">
        <v>9615</v>
      </c>
      <c r="B114" s="32" t="s">
        <v>492</v>
      </c>
      <c r="C114" s="33" t="s">
        <v>98</v>
      </c>
      <c r="D114" s="33" t="s">
        <v>59</v>
      </c>
      <c r="E114" s="33" t="s">
        <v>84</v>
      </c>
      <c r="F114" s="33" t="s">
        <v>498</v>
      </c>
      <c r="G114" s="33" t="s">
        <v>9</v>
      </c>
      <c r="H114" s="33" t="n">
        <v>10</v>
      </c>
    </row>
    <row r="115" customFormat="false" ht="54" hidden="false" customHeight="true" outlineLevel="0" collapsed="false">
      <c r="A115" s="32" t="s">
        <v>9616</v>
      </c>
      <c r="B115" s="32" t="s">
        <v>503</v>
      </c>
      <c r="C115" s="33" t="s">
        <v>98</v>
      </c>
      <c r="D115" s="33" t="s">
        <v>59</v>
      </c>
      <c r="E115" s="33" t="s">
        <v>80</v>
      </c>
      <c r="F115" s="33" t="s">
        <v>511</v>
      </c>
      <c r="G115" s="33" t="s">
        <v>9</v>
      </c>
      <c r="H115" s="33" t="n">
        <v>10</v>
      </c>
    </row>
    <row r="116" customFormat="false" ht="54" hidden="false" customHeight="true" outlineLevel="0" collapsed="false">
      <c r="A116" s="32" t="s">
        <v>9617</v>
      </c>
      <c r="B116" s="32" t="s">
        <v>503</v>
      </c>
      <c r="C116" s="33" t="s">
        <v>98</v>
      </c>
      <c r="D116" s="33" t="s">
        <v>59</v>
      </c>
      <c r="E116" s="33" t="s">
        <v>81</v>
      </c>
      <c r="F116" s="33" t="s">
        <v>508</v>
      </c>
      <c r="G116" s="33" t="s">
        <v>9</v>
      </c>
      <c r="H116" s="33" t="n">
        <v>10</v>
      </c>
    </row>
    <row r="117" customFormat="false" ht="54" hidden="false" customHeight="true" outlineLevel="0" collapsed="false">
      <c r="A117" s="32" t="s">
        <v>9618</v>
      </c>
      <c r="B117" s="32" t="s">
        <v>503</v>
      </c>
      <c r="C117" s="33" t="s">
        <v>98</v>
      </c>
      <c r="D117" s="33" t="s">
        <v>59</v>
      </c>
      <c r="E117" s="33" t="s">
        <v>81</v>
      </c>
      <c r="F117" s="33" t="s">
        <v>510</v>
      </c>
      <c r="G117" s="33" t="s">
        <v>9</v>
      </c>
      <c r="H117" s="33" t="n">
        <v>10</v>
      </c>
    </row>
    <row r="118" customFormat="false" ht="54" hidden="false" customHeight="true" outlineLevel="0" collapsed="false">
      <c r="A118" s="32" t="s">
        <v>9619</v>
      </c>
      <c r="B118" s="32" t="s">
        <v>503</v>
      </c>
      <c r="C118" s="33" t="s">
        <v>98</v>
      </c>
      <c r="D118" s="33" t="s">
        <v>59</v>
      </c>
      <c r="E118" s="33" t="s">
        <v>82</v>
      </c>
      <c r="F118" s="33" t="s">
        <v>510</v>
      </c>
      <c r="G118" s="33" t="s">
        <v>9</v>
      </c>
      <c r="H118" s="33" t="n">
        <v>10</v>
      </c>
    </row>
    <row r="119" customFormat="false" ht="54" hidden="false" customHeight="true" outlineLevel="0" collapsed="false">
      <c r="A119" s="32" t="s">
        <v>9620</v>
      </c>
      <c r="B119" s="32" t="s">
        <v>503</v>
      </c>
      <c r="C119" s="33" t="s">
        <v>98</v>
      </c>
      <c r="D119" s="33" t="s">
        <v>59</v>
      </c>
      <c r="E119" s="33" t="s">
        <v>84</v>
      </c>
      <c r="F119" s="33" t="s">
        <v>510</v>
      </c>
      <c r="G119" s="33" t="s">
        <v>9</v>
      </c>
      <c r="H119" s="33" t="n">
        <v>10</v>
      </c>
    </row>
    <row r="120" customFormat="false" ht="54" hidden="false" customHeight="true" outlineLevel="0" collapsed="false">
      <c r="A120" s="32" t="s">
        <v>9621</v>
      </c>
      <c r="B120" s="32" t="s">
        <v>503</v>
      </c>
      <c r="C120" s="33" t="s">
        <v>98</v>
      </c>
      <c r="D120" s="33" t="s">
        <v>59</v>
      </c>
      <c r="E120" s="33" t="s">
        <v>84</v>
      </c>
      <c r="F120" s="33" t="s">
        <v>511</v>
      </c>
      <c r="G120" s="33" t="s">
        <v>9</v>
      </c>
      <c r="H120" s="33" t="n">
        <v>10</v>
      </c>
    </row>
    <row r="121" customFormat="false" ht="54" hidden="false" customHeight="true" outlineLevel="0" collapsed="false">
      <c r="A121" s="32" t="s">
        <v>9622</v>
      </c>
      <c r="B121" s="32" t="s">
        <v>515</v>
      </c>
      <c r="C121" s="33" t="s">
        <v>98</v>
      </c>
      <c r="D121" s="33" t="s">
        <v>59</v>
      </c>
      <c r="E121" s="33" t="s">
        <v>81</v>
      </c>
      <c r="F121" s="33" t="s">
        <v>519</v>
      </c>
      <c r="G121" s="33" t="s">
        <v>9</v>
      </c>
      <c r="H121" s="33" t="n">
        <v>10</v>
      </c>
    </row>
    <row r="122" customFormat="false" ht="54" hidden="false" customHeight="true" outlineLevel="0" collapsed="false">
      <c r="A122" s="32" t="s">
        <v>9623</v>
      </c>
      <c r="B122" s="32" t="s">
        <v>515</v>
      </c>
      <c r="C122" s="33" t="s">
        <v>98</v>
      </c>
      <c r="D122" s="33" t="s">
        <v>59</v>
      </c>
      <c r="E122" s="33" t="s">
        <v>81</v>
      </c>
      <c r="F122" s="33" t="s">
        <v>520</v>
      </c>
      <c r="G122" s="33" t="s">
        <v>9</v>
      </c>
      <c r="H122" s="33" t="n">
        <v>10</v>
      </c>
    </row>
    <row r="123" customFormat="false" ht="54" hidden="false" customHeight="true" outlineLevel="0" collapsed="false">
      <c r="A123" s="32" t="s">
        <v>9624</v>
      </c>
      <c r="B123" s="32" t="s">
        <v>515</v>
      </c>
      <c r="C123" s="33" t="s">
        <v>98</v>
      </c>
      <c r="D123" s="33" t="s">
        <v>59</v>
      </c>
      <c r="E123" s="33" t="s">
        <v>81</v>
      </c>
      <c r="F123" s="33" t="s">
        <v>521</v>
      </c>
      <c r="G123" s="33" t="s">
        <v>9</v>
      </c>
      <c r="H123" s="33" t="n">
        <v>10</v>
      </c>
    </row>
    <row r="124" customFormat="false" ht="54" hidden="false" customHeight="true" outlineLevel="0" collapsed="false">
      <c r="A124" s="32" t="s">
        <v>9625</v>
      </c>
      <c r="B124" s="32" t="s">
        <v>515</v>
      </c>
      <c r="C124" s="33" t="s">
        <v>98</v>
      </c>
      <c r="D124" s="33" t="s">
        <v>59</v>
      </c>
      <c r="E124" s="33" t="s">
        <v>82</v>
      </c>
      <c r="F124" s="33" t="s">
        <v>521</v>
      </c>
      <c r="G124" s="33" t="s">
        <v>9</v>
      </c>
      <c r="H124" s="33" t="n">
        <v>10</v>
      </c>
    </row>
    <row r="125" customFormat="false" ht="54" hidden="false" customHeight="true" outlineLevel="0" collapsed="false">
      <c r="A125" s="32" t="s">
        <v>9626</v>
      </c>
      <c r="B125" s="32" t="s">
        <v>515</v>
      </c>
      <c r="C125" s="33" t="s">
        <v>98</v>
      </c>
      <c r="D125" s="33" t="s">
        <v>59</v>
      </c>
      <c r="E125" s="33" t="s">
        <v>84</v>
      </c>
      <c r="F125" s="33" t="s">
        <v>518</v>
      </c>
      <c r="G125" s="33" t="s">
        <v>9</v>
      </c>
      <c r="H125" s="33" t="n">
        <v>10</v>
      </c>
    </row>
    <row r="126" customFormat="false" ht="54" hidden="false" customHeight="true" outlineLevel="0" collapsed="false">
      <c r="A126" s="32" t="s">
        <v>9627</v>
      </c>
      <c r="B126" s="32" t="s">
        <v>515</v>
      </c>
      <c r="C126" s="33" t="s">
        <v>98</v>
      </c>
      <c r="D126" s="33" t="s">
        <v>59</v>
      </c>
      <c r="E126" s="33" t="s">
        <v>84</v>
      </c>
      <c r="F126" s="33" t="s">
        <v>521</v>
      </c>
      <c r="G126" s="33" t="s">
        <v>9</v>
      </c>
      <c r="H126" s="33" t="n">
        <v>10</v>
      </c>
    </row>
    <row r="127" customFormat="false" ht="54" hidden="false" customHeight="true" outlineLevel="0" collapsed="false">
      <c r="A127" s="32" t="s">
        <v>9628</v>
      </c>
      <c r="B127" s="32" t="s">
        <v>527</v>
      </c>
      <c r="C127" s="33" t="s">
        <v>98</v>
      </c>
      <c r="D127" s="33" t="s">
        <v>59</v>
      </c>
      <c r="E127" s="33" t="s">
        <v>82</v>
      </c>
      <c r="F127" s="33" t="s">
        <v>9629</v>
      </c>
      <c r="G127" s="33" t="s">
        <v>9</v>
      </c>
      <c r="H127" s="33" t="n">
        <v>10</v>
      </c>
    </row>
    <row r="128" customFormat="false" ht="54" hidden="false" customHeight="true" outlineLevel="0" collapsed="false">
      <c r="A128" s="32" t="s">
        <v>9630</v>
      </c>
      <c r="B128" s="32" t="s">
        <v>527</v>
      </c>
      <c r="C128" s="33" t="s">
        <v>98</v>
      </c>
      <c r="D128" s="33" t="s">
        <v>59</v>
      </c>
      <c r="E128" s="33" t="s">
        <v>82</v>
      </c>
      <c r="F128" s="33" t="s">
        <v>9631</v>
      </c>
      <c r="G128" s="33" t="s">
        <v>9</v>
      </c>
      <c r="H128" s="33" t="n">
        <v>10</v>
      </c>
    </row>
    <row r="129" customFormat="false" ht="54" hidden="false" customHeight="true" outlineLevel="0" collapsed="false">
      <c r="A129" s="32" t="s">
        <v>9632</v>
      </c>
      <c r="B129" s="32" t="s">
        <v>527</v>
      </c>
      <c r="C129" s="33" t="s">
        <v>98</v>
      </c>
      <c r="D129" s="33" t="s">
        <v>59</v>
      </c>
      <c r="E129" s="33" t="s">
        <v>83</v>
      </c>
      <c r="F129" s="33" t="s">
        <v>9633</v>
      </c>
      <c r="G129" s="33" t="s">
        <v>9</v>
      </c>
      <c r="H129" s="33" t="n">
        <v>10</v>
      </c>
    </row>
    <row r="130" customFormat="false" ht="54" hidden="false" customHeight="true" outlineLevel="0" collapsed="false">
      <c r="A130" s="32" t="s">
        <v>9634</v>
      </c>
      <c r="B130" s="32" t="s">
        <v>546</v>
      </c>
      <c r="C130" s="33" t="s">
        <v>98</v>
      </c>
      <c r="D130" s="33" t="s">
        <v>59</v>
      </c>
      <c r="E130" s="33" t="s">
        <v>80</v>
      </c>
      <c r="F130" s="33" t="s">
        <v>557</v>
      </c>
      <c r="G130" s="33" t="s">
        <v>9</v>
      </c>
      <c r="H130" s="33" t="n">
        <v>10</v>
      </c>
    </row>
    <row r="131" customFormat="false" ht="54" hidden="false" customHeight="true" outlineLevel="0" collapsed="false">
      <c r="A131" s="32" t="s">
        <v>9635</v>
      </c>
      <c r="B131" s="32" t="s">
        <v>546</v>
      </c>
      <c r="C131" s="33" t="s">
        <v>98</v>
      </c>
      <c r="D131" s="33" t="s">
        <v>59</v>
      </c>
      <c r="E131" s="33" t="s">
        <v>82</v>
      </c>
      <c r="F131" s="33" t="s">
        <v>558</v>
      </c>
      <c r="G131" s="33" t="s">
        <v>9</v>
      </c>
      <c r="H131" s="33" t="n">
        <v>10</v>
      </c>
    </row>
    <row r="132" customFormat="false" ht="54" hidden="false" customHeight="true" outlineLevel="0" collapsed="false">
      <c r="A132" s="32" t="s">
        <v>9636</v>
      </c>
      <c r="B132" s="32" t="s">
        <v>563</v>
      </c>
      <c r="C132" s="33" t="s">
        <v>98</v>
      </c>
      <c r="D132" s="33" t="s">
        <v>59</v>
      </c>
      <c r="E132" s="33" t="s">
        <v>80</v>
      </c>
      <c r="F132" s="33" t="s">
        <v>567</v>
      </c>
      <c r="G132" s="33" t="s">
        <v>9</v>
      </c>
      <c r="H132" s="33" t="n">
        <v>10</v>
      </c>
    </row>
    <row r="133" customFormat="false" ht="54" hidden="false" customHeight="true" outlineLevel="0" collapsed="false">
      <c r="A133" s="32" t="s">
        <v>9637</v>
      </c>
      <c r="B133" s="32" t="s">
        <v>563</v>
      </c>
      <c r="C133" s="33" t="s">
        <v>98</v>
      </c>
      <c r="D133" s="33" t="s">
        <v>59</v>
      </c>
      <c r="E133" s="33" t="s">
        <v>83</v>
      </c>
      <c r="F133" s="33" t="s">
        <v>9638</v>
      </c>
      <c r="G133" s="33" t="s">
        <v>9</v>
      </c>
      <c r="H133" s="33" t="n">
        <v>10</v>
      </c>
    </row>
    <row r="134" customFormat="false" ht="54" hidden="false" customHeight="true" outlineLevel="0" collapsed="false">
      <c r="A134" s="32" t="s">
        <v>9639</v>
      </c>
      <c r="B134" s="32" t="s">
        <v>579</v>
      </c>
      <c r="C134" s="33" t="s">
        <v>98</v>
      </c>
      <c r="D134" s="33" t="s">
        <v>59</v>
      </c>
      <c r="E134" s="33" t="s">
        <v>80</v>
      </c>
      <c r="F134" s="33" t="s">
        <v>586</v>
      </c>
      <c r="G134" s="33" t="s">
        <v>9</v>
      </c>
      <c r="H134" s="33" t="n">
        <v>10</v>
      </c>
    </row>
    <row r="135" customFormat="false" ht="54" hidden="false" customHeight="true" outlineLevel="0" collapsed="false">
      <c r="A135" s="32" t="s">
        <v>9640</v>
      </c>
      <c r="B135" s="32" t="s">
        <v>579</v>
      </c>
      <c r="C135" s="33" t="s">
        <v>98</v>
      </c>
      <c r="D135" s="33" t="s">
        <v>59</v>
      </c>
      <c r="E135" s="33" t="s">
        <v>82</v>
      </c>
      <c r="F135" s="33" t="s">
        <v>583</v>
      </c>
      <c r="G135" s="33" t="s">
        <v>9</v>
      </c>
      <c r="H135" s="33" t="n">
        <v>10</v>
      </c>
    </row>
    <row r="136" customFormat="false" ht="54" hidden="false" customHeight="true" outlineLevel="0" collapsed="false">
      <c r="A136" s="32" t="s">
        <v>9641</v>
      </c>
      <c r="B136" s="32" t="s">
        <v>579</v>
      </c>
      <c r="C136" s="33" t="s">
        <v>98</v>
      </c>
      <c r="D136" s="33" t="s">
        <v>59</v>
      </c>
      <c r="E136" s="33" t="s">
        <v>82</v>
      </c>
      <c r="F136" s="33" t="s">
        <v>585</v>
      </c>
      <c r="G136" s="33" t="s">
        <v>9</v>
      </c>
      <c r="H136" s="33" t="n">
        <v>10</v>
      </c>
    </row>
    <row r="137" customFormat="false" ht="54" hidden="false" customHeight="true" outlineLevel="0" collapsed="false">
      <c r="A137" s="32" t="s">
        <v>9642</v>
      </c>
      <c r="B137" s="32" t="s">
        <v>579</v>
      </c>
      <c r="C137" s="33" t="s">
        <v>98</v>
      </c>
      <c r="D137" s="33" t="s">
        <v>59</v>
      </c>
      <c r="E137" s="33" t="s">
        <v>82</v>
      </c>
      <c r="F137" s="33" t="s">
        <v>586</v>
      </c>
      <c r="G137" s="33" t="s">
        <v>9</v>
      </c>
      <c r="H137" s="33" t="n">
        <v>10</v>
      </c>
    </row>
    <row r="138" customFormat="false" ht="54" hidden="false" customHeight="true" outlineLevel="0" collapsed="false">
      <c r="A138" s="32" t="s">
        <v>9643</v>
      </c>
      <c r="B138" s="32" t="s">
        <v>579</v>
      </c>
      <c r="C138" s="33" t="s">
        <v>98</v>
      </c>
      <c r="D138" s="33" t="s">
        <v>59</v>
      </c>
      <c r="E138" s="33" t="s">
        <v>82</v>
      </c>
      <c r="F138" s="33" t="s">
        <v>588</v>
      </c>
      <c r="G138" s="33" t="s">
        <v>9</v>
      </c>
      <c r="H138" s="33" t="n">
        <v>10</v>
      </c>
    </row>
    <row r="139" customFormat="false" ht="54" hidden="false" customHeight="true" outlineLevel="0" collapsed="false">
      <c r="A139" s="32" t="s">
        <v>9644</v>
      </c>
      <c r="B139" s="32" t="s">
        <v>579</v>
      </c>
      <c r="C139" s="33" t="s">
        <v>98</v>
      </c>
      <c r="D139" s="33" t="s">
        <v>59</v>
      </c>
      <c r="E139" s="33" t="s">
        <v>83</v>
      </c>
      <c r="F139" s="33" t="s">
        <v>588</v>
      </c>
      <c r="G139" s="33" t="s">
        <v>9</v>
      </c>
      <c r="H139" s="33" t="n">
        <v>10</v>
      </c>
    </row>
    <row r="140" customFormat="false" ht="54" hidden="false" customHeight="true" outlineLevel="0" collapsed="false">
      <c r="A140" s="32" t="s">
        <v>9645</v>
      </c>
      <c r="B140" s="32" t="s">
        <v>579</v>
      </c>
      <c r="C140" s="33" t="s">
        <v>98</v>
      </c>
      <c r="D140" s="33" t="s">
        <v>59</v>
      </c>
      <c r="E140" s="33" t="s">
        <v>84</v>
      </c>
      <c r="F140" s="33" t="s">
        <v>586</v>
      </c>
      <c r="G140" s="33" t="s">
        <v>9</v>
      </c>
      <c r="H140" s="33" t="n">
        <v>10</v>
      </c>
    </row>
    <row r="141" customFormat="false" ht="54" hidden="false" customHeight="true" outlineLevel="0" collapsed="false">
      <c r="A141" s="32" t="s">
        <v>9646</v>
      </c>
      <c r="B141" s="32" t="s">
        <v>591</v>
      </c>
      <c r="C141" s="33" t="s">
        <v>98</v>
      </c>
      <c r="D141" s="33" t="s">
        <v>59</v>
      </c>
      <c r="E141" s="33" t="s">
        <v>81</v>
      </c>
      <c r="F141" s="33" t="s">
        <v>599</v>
      </c>
      <c r="G141" s="33" t="s">
        <v>9</v>
      </c>
      <c r="H141" s="33" t="n">
        <v>10</v>
      </c>
    </row>
    <row r="142" customFormat="false" ht="54" hidden="false" customHeight="true" outlineLevel="0" collapsed="false">
      <c r="A142" s="32" t="s">
        <v>9647</v>
      </c>
      <c r="B142" s="32" t="s">
        <v>591</v>
      </c>
      <c r="C142" s="33" t="s">
        <v>98</v>
      </c>
      <c r="D142" s="33" t="s">
        <v>59</v>
      </c>
      <c r="E142" s="33" t="s">
        <v>81</v>
      </c>
      <c r="F142" s="33" t="s">
        <v>600</v>
      </c>
      <c r="G142" s="33" t="s">
        <v>9</v>
      </c>
      <c r="H142" s="33" t="n">
        <v>10</v>
      </c>
    </row>
    <row r="143" customFormat="false" ht="54" hidden="false" customHeight="true" outlineLevel="0" collapsed="false">
      <c r="A143" s="32" t="s">
        <v>9648</v>
      </c>
      <c r="B143" s="32" t="s">
        <v>591</v>
      </c>
      <c r="C143" s="33" t="s">
        <v>98</v>
      </c>
      <c r="D143" s="33" t="s">
        <v>59</v>
      </c>
      <c r="E143" s="33" t="s">
        <v>82</v>
      </c>
      <c r="F143" s="33" t="s">
        <v>600</v>
      </c>
      <c r="G143" s="33" t="s">
        <v>9</v>
      </c>
      <c r="H143" s="33" t="n">
        <v>10</v>
      </c>
    </row>
    <row r="144" customFormat="false" ht="54" hidden="false" customHeight="true" outlineLevel="0" collapsed="false">
      <c r="A144" s="32" t="s">
        <v>9649</v>
      </c>
      <c r="B144" s="32" t="s">
        <v>602</v>
      </c>
      <c r="C144" s="33" t="s">
        <v>98</v>
      </c>
      <c r="D144" s="33" t="s">
        <v>59</v>
      </c>
      <c r="E144" s="33" t="s">
        <v>85</v>
      </c>
      <c r="F144" s="33" t="s">
        <v>609</v>
      </c>
      <c r="G144" s="33" t="s">
        <v>9</v>
      </c>
      <c r="H144" s="33" t="n">
        <v>10</v>
      </c>
    </row>
    <row r="145" customFormat="false" ht="54" hidden="false" customHeight="true" outlineLevel="0" collapsed="false">
      <c r="A145" s="32" t="s">
        <v>9650</v>
      </c>
      <c r="B145" s="32" t="s">
        <v>613</v>
      </c>
      <c r="C145" s="33" t="s">
        <v>98</v>
      </c>
      <c r="D145" s="33" t="s">
        <v>59</v>
      </c>
      <c r="E145" s="33" t="s">
        <v>82</v>
      </c>
      <c r="F145" s="33" t="s">
        <v>619</v>
      </c>
      <c r="G145" s="33" t="s">
        <v>9</v>
      </c>
      <c r="H145" s="33" t="n">
        <v>10</v>
      </c>
    </row>
    <row r="146" customFormat="false" ht="54" hidden="false" customHeight="true" outlineLevel="0" collapsed="false">
      <c r="A146" s="32" t="s">
        <v>9651</v>
      </c>
      <c r="B146" s="32" t="s">
        <v>624</v>
      </c>
      <c r="C146" s="33" t="s">
        <v>98</v>
      </c>
      <c r="D146" s="33" t="s">
        <v>59</v>
      </c>
      <c r="E146" s="33" t="s">
        <v>80</v>
      </c>
      <c r="F146" s="33" t="s">
        <v>635</v>
      </c>
      <c r="G146" s="33" t="s">
        <v>9</v>
      </c>
      <c r="H146" s="33" t="n">
        <v>10</v>
      </c>
    </row>
    <row r="147" customFormat="false" ht="54" hidden="false" customHeight="true" outlineLevel="0" collapsed="false">
      <c r="A147" s="32" t="s">
        <v>9652</v>
      </c>
      <c r="B147" s="32" t="s">
        <v>624</v>
      </c>
      <c r="C147" s="33" t="s">
        <v>98</v>
      </c>
      <c r="D147" s="33" t="s">
        <v>59</v>
      </c>
      <c r="E147" s="33" t="s">
        <v>83</v>
      </c>
      <c r="F147" s="33" t="s">
        <v>9653</v>
      </c>
      <c r="G147" s="33" t="s">
        <v>9</v>
      </c>
      <c r="H147" s="33" t="n">
        <v>10</v>
      </c>
    </row>
    <row r="148" customFormat="false" ht="54" hidden="false" customHeight="true" outlineLevel="0" collapsed="false">
      <c r="A148" s="32" t="s">
        <v>9654</v>
      </c>
      <c r="B148" s="32" t="s">
        <v>641</v>
      </c>
      <c r="C148" s="33" t="s">
        <v>98</v>
      </c>
      <c r="D148" s="33" t="s">
        <v>59</v>
      </c>
      <c r="E148" s="33" t="s">
        <v>82</v>
      </c>
      <c r="F148" s="33" t="s">
        <v>651</v>
      </c>
      <c r="G148" s="33" t="s">
        <v>9</v>
      </c>
      <c r="H148" s="33" t="n">
        <v>10</v>
      </c>
    </row>
    <row r="149" customFormat="false" ht="54" hidden="false" customHeight="true" outlineLevel="0" collapsed="false">
      <c r="A149" s="32" t="s">
        <v>9655</v>
      </c>
      <c r="B149" s="32" t="s">
        <v>656</v>
      </c>
      <c r="C149" s="33" t="s">
        <v>98</v>
      </c>
      <c r="D149" s="33" t="s">
        <v>59</v>
      </c>
      <c r="E149" s="33" t="s">
        <v>82</v>
      </c>
      <c r="F149" s="33" t="s">
        <v>665</v>
      </c>
      <c r="G149" s="33" t="s">
        <v>9</v>
      </c>
      <c r="H149" s="33" t="n">
        <v>10</v>
      </c>
    </row>
    <row r="150" customFormat="false" ht="54" hidden="false" customHeight="true" outlineLevel="0" collapsed="false">
      <c r="A150" s="32" t="s">
        <v>9656</v>
      </c>
      <c r="B150" s="32" t="s">
        <v>668</v>
      </c>
      <c r="C150" s="33" t="s">
        <v>98</v>
      </c>
      <c r="D150" s="33" t="s">
        <v>59</v>
      </c>
      <c r="E150" s="33" t="s">
        <v>80</v>
      </c>
      <c r="F150" s="33" t="s">
        <v>674</v>
      </c>
      <c r="G150" s="33" t="s">
        <v>9</v>
      </c>
      <c r="H150" s="33" t="n">
        <v>10</v>
      </c>
    </row>
    <row r="151" customFormat="false" ht="54" hidden="false" customHeight="true" outlineLevel="0" collapsed="false">
      <c r="A151" s="32" t="s">
        <v>9657</v>
      </c>
      <c r="B151" s="32" t="s">
        <v>668</v>
      </c>
      <c r="C151" s="33" t="s">
        <v>98</v>
      </c>
      <c r="D151" s="33" t="s">
        <v>59</v>
      </c>
      <c r="E151" s="33" t="s">
        <v>80</v>
      </c>
      <c r="F151" s="33" t="s">
        <v>676</v>
      </c>
      <c r="G151" s="33" t="s">
        <v>9</v>
      </c>
      <c r="H151" s="33" t="n">
        <v>10</v>
      </c>
    </row>
    <row r="152" customFormat="false" ht="54" hidden="false" customHeight="true" outlineLevel="0" collapsed="false">
      <c r="A152" s="32" t="s">
        <v>9658</v>
      </c>
      <c r="B152" s="32" t="s">
        <v>668</v>
      </c>
      <c r="C152" s="33" t="s">
        <v>98</v>
      </c>
      <c r="D152" s="33" t="s">
        <v>59</v>
      </c>
      <c r="E152" s="33" t="s">
        <v>80</v>
      </c>
      <c r="F152" s="33" t="s">
        <v>677</v>
      </c>
      <c r="G152" s="33" t="s">
        <v>9</v>
      </c>
      <c r="H152" s="33" t="n">
        <v>10</v>
      </c>
    </row>
    <row r="153" customFormat="false" ht="54" hidden="false" customHeight="true" outlineLevel="0" collapsed="false">
      <c r="A153" s="32" t="s">
        <v>9659</v>
      </c>
      <c r="B153" s="32" t="s">
        <v>668</v>
      </c>
      <c r="C153" s="33" t="s">
        <v>98</v>
      </c>
      <c r="D153" s="33" t="s">
        <v>59</v>
      </c>
      <c r="E153" s="33" t="s">
        <v>84</v>
      </c>
      <c r="F153" s="33" t="s">
        <v>676</v>
      </c>
      <c r="G153" s="33" t="s">
        <v>9</v>
      </c>
      <c r="H153" s="33" t="n">
        <v>10</v>
      </c>
    </row>
    <row r="154" customFormat="false" ht="54" hidden="false" customHeight="true" outlineLevel="0" collapsed="false">
      <c r="A154" s="32" t="s">
        <v>9660</v>
      </c>
      <c r="B154" s="32" t="s">
        <v>668</v>
      </c>
      <c r="C154" s="33" t="s">
        <v>98</v>
      </c>
      <c r="D154" s="33" t="s">
        <v>59</v>
      </c>
      <c r="E154" s="33" t="s">
        <v>84</v>
      </c>
      <c r="F154" s="33" t="s">
        <v>677</v>
      </c>
      <c r="G154" s="33" t="s">
        <v>9</v>
      </c>
      <c r="H154" s="33" t="n">
        <v>10</v>
      </c>
    </row>
    <row r="155" customFormat="false" ht="54" hidden="false" customHeight="true" outlineLevel="0" collapsed="false">
      <c r="A155" s="32" t="s">
        <v>9661</v>
      </c>
      <c r="B155" s="32" t="s">
        <v>668</v>
      </c>
      <c r="C155" s="33" t="s">
        <v>98</v>
      </c>
      <c r="D155" s="33" t="s">
        <v>59</v>
      </c>
      <c r="E155" s="33" t="s">
        <v>84</v>
      </c>
      <c r="F155" s="33" t="s">
        <v>678</v>
      </c>
      <c r="G155" s="33" t="s">
        <v>9</v>
      </c>
      <c r="H155" s="33" t="n">
        <v>10</v>
      </c>
    </row>
    <row r="156" customFormat="false" ht="54" hidden="false" customHeight="true" outlineLevel="0" collapsed="false">
      <c r="A156" s="32" t="s">
        <v>9662</v>
      </c>
      <c r="B156" s="32" t="s">
        <v>683</v>
      </c>
      <c r="C156" s="33" t="s">
        <v>98</v>
      </c>
      <c r="D156" s="33" t="s">
        <v>59</v>
      </c>
      <c r="E156" s="33" t="s">
        <v>82</v>
      </c>
      <c r="F156" s="33" t="s">
        <v>694</v>
      </c>
      <c r="G156" s="33" t="s">
        <v>9</v>
      </c>
      <c r="H156" s="33" t="n">
        <v>10</v>
      </c>
    </row>
    <row r="157" customFormat="false" ht="54" hidden="false" customHeight="true" outlineLevel="0" collapsed="false">
      <c r="A157" s="32" t="s">
        <v>9663</v>
      </c>
      <c r="B157" s="32" t="s">
        <v>683</v>
      </c>
      <c r="C157" s="33" t="s">
        <v>98</v>
      </c>
      <c r="D157" s="33" t="s">
        <v>59</v>
      </c>
      <c r="E157" s="33" t="s">
        <v>84</v>
      </c>
      <c r="F157" s="33" t="s">
        <v>695</v>
      </c>
      <c r="G157" s="33" t="s">
        <v>9</v>
      </c>
      <c r="H157" s="33" t="n">
        <v>10</v>
      </c>
    </row>
    <row r="158" customFormat="false" ht="54" hidden="false" customHeight="true" outlineLevel="0" collapsed="false">
      <c r="A158" s="32" t="s">
        <v>9664</v>
      </c>
      <c r="B158" s="32" t="s">
        <v>698</v>
      </c>
      <c r="C158" s="33" t="s">
        <v>98</v>
      </c>
      <c r="D158" s="33" t="s">
        <v>59</v>
      </c>
      <c r="E158" s="33" t="s">
        <v>80</v>
      </c>
      <c r="F158" s="33" t="s">
        <v>704</v>
      </c>
      <c r="G158" s="33" t="s">
        <v>9</v>
      </c>
      <c r="H158" s="33" t="n">
        <v>10</v>
      </c>
    </row>
    <row r="159" customFormat="false" ht="54" hidden="false" customHeight="true" outlineLevel="0" collapsed="false">
      <c r="A159" s="32" t="s">
        <v>9665</v>
      </c>
      <c r="B159" s="32" t="s">
        <v>698</v>
      </c>
      <c r="C159" s="33" t="s">
        <v>98</v>
      </c>
      <c r="D159" s="33" t="s">
        <v>59</v>
      </c>
      <c r="E159" s="33" t="s">
        <v>80</v>
      </c>
      <c r="F159" s="33" t="s">
        <v>9666</v>
      </c>
      <c r="G159" s="33" t="s">
        <v>9</v>
      </c>
      <c r="H159" s="33" t="n">
        <v>10</v>
      </c>
    </row>
    <row r="160" customFormat="false" ht="54" hidden="false" customHeight="true" outlineLevel="0" collapsed="false">
      <c r="A160" s="32" t="s">
        <v>9667</v>
      </c>
      <c r="B160" s="32" t="s">
        <v>698</v>
      </c>
      <c r="C160" s="33" t="s">
        <v>98</v>
      </c>
      <c r="D160" s="33" t="s">
        <v>59</v>
      </c>
      <c r="E160" s="33" t="s">
        <v>80</v>
      </c>
      <c r="F160" s="33" t="s">
        <v>706</v>
      </c>
      <c r="G160" s="33" t="s">
        <v>9</v>
      </c>
      <c r="H160" s="33" t="n">
        <v>10</v>
      </c>
    </row>
    <row r="161" customFormat="false" ht="54" hidden="false" customHeight="true" outlineLevel="0" collapsed="false">
      <c r="A161" s="32" t="s">
        <v>9668</v>
      </c>
      <c r="B161" s="32" t="s">
        <v>698</v>
      </c>
      <c r="C161" s="33" t="s">
        <v>98</v>
      </c>
      <c r="D161" s="33" t="s">
        <v>59</v>
      </c>
      <c r="E161" s="33" t="s">
        <v>82</v>
      </c>
      <c r="F161" s="33" t="s">
        <v>704</v>
      </c>
      <c r="G161" s="33" t="s">
        <v>9</v>
      </c>
      <c r="H161" s="33" t="n">
        <v>10</v>
      </c>
    </row>
    <row r="162" customFormat="false" ht="54" hidden="false" customHeight="true" outlineLevel="0" collapsed="false">
      <c r="A162" s="32" t="s">
        <v>9669</v>
      </c>
      <c r="B162" s="32" t="s">
        <v>698</v>
      </c>
      <c r="C162" s="33" t="s">
        <v>98</v>
      </c>
      <c r="D162" s="33" t="s">
        <v>59</v>
      </c>
      <c r="E162" s="33" t="s">
        <v>82</v>
      </c>
      <c r="F162" s="33" t="s">
        <v>9666</v>
      </c>
      <c r="G162" s="33" t="s">
        <v>9</v>
      </c>
      <c r="H162" s="33" t="n">
        <v>10</v>
      </c>
    </row>
    <row r="163" customFormat="false" ht="54" hidden="false" customHeight="true" outlineLevel="0" collapsed="false">
      <c r="A163" s="32" t="s">
        <v>9670</v>
      </c>
      <c r="B163" s="32" t="s">
        <v>698</v>
      </c>
      <c r="C163" s="33" t="s">
        <v>98</v>
      </c>
      <c r="D163" s="33" t="s">
        <v>59</v>
      </c>
      <c r="E163" s="33" t="s">
        <v>82</v>
      </c>
      <c r="F163" s="33" t="s">
        <v>9671</v>
      </c>
      <c r="G163" s="33" t="s">
        <v>9</v>
      </c>
      <c r="H163" s="33" t="n">
        <v>10</v>
      </c>
    </row>
    <row r="164" customFormat="false" ht="54" hidden="false" customHeight="true" outlineLevel="0" collapsed="false">
      <c r="A164" s="32" t="s">
        <v>9672</v>
      </c>
      <c r="B164" s="32" t="s">
        <v>712</v>
      </c>
      <c r="C164" s="33" t="s">
        <v>98</v>
      </c>
      <c r="D164" s="33" t="s">
        <v>59</v>
      </c>
      <c r="E164" s="33" t="s">
        <v>80</v>
      </c>
      <c r="F164" s="33" t="s">
        <v>717</v>
      </c>
      <c r="G164" s="33" t="s">
        <v>9</v>
      </c>
      <c r="H164" s="33" t="n">
        <v>10</v>
      </c>
    </row>
    <row r="165" customFormat="false" ht="54" hidden="false" customHeight="true" outlineLevel="0" collapsed="false">
      <c r="A165" s="32" t="s">
        <v>9673</v>
      </c>
      <c r="B165" s="32" t="s">
        <v>712</v>
      </c>
      <c r="C165" s="33" t="s">
        <v>98</v>
      </c>
      <c r="D165" s="33" t="s">
        <v>59</v>
      </c>
      <c r="E165" s="33" t="s">
        <v>80</v>
      </c>
      <c r="F165" s="33" t="s">
        <v>724</v>
      </c>
      <c r="G165" s="33" t="s">
        <v>9</v>
      </c>
      <c r="H165" s="33" t="n">
        <v>10</v>
      </c>
    </row>
    <row r="166" customFormat="false" ht="54" hidden="false" customHeight="true" outlineLevel="0" collapsed="false">
      <c r="A166" s="32" t="s">
        <v>9674</v>
      </c>
      <c r="B166" s="32" t="s">
        <v>712</v>
      </c>
      <c r="C166" s="33" t="s">
        <v>98</v>
      </c>
      <c r="D166" s="33" t="s">
        <v>59</v>
      </c>
      <c r="E166" s="33" t="s">
        <v>80</v>
      </c>
      <c r="F166" s="33" t="s">
        <v>9675</v>
      </c>
      <c r="G166" s="33" t="s">
        <v>9</v>
      </c>
      <c r="H166" s="33" t="n">
        <v>10</v>
      </c>
    </row>
    <row r="167" customFormat="false" ht="54" hidden="false" customHeight="true" outlineLevel="0" collapsed="false">
      <c r="A167" s="32" t="s">
        <v>9676</v>
      </c>
      <c r="B167" s="32" t="s">
        <v>712</v>
      </c>
      <c r="C167" s="33" t="s">
        <v>98</v>
      </c>
      <c r="D167" s="33" t="s">
        <v>59</v>
      </c>
      <c r="E167" s="33" t="s">
        <v>82</v>
      </c>
      <c r="F167" s="33" t="s">
        <v>719</v>
      </c>
      <c r="G167" s="33" t="s">
        <v>9</v>
      </c>
      <c r="H167" s="33" t="n">
        <v>10</v>
      </c>
    </row>
    <row r="168" customFormat="false" ht="54" hidden="false" customHeight="true" outlineLevel="0" collapsed="false">
      <c r="A168" s="32" t="s">
        <v>9677</v>
      </c>
      <c r="B168" s="32" t="s">
        <v>712</v>
      </c>
      <c r="C168" s="33" t="s">
        <v>98</v>
      </c>
      <c r="D168" s="33" t="s">
        <v>59</v>
      </c>
      <c r="E168" s="33" t="s">
        <v>83</v>
      </c>
      <c r="F168" s="33" t="s">
        <v>724</v>
      </c>
      <c r="G168" s="33" t="s">
        <v>9</v>
      </c>
      <c r="H168" s="33" t="n">
        <v>10</v>
      </c>
    </row>
    <row r="169" customFormat="false" ht="54" hidden="false" customHeight="true" outlineLevel="0" collapsed="false">
      <c r="A169" s="32" t="s">
        <v>9678</v>
      </c>
      <c r="B169" s="32" t="s">
        <v>712</v>
      </c>
      <c r="C169" s="33" t="s">
        <v>98</v>
      </c>
      <c r="D169" s="33" t="s">
        <v>59</v>
      </c>
      <c r="E169" s="33" t="s">
        <v>84</v>
      </c>
      <c r="F169" s="33" t="s">
        <v>717</v>
      </c>
      <c r="G169" s="33" t="s">
        <v>9</v>
      </c>
      <c r="H169" s="33" t="n">
        <v>10</v>
      </c>
    </row>
    <row r="170" customFormat="false" ht="54" hidden="false" customHeight="true" outlineLevel="0" collapsed="false">
      <c r="A170" s="32" t="s">
        <v>9679</v>
      </c>
      <c r="B170" s="32" t="s">
        <v>726</v>
      </c>
      <c r="C170" s="33" t="s">
        <v>98</v>
      </c>
      <c r="D170" s="33" t="s">
        <v>59</v>
      </c>
      <c r="E170" s="33" t="s">
        <v>80</v>
      </c>
      <c r="F170" s="33" t="s">
        <v>9680</v>
      </c>
      <c r="G170" s="33" t="s">
        <v>9</v>
      </c>
      <c r="H170" s="33" t="n">
        <v>10</v>
      </c>
    </row>
    <row r="171" customFormat="false" ht="54" hidden="false" customHeight="true" outlineLevel="0" collapsed="false">
      <c r="A171" s="32" t="s">
        <v>9681</v>
      </c>
      <c r="B171" s="32" t="s">
        <v>726</v>
      </c>
      <c r="C171" s="33" t="s">
        <v>98</v>
      </c>
      <c r="D171" s="33" t="s">
        <v>59</v>
      </c>
      <c r="E171" s="33" t="s">
        <v>80</v>
      </c>
      <c r="F171" s="33" t="s">
        <v>734</v>
      </c>
      <c r="G171" s="33" t="s">
        <v>9</v>
      </c>
      <c r="H171" s="33" t="n">
        <v>10</v>
      </c>
    </row>
    <row r="172" customFormat="false" ht="54" hidden="false" customHeight="true" outlineLevel="0" collapsed="false">
      <c r="A172" s="32" t="s">
        <v>9682</v>
      </c>
      <c r="B172" s="32" t="s">
        <v>726</v>
      </c>
      <c r="C172" s="33" t="s">
        <v>98</v>
      </c>
      <c r="D172" s="33" t="s">
        <v>59</v>
      </c>
      <c r="E172" s="33" t="s">
        <v>80</v>
      </c>
      <c r="F172" s="33" t="s">
        <v>735</v>
      </c>
      <c r="G172" s="33" t="s">
        <v>9</v>
      </c>
      <c r="H172" s="33" t="n">
        <v>10</v>
      </c>
    </row>
    <row r="173" customFormat="false" ht="54" hidden="false" customHeight="true" outlineLevel="0" collapsed="false">
      <c r="A173" s="32" t="s">
        <v>9683</v>
      </c>
      <c r="B173" s="32" t="s">
        <v>726</v>
      </c>
      <c r="C173" s="33" t="s">
        <v>98</v>
      </c>
      <c r="D173" s="33" t="s">
        <v>59</v>
      </c>
      <c r="E173" s="33" t="s">
        <v>80</v>
      </c>
      <c r="F173" s="33" t="s">
        <v>736</v>
      </c>
      <c r="G173" s="33" t="s">
        <v>9</v>
      </c>
      <c r="H173" s="33" t="n">
        <v>10</v>
      </c>
    </row>
    <row r="174" customFormat="false" ht="54" hidden="false" customHeight="true" outlineLevel="0" collapsed="false">
      <c r="A174" s="32" t="s">
        <v>9684</v>
      </c>
      <c r="B174" s="32" t="s">
        <v>726</v>
      </c>
      <c r="C174" s="33" t="s">
        <v>98</v>
      </c>
      <c r="D174" s="33" t="s">
        <v>59</v>
      </c>
      <c r="E174" s="33" t="s">
        <v>82</v>
      </c>
      <c r="F174" s="33" t="s">
        <v>733</v>
      </c>
      <c r="G174" s="33" t="s">
        <v>9</v>
      </c>
      <c r="H174" s="33" t="n">
        <v>10</v>
      </c>
    </row>
    <row r="175" customFormat="false" ht="54" hidden="false" customHeight="true" outlineLevel="0" collapsed="false">
      <c r="A175" s="32" t="s">
        <v>9685</v>
      </c>
      <c r="B175" s="32" t="s">
        <v>726</v>
      </c>
      <c r="C175" s="33" t="s">
        <v>98</v>
      </c>
      <c r="D175" s="33" t="s">
        <v>59</v>
      </c>
      <c r="E175" s="33" t="s">
        <v>82</v>
      </c>
      <c r="F175" s="33" t="s">
        <v>734</v>
      </c>
      <c r="G175" s="33" t="s">
        <v>9</v>
      </c>
      <c r="H175" s="33" t="n">
        <v>10</v>
      </c>
    </row>
    <row r="176" customFormat="false" ht="54" hidden="false" customHeight="true" outlineLevel="0" collapsed="false">
      <c r="A176" s="32" t="s">
        <v>9686</v>
      </c>
      <c r="B176" s="32" t="s">
        <v>726</v>
      </c>
      <c r="C176" s="33" t="s">
        <v>98</v>
      </c>
      <c r="D176" s="33" t="s">
        <v>59</v>
      </c>
      <c r="E176" s="33" t="s">
        <v>83</v>
      </c>
      <c r="F176" s="33" t="s">
        <v>734</v>
      </c>
      <c r="G176" s="33" t="s">
        <v>9</v>
      </c>
      <c r="H176" s="33" t="n">
        <v>10</v>
      </c>
    </row>
    <row r="177" customFormat="false" ht="54" hidden="false" customHeight="true" outlineLevel="0" collapsed="false">
      <c r="A177" s="32" t="s">
        <v>9687</v>
      </c>
      <c r="B177" s="32" t="s">
        <v>741</v>
      </c>
      <c r="C177" s="33" t="s">
        <v>98</v>
      </c>
      <c r="D177" s="33" t="s">
        <v>59</v>
      </c>
      <c r="E177" s="33" t="s">
        <v>80</v>
      </c>
      <c r="F177" s="33" t="s">
        <v>183</v>
      </c>
      <c r="G177" s="33" t="s">
        <v>9</v>
      </c>
      <c r="H177" s="33" t="n">
        <v>10</v>
      </c>
    </row>
    <row r="178" customFormat="false" ht="54" hidden="false" customHeight="true" outlineLevel="0" collapsed="false">
      <c r="A178" s="32" t="s">
        <v>9688</v>
      </c>
      <c r="B178" s="32" t="s">
        <v>741</v>
      </c>
      <c r="C178" s="33" t="s">
        <v>98</v>
      </c>
      <c r="D178" s="33" t="s">
        <v>59</v>
      </c>
      <c r="E178" s="33" t="s">
        <v>80</v>
      </c>
      <c r="F178" s="33" t="s">
        <v>9689</v>
      </c>
      <c r="G178" s="33" t="s">
        <v>9</v>
      </c>
      <c r="H178" s="33" t="n">
        <v>10</v>
      </c>
    </row>
    <row r="179" customFormat="false" ht="54" hidden="false" customHeight="true" outlineLevel="0" collapsed="false">
      <c r="A179" s="32" t="s">
        <v>9690</v>
      </c>
      <c r="B179" s="32" t="s">
        <v>741</v>
      </c>
      <c r="C179" s="33" t="s">
        <v>98</v>
      </c>
      <c r="D179" s="33" t="s">
        <v>59</v>
      </c>
      <c r="E179" s="33" t="s">
        <v>82</v>
      </c>
      <c r="F179" s="33" t="s">
        <v>748</v>
      </c>
      <c r="G179" s="33" t="s">
        <v>9</v>
      </c>
      <c r="H179" s="33" t="n">
        <v>10</v>
      </c>
    </row>
    <row r="180" customFormat="false" ht="54" hidden="false" customHeight="true" outlineLevel="0" collapsed="false">
      <c r="A180" s="32" t="s">
        <v>9691</v>
      </c>
      <c r="B180" s="32" t="s">
        <v>741</v>
      </c>
      <c r="C180" s="33" t="s">
        <v>98</v>
      </c>
      <c r="D180" s="33" t="s">
        <v>59</v>
      </c>
      <c r="E180" s="33" t="s">
        <v>82</v>
      </c>
      <c r="F180" s="33" t="s">
        <v>182</v>
      </c>
      <c r="G180" s="33" t="s">
        <v>9</v>
      </c>
      <c r="H180" s="33" t="n">
        <v>10</v>
      </c>
    </row>
    <row r="181" customFormat="false" ht="54" hidden="false" customHeight="true" outlineLevel="0" collapsed="false">
      <c r="A181" s="32" t="s">
        <v>9692</v>
      </c>
      <c r="B181" s="32" t="s">
        <v>741</v>
      </c>
      <c r="C181" s="33" t="s">
        <v>98</v>
      </c>
      <c r="D181" s="33" t="s">
        <v>59</v>
      </c>
      <c r="E181" s="33" t="s">
        <v>82</v>
      </c>
      <c r="F181" s="33" t="s">
        <v>750</v>
      </c>
      <c r="G181" s="33" t="s">
        <v>9</v>
      </c>
      <c r="H181" s="33" t="n">
        <v>10</v>
      </c>
    </row>
    <row r="182" customFormat="false" ht="54" hidden="false" customHeight="true" outlineLevel="0" collapsed="false">
      <c r="A182" s="32" t="s">
        <v>9693</v>
      </c>
      <c r="B182" s="32" t="s">
        <v>741</v>
      </c>
      <c r="C182" s="33" t="s">
        <v>98</v>
      </c>
      <c r="D182" s="33" t="s">
        <v>59</v>
      </c>
      <c r="E182" s="33" t="s">
        <v>84</v>
      </c>
      <c r="F182" s="33" t="s">
        <v>746</v>
      </c>
      <c r="G182" s="33" t="s">
        <v>9</v>
      </c>
      <c r="H182" s="33" t="n">
        <v>10</v>
      </c>
    </row>
    <row r="183" customFormat="false" ht="54" hidden="false" customHeight="true" outlineLevel="0" collapsed="false">
      <c r="A183" s="32" t="s">
        <v>9694</v>
      </c>
      <c r="B183" s="32" t="s">
        <v>741</v>
      </c>
      <c r="C183" s="33" t="s">
        <v>98</v>
      </c>
      <c r="D183" s="33" t="s">
        <v>59</v>
      </c>
      <c r="E183" s="33" t="s">
        <v>84</v>
      </c>
      <c r="F183" s="33" t="s">
        <v>747</v>
      </c>
      <c r="G183" s="33" t="s">
        <v>9</v>
      </c>
      <c r="H183" s="33" t="n">
        <v>10</v>
      </c>
    </row>
    <row r="184" customFormat="false" ht="54" hidden="false" customHeight="true" outlineLevel="0" collapsed="false">
      <c r="A184" s="32" t="s">
        <v>9695</v>
      </c>
      <c r="B184" s="32" t="s">
        <v>741</v>
      </c>
      <c r="C184" s="33" t="s">
        <v>98</v>
      </c>
      <c r="D184" s="33" t="s">
        <v>59</v>
      </c>
      <c r="E184" s="33" t="s">
        <v>84</v>
      </c>
      <c r="F184" s="33" t="s">
        <v>183</v>
      </c>
      <c r="G184" s="33" t="s">
        <v>9</v>
      </c>
      <c r="H184" s="33" t="n">
        <v>10</v>
      </c>
    </row>
    <row r="185" customFormat="false" ht="54" hidden="false" customHeight="true" outlineLevel="0" collapsed="false">
      <c r="A185" s="32" t="s">
        <v>9696</v>
      </c>
      <c r="B185" s="32" t="s">
        <v>757</v>
      </c>
      <c r="C185" s="33" t="s">
        <v>98</v>
      </c>
      <c r="D185" s="33" t="s">
        <v>59</v>
      </c>
      <c r="E185" s="33" t="s">
        <v>80</v>
      </c>
      <c r="F185" s="33" t="s">
        <v>762</v>
      </c>
      <c r="G185" s="33" t="s">
        <v>9</v>
      </c>
      <c r="H185" s="33" t="n">
        <v>10</v>
      </c>
    </row>
    <row r="186" customFormat="false" ht="54" hidden="false" customHeight="true" outlineLevel="0" collapsed="false">
      <c r="A186" s="32" t="s">
        <v>9697</v>
      </c>
      <c r="B186" s="32" t="s">
        <v>757</v>
      </c>
      <c r="C186" s="33" t="s">
        <v>98</v>
      </c>
      <c r="D186" s="33" t="s">
        <v>59</v>
      </c>
      <c r="E186" s="33" t="s">
        <v>80</v>
      </c>
      <c r="F186" s="33" t="s">
        <v>763</v>
      </c>
      <c r="G186" s="33" t="s">
        <v>9</v>
      </c>
      <c r="H186" s="33" t="n">
        <v>10</v>
      </c>
    </row>
    <row r="187" customFormat="false" ht="54" hidden="false" customHeight="true" outlineLevel="0" collapsed="false">
      <c r="A187" s="32" t="s">
        <v>9698</v>
      </c>
      <c r="B187" s="32" t="s">
        <v>757</v>
      </c>
      <c r="C187" s="33" t="s">
        <v>98</v>
      </c>
      <c r="D187" s="33" t="s">
        <v>59</v>
      </c>
      <c r="E187" s="33" t="s">
        <v>80</v>
      </c>
      <c r="F187" s="33" t="s">
        <v>765</v>
      </c>
      <c r="G187" s="33" t="s">
        <v>9</v>
      </c>
      <c r="H187" s="33" t="n">
        <v>10</v>
      </c>
    </row>
    <row r="188" customFormat="false" ht="54" hidden="false" customHeight="true" outlineLevel="0" collapsed="false">
      <c r="A188" s="32" t="s">
        <v>9699</v>
      </c>
      <c r="B188" s="32" t="s">
        <v>757</v>
      </c>
      <c r="C188" s="33" t="s">
        <v>98</v>
      </c>
      <c r="D188" s="33" t="s">
        <v>59</v>
      </c>
      <c r="E188" s="33" t="s">
        <v>80</v>
      </c>
      <c r="F188" s="33" t="s">
        <v>767</v>
      </c>
      <c r="G188" s="33" t="s">
        <v>9</v>
      </c>
      <c r="H188" s="33" t="n">
        <v>10</v>
      </c>
    </row>
    <row r="189" customFormat="false" ht="54" hidden="false" customHeight="true" outlineLevel="0" collapsed="false">
      <c r="A189" s="32" t="s">
        <v>9700</v>
      </c>
      <c r="B189" s="32" t="s">
        <v>757</v>
      </c>
      <c r="C189" s="33" t="s">
        <v>98</v>
      </c>
      <c r="D189" s="33" t="s">
        <v>59</v>
      </c>
      <c r="E189" s="33" t="s">
        <v>81</v>
      </c>
      <c r="F189" s="33" t="s">
        <v>767</v>
      </c>
      <c r="G189" s="33" t="s">
        <v>9</v>
      </c>
      <c r="H189" s="33" t="n">
        <v>10</v>
      </c>
    </row>
    <row r="190" customFormat="false" ht="54" hidden="false" customHeight="true" outlineLevel="0" collapsed="false">
      <c r="A190" s="32" t="s">
        <v>9701</v>
      </c>
      <c r="B190" s="32" t="s">
        <v>757</v>
      </c>
      <c r="C190" s="33" t="s">
        <v>98</v>
      </c>
      <c r="D190" s="33" t="s">
        <v>59</v>
      </c>
      <c r="E190" s="33" t="s">
        <v>82</v>
      </c>
      <c r="F190" s="33" t="s">
        <v>766</v>
      </c>
      <c r="G190" s="33" t="s">
        <v>9</v>
      </c>
      <c r="H190" s="33" t="n">
        <v>10</v>
      </c>
    </row>
    <row r="191" customFormat="false" ht="54" hidden="false" customHeight="true" outlineLevel="0" collapsed="false">
      <c r="A191" s="32" t="s">
        <v>9702</v>
      </c>
      <c r="B191" s="32" t="s">
        <v>769</v>
      </c>
      <c r="C191" s="33" t="s">
        <v>98</v>
      </c>
      <c r="D191" s="33" t="s">
        <v>59</v>
      </c>
      <c r="E191" s="33" t="s">
        <v>80</v>
      </c>
      <c r="F191" s="33" t="s">
        <v>774</v>
      </c>
      <c r="G191" s="33" t="s">
        <v>9</v>
      </c>
      <c r="H191" s="33" t="n">
        <v>10</v>
      </c>
    </row>
    <row r="192" customFormat="false" ht="54" hidden="false" customHeight="true" outlineLevel="0" collapsed="false">
      <c r="A192" s="32" t="s">
        <v>9703</v>
      </c>
      <c r="B192" s="32" t="s">
        <v>769</v>
      </c>
      <c r="C192" s="33" t="s">
        <v>98</v>
      </c>
      <c r="D192" s="33" t="s">
        <v>59</v>
      </c>
      <c r="E192" s="33" t="s">
        <v>80</v>
      </c>
      <c r="F192" s="33" t="s">
        <v>776</v>
      </c>
      <c r="G192" s="33" t="s">
        <v>9</v>
      </c>
      <c r="H192" s="33" t="n">
        <v>10</v>
      </c>
    </row>
    <row r="193" customFormat="false" ht="54" hidden="false" customHeight="true" outlineLevel="0" collapsed="false">
      <c r="A193" s="32" t="s">
        <v>9704</v>
      </c>
      <c r="B193" s="32" t="s">
        <v>769</v>
      </c>
      <c r="C193" s="33" t="s">
        <v>98</v>
      </c>
      <c r="D193" s="33" t="s">
        <v>59</v>
      </c>
      <c r="E193" s="33" t="s">
        <v>80</v>
      </c>
      <c r="F193" s="33" t="s">
        <v>778</v>
      </c>
      <c r="G193" s="33" t="s">
        <v>9</v>
      </c>
      <c r="H193" s="33" t="n">
        <v>10</v>
      </c>
    </row>
    <row r="194" customFormat="false" ht="54" hidden="false" customHeight="true" outlineLevel="0" collapsed="false">
      <c r="A194" s="32" t="s">
        <v>9705</v>
      </c>
      <c r="B194" s="32" t="s">
        <v>769</v>
      </c>
      <c r="C194" s="33" t="s">
        <v>98</v>
      </c>
      <c r="D194" s="33" t="s">
        <v>59</v>
      </c>
      <c r="E194" s="33" t="s">
        <v>82</v>
      </c>
      <c r="F194" s="33" t="s">
        <v>777</v>
      </c>
      <c r="G194" s="33" t="s">
        <v>9</v>
      </c>
      <c r="H194" s="33" t="n">
        <v>10</v>
      </c>
    </row>
    <row r="195" customFormat="false" ht="54" hidden="false" customHeight="true" outlineLevel="0" collapsed="false">
      <c r="A195" s="32" t="s">
        <v>9706</v>
      </c>
      <c r="B195" s="32" t="s">
        <v>780</v>
      </c>
      <c r="C195" s="33" t="s">
        <v>98</v>
      </c>
      <c r="D195" s="33" t="s">
        <v>59</v>
      </c>
      <c r="E195" s="33" t="s">
        <v>80</v>
      </c>
      <c r="F195" s="33" t="s">
        <v>784</v>
      </c>
      <c r="G195" s="33" t="s">
        <v>9</v>
      </c>
      <c r="H195" s="33" t="n">
        <v>10</v>
      </c>
    </row>
    <row r="196" customFormat="false" ht="54" hidden="false" customHeight="true" outlineLevel="0" collapsed="false">
      <c r="A196" s="32" t="s">
        <v>9707</v>
      </c>
      <c r="B196" s="32" t="s">
        <v>780</v>
      </c>
      <c r="C196" s="33" t="s">
        <v>98</v>
      </c>
      <c r="D196" s="33" t="s">
        <v>59</v>
      </c>
      <c r="E196" s="33" t="s">
        <v>80</v>
      </c>
      <c r="F196" s="33" t="s">
        <v>785</v>
      </c>
      <c r="G196" s="33" t="s">
        <v>9</v>
      </c>
      <c r="H196" s="33" t="n">
        <v>10</v>
      </c>
    </row>
    <row r="197" customFormat="false" ht="54" hidden="false" customHeight="true" outlineLevel="0" collapsed="false">
      <c r="A197" s="32" t="s">
        <v>9708</v>
      </c>
      <c r="B197" s="32" t="s">
        <v>780</v>
      </c>
      <c r="C197" s="33" t="s">
        <v>98</v>
      </c>
      <c r="D197" s="33" t="s">
        <v>59</v>
      </c>
      <c r="E197" s="33" t="s">
        <v>80</v>
      </c>
      <c r="F197" s="33" t="s">
        <v>787</v>
      </c>
      <c r="G197" s="33" t="s">
        <v>9</v>
      </c>
      <c r="H197" s="33" t="n">
        <v>10</v>
      </c>
    </row>
    <row r="198" customFormat="false" ht="54" hidden="false" customHeight="true" outlineLevel="0" collapsed="false">
      <c r="A198" s="32" t="s">
        <v>9709</v>
      </c>
      <c r="B198" s="32" t="s">
        <v>780</v>
      </c>
      <c r="C198" s="33" t="s">
        <v>98</v>
      </c>
      <c r="D198" s="33" t="s">
        <v>59</v>
      </c>
      <c r="E198" s="33" t="s">
        <v>81</v>
      </c>
      <c r="F198" s="33" t="s">
        <v>785</v>
      </c>
      <c r="G198" s="33" t="s">
        <v>9</v>
      </c>
      <c r="H198" s="33" t="n">
        <v>10</v>
      </c>
    </row>
    <row r="199" customFormat="false" ht="54" hidden="false" customHeight="true" outlineLevel="0" collapsed="false">
      <c r="A199" s="32" t="s">
        <v>9710</v>
      </c>
      <c r="B199" s="32" t="s">
        <v>780</v>
      </c>
      <c r="C199" s="33" t="s">
        <v>98</v>
      </c>
      <c r="D199" s="33" t="s">
        <v>59</v>
      </c>
      <c r="E199" s="33" t="s">
        <v>84</v>
      </c>
      <c r="F199" s="33" t="s">
        <v>784</v>
      </c>
      <c r="G199" s="33" t="s">
        <v>9</v>
      </c>
      <c r="H199" s="33" t="n">
        <v>10</v>
      </c>
    </row>
    <row r="200" customFormat="false" ht="54" hidden="false" customHeight="true" outlineLevel="0" collapsed="false">
      <c r="A200" s="32" t="s">
        <v>9711</v>
      </c>
      <c r="B200" s="32" t="s">
        <v>780</v>
      </c>
      <c r="C200" s="33" t="s">
        <v>98</v>
      </c>
      <c r="D200" s="33" t="s">
        <v>59</v>
      </c>
      <c r="E200" s="33" t="s">
        <v>84</v>
      </c>
      <c r="F200" s="33" t="s">
        <v>787</v>
      </c>
      <c r="G200" s="33" t="s">
        <v>9</v>
      </c>
      <c r="H200" s="33" t="n">
        <v>10</v>
      </c>
    </row>
    <row r="201" customFormat="false" ht="54" hidden="false" customHeight="true" outlineLevel="0" collapsed="false">
      <c r="A201" s="32" t="s">
        <v>9712</v>
      </c>
      <c r="B201" s="32" t="s">
        <v>780</v>
      </c>
      <c r="C201" s="33" t="s">
        <v>98</v>
      </c>
      <c r="D201" s="33" t="s">
        <v>59</v>
      </c>
      <c r="E201" s="33" t="s">
        <v>86</v>
      </c>
      <c r="F201" s="33" t="s">
        <v>787</v>
      </c>
      <c r="G201" s="33" t="s">
        <v>9</v>
      </c>
      <c r="H201" s="33" t="n">
        <v>10</v>
      </c>
    </row>
    <row r="202" customFormat="false" ht="54" hidden="false" customHeight="true" outlineLevel="0" collapsed="false">
      <c r="A202" s="32" t="s">
        <v>9713</v>
      </c>
      <c r="B202" s="32" t="s">
        <v>793</v>
      </c>
      <c r="C202" s="33" t="s">
        <v>98</v>
      </c>
      <c r="D202" s="33" t="s">
        <v>59</v>
      </c>
      <c r="E202" s="33" t="s">
        <v>80</v>
      </c>
      <c r="F202" s="33" t="s">
        <v>801</v>
      </c>
      <c r="G202" s="33" t="s">
        <v>9</v>
      </c>
      <c r="H202" s="33" t="n">
        <v>10</v>
      </c>
    </row>
    <row r="203" customFormat="false" ht="54" hidden="false" customHeight="true" outlineLevel="0" collapsed="false">
      <c r="A203" s="32" t="s">
        <v>9714</v>
      </c>
      <c r="B203" s="32" t="s">
        <v>793</v>
      </c>
      <c r="C203" s="33" t="s">
        <v>98</v>
      </c>
      <c r="D203" s="33" t="s">
        <v>59</v>
      </c>
      <c r="E203" s="33" t="s">
        <v>84</v>
      </c>
      <c r="F203" s="33" t="s">
        <v>800</v>
      </c>
      <c r="G203" s="33" t="s">
        <v>9</v>
      </c>
      <c r="H203" s="33" t="n">
        <v>10</v>
      </c>
    </row>
    <row r="204" customFormat="false" ht="54" hidden="false" customHeight="true" outlineLevel="0" collapsed="false">
      <c r="A204" s="32" t="s">
        <v>9715</v>
      </c>
      <c r="B204" s="32" t="s">
        <v>793</v>
      </c>
      <c r="C204" s="33" t="s">
        <v>98</v>
      </c>
      <c r="D204" s="33" t="s">
        <v>59</v>
      </c>
      <c r="E204" s="33" t="s">
        <v>84</v>
      </c>
      <c r="F204" s="33" t="s">
        <v>801</v>
      </c>
      <c r="G204" s="33" t="s">
        <v>9</v>
      </c>
      <c r="H204" s="33" t="n">
        <v>10</v>
      </c>
    </row>
    <row r="205" customFormat="false" ht="54" hidden="false" customHeight="true" outlineLevel="0" collapsed="false">
      <c r="A205" s="32" t="s">
        <v>9716</v>
      </c>
      <c r="B205" s="32" t="s">
        <v>793</v>
      </c>
      <c r="C205" s="33" t="s">
        <v>98</v>
      </c>
      <c r="D205" s="33" t="s">
        <v>59</v>
      </c>
      <c r="E205" s="33" t="s">
        <v>86</v>
      </c>
      <c r="F205" s="33" t="s">
        <v>801</v>
      </c>
      <c r="G205" s="33" t="s">
        <v>9</v>
      </c>
      <c r="H205" s="33" t="n">
        <v>10</v>
      </c>
    </row>
    <row r="206" customFormat="false" ht="54" hidden="false" customHeight="true" outlineLevel="0" collapsed="false">
      <c r="A206" s="32" t="s">
        <v>9717</v>
      </c>
      <c r="B206" s="32" t="s">
        <v>805</v>
      </c>
      <c r="C206" s="33" t="s">
        <v>98</v>
      </c>
      <c r="D206" s="33" t="s">
        <v>59</v>
      </c>
      <c r="E206" s="33" t="s">
        <v>80</v>
      </c>
      <c r="F206" s="33" t="s">
        <v>814</v>
      </c>
      <c r="G206" s="33" t="s">
        <v>9</v>
      </c>
      <c r="H206" s="33" t="n">
        <v>10</v>
      </c>
    </row>
    <row r="207" customFormat="false" ht="54" hidden="false" customHeight="true" outlineLevel="0" collapsed="false">
      <c r="A207" s="32" t="s">
        <v>9718</v>
      </c>
      <c r="B207" s="32" t="s">
        <v>740</v>
      </c>
      <c r="C207" s="33" t="s">
        <v>98</v>
      </c>
      <c r="D207" s="33" t="s">
        <v>59</v>
      </c>
      <c r="E207" s="33" t="s">
        <v>80</v>
      </c>
      <c r="F207" s="33" t="s">
        <v>820</v>
      </c>
      <c r="G207" s="33" t="s">
        <v>9</v>
      </c>
      <c r="H207" s="33" t="n">
        <v>10</v>
      </c>
    </row>
    <row r="208" customFormat="false" ht="54" hidden="false" customHeight="true" outlineLevel="0" collapsed="false">
      <c r="A208" s="32" t="s">
        <v>9719</v>
      </c>
      <c r="B208" s="32" t="s">
        <v>740</v>
      </c>
      <c r="C208" s="33" t="s">
        <v>98</v>
      </c>
      <c r="D208" s="33" t="s">
        <v>59</v>
      </c>
      <c r="E208" s="33" t="s">
        <v>80</v>
      </c>
      <c r="F208" s="33" t="s">
        <v>821</v>
      </c>
      <c r="G208" s="33" t="s">
        <v>9</v>
      </c>
      <c r="H208" s="33" t="n">
        <v>10</v>
      </c>
    </row>
    <row r="209" customFormat="false" ht="54" hidden="false" customHeight="true" outlineLevel="0" collapsed="false">
      <c r="A209" s="32" t="s">
        <v>9720</v>
      </c>
      <c r="B209" s="32" t="s">
        <v>740</v>
      </c>
      <c r="C209" s="33" t="s">
        <v>98</v>
      </c>
      <c r="D209" s="33" t="s">
        <v>59</v>
      </c>
      <c r="E209" s="33" t="s">
        <v>80</v>
      </c>
      <c r="F209" s="33" t="s">
        <v>823</v>
      </c>
      <c r="G209" s="33" t="s">
        <v>9</v>
      </c>
      <c r="H209" s="33" t="n">
        <v>10</v>
      </c>
    </row>
    <row r="210" customFormat="false" ht="54" hidden="false" customHeight="true" outlineLevel="0" collapsed="false">
      <c r="A210" s="32" t="s">
        <v>9721</v>
      </c>
      <c r="B210" s="32" t="s">
        <v>740</v>
      </c>
      <c r="C210" s="33" t="s">
        <v>98</v>
      </c>
      <c r="D210" s="33" t="s">
        <v>59</v>
      </c>
      <c r="E210" s="33" t="s">
        <v>83</v>
      </c>
      <c r="F210" s="33" t="s">
        <v>822</v>
      </c>
      <c r="G210" s="33" t="s">
        <v>9</v>
      </c>
      <c r="H210" s="33" t="n">
        <v>10</v>
      </c>
    </row>
    <row r="211" customFormat="false" ht="54" hidden="false" customHeight="true" outlineLevel="0" collapsed="false">
      <c r="A211" s="32" t="s">
        <v>9722</v>
      </c>
      <c r="B211" s="32" t="s">
        <v>740</v>
      </c>
      <c r="C211" s="33" t="s">
        <v>98</v>
      </c>
      <c r="D211" s="33" t="s">
        <v>59</v>
      </c>
      <c r="E211" s="33" t="s">
        <v>84</v>
      </c>
      <c r="F211" s="33" t="s">
        <v>818</v>
      </c>
      <c r="G211" s="33" t="s">
        <v>9</v>
      </c>
      <c r="H211" s="33" t="n">
        <v>10</v>
      </c>
    </row>
    <row r="212" customFormat="false" ht="54" hidden="false" customHeight="true" outlineLevel="0" collapsed="false">
      <c r="A212" s="32" t="s">
        <v>9723</v>
      </c>
      <c r="B212" s="32" t="s">
        <v>826</v>
      </c>
      <c r="C212" s="33" t="s">
        <v>98</v>
      </c>
      <c r="D212" s="33" t="s">
        <v>59</v>
      </c>
      <c r="E212" s="33" t="s">
        <v>80</v>
      </c>
      <c r="F212" s="33" t="s">
        <v>834</v>
      </c>
      <c r="G212" s="33" t="s">
        <v>9</v>
      </c>
      <c r="H212" s="33" t="n">
        <v>10</v>
      </c>
    </row>
    <row r="213" customFormat="false" ht="54" hidden="false" customHeight="true" outlineLevel="0" collapsed="false">
      <c r="A213" s="32" t="s">
        <v>9724</v>
      </c>
      <c r="B213" s="32" t="s">
        <v>826</v>
      </c>
      <c r="C213" s="33" t="s">
        <v>98</v>
      </c>
      <c r="D213" s="33" t="s">
        <v>59</v>
      </c>
      <c r="E213" s="33" t="s">
        <v>84</v>
      </c>
      <c r="F213" s="33" t="s">
        <v>833</v>
      </c>
      <c r="G213" s="33" t="s">
        <v>9</v>
      </c>
      <c r="H213" s="33" t="n">
        <v>10</v>
      </c>
    </row>
    <row r="214" customFormat="false" ht="54" hidden="false" customHeight="true" outlineLevel="0" collapsed="false">
      <c r="A214" s="32" t="s">
        <v>9725</v>
      </c>
      <c r="B214" s="32" t="s">
        <v>826</v>
      </c>
      <c r="C214" s="33" t="s">
        <v>98</v>
      </c>
      <c r="D214" s="33" t="s">
        <v>59</v>
      </c>
      <c r="E214" s="33" t="s">
        <v>84</v>
      </c>
      <c r="F214" s="33" t="s">
        <v>834</v>
      </c>
      <c r="G214" s="33" t="s">
        <v>9</v>
      </c>
      <c r="H214" s="33" t="n">
        <v>10</v>
      </c>
    </row>
    <row r="215" customFormat="false" ht="54" hidden="false" customHeight="true" outlineLevel="0" collapsed="false">
      <c r="A215" s="32" t="s">
        <v>9726</v>
      </c>
      <c r="B215" s="32" t="s">
        <v>839</v>
      </c>
      <c r="C215" s="33" t="s">
        <v>98</v>
      </c>
      <c r="D215" s="33" t="s">
        <v>59</v>
      </c>
      <c r="E215" s="33" t="s">
        <v>82</v>
      </c>
      <c r="F215" s="33" t="s">
        <v>847</v>
      </c>
      <c r="G215" s="33" t="s">
        <v>9</v>
      </c>
      <c r="H215" s="33" t="n">
        <v>10</v>
      </c>
    </row>
    <row r="216" customFormat="false" ht="54" hidden="false" customHeight="true" outlineLevel="0" collapsed="false">
      <c r="A216" s="32" t="s">
        <v>9727</v>
      </c>
      <c r="B216" s="32" t="s">
        <v>851</v>
      </c>
      <c r="C216" s="33" t="s">
        <v>98</v>
      </c>
      <c r="D216" s="33" t="s">
        <v>59</v>
      </c>
      <c r="E216" s="33" t="s">
        <v>80</v>
      </c>
      <c r="F216" s="33" t="s">
        <v>183</v>
      </c>
      <c r="G216" s="33" t="s">
        <v>9</v>
      </c>
      <c r="H216" s="33" t="n">
        <v>10</v>
      </c>
    </row>
    <row r="217" customFormat="false" ht="54" hidden="false" customHeight="true" outlineLevel="0" collapsed="false">
      <c r="A217" s="32" t="s">
        <v>9728</v>
      </c>
      <c r="B217" s="32" t="s">
        <v>851</v>
      </c>
      <c r="C217" s="33" t="s">
        <v>98</v>
      </c>
      <c r="D217" s="33" t="s">
        <v>59</v>
      </c>
      <c r="E217" s="33" t="s">
        <v>81</v>
      </c>
      <c r="F217" s="33" t="s">
        <v>861</v>
      </c>
      <c r="G217" s="33" t="s">
        <v>9</v>
      </c>
      <c r="H217" s="33" t="n">
        <v>10</v>
      </c>
    </row>
    <row r="218" customFormat="false" ht="54" hidden="false" customHeight="true" outlineLevel="0" collapsed="false">
      <c r="A218" s="32" t="s">
        <v>9729</v>
      </c>
      <c r="B218" s="32" t="s">
        <v>851</v>
      </c>
      <c r="C218" s="33" t="s">
        <v>98</v>
      </c>
      <c r="D218" s="33" t="s">
        <v>59</v>
      </c>
      <c r="E218" s="33" t="s">
        <v>82</v>
      </c>
      <c r="F218" s="33" t="s">
        <v>182</v>
      </c>
      <c r="G218" s="33" t="s">
        <v>9</v>
      </c>
      <c r="H218" s="33" t="n">
        <v>10</v>
      </c>
    </row>
    <row r="219" customFormat="false" ht="54" hidden="false" customHeight="true" outlineLevel="0" collapsed="false">
      <c r="A219" s="32" t="s">
        <v>9730</v>
      </c>
      <c r="B219" s="32" t="s">
        <v>851</v>
      </c>
      <c r="C219" s="33" t="s">
        <v>98</v>
      </c>
      <c r="D219" s="33" t="s">
        <v>59</v>
      </c>
      <c r="E219" s="33" t="s">
        <v>84</v>
      </c>
      <c r="F219" s="33" t="s">
        <v>183</v>
      </c>
      <c r="G219" s="33" t="s">
        <v>9</v>
      </c>
      <c r="H219" s="33" t="n">
        <v>10</v>
      </c>
    </row>
    <row r="220" customFormat="false" ht="54" hidden="false" customHeight="true" outlineLevel="0" collapsed="false">
      <c r="A220" s="32" t="s">
        <v>9731</v>
      </c>
      <c r="B220" s="32" t="s">
        <v>865</v>
      </c>
      <c r="C220" s="33" t="s">
        <v>98</v>
      </c>
      <c r="D220" s="33" t="s">
        <v>59</v>
      </c>
      <c r="E220" s="33" t="s">
        <v>81</v>
      </c>
      <c r="F220" s="33" t="s">
        <v>873</v>
      </c>
      <c r="G220" s="33" t="s">
        <v>9</v>
      </c>
      <c r="H220" s="33" t="n">
        <v>10</v>
      </c>
    </row>
    <row r="221" customFormat="false" ht="54" hidden="false" customHeight="true" outlineLevel="0" collapsed="false">
      <c r="A221" s="32" t="s">
        <v>9732</v>
      </c>
      <c r="B221" s="32" t="s">
        <v>865</v>
      </c>
      <c r="C221" s="33" t="s">
        <v>98</v>
      </c>
      <c r="D221" s="33" t="s">
        <v>59</v>
      </c>
      <c r="E221" s="33" t="s">
        <v>81</v>
      </c>
      <c r="F221" s="33" t="s">
        <v>874</v>
      </c>
      <c r="G221" s="33" t="s">
        <v>9</v>
      </c>
      <c r="H221" s="33" t="n">
        <v>10</v>
      </c>
    </row>
    <row r="222" customFormat="false" ht="54" hidden="false" customHeight="true" outlineLevel="0" collapsed="false">
      <c r="A222" s="32" t="s">
        <v>9733</v>
      </c>
      <c r="B222" s="32" t="s">
        <v>879</v>
      </c>
      <c r="C222" s="33" t="s">
        <v>98</v>
      </c>
      <c r="D222" s="33" t="s">
        <v>59</v>
      </c>
      <c r="E222" s="33" t="s">
        <v>81</v>
      </c>
      <c r="F222" s="33" t="s">
        <v>886</v>
      </c>
      <c r="G222" s="33" t="s">
        <v>9</v>
      </c>
      <c r="H222" s="33" t="n">
        <v>10</v>
      </c>
    </row>
    <row r="223" customFormat="false" ht="54" hidden="false" customHeight="true" outlineLevel="0" collapsed="false">
      <c r="A223" s="32" t="s">
        <v>9734</v>
      </c>
      <c r="B223" s="32" t="s">
        <v>879</v>
      </c>
      <c r="C223" s="33" t="s">
        <v>98</v>
      </c>
      <c r="D223" s="33" t="s">
        <v>59</v>
      </c>
      <c r="E223" s="33" t="s">
        <v>82</v>
      </c>
      <c r="F223" s="33" t="s">
        <v>886</v>
      </c>
      <c r="G223" s="33" t="s">
        <v>9</v>
      </c>
      <c r="H223" s="33" t="n">
        <v>10</v>
      </c>
    </row>
    <row r="224" customFormat="false" ht="54" hidden="false" customHeight="true" outlineLevel="0" collapsed="false">
      <c r="A224" s="32" t="s">
        <v>9735</v>
      </c>
      <c r="B224" s="32" t="s">
        <v>889</v>
      </c>
      <c r="C224" s="33" t="s">
        <v>98</v>
      </c>
      <c r="D224" s="33" t="s">
        <v>59</v>
      </c>
      <c r="E224" s="33" t="s">
        <v>81</v>
      </c>
      <c r="F224" s="33" t="s">
        <v>898</v>
      </c>
      <c r="G224" s="33" t="s">
        <v>9</v>
      </c>
      <c r="H224" s="33" t="n">
        <v>10</v>
      </c>
    </row>
    <row r="225" customFormat="false" ht="54" hidden="false" customHeight="true" outlineLevel="0" collapsed="false">
      <c r="A225" s="32" t="s">
        <v>9736</v>
      </c>
      <c r="B225" s="32" t="s">
        <v>889</v>
      </c>
      <c r="C225" s="33" t="s">
        <v>98</v>
      </c>
      <c r="D225" s="33" t="s">
        <v>59</v>
      </c>
      <c r="E225" s="33" t="s">
        <v>84</v>
      </c>
      <c r="F225" s="33" t="s">
        <v>897</v>
      </c>
      <c r="G225" s="33" t="s">
        <v>9</v>
      </c>
      <c r="H225" s="33" t="n">
        <v>10</v>
      </c>
    </row>
    <row r="226" customFormat="false" ht="54" hidden="false" customHeight="true" outlineLevel="0" collapsed="false">
      <c r="A226" s="32" t="s">
        <v>9737</v>
      </c>
      <c r="B226" s="32" t="s">
        <v>901</v>
      </c>
      <c r="C226" s="33" t="s">
        <v>98</v>
      </c>
      <c r="D226" s="33" t="s">
        <v>59</v>
      </c>
      <c r="E226" s="33" t="s">
        <v>80</v>
      </c>
      <c r="F226" s="33" t="s">
        <v>907</v>
      </c>
      <c r="G226" s="33" t="s">
        <v>12</v>
      </c>
      <c r="H226" s="33" t="n">
        <v>10</v>
      </c>
    </row>
    <row r="227" customFormat="false" ht="54" hidden="false" customHeight="true" outlineLevel="0" collapsed="false">
      <c r="A227" s="32" t="s">
        <v>9738</v>
      </c>
      <c r="B227" s="32" t="s">
        <v>901</v>
      </c>
      <c r="C227" s="33" t="s">
        <v>98</v>
      </c>
      <c r="D227" s="33" t="s">
        <v>59</v>
      </c>
      <c r="E227" s="33" t="s">
        <v>80</v>
      </c>
      <c r="F227" s="33" t="s">
        <v>183</v>
      </c>
      <c r="G227" s="33" t="s">
        <v>12</v>
      </c>
      <c r="H227" s="33" t="n">
        <v>10</v>
      </c>
    </row>
    <row r="228" customFormat="false" ht="54" hidden="false" customHeight="true" outlineLevel="0" collapsed="false">
      <c r="A228" s="32" t="s">
        <v>9739</v>
      </c>
      <c r="B228" s="32" t="s">
        <v>901</v>
      </c>
      <c r="C228" s="33" t="s">
        <v>98</v>
      </c>
      <c r="D228" s="33" t="s">
        <v>59</v>
      </c>
      <c r="E228" s="33" t="s">
        <v>80</v>
      </c>
      <c r="F228" s="33" t="s">
        <v>9740</v>
      </c>
      <c r="G228" s="33" t="s">
        <v>12</v>
      </c>
      <c r="H228" s="33" t="n">
        <v>10</v>
      </c>
    </row>
    <row r="229" customFormat="false" ht="54" hidden="false" customHeight="true" outlineLevel="0" collapsed="false">
      <c r="A229" s="32" t="s">
        <v>9741</v>
      </c>
      <c r="B229" s="32" t="s">
        <v>901</v>
      </c>
      <c r="C229" s="33" t="s">
        <v>98</v>
      </c>
      <c r="D229" s="33" t="s">
        <v>59</v>
      </c>
      <c r="E229" s="33" t="s">
        <v>80</v>
      </c>
      <c r="F229" s="33" t="s">
        <v>913</v>
      </c>
      <c r="G229" s="33" t="s">
        <v>12</v>
      </c>
      <c r="H229" s="33" t="n">
        <v>10</v>
      </c>
    </row>
    <row r="230" customFormat="false" ht="54" hidden="false" customHeight="true" outlineLevel="0" collapsed="false">
      <c r="A230" s="32" t="s">
        <v>9742</v>
      </c>
      <c r="B230" s="32" t="s">
        <v>901</v>
      </c>
      <c r="C230" s="33" t="s">
        <v>98</v>
      </c>
      <c r="D230" s="33" t="s">
        <v>59</v>
      </c>
      <c r="E230" s="33" t="s">
        <v>81</v>
      </c>
      <c r="F230" s="33" t="s">
        <v>913</v>
      </c>
      <c r="G230" s="33" t="s">
        <v>12</v>
      </c>
      <c r="H230" s="33" t="n">
        <v>10</v>
      </c>
    </row>
    <row r="231" customFormat="false" ht="54" hidden="false" customHeight="true" outlineLevel="0" collapsed="false">
      <c r="A231" s="32" t="s">
        <v>9743</v>
      </c>
      <c r="B231" s="32" t="s">
        <v>901</v>
      </c>
      <c r="C231" s="33" t="s">
        <v>98</v>
      </c>
      <c r="D231" s="33" t="s">
        <v>59</v>
      </c>
      <c r="E231" s="33" t="s">
        <v>82</v>
      </c>
      <c r="F231" s="33" t="s">
        <v>908</v>
      </c>
      <c r="G231" s="33" t="s">
        <v>12</v>
      </c>
      <c r="H231" s="33" t="n">
        <v>10</v>
      </c>
    </row>
    <row r="232" customFormat="false" ht="54" hidden="false" customHeight="true" outlineLevel="0" collapsed="false">
      <c r="A232" s="32" t="s">
        <v>9744</v>
      </c>
      <c r="B232" s="32" t="s">
        <v>901</v>
      </c>
      <c r="C232" s="33" t="s">
        <v>98</v>
      </c>
      <c r="D232" s="33" t="s">
        <v>59</v>
      </c>
      <c r="E232" s="33" t="s">
        <v>84</v>
      </c>
      <c r="F232" s="33" t="s">
        <v>183</v>
      </c>
      <c r="G232" s="33" t="s">
        <v>12</v>
      </c>
      <c r="H232" s="33" t="n">
        <v>10</v>
      </c>
    </row>
    <row r="233" customFormat="false" ht="54" hidden="false" customHeight="true" outlineLevel="0" collapsed="false">
      <c r="A233" s="32" t="s">
        <v>9745</v>
      </c>
      <c r="B233" s="32" t="s">
        <v>916</v>
      </c>
      <c r="C233" s="33" t="s">
        <v>98</v>
      </c>
      <c r="D233" s="33" t="s">
        <v>59</v>
      </c>
      <c r="E233" s="33" t="s">
        <v>83</v>
      </c>
      <c r="F233" s="33" t="s">
        <v>925</v>
      </c>
      <c r="G233" s="33" t="s">
        <v>9</v>
      </c>
      <c r="H233" s="33" t="n">
        <v>10</v>
      </c>
    </row>
    <row r="234" customFormat="false" ht="54" hidden="false" customHeight="true" outlineLevel="0" collapsed="false">
      <c r="A234" s="32" t="s">
        <v>9746</v>
      </c>
      <c r="B234" s="32" t="s">
        <v>864</v>
      </c>
      <c r="C234" s="33" t="s">
        <v>98</v>
      </c>
      <c r="D234" s="33" t="s">
        <v>59</v>
      </c>
      <c r="E234" s="33" t="s">
        <v>80</v>
      </c>
      <c r="F234" s="33" t="s">
        <v>183</v>
      </c>
      <c r="G234" s="33" t="s">
        <v>9</v>
      </c>
      <c r="H234" s="33" t="n">
        <v>10</v>
      </c>
    </row>
    <row r="235" customFormat="false" ht="54" hidden="false" customHeight="true" outlineLevel="0" collapsed="false">
      <c r="A235" s="32" t="s">
        <v>9747</v>
      </c>
      <c r="B235" s="32" t="s">
        <v>864</v>
      </c>
      <c r="C235" s="33" t="s">
        <v>98</v>
      </c>
      <c r="D235" s="33" t="s">
        <v>59</v>
      </c>
      <c r="E235" s="33" t="s">
        <v>82</v>
      </c>
      <c r="F235" s="33" t="s">
        <v>933</v>
      </c>
      <c r="G235" s="33" t="s">
        <v>9</v>
      </c>
      <c r="H235" s="33" t="n">
        <v>10</v>
      </c>
    </row>
    <row r="236" customFormat="false" ht="54" hidden="false" customHeight="true" outlineLevel="0" collapsed="false">
      <c r="A236" s="32" t="s">
        <v>9748</v>
      </c>
      <c r="B236" s="32" t="s">
        <v>864</v>
      </c>
      <c r="C236" s="33" t="s">
        <v>98</v>
      </c>
      <c r="D236" s="33" t="s">
        <v>59</v>
      </c>
      <c r="E236" s="33" t="s">
        <v>82</v>
      </c>
      <c r="F236" s="33" t="s">
        <v>182</v>
      </c>
      <c r="G236" s="33" t="s">
        <v>9</v>
      </c>
      <c r="H236" s="33" t="n">
        <v>10</v>
      </c>
    </row>
    <row r="237" customFormat="false" ht="54" hidden="false" customHeight="true" outlineLevel="0" collapsed="false">
      <c r="A237" s="32" t="s">
        <v>9749</v>
      </c>
      <c r="B237" s="32" t="s">
        <v>864</v>
      </c>
      <c r="C237" s="33" t="s">
        <v>98</v>
      </c>
      <c r="D237" s="33" t="s">
        <v>59</v>
      </c>
      <c r="E237" s="33" t="s">
        <v>84</v>
      </c>
      <c r="F237" s="33" t="s">
        <v>183</v>
      </c>
      <c r="G237" s="33" t="s">
        <v>9</v>
      </c>
      <c r="H237" s="33" t="n">
        <v>10</v>
      </c>
    </row>
    <row r="238" customFormat="false" ht="54" hidden="false" customHeight="true" outlineLevel="0" collapsed="false">
      <c r="A238" s="32" t="s">
        <v>9750</v>
      </c>
      <c r="B238" s="32" t="s">
        <v>942</v>
      </c>
      <c r="C238" s="33" t="s">
        <v>98</v>
      </c>
      <c r="D238" s="33" t="s">
        <v>59</v>
      </c>
      <c r="E238" s="33" t="s">
        <v>80</v>
      </c>
      <c r="F238" s="33" t="s">
        <v>183</v>
      </c>
      <c r="G238" s="33" t="s">
        <v>9</v>
      </c>
      <c r="H238" s="33" t="n">
        <v>10</v>
      </c>
    </row>
    <row r="239" customFormat="false" ht="54" hidden="false" customHeight="true" outlineLevel="0" collapsed="false">
      <c r="A239" s="32" t="s">
        <v>9751</v>
      </c>
      <c r="B239" s="32" t="s">
        <v>942</v>
      </c>
      <c r="C239" s="33" t="s">
        <v>98</v>
      </c>
      <c r="D239" s="33" t="s">
        <v>59</v>
      </c>
      <c r="E239" s="33" t="s">
        <v>82</v>
      </c>
      <c r="F239" s="33" t="s">
        <v>947</v>
      </c>
      <c r="G239" s="33" t="s">
        <v>9</v>
      </c>
      <c r="H239" s="33" t="n">
        <v>10</v>
      </c>
    </row>
    <row r="240" customFormat="false" ht="54" hidden="false" customHeight="true" outlineLevel="0" collapsed="false">
      <c r="A240" s="32" t="s">
        <v>9752</v>
      </c>
      <c r="B240" s="32" t="s">
        <v>942</v>
      </c>
      <c r="C240" s="33" t="s">
        <v>98</v>
      </c>
      <c r="D240" s="33" t="s">
        <v>59</v>
      </c>
      <c r="E240" s="33" t="s">
        <v>82</v>
      </c>
      <c r="F240" s="33" t="s">
        <v>949</v>
      </c>
      <c r="G240" s="33" t="s">
        <v>9</v>
      </c>
      <c r="H240" s="33" t="n">
        <v>10</v>
      </c>
    </row>
    <row r="241" customFormat="false" ht="54" hidden="false" customHeight="true" outlineLevel="0" collapsed="false">
      <c r="A241" s="32" t="s">
        <v>9753</v>
      </c>
      <c r="B241" s="32" t="s">
        <v>942</v>
      </c>
      <c r="C241" s="33" t="s">
        <v>98</v>
      </c>
      <c r="D241" s="33" t="s">
        <v>59</v>
      </c>
      <c r="E241" s="33" t="s">
        <v>82</v>
      </c>
      <c r="F241" s="33" t="s">
        <v>182</v>
      </c>
      <c r="G241" s="33" t="s">
        <v>9</v>
      </c>
      <c r="H241" s="33" t="n">
        <v>10</v>
      </c>
    </row>
    <row r="242" customFormat="false" ht="54" hidden="false" customHeight="true" outlineLevel="0" collapsed="false">
      <c r="A242" s="32" t="s">
        <v>9754</v>
      </c>
      <c r="B242" s="32" t="s">
        <v>942</v>
      </c>
      <c r="C242" s="33" t="s">
        <v>98</v>
      </c>
      <c r="D242" s="33" t="s">
        <v>59</v>
      </c>
      <c r="E242" s="33" t="s">
        <v>82</v>
      </c>
      <c r="F242" s="33" t="s">
        <v>9755</v>
      </c>
      <c r="G242" s="33" t="s">
        <v>9</v>
      </c>
      <c r="H242" s="33" t="n">
        <v>10</v>
      </c>
    </row>
    <row r="243" customFormat="false" ht="54" hidden="false" customHeight="true" outlineLevel="0" collapsed="false">
      <c r="A243" s="32" t="s">
        <v>9756</v>
      </c>
      <c r="B243" s="32" t="s">
        <v>942</v>
      </c>
      <c r="C243" s="33" t="s">
        <v>98</v>
      </c>
      <c r="D243" s="33" t="s">
        <v>59</v>
      </c>
      <c r="E243" s="33" t="s">
        <v>84</v>
      </c>
      <c r="F243" s="33" t="s">
        <v>183</v>
      </c>
      <c r="G243" s="33" t="s">
        <v>9</v>
      </c>
      <c r="H243" s="33" t="n">
        <v>10</v>
      </c>
    </row>
    <row r="244" customFormat="false" ht="54" hidden="false" customHeight="true" outlineLevel="0" collapsed="false">
      <c r="A244" s="32" t="s">
        <v>9757</v>
      </c>
      <c r="B244" s="32" t="s">
        <v>957</v>
      </c>
      <c r="C244" s="33" t="s">
        <v>98</v>
      </c>
      <c r="D244" s="33" t="s">
        <v>59</v>
      </c>
      <c r="E244" s="33" t="s">
        <v>80</v>
      </c>
      <c r="F244" s="33" t="s">
        <v>183</v>
      </c>
      <c r="G244" s="33" t="s">
        <v>9</v>
      </c>
      <c r="H244" s="33" t="n">
        <v>10</v>
      </c>
    </row>
    <row r="245" customFormat="false" ht="54" hidden="false" customHeight="true" outlineLevel="0" collapsed="false">
      <c r="A245" s="32" t="s">
        <v>9758</v>
      </c>
      <c r="B245" s="32" t="s">
        <v>957</v>
      </c>
      <c r="C245" s="33" t="s">
        <v>98</v>
      </c>
      <c r="D245" s="33" t="s">
        <v>59</v>
      </c>
      <c r="E245" s="33" t="s">
        <v>81</v>
      </c>
      <c r="F245" s="33" t="s">
        <v>968</v>
      </c>
      <c r="G245" s="33" t="s">
        <v>9</v>
      </c>
      <c r="H245" s="33" t="n">
        <v>10</v>
      </c>
    </row>
    <row r="246" customFormat="false" ht="54" hidden="false" customHeight="true" outlineLevel="0" collapsed="false">
      <c r="A246" s="32" t="s">
        <v>9759</v>
      </c>
      <c r="B246" s="32" t="s">
        <v>957</v>
      </c>
      <c r="C246" s="33" t="s">
        <v>98</v>
      </c>
      <c r="D246" s="33" t="s">
        <v>59</v>
      </c>
      <c r="E246" s="33" t="s">
        <v>81</v>
      </c>
      <c r="F246" s="33" t="s">
        <v>964</v>
      </c>
      <c r="G246" s="33" t="s">
        <v>9</v>
      </c>
      <c r="H246" s="33" t="n">
        <v>10</v>
      </c>
    </row>
    <row r="247" customFormat="false" ht="54" hidden="false" customHeight="true" outlineLevel="0" collapsed="false">
      <c r="A247" s="32" t="s">
        <v>9760</v>
      </c>
      <c r="B247" s="32" t="s">
        <v>957</v>
      </c>
      <c r="C247" s="33" t="s">
        <v>98</v>
      </c>
      <c r="D247" s="33" t="s">
        <v>59</v>
      </c>
      <c r="E247" s="33" t="s">
        <v>82</v>
      </c>
      <c r="F247" s="33" t="s">
        <v>962</v>
      </c>
      <c r="G247" s="33" t="s">
        <v>9</v>
      </c>
      <c r="H247" s="33" t="n">
        <v>10</v>
      </c>
    </row>
    <row r="248" customFormat="false" ht="54" hidden="false" customHeight="true" outlineLevel="0" collapsed="false">
      <c r="A248" s="32" t="s">
        <v>9761</v>
      </c>
      <c r="B248" s="32" t="s">
        <v>957</v>
      </c>
      <c r="C248" s="33" t="s">
        <v>98</v>
      </c>
      <c r="D248" s="33" t="s">
        <v>59</v>
      </c>
      <c r="E248" s="33" t="s">
        <v>82</v>
      </c>
      <c r="F248" s="33" t="s">
        <v>182</v>
      </c>
      <c r="G248" s="33" t="s">
        <v>9</v>
      </c>
      <c r="H248" s="33" t="n">
        <v>10</v>
      </c>
    </row>
    <row r="249" customFormat="false" ht="54" hidden="false" customHeight="true" outlineLevel="0" collapsed="false">
      <c r="A249" s="32" t="s">
        <v>9762</v>
      </c>
      <c r="B249" s="32" t="s">
        <v>957</v>
      </c>
      <c r="C249" s="33" t="s">
        <v>98</v>
      </c>
      <c r="D249" s="33" t="s">
        <v>59</v>
      </c>
      <c r="E249" s="33" t="s">
        <v>84</v>
      </c>
      <c r="F249" s="33" t="s">
        <v>183</v>
      </c>
      <c r="G249" s="33" t="s">
        <v>9</v>
      </c>
      <c r="H249" s="33" t="n">
        <v>10</v>
      </c>
    </row>
    <row r="250" customFormat="false" ht="54" hidden="false" customHeight="true" outlineLevel="0" collapsed="false">
      <c r="A250" s="32" t="s">
        <v>9763</v>
      </c>
      <c r="B250" s="32" t="s">
        <v>957</v>
      </c>
      <c r="C250" s="33" t="s">
        <v>98</v>
      </c>
      <c r="D250" s="33" t="s">
        <v>59</v>
      </c>
      <c r="E250" s="33" t="s">
        <v>86</v>
      </c>
      <c r="F250" s="33" t="s">
        <v>968</v>
      </c>
      <c r="G250" s="33" t="s">
        <v>9</v>
      </c>
      <c r="H250" s="33" t="n">
        <v>10</v>
      </c>
    </row>
    <row r="251" customFormat="false" ht="54" hidden="false" customHeight="true" outlineLevel="0" collapsed="false">
      <c r="A251" s="32" t="s">
        <v>9764</v>
      </c>
      <c r="B251" s="32" t="s">
        <v>970</v>
      </c>
      <c r="C251" s="33" t="s">
        <v>98</v>
      </c>
      <c r="D251" s="33" t="s">
        <v>59</v>
      </c>
      <c r="E251" s="33" t="s">
        <v>80</v>
      </c>
      <c r="F251" s="33" t="s">
        <v>183</v>
      </c>
      <c r="G251" s="33" t="s">
        <v>9</v>
      </c>
      <c r="H251" s="33" t="n">
        <v>10</v>
      </c>
    </row>
    <row r="252" customFormat="false" ht="54" hidden="false" customHeight="true" outlineLevel="0" collapsed="false">
      <c r="A252" s="32" t="s">
        <v>9765</v>
      </c>
      <c r="B252" s="32" t="s">
        <v>970</v>
      </c>
      <c r="C252" s="33" t="s">
        <v>98</v>
      </c>
      <c r="D252" s="33" t="s">
        <v>59</v>
      </c>
      <c r="E252" s="33" t="s">
        <v>80</v>
      </c>
      <c r="F252" s="33" t="s">
        <v>9766</v>
      </c>
      <c r="G252" s="33" t="s">
        <v>9</v>
      </c>
      <c r="H252" s="33" t="n">
        <v>10</v>
      </c>
    </row>
    <row r="253" customFormat="false" ht="54" hidden="false" customHeight="true" outlineLevel="0" collapsed="false">
      <c r="A253" s="32" t="s">
        <v>9767</v>
      </c>
      <c r="B253" s="32" t="s">
        <v>970</v>
      </c>
      <c r="C253" s="33" t="s">
        <v>98</v>
      </c>
      <c r="D253" s="33" t="s">
        <v>59</v>
      </c>
      <c r="E253" s="33" t="s">
        <v>81</v>
      </c>
      <c r="F253" s="33" t="s">
        <v>975</v>
      </c>
      <c r="G253" s="33" t="s">
        <v>9</v>
      </c>
      <c r="H253" s="33" t="n">
        <v>10</v>
      </c>
    </row>
    <row r="254" customFormat="false" ht="54" hidden="false" customHeight="true" outlineLevel="0" collapsed="false">
      <c r="A254" s="32" t="s">
        <v>9768</v>
      </c>
      <c r="B254" s="32" t="s">
        <v>970</v>
      </c>
      <c r="C254" s="33" t="s">
        <v>98</v>
      </c>
      <c r="D254" s="33" t="s">
        <v>59</v>
      </c>
      <c r="E254" s="33" t="s">
        <v>81</v>
      </c>
      <c r="F254" s="33" t="s">
        <v>9769</v>
      </c>
      <c r="G254" s="33" t="s">
        <v>9</v>
      </c>
      <c r="H254" s="33" t="n">
        <v>10</v>
      </c>
    </row>
    <row r="255" customFormat="false" ht="54" hidden="false" customHeight="true" outlineLevel="0" collapsed="false">
      <c r="A255" s="32" t="s">
        <v>9770</v>
      </c>
      <c r="B255" s="32" t="s">
        <v>970</v>
      </c>
      <c r="C255" s="33" t="s">
        <v>98</v>
      </c>
      <c r="D255" s="33" t="s">
        <v>59</v>
      </c>
      <c r="E255" s="33" t="s">
        <v>81</v>
      </c>
      <c r="F255" s="33" t="s">
        <v>9766</v>
      </c>
      <c r="G255" s="33" t="s">
        <v>9</v>
      </c>
      <c r="H255" s="33" t="n">
        <v>10</v>
      </c>
    </row>
    <row r="256" customFormat="false" ht="54" hidden="false" customHeight="true" outlineLevel="0" collapsed="false">
      <c r="A256" s="32" t="s">
        <v>9771</v>
      </c>
      <c r="B256" s="32" t="s">
        <v>970</v>
      </c>
      <c r="C256" s="33" t="s">
        <v>98</v>
      </c>
      <c r="D256" s="33" t="s">
        <v>59</v>
      </c>
      <c r="E256" s="33" t="s">
        <v>81</v>
      </c>
      <c r="F256" s="33" t="s">
        <v>9772</v>
      </c>
      <c r="G256" s="33" t="s">
        <v>9</v>
      </c>
      <c r="H256" s="33" t="n">
        <v>10</v>
      </c>
    </row>
    <row r="257" customFormat="false" ht="54" hidden="false" customHeight="true" outlineLevel="0" collapsed="false">
      <c r="A257" s="32" t="s">
        <v>9773</v>
      </c>
      <c r="B257" s="32" t="s">
        <v>970</v>
      </c>
      <c r="C257" s="33" t="s">
        <v>98</v>
      </c>
      <c r="D257" s="33" t="s">
        <v>59</v>
      </c>
      <c r="E257" s="33" t="s">
        <v>81</v>
      </c>
      <c r="F257" s="33" t="s">
        <v>9774</v>
      </c>
      <c r="G257" s="33" t="s">
        <v>9</v>
      </c>
      <c r="H257" s="33" t="n">
        <v>10</v>
      </c>
    </row>
    <row r="258" customFormat="false" ht="54" hidden="false" customHeight="true" outlineLevel="0" collapsed="false">
      <c r="A258" s="32" t="s">
        <v>9775</v>
      </c>
      <c r="B258" s="32" t="s">
        <v>970</v>
      </c>
      <c r="C258" s="33" t="s">
        <v>98</v>
      </c>
      <c r="D258" s="33" t="s">
        <v>59</v>
      </c>
      <c r="E258" s="33" t="s">
        <v>82</v>
      </c>
      <c r="F258" s="33" t="s">
        <v>182</v>
      </c>
      <c r="G258" s="33" t="s">
        <v>9</v>
      </c>
      <c r="H258" s="33" t="n">
        <v>10</v>
      </c>
    </row>
    <row r="259" customFormat="false" ht="54" hidden="false" customHeight="true" outlineLevel="0" collapsed="false">
      <c r="A259" s="32" t="s">
        <v>9776</v>
      </c>
      <c r="B259" s="32" t="s">
        <v>970</v>
      </c>
      <c r="C259" s="33" t="s">
        <v>98</v>
      </c>
      <c r="D259" s="33" t="s">
        <v>59</v>
      </c>
      <c r="E259" s="33" t="s">
        <v>84</v>
      </c>
      <c r="F259" s="33" t="s">
        <v>183</v>
      </c>
      <c r="G259" s="33" t="s">
        <v>9</v>
      </c>
      <c r="H259" s="33" t="n">
        <v>10</v>
      </c>
    </row>
    <row r="260" customFormat="false" ht="54" hidden="false" customHeight="true" outlineLevel="0" collapsed="false">
      <c r="A260" s="32" t="s">
        <v>9777</v>
      </c>
      <c r="B260" s="32" t="s">
        <v>970</v>
      </c>
      <c r="C260" s="33" t="s">
        <v>98</v>
      </c>
      <c r="D260" s="33" t="s">
        <v>59</v>
      </c>
      <c r="E260" s="33" t="s">
        <v>86</v>
      </c>
      <c r="F260" s="33" t="s">
        <v>9766</v>
      </c>
      <c r="G260" s="33" t="s">
        <v>9</v>
      </c>
      <c r="H260" s="33" t="n">
        <v>10</v>
      </c>
    </row>
    <row r="261" customFormat="false" ht="54" hidden="false" customHeight="true" outlineLevel="0" collapsed="false">
      <c r="A261" s="32" t="s">
        <v>9778</v>
      </c>
      <c r="B261" s="32" t="s">
        <v>970</v>
      </c>
      <c r="C261" s="33" t="s">
        <v>98</v>
      </c>
      <c r="D261" s="33" t="s">
        <v>59</v>
      </c>
      <c r="E261" s="33" t="s">
        <v>86</v>
      </c>
      <c r="F261" s="33" t="s">
        <v>9779</v>
      </c>
      <c r="G261" s="33" t="s">
        <v>9</v>
      </c>
      <c r="H261" s="33" t="n">
        <v>10</v>
      </c>
    </row>
    <row r="262" customFormat="false" ht="54" hidden="false" customHeight="true" outlineLevel="0" collapsed="false">
      <c r="A262" s="32" t="s">
        <v>9780</v>
      </c>
      <c r="B262" s="32" t="s">
        <v>970</v>
      </c>
      <c r="C262" s="33" t="s">
        <v>98</v>
      </c>
      <c r="D262" s="33" t="s">
        <v>59</v>
      </c>
      <c r="E262" s="33" t="s">
        <v>86</v>
      </c>
      <c r="F262" s="33" t="s">
        <v>978</v>
      </c>
      <c r="G262" s="33" t="s">
        <v>9</v>
      </c>
      <c r="H262" s="33" t="n">
        <v>10</v>
      </c>
    </row>
    <row r="263" customFormat="false" ht="54" hidden="false" customHeight="true" outlineLevel="0" collapsed="false">
      <c r="A263" s="32" t="s">
        <v>9781</v>
      </c>
      <c r="B263" s="32" t="s">
        <v>986</v>
      </c>
      <c r="C263" s="33" t="s">
        <v>98</v>
      </c>
      <c r="D263" s="33" t="s">
        <v>59</v>
      </c>
      <c r="E263" s="33" t="s">
        <v>80</v>
      </c>
      <c r="F263" s="33" t="s">
        <v>990</v>
      </c>
      <c r="G263" s="33" t="s">
        <v>9</v>
      </c>
      <c r="H263" s="33" t="n">
        <v>10</v>
      </c>
    </row>
    <row r="264" customFormat="false" ht="54" hidden="false" customHeight="true" outlineLevel="0" collapsed="false">
      <c r="A264" s="32" t="s">
        <v>9782</v>
      </c>
      <c r="B264" s="32" t="s">
        <v>986</v>
      </c>
      <c r="C264" s="33" t="s">
        <v>98</v>
      </c>
      <c r="D264" s="33" t="s">
        <v>59</v>
      </c>
      <c r="E264" s="33" t="s">
        <v>81</v>
      </c>
      <c r="F264" s="33" t="s">
        <v>994</v>
      </c>
      <c r="G264" s="33" t="s">
        <v>9</v>
      </c>
      <c r="H264" s="33" t="n">
        <v>10</v>
      </c>
    </row>
    <row r="265" customFormat="false" ht="54" hidden="false" customHeight="true" outlineLevel="0" collapsed="false">
      <c r="A265" s="32" t="s">
        <v>9783</v>
      </c>
      <c r="B265" s="32" t="s">
        <v>986</v>
      </c>
      <c r="C265" s="33" t="s">
        <v>98</v>
      </c>
      <c r="D265" s="33" t="s">
        <v>59</v>
      </c>
      <c r="E265" s="33" t="s">
        <v>82</v>
      </c>
      <c r="F265" s="33" t="s">
        <v>996</v>
      </c>
      <c r="G265" s="33" t="s">
        <v>9</v>
      </c>
      <c r="H265" s="33" t="n">
        <v>10</v>
      </c>
    </row>
    <row r="266" customFormat="false" ht="54" hidden="false" customHeight="true" outlineLevel="0" collapsed="false">
      <c r="A266" s="32" t="s">
        <v>9784</v>
      </c>
      <c r="B266" s="32" t="s">
        <v>999</v>
      </c>
      <c r="C266" s="33" t="s">
        <v>98</v>
      </c>
      <c r="D266" s="33" t="s">
        <v>59</v>
      </c>
      <c r="E266" s="33" t="s">
        <v>82</v>
      </c>
      <c r="F266" s="33" t="s">
        <v>1005</v>
      </c>
      <c r="G266" s="33" t="s">
        <v>9</v>
      </c>
      <c r="H266" s="33" t="n">
        <v>10</v>
      </c>
    </row>
    <row r="267" customFormat="false" ht="54" hidden="false" customHeight="true" outlineLevel="0" collapsed="false">
      <c r="A267" s="32" t="s">
        <v>9785</v>
      </c>
      <c r="B267" s="32" t="s">
        <v>999</v>
      </c>
      <c r="C267" s="33" t="s">
        <v>98</v>
      </c>
      <c r="D267" s="33" t="s">
        <v>59</v>
      </c>
      <c r="E267" s="33" t="s">
        <v>82</v>
      </c>
      <c r="F267" s="33" t="s">
        <v>1006</v>
      </c>
      <c r="G267" s="33" t="s">
        <v>9</v>
      </c>
      <c r="H267" s="33" t="n">
        <v>10</v>
      </c>
    </row>
    <row r="268" customFormat="false" ht="54" hidden="false" customHeight="true" outlineLevel="0" collapsed="false">
      <c r="A268" s="32" t="s">
        <v>9786</v>
      </c>
      <c r="B268" s="32" t="s">
        <v>999</v>
      </c>
      <c r="C268" s="33" t="s">
        <v>98</v>
      </c>
      <c r="D268" s="33" t="s">
        <v>59</v>
      </c>
      <c r="E268" s="33" t="s">
        <v>82</v>
      </c>
      <c r="F268" s="33" t="s">
        <v>1007</v>
      </c>
      <c r="G268" s="33" t="s">
        <v>9</v>
      </c>
      <c r="H268" s="33" t="n">
        <v>10</v>
      </c>
    </row>
    <row r="269" customFormat="false" ht="54" hidden="false" customHeight="true" outlineLevel="0" collapsed="false">
      <c r="A269" s="32" t="s">
        <v>9787</v>
      </c>
      <c r="B269" s="32" t="s">
        <v>1012</v>
      </c>
      <c r="C269" s="33" t="s">
        <v>98</v>
      </c>
      <c r="D269" s="33" t="s">
        <v>59</v>
      </c>
      <c r="E269" s="33" t="s">
        <v>80</v>
      </c>
      <c r="F269" s="33" t="s">
        <v>183</v>
      </c>
      <c r="G269" s="33" t="s">
        <v>9</v>
      </c>
      <c r="H269" s="33" t="n">
        <v>10</v>
      </c>
    </row>
    <row r="270" customFormat="false" ht="54" hidden="false" customHeight="true" outlineLevel="0" collapsed="false">
      <c r="A270" s="32" t="s">
        <v>9788</v>
      </c>
      <c r="B270" s="32" t="s">
        <v>1012</v>
      </c>
      <c r="C270" s="33" t="s">
        <v>98</v>
      </c>
      <c r="D270" s="33" t="s">
        <v>59</v>
      </c>
      <c r="E270" s="33" t="s">
        <v>82</v>
      </c>
      <c r="F270" s="33" t="s">
        <v>1017</v>
      </c>
      <c r="G270" s="33" t="s">
        <v>9</v>
      </c>
      <c r="H270" s="33" t="n">
        <v>10</v>
      </c>
    </row>
    <row r="271" customFormat="false" ht="54" hidden="false" customHeight="true" outlineLevel="0" collapsed="false">
      <c r="A271" s="32" t="s">
        <v>9789</v>
      </c>
      <c r="B271" s="32" t="s">
        <v>1012</v>
      </c>
      <c r="C271" s="33" t="s">
        <v>98</v>
      </c>
      <c r="D271" s="33" t="s">
        <v>59</v>
      </c>
      <c r="E271" s="33" t="s">
        <v>82</v>
      </c>
      <c r="F271" s="33" t="s">
        <v>9790</v>
      </c>
      <c r="G271" s="33" t="s">
        <v>9</v>
      </c>
      <c r="H271" s="33" t="n">
        <v>10</v>
      </c>
    </row>
    <row r="272" customFormat="false" ht="54" hidden="false" customHeight="true" outlineLevel="0" collapsed="false">
      <c r="A272" s="32" t="s">
        <v>9791</v>
      </c>
      <c r="B272" s="32" t="s">
        <v>1012</v>
      </c>
      <c r="C272" s="33" t="s">
        <v>98</v>
      </c>
      <c r="D272" s="33" t="s">
        <v>59</v>
      </c>
      <c r="E272" s="33" t="s">
        <v>82</v>
      </c>
      <c r="F272" s="33" t="s">
        <v>182</v>
      </c>
      <c r="G272" s="33" t="s">
        <v>9</v>
      </c>
      <c r="H272" s="33" t="n">
        <v>10</v>
      </c>
    </row>
    <row r="273" customFormat="false" ht="54" hidden="false" customHeight="true" outlineLevel="0" collapsed="false">
      <c r="A273" s="32" t="s">
        <v>9792</v>
      </c>
      <c r="B273" s="32" t="s">
        <v>1012</v>
      </c>
      <c r="C273" s="33" t="s">
        <v>98</v>
      </c>
      <c r="D273" s="33" t="s">
        <v>59</v>
      </c>
      <c r="E273" s="33" t="s">
        <v>84</v>
      </c>
      <c r="F273" s="33" t="s">
        <v>183</v>
      </c>
      <c r="G273" s="33" t="s">
        <v>9</v>
      </c>
      <c r="H273" s="33" t="n">
        <v>10</v>
      </c>
    </row>
    <row r="274" customFormat="false" ht="54" hidden="false" customHeight="true" outlineLevel="0" collapsed="false">
      <c r="A274" s="32" t="s">
        <v>9793</v>
      </c>
      <c r="B274" s="32" t="s">
        <v>1024</v>
      </c>
      <c r="C274" s="33" t="s">
        <v>98</v>
      </c>
      <c r="D274" s="33" t="s">
        <v>59</v>
      </c>
      <c r="E274" s="33" t="s">
        <v>82</v>
      </c>
      <c r="F274" s="33" t="s">
        <v>1029</v>
      </c>
      <c r="G274" s="33" t="s">
        <v>9</v>
      </c>
      <c r="H274" s="33" t="n">
        <v>10</v>
      </c>
    </row>
    <row r="275" customFormat="false" ht="54" hidden="false" customHeight="true" outlineLevel="0" collapsed="false">
      <c r="A275" s="32" t="s">
        <v>9794</v>
      </c>
      <c r="B275" s="32" t="s">
        <v>1024</v>
      </c>
      <c r="C275" s="33" t="s">
        <v>98</v>
      </c>
      <c r="D275" s="33" t="s">
        <v>59</v>
      </c>
      <c r="E275" s="33" t="s">
        <v>82</v>
      </c>
      <c r="F275" s="33" t="s">
        <v>1030</v>
      </c>
      <c r="G275" s="33" t="s">
        <v>9</v>
      </c>
      <c r="H275" s="33" t="n">
        <v>10</v>
      </c>
    </row>
    <row r="276" customFormat="false" ht="54" hidden="false" customHeight="true" outlineLevel="0" collapsed="false">
      <c r="A276" s="32" t="s">
        <v>9795</v>
      </c>
      <c r="B276" s="32" t="s">
        <v>1024</v>
      </c>
      <c r="C276" s="33" t="s">
        <v>98</v>
      </c>
      <c r="D276" s="33" t="s">
        <v>59</v>
      </c>
      <c r="E276" s="33" t="s">
        <v>82</v>
      </c>
      <c r="F276" s="33" t="s">
        <v>1031</v>
      </c>
      <c r="G276" s="33" t="s">
        <v>9</v>
      </c>
      <c r="H276" s="33" t="n">
        <v>10</v>
      </c>
    </row>
    <row r="277" customFormat="false" ht="54" hidden="false" customHeight="true" outlineLevel="0" collapsed="false">
      <c r="A277" s="32" t="s">
        <v>9796</v>
      </c>
      <c r="B277" s="32" t="s">
        <v>1036</v>
      </c>
      <c r="C277" s="33" t="s">
        <v>98</v>
      </c>
      <c r="D277" s="33" t="s">
        <v>59</v>
      </c>
      <c r="E277" s="33" t="s">
        <v>82</v>
      </c>
      <c r="F277" s="33" t="s">
        <v>1042</v>
      </c>
      <c r="G277" s="33" t="s">
        <v>9</v>
      </c>
      <c r="H277" s="33" t="n">
        <v>10</v>
      </c>
    </row>
    <row r="278" customFormat="false" ht="54" hidden="false" customHeight="true" outlineLevel="0" collapsed="false">
      <c r="A278" s="32" t="s">
        <v>9797</v>
      </c>
      <c r="B278" s="32" t="s">
        <v>1036</v>
      </c>
      <c r="C278" s="33" t="s">
        <v>98</v>
      </c>
      <c r="D278" s="33" t="s">
        <v>59</v>
      </c>
      <c r="E278" s="33" t="s">
        <v>82</v>
      </c>
      <c r="F278" s="33" t="s">
        <v>9798</v>
      </c>
      <c r="G278" s="33" t="s">
        <v>9</v>
      </c>
      <c r="H278" s="33" t="n">
        <v>10</v>
      </c>
    </row>
    <row r="279" customFormat="false" ht="54" hidden="false" customHeight="true" outlineLevel="0" collapsed="false">
      <c r="A279" s="32" t="s">
        <v>9799</v>
      </c>
      <c r="B279" s="32" t="s">
        <v>1051</v>
      </c>
      <c r="C279" s="33" t="s">
        <v>98</v>
      </c>
      <c r="D279" s="33" t="s">
        <v>59</v>
      </c>
      <c r="E279" s="33" t="s">
        <v>80</v>
      </c>
      <c r="F279" s="33" t="s">
        <v>1054</v>
      </c>
      <c r="G279" s="33" t="s">
        <v>9</v>
      </c>
      <c r="H279" s="33" t="n">
        <v>10</v>
      </c>
    </row>
    <row r="280" customFormat="false" ht="54" hidden="false" customHeight="true" outlineLevel="0" collapsed="false">
      <c r="A280" s="32" t="s">
        <v>9800</v>
      </c>
      <c r="B280" s="32" t="s">
        <v>1051</v>
      </c>
      <c r="C280" s="33" t="s">
        <v>98</v>
      </c>
      <c r="D280" s="33" t="s">
        <v>59</v>
      </c>
      <c r="E280" s="33" t="s">
        <v>81</v>
      </c>
      <c r="F280" s="33" t="s">
        <v>1060</v>
      </c>
      <c r="G280" s="33" t="s">
        <v>9</v>
      </c>
      <c r="H280" s="33" t="n">
        <v>10</v>
      </c>
    </row>
    <row r="281" customFormat="false" ht="54" hidden="false" customHeight="true" outlineLevel="0" collapsed="false">
      <c r="A281" s="32" t="s">
        <v>9801</v>
      </c>
      <c r="B281" s="32" t="s">
        <v>1051</v>
      </c>
      <c r="C281" s="33" t="s">
        <v>98</v>
      </c>
      <c r="D281" s="33" t="s">
        <v>59</v>
      </c>
      <c r="E281" s="33" t="s">
        <v>82</v>
      </c>
      <c r="F281" s="33" t="s">
        <v>1061</v>
      </c>
      <c r="G281" s="33" t="s">
        <v>9</v>
      </c>
      <c r="H281" s="33" t="n">
        <v>10</v>
      </c>
    </row>
    <row r="282" customFormat="false" ht="54" hidden="false" customHeight="true" outlineLevel="0" collapsed="false">
      <c r="A282" s="32" t="s">
        <v>9802</v>
      </c>
      <c r="B282" s="32" t="s">
        <v>1065</v>
      </c>
      <c r="C282" s="33" t="s">
        <v>98</v>
      </c>
      <c r="D282" s="33" t="s">
        <v>59</v>
      </c>
      <c r="E282" s="33" t="s">
        <v>80</v>
      </c>
      <c r="F282" s="33" t="s">
        <v>9803</v>
      </c>
      <c r="G282" s="33" t="s">
        <v>9</v>
      </c>
      <c r="H282" s="33" t="n">
        <v>10</v>
      </c>
    </row>
    <row r="283" customFormat="false" ht="54" hidden="false" customHeight="true" outlineLevel="0" collapsed="false">
      <c r="A283" s="32" t="s">
        <v>9804</v>
      </c>
      <c r="B283" s="32" t="s">
        <v>1065</v>
      </c>
      <c r="C283" s="33" t="s">
        <v>98</v>
      </c>
      <c r="D283" s="33" t="s">
        <v>59</v>
      </c>
      <c r="E283" s="33" t="s">
        <v>80</v>
      </c>
      <c r="F283" s="33" t="s">
        <v>1073</v>
      </c>
      <c r="G283" s="33" t="s">
        <v>9</v>
      </c>
      <c r="H283" s="33" t="n">
        <v>10</v>
      </c>
    </row>
    <row r="284" customFormat="false" ht="54" hidden="false" customHeight="true" outlineLevel="0" collapsed="false">
      <c r="A284" s="32" t="s">
        <v>9805</v>
      </c>
      <c r="B284" s="32" t="s">
        <v>1065</v>
      </c>
      <c r="C284" s="33" t="s">
        <v>98</v>
      </c>
      <c r="D284" s="33" t="s">
        <v>59</v>
      </c>
      <c r="E284" s="33" t="s">
        <v>82</v>
      </c>
      <c r="F284" s="33" t="s">
        <v>1070</v>
      </c>
      <c r="G284" s="33" t="s">
        <v>9</v>
      </c>
      <c r="H284" s="33" t="n">
        <v>10</v>
      </c>
    </row>
    <row r="285" customFormat="false" ht="54" hidden="false" customHeight="true" outlineLevel="0" collapsed="false">
      <c r="A285" s="32" t="s">
        <v>9806</v>
      </c>
      <c r="B285" s="32" t="s">
        <v>1065</v>
      </c>
      <c r="C285" s="33" t="s">
        <v>98</v>
      </c>
      <c r="D285" s="33" t="s">
        <v>59</v>
      </c>
      <c r="E285" s="33" t="s">
        <v>82</v>
      </c>
      <c r="F285" s="33" t="s">
        <v>9807</v>
      </c>
      <c r="G285" s="33" t="s">
        <v>9</v>
      </c>
      <c r="H285" s="33" t="n">
        <v>10</v>
      </c>
    </row>
    <row r="286" customFormat="false" ht="54" hidden="false" customHeight="true" outlineLevel="0" collapsed="false">
      <c r="A286" s="32" t="s">
        <v>9808</v>
      </c>
      <c r="B286" s="32" t="s">
        <v>1065</v>
      </c>
      <c r="C286" s="33" t="s">
        <v>98</v>
      </c>
      <c r="D286" s="33" t="s">
        <v>59</v>
      </c>
      <c r="E286" s="33" t="s">
        <v>82</v>
      </c>
      <c r="F286" s="33" t="s">
        <v>1073</v>
      </c>
      <c r="G286" s="33" t="s">
        <v>9</v>
      </c>
      <c r="H286" s="33" t="n">
        <v>10</v>
      </c>
    </row>
    <row r="287" customFormat="false" ht="54" hidden="false" customHeight="true" outlineLevel="0" collapsed="false">
      <c r="A287" s="32" t="s">
        <v>9809</v>
      </c>
      <c r="B287" s="32" t="s">
        <v>1079</v>
      </c>
      <c r="C287" s="33" t="s">
        <v>98</v>
      </c>
      <c r="D287" s="33" t="s">
        <v>59</v>
      </c>
      <c r="E287" s="33" t="s">
        <v>80</v>
      </c>
      <c r="F287" s="33" t="s">
        <v>1086</v>
      </c>
      <c r="G287" s="33" t="s">
        <v>9</v>
      </c>
      <c r="H287" s="33" t="n">
        <v>10</v>
      </c>
    </row>
    <row r="288" customFormat="false" ht="54" hidden="false" customHeight="true" outlineLevel="0" collapsed="false">
      <c r="A288" s="32" t="s">
        <v>9810</v>
      </c>
      <c r="B288" s="32" t="s">
        <v>1079</v>
      </c>
      <c r="C288" s="33" t="s">
        <v>98</v>
      </c>
      <c r="D288" s="33" t="s">
        <v>59</v>
      </c>
      <c r="E288" s="33" t="s">
        <v>82</v>
      </c>
      <c r="F288" s="33" t="s">
        <v>1086</v>
      </c>
      <c r="G288" s="33" t="s">
        <v>9</v>
      </c>
      <c r="H288" s="33" t="n">
        <v>10</v>
      </c>
    </row>
    <row r="289" customFormat="false" ht="54" hidden="false" customHeight="true" outlineLevel="0" collapsed="false">
      <c r="A289" s="32" t="s">
        <v>9811</v>
      </c>
      <c r="B289" s="32" t="s">
        <v>878</v>
      </c>
      <c r="C289" s="33" t="s">
        <v>98</v>
      </c>
      <c r="D289" s="33" t="s">
        <v>59</v>
      </c>
      <c r="E289" s="33" t="s">
        <v>81</v>
      </c>
      <c r="F289" s="33" t="s">
        <v>1097</v>
      </c>
      <c r="G289" s="33" t="s">
        <v>9</v>
      </c>
      <c r="H289" s="33" t="n">
        <v>10</v>
      </c>
    </row>
    <row r="290" customFormat="false" ht="54" hidden="false" customHeight="true" outlineLevel="0" collapsed="false">
      <c r="A290" s="32" t="s">
        <v>9812</v>
      </c>
      <c r="B290" s="32" t="s">
        <v>1100</v>
      </c>
      <c r="C290" s="33" t="s">
        <v>98</v>
      </c>
      <c r="D290" s="33" t="s">
        <v>59</v>
      </c>
      <c r="E290" s="33" t="s">
        <v>80</v>
      </c>
      <c r="F290" s="33" t="s">
        <v>1110</v>
      </c>
      <c r="G290" s="33" t="s">
        <v>9</v>
      </c>
      <c r="H290" s="33" t="n">
        <v>10</v>
      </c>
    </row>
    <row r="291" customFormat="false" ht="54" hidden="false" customHeight="true" outlineLevel="0" collapsed="false">
      <c r="A291" s="32" t="s">
        <v>9813</v>
      </c>
      <c r="B291" s="32" t="s">
        <v>1100</v>
      </c>
      <c r="C291" s="33" t="s">
        <v>98</v>
      </c>
      <c r="D291" s="33" t="s">
        <v>59</v>
      </c>
      <c r="E291" s="33" t="s">
        <v>82</v>
      </c>
      <c r="F291" s="33" t="s">
        <v>1110</v>
      </c>
      <c r="G291" s="33" t="s">
        <v>9</v>
      </c>
      <c r="H291" s="33" t="n">
        <v>10</v>
      </c>
    </row>
    <row r="292" customFormat="false" ht="54" hidden="false" customHeight="true" outlineLevel="0" collapsed="false">
      <c r="A292" s="32" t="s">
        <v>9814</v>
      </c>
      <c r="B292" s="32" t="s">
        <v>1100</v>
      </c>
      <c r="C292" s="33" t="s">
        <v>98</v>
      </c>
      <c r="D292" s="33" t="s">
        <v>59</v>
      </c>
      <c r="E292" s="33" t="s">
        <v>82</v>
      </c>
      <c r="F292" s="33" t="s">
        <v>9815</v>
      </c>
      <c r="G292" s="33" t="s">
        <v>9</v>
      </c>
      <c r="H292" s="33" t="n">
        <v>10</v>
      </c>
    </row>
    <row r="293" customFormat="false" ht="54" hidden="false" customHeight="true" outlineLevel="0" collapsed="false">
      <c r="A293" s="32" t="s">
        <v>9816</v>
      </c>
      <c r="B293" s="32" t="s">
        <v>1100</v>
      </c>
      <c r="C293" s="33" t="s">
        <v>98</v>
      </c>
      <c r="D293" s="33" t="s">
        <v>59</v>
      </c>
      <c r="E293" s="33" t="s">
        <v>84</v>
      </c>
      <c r="F293" s="33" t="s">
        <v>1110</v>
      </c>
      <c r="G293" s="33" t="s">
        <v>9</v>
      </c>
      <c r="H293" s="33" t="n">
        <v>10</v>
      </c>
    </row>
    <row r="294" customFormat="false" ht="54" hidden="false" customHeight="true" outlineLevel="0" collapsed="false">
      <c r="A294" s="32" t="s">
        <v>9817</v>
      </c>
      <c r="B294" s="32" t="s">
        <v>1114</v>
      </c>
      <c r="C294" s="33" t="s">
        <v>98</v>
      </c>
      <c r="D294" s="33" t="s">
        <v>59</v>
      </c>
      <c r="E294" s="33" t="s">
        <v>80</v>
      </c>
      <c r="F294" s="33" t="s">
        <v>1124</v>
      </c>
      <c r="G294" s="33" t="s">
        <v>9</v>
      </c>
      <c r="H294" s="33" t="n">
        <v>10</v>
      </c>
    </row>
    <row r="295" customFormat="false" ht="54" hidden="false" customHeight="true" outlineLevel="0" collapsed="false">
      <c r="A295" s="32" t="s">
        <v>9818</v>
      </c>
      <c r="B295" s="32" t="s">
        <v>1114</v>
      </c>
      <c r="C295" s="33" t="s">
        <v>98</v>
      </c>
      <c r="D295" s="33" t="s">
        <v>59</v>
      </c>
      <c r="E295" s="33" t="s">
        <v>82</v>
      </c>
      <c r="F295" s="33" t="s">
        <v>1124</v>
      </c>
      <c r="G295" s="33" t="s">
        <v>9</v>
      </c>
      <c r="H295" s="33" t="n">
        <v>10</v>
      </c>
    </row>
    <row r="296" customFormat="false" ht="54" hidden="false" customHeight="true" outlineLevel="0" collapsed="false">
      <c r="A296" s="32" t="s">
        <v>9819</v>
      </c>
      <c r="B296" s="32" t="s">
        <v>1114</v>
      </c>
      <c r="C296" s="33" t="s">
        <v>98</v>
      </c>
      <c r="D296" s="33" t="s">
        <v>59</v>
      </c>
      <c r="E296" s="33" t="s">
        <v>82</v>
      </c>
      <c r="F296" s="33" t="s">
        <v>9820</v>
      </c>
      <c r="G296" s="33" t="s">
        <v>9</v>
      </c>
      <c r="H296" s="33" t="n">
        <v>10</v>
      </c>
    </row>
    <row r="297" customFormat="false" ht="54" hidden="false" customHeight="true" outlineLevel="0" collapsed="false">
      <c r="A297" s="32" t="s">
        <v>9821</v>
      </c>
      <c r="B297" s="32" t="s">
        <v>1128</v>
      </c>
      <c r="C297" s="33" t="s">
        <v>98</v>
      </c>
      <c r="D297" s="33" t="s">
        <v>59</v>
      </c>
      <c r="E297" s="33" t="s">
        <v>80</v>
      </c>
      <c r="F297" s="33" t="s">
        <v>1137</v>
      </c>
      <c r="G297" s="33" t="s">
        <v>9</v>
      </c>
      <c r="H297" s="33" t="n">
        <v>10</v>
      </c>
    </row>
    <row r="298" customFormat="false" ht="54" hidden="false" customHeight="true" outlineLevel="0" collapsed="false">
      <c r="A298" s="32" t="s">
        <v>9822</v>
      </c>
      <c r="B298" s="32" t="s">
        <v>1128</v>
      </c>
      <c r="C298" s="33" t="s">
        <v>98</v>
      </c>
      <c r="D298" s="33" t="s">
        <v>59</v>
      </c>
      <c r="E298" s="33" t="s">
        <v>82</v>
      </c>
      <c r="F298" s="33" t="s">
        <v>1137</v>
      </c>
      <c r="G298" s="33" t="s">
        <v>9</v>
      </c>
      <c r="H298" s="33" t="n">
        <v>10</v>
      </c>
    </row>
    <row r="299" customFormat="false" ht="54" hidden="false" customHeight="true" outlineLevel="0" collapsed="false">
      <c r="A299" s="32" t="s">
        <v>9823</v>
      </c>
      <c r="B299" s="32" t="s">
        <v>1140</v>
      </c>
      <c r="C299" s="33" t="s">
        <v>98</v>
      </c>
      <c r="D299" s="33" t="s">
        <v>59</v>
      </c>
      <c r="E299" s="33" t="s">
        <v>86</v>
      </c>
      <c r="F299" s="33" t="s">
        <v>1151</v>
      </c>
      <c r="G299" s="33" t="s">
        <v>9</v>
      </c>
      <c r="H299" s="33" t="n">
        <v>10</v>
      </c>
    </row>
    <row r="300" customFormat="false" ht="54" hidden="false" customHeight="true" outlineLevel="0" collapsed="false">
      <c r="A300" s="32" t="s">
        <v>9824</v>
      </c>
      <c r="B300" s="32" t="s">
        <v>1155</v>
      </c>
      <c r="C300" s="33" t="s">
        <v>98</v>
      </c>
      <c r="D300" s="33" t="s">
        <v>59</v>
      </c>
      <c r="E300" s="33" t="s">
        <v>81</v>
      </c>
      <c r="F300" s="33" t="s">
        <v>1161</v>
      </c>
      <c r="G300" s="33" t="s">
        <v>9</v>
      </c>
      <c r="H300" s="33" t="n">
        <v>10</v>
      </c>
    </row>
    <row r="301" customFormat="false" ht="54" hidden="false" customHeight="true" outlineLevel="0" collapsed="false">
      <c r="A301" s="32" t="s">
        <v>9825</v>
      </c>
      <c r="B301" s="32" t="s">
        <v>1155</v>
      </c>
      <c r="C301" s="33" t="s">
        <v>98</v>
      </c>
      <c r="D301" s="33" t="s">
        <v>59</v>
      </c>
      <c r="E301" s="33" t="s">
        <v>81</v>
      </c>
      <c r="F301" s="33" t="s">
        <v>1163</v>
      </c>
      <c r="G301" s="33" t="s">
        <v>9</v>
      </c>
      <c r="H301" s="33" t="n">
        <v>10</v>
      </c>
    </row>
    <row r="302" customFormat="false" ht="54" hidden="false" customHeight="true" outlineLevel="0" collapsed="false">
      <c r="A302" s="32" t="s">
        <v>9826</v>
      </c>
      <c r="B302" s="32" t="s">
        <v>1155</v>
      </c>
      <c r="C302" s="33" t="s">
        <v>98</v>
      </c>
      <c r="D302" s="33" t="s">
        <v>59</v>
      </c>
      <c r="E302" s="33" t="s">
        <v>82</v>
      </c>
      <c r="F302" s="33" t="s">
        <v>1162</v>
      </c>
      <c r="G302" s="33" t="s">
        <v>9</v>
      </c>
      <c r="H302" s="33" t="n">
        <v>10</v>
      </c>
    </row>
    <row r="303" customFormat="false" ht="54" hidden="false" customHeight="true" outlineLevel="0" collapsed="false">
      <c r="A303" s="32" t="s">
        <v>9827</v>
      </c>
      <c r="B303" s="32" t="s">
        <v>1155</v>
      </c>
      <c r="C303" s="33" t="s">
        <v>98</v>
      </c>
      <c r="D303" s="33" t="s">
        <v>59</v>
      </c>
      <c r="E303" s="33" t="s">
        <v>82</v>
      </c>
      <c r="F303" s="33" t="s">
        <v>1164</v>
      </c>
      <c r="G303" s="33" t="s">
        <v>9</v>
      </c>
      <c r="H303" s="33" t="n">
        <v>10</v>
      </c>
    </row>
    <row r="304" customFormat="false" ht="54" hidden="false" customHeight="true" outlineLevel="0" collapsed="false">
      <c r="A304" s="32" t="s">
        <v>9828</v>
      </c>
      <c r="B304" s="32" t="s">
        <v>1155</v>
      </c>
      <c r="C304" s="33" t="s">
        <v>98</v>
      </c>
      <c r="D304" s="33" t="s">
        <v>59</v>
      </c>
      <c r="E304" s="33" t="s">
        <v>82</v>
      </c>
      <c r="F304" s="33" t="s">
        <v>1165</v>
      </c>
      <c r="G304" s="33" t="s">
        <v>9</v>
      </c>
      <c r="H304" s="33" t="n">
        <v>10</v>
      </c>
    </row>
    <row r="305" customFormat="false" ht="54" hidden="false" customHeight="true" outlineLevel="0" collapsed="false">
      <c r="A305" s="32" t="s">
        <v>9829</v>
      </c>
      <c r="B305" s="32" t="s">
        <v>480</v>
      </c>
      <c r="C305" s="33" t="s">
        <v>98</v>
      </c>
      <c r="D305" s="33" t="s">
        <v>59</v>
      </c>
      <c r="E305" s="33" t="s">
        <v>81</v>
      </c>
      <c r="F305" s="33" t="s">
        <v>1175</v>
      </c>
      <c r="G305" s="33" t="s">
        <v>9</v>
      </c>
      <c r="H305" s="33" t="n">
        <v>10</v>
      </c>
    </row>
    <row r="306" customFormat="false" ht="54" hidden="false" customHeight="true" outlineLevel="0" collapsed="false">
      <c r="A306" s="32" t="s">
        <v>9830</v>
      </c>
      <c r="B306" s="32" t="s">
        <v>480</v>
      </c>
      <c r="C306" s="33" t="s">
        <v>98</v>
      </c>
      <c r="D306" s="33" t="s">
        <v>59</v>
      </c>
      <c r="E306" s="33" t="s">
        <v>81</v>
      </c>
      <c r="F306" s="33" t="s">
        <v>9831</v>
      </c>
      <c r="G306" s="33" t="s">
        <v>9</v>
      </c>
      <c r="H306" s="33" t="n">
        <v>10</v>
      </c>
    </row>
    <row r="307" customFormat="false" ht="54" hidden="false" customHeight="true" outlineLevel="0" collapsed="false">
      <c r="A307" s="32" t="s">
        <v>9832</v>
      </c>
      <c r="B307" s="32" t="s">
        <v>480</v>
      </c>
      <c r="C307" s="33" t="s">
        <v>98</v>
      </c>
      <c r="D307" s="33" t="s">
        <v>59</v>
      </c>
      <c r="E307" s="33" t="s">
        <v>81</v>
      </c>
      <c r="F307" s="33" t="s">
        <v>9833</v>
      </c>
      <c r="G307" s="33" t="s">
        <v>9</v>
      </c>
      <c r="H307" s="33" t="n">
        <v>10</v>
      </c>
    </row>
    <row r="308" customFormat="false" ht="54" hidden="false" customHeight="true" outlineLevel="0" collapsed="false">
      <c r="A308" s="32" t="s">
        <v>9834</v>
      </c>
      <c r="B308" s="32" t="s">
        <v>1180</v>
      </c>
      <c r="C308" s="33" t="s">
        <v>98</v>
      </c>
      <c r="D308" s="33" t="s">
        <v>59</v>
      </c>
      <c r="E308" s="33" t="s">
        <v>83</v>
      </c>
      <c r="F308" s="33" t="s">
        <v>1187</v>
      </c>
      <c r="G308" s="33" t="s">
        <v>9</v>
      </c>
      <c r="H308" s="33" t="n">
        <v>10</v>
      </c>
    </row>
    <row r="309" customFormat="false" ht="54" hidden="false" customHeight="true" outlineLevel="0" collapsed="false">
      <c r="A309" s="32" t="s">
        <v>9835</v>
      </c>
      <c r="B309" s="32" t="s">
        <v>1180</v>
      </c>
      <c r="C309" s="33" t="s">
        <v>98</v>
      </c>
      <c r="D309" s="33" t="s">
        <v>59</v>
      </c>
      <c r="E309" s="33" t="s">
        <v>85</v>
      </c>
      <c r="F309" s="33" t="s">
        <v>1189</v>
      </c>
      <c r="G309" s="33" t="s">
        <v>9</v>
      </c>
      <c r="H309" s="33" t="n">
        <v>10</v>
      </c>
    </row>
    <row r="310" customFormat="false" ht="54" hidden="false" customHeight="true" outlineLevel="0" collapsed="false">
      <c r="A310" s="32" t="s">
        <v>9836</v>
      </c>
      <c r="B310" s="32" t="s">
        <v>1192</v>
      </c>
      <c r="C310" s="33" t="s">
        <v>98</v>
      </c>
      <c r="D310" s="33" t="s">
        <v>59</v>
      </c>
      <c r="E310" s="33" t="s">
        <v>80</v>
      </c>
      <c r="F310" s="33" t="s">
        <v>1200</v>
      </c>
      <c r="G310" s="33" t="s">
        <v>9</v>
      </c>
      <c r="H310" s="33" t="n">
        <v>10</v>
      </c>
    </row>
    <row r="311" customFormat="false" ht="54" hidden="false" customHeight="true" outlineLevel="0" collapsed="false">
      <c r="A311" s="32" t="s">
        <v>9837</v>
      </c>
      <c r="B311" s="32" t="s">
        <v>1192</v>
      </c>
      <c r="C311" s="33" t="s">
        <v>98</v>
      </c>
      <c r="D311" s="33" t="s">
        <v>59</v>
      </c>
      <c r="E311" s="33" t="s">
        <v>81</v>
      </c>
      <c r="F311" s="33" t="s">
        <v>1200</v>
      </c>
      <c r="G311" s="33" t="s">
        <v>9</v>
      </c>
      <c r="H311" s="33" t="n">
        <v>10</v>
      </c>
    </row>
    <row r="312" customFormat="false" ht="54" hidden="false" customHeight="true" outlineLevel="0" collapsed="false">
      <c r="A312" s="32" t="s">
        <v>9838</v>
      </c>
      <c r="B312" s="32" t="s">
        <v>1216</v>
      </c>
      <c r="C312" s="33" t="s">
        <v>98</v>
      </c>
      <c r="D312" s="33" t="s">
        <v>59</v>
      </c>
      <c r="E312" s="33" t="s">
        <v>82</v>
      </c>
      <c r="F312" s="33" t="s">
        <v>1226</v>
      </c>
      <c r="G312" s="33" t="s">
        <v>9</v>
      </c>
      <c r="H312" s="33" t="n">
        <v>10</v>
      </c>
    </row>
    <row r="313" customFormat="false" ht="54" hidden="false" customHeight="true" outlineLevel="0" collapsed="false">
      <c r="A313" s="32" t="s">
        <v>9839</v>
      </c>
      <c r="B313" s="32" t="s">
        <v>1228</v>
      </c>
      <c r="C313" s="33" t="s">
        <v>98</v>
      </c>
      <c r="D313" s="33" t="s">
        <v>59</v>
      </c>
      <c r="E313" s="33" t="s">
        <v>80</v>
      </c>
      <c r="F313" s="33" t="s">
        <v>1234</v>
      </c>
      <c r="G313" s="33" t="s">
        <v>9</v>
      </c>
      <c r="H313" s="33" t="n">
        <v>10</v>
      </c>
    </row>
    <row r="314" customFormat="false" ht="54" hidden="false" customHeight="true" outlineLevel="0" collapsed="false">
      <c r="A314" s="32" t="s">
        <v>9840</v>
      </c>
      <c r="B314" s="32" t="s">
        <v>1228</v>
      </c>
      <c r="C314" s="33" t="s">
        <v>98</v>
      </c>
      <c r="D314" s="33" t="s">
        <v>59</v>
      </c>
      <c r="E314" s="33" t="s">
        <v>80</v>
      </c>
      <c r="F314" s="33" t="s">
        <v>183</v>
      </c>
      <c r="G314" s="33" t="s">
        <v>9</v>
      </c>
      <c r="H314" s="33" t="n">
        <v>10</v>
      </c>
    </row>
    <row r="315" customFormat="false" ht="54" hidden="false" customHeight="true" outlineLevel="0" collapsed="false">
      <c r="A315" s="32" t="s">
        <v>9841</v>
      </c>
      <c r="B315" s="32" t="s">
        <v>1228</v>
      </c>
      <c r="C315" s="33" t="s">
        <v>98</v>
      </c>
      <c r="D315" s="33" t="s">
        <v>59</v>
      </c>
      <c r="E315" s="33" t="s">
        <v>80</v>
      </c>
      <c r="F315" s="33" t="s">
        <v>9842</v>
      </c>
      <c r="G315" s="33" t="s">
        <v>9</v>
      </c>
      <c r="H315" s="33" t="n">
        <v>10</v>
      </c>
    </row>
    <row r="316" customFormat="false" ht="54" hidden="false" customHeight="true" outlineLevel="0" collapsed="false">
      <c r="A316" s="32" t="s">
        <v>9843</v>
      </c>
      <c r="B316" s="32" t="s">
        <v>1228</v>
      </c>
      <c r="C316" s="33" t="s">
        <v>98</v>
      </c>
      <c r="D316" s="33" t="s">
        <v>59</v>
      </c>
      <c r="E316" s="33" t="s">
        <v>80</v>
      </c>
      <c r="F316" s="33" t="s">
        <v>9844</v>
      </c>
      <c r="G316" s="33" t="s">
        <v>9</v>
      </c>
      <c r="H316" s="33" t="n">
        <v>10</v>
      </c>
    </row>
    <row r="317" customFormat="false" ht="54" hidden="false" customHeight="true" outlineLevel="0" collapsed="false">
      <c r="A317" s="32" t="s">
        <v>9845</v>
      </c>
      <c r="B317" s="32" t="s">
        <v>1228</v>
      </c>
      <c r="C317" s="33" t="s">
        <v>98</v>
      </c>
      <c r="D317" s="33" t="s">
        <v>59</v>
      </c>
      <c r="E317" s="33" t="s">
        <v>80</v>
      </c>
      <c r="F317" s="33" t="s">
        <v>9846</v>
      </c>
      <c r="G317" s="33" t="s">
        <v>9</v>
      </c>
      <c r="H317" s="33" t="n">
        <v>10</v>
      </c>
    </row>
    <row r="318" customFormat="false" ht="54" hidden="false" customHeight="true" outlineLevel="0" collapsed="false">
      <c r="A318" s="32" t="s">
        <v>9847</v>
      </c>
      <c r="B318" s="32" t="s">
        <v>1228</v>
      </c>
      <c r="C318" s="33" t="s">
        <v>98</v>
      </c>
      <c r="D318" s="33" t="s">
        <v>59</v>
      </c>
      <c r="E318" s="33" t="s">
        <v>81</v>
      </c>
      <c r="F318" s="33" t="s">
        <v>1233</v>
      </c>
      <c r="G318" s="33" t="s">
        <v>9</v>
      </c>
      <c r="H318" s="33" t="n">
        <v>10</v>
      </c>
    </row>
    <row r="319" customFormat="false" ht="54" hidden="false" customHeight="true" outlineLevel="0" collapsed="false">
      <c r="A319" s="32" t="s">
        <v>9848</v>
      </c>
      <c r="B319" s="32" t="s">
        <v>1228</v>
      </c>
      <c r="C319" s="33" t="s">
        <v>98</v>
      </c>
      <c r="D319" s="33" t="s">
        <v>59</v>
      </c>
      <c r="E319" s="33" t="s">
        <v>82</v>
      </c>
      <c r="F319" s="33" t="s">
        <v>182</v>
      </c>
      <c r="G319" s="33" t="s">
        <v>9</v>
      </c>
      <c r="H319" s="33" t="n">
        <v>10</v>
      </c>
    </row>
    <row r="320" customFormat="false" ht="54" hidden="false" customHeight="true" outlineLevel="0" collapsed="false">
      <c r="A320" s="32" t="s">
        <v>9849</v>
      </c>
      <c r="B320" s="32" t="s">
        <v>1228</v>
      </c>
      <c r="C320" s="33" t="s">
        <v>98</v>
      </c>
      <c r="D320" s="33" t="s">
        <v>59</v>
      </c>
      <c r="E320" s="33" t="s">
        <v>82</v>
      </c>
      <c r="F320" s="33" t="s">
        <v>9846</v>
      </c>
      <c r="G320" s="33" t="s">
        <v>9</v>
      </c>
      <c r="H320" s="33" t="n">
        <v>10</v>
      </c>
    </row>
    <row r="321" customFormat="false" ht="54" hidden="false" customHeight="true" outlineLevel="0" collapsed="false">
      <c r="A321" s="32" t="s">
        <v>9850</v>
      </c>
      <c r="B321" s="32" t="s">
        <v>1228</v>
      </c>
      <c r="C321" s="33" t="s">
        <v>98</v>
      </c>
      <c r="D321" s="33" t="s">
        <v>59</v>
      </c>
      <c r="E321" s="33" t="s">
        <v>84</v>
      </c>
      <c r="F321" s="33" t="s">
        <v>183</v>
      </c>
      <c r="G321" s="33" t="s">
        <v>9</v>
      </c>
      <c r="H321" s="33" t="n">
        <v>10</v>
      </c>
    </row>
    <row r="322" customFormat="false" ht="54" hidden="false" customHeight="true" outlineLevel="0" collapsed="false">
      <c r="A322" s="32" t="s">
        <v>9851</v>
      </c>
      <c r="B322" s="32" t="s">
        <v>1242</v>
      </c>
      <c r="C322" s="33" t="s">
        <v>98</v>
      </c>
      <c r="D322" s="33" t="s">
        <v>59</v>
      </c>
      <c r="E322" s="33" t="s">
        <v>82</v>
      </c>
      <c r="F322" s="33" t="s">
        <v>1249</v>
      </c>
      <c r="G322" s="33" t="s">
        <v>9</v>
      </c>
      <c r="H322" s="33" t="n">
        <v>10</v>
      </c>
    </row>
    <row r="323" customFormat="false" ht="54" hidden="false" customHeight="true" outlineLevel="0" collapsed="false">
      <c r="A323" s="32" t="s">
        <v>9852</v>
      </c>
      <c r="B323" s="32" t="s">
        <v>1255</v>
      </c>
      <c r="C323" s="33" t="s">
        <v>98</v>
      </c>
      <c r="D323" s="33" t="s">
        <v>59</v>
      </c>
      <c r="E323" s="33" t="s">
        <v>82</v>
      </c>
      <c r="F323" s="33" t="s">
        <v>1262</v>
      </c>
      <c r="G323" s="33" t="s">
        <v>9</v>
      </c>
      <c r="H323" s="33" t="n">
        <v>10</v>
      </c>
    </row>
    <row r="324" customFormat="false" ht="54" hidden="false" customHeight="true" outlineLevel="0" collapsed="false">
      <c r="A324" s="32" t="s">
        <v>9853</v>
      </c>
      <c r="B324" s="32" t="s">
        <v>141</v>
      </c>
      <c r="C324" s="33" t="s">
        <v>98</v>
      </c>
      <c r="D324" s="33" t="s">
        <v>59</v>
      </c>
      <c r="E324" s="33" t="s">
        <v>82</v>
      </c>
      <c r="F324" s="33" t="s">
        <v>1271</v>
      </c>
      <c r="G324" s="33" t="s">
        <v>9</v>
      </c>
      <c r="H324" s="33" t="n">
        <v>10</v>
      </c>
    </row>
    <row r="325" customFormat="false" ht="54" hidden="false" customHeight="true" outlineLevel="0" collapsed="false">
      <c r="A325" s="32" t="s">
        <v>9854</v>
      </c>
      <c r="B325" s="32" t="s">
        <v>1289</v>
      </c>
      <c r="C325" s="33" t="s">
        <v>98</v>
      </c>
      <c r="D325" s="33" t="s">
        <v>59</v>
      </c>
      <c r="E325" s="33" t="s">
        <v>80</v>
      </c>
      <c r="F325" s="33" t="s">
        <v>183</v>
      </c>
      <c r="G325" s="33" t="s">
        <v>9</v>
      </c>
      <c r="H325" s="33" t="n">
        <v>10</v>
      </c>
    </row>
    <row r="326" customFormat="false" ht="54" hidden="false" customHeight="true" outlineLevel="0" collapsed="false">
      <c r="A326" s="32" t="s">
        <v>9855</v>
      </c>
      <c r="B326" s="32" t="s">
        <v>1289</v>
      </c>
      <c r="C326" s="33" t="s">
        <v>98</v>
      </c>
      <c r="D326" s="33" t="s">
        <v>59</v>
      </c>
      <c r="E326" s="33" t="s">
        <v>82</v>
      </c>
      <c r="F326" s="33" t="s">
        <v>1296</v>
      </c>
      <c r="G326" s="33" t="s">
        <v>9</v>
      </c>
      <c r="H326" s="33" t="n">
        <v>10</v>
      </c>
    </row>
    <row r="327" customFormat="false" ht="54" hidden="false" customHeight="true" outlineLevel="0" collapsed="false">
      <c r="A327" s="32" t="s">
        <v>9856</v>
      </c>
      <c r="B327" s="32" t="s">
        <v>1289</v>
      </c>
      <c r="C327" s="33" t="s">
        <v>98</v>
      </c>
      <c r="D327" s="33" t="s">
        <v>59</v>
      </c>
      <c r="E327" s="33" t="s">
        <v>82</v>
      </c>
      <c r="F327" s="33" t="s">
        <v>182</v>
      </c>
      <c r="G327" s="33" t="s">
        <v>9</v>
      </c>
      <c r="H327" s="33" t="n">
        <v>10</v>
      </c>
    </row>
    <row r="328" customFormat="false" ht="54" hidden="false" customHeight="true" outlineLevel="0" collapsed="false">
      <c r="A328" s="32" t="s">
        <v>9857</v>
      </c>
      <c r="B328" s="32" t="s">
        <v>1289</v>
      </c>
      <c r="C328" s="33" t="s">
        <v>98</v>
      </c>
      <c r="D328" s="33" t="s">
        <v>59</v>
      </c>
      <c r="E328" s="33" t="s">
        <v>83</v>
      </c>
      <c r="F328" s="33" t="s">
        <v>1301</v>
      </c>
      <c r="G328" s="33" t="s">
        <v>9</v>
      </c>
      <c r="H328" s="33" t="n">
        <v>10</v>
      </c>
    </row>
    <row r="329" customFormat="false" ht="54" hidden="false" customHeight="true" outlineLevel="0" collapsed="false">
      <c r="A329" s="32" t="s">
        <v>9858</v>
      </c>
      <c r="B329" s="32" t="s">
        <v>1289</v>
      </c>
      <c r="C329" s="33" t="s">
        <v>98</v>
      </c>
      <c r="D329" s="33" t="s">
        <v>59</v>
      </c>
      <c r="E329" s="33" t="s">
        <v>84</v>
      </c>
      <c r="F329" s="33" t="s">
        <v>183</v>
      </c>
      <c r="G329" s="33" t="s">
        <v>9</v>
      </c>
      <c r="H329" s="33" t="n">
        <v>10</v>
      </c>
    </row>
    <row r="330" customFormat="false" ht="54" hidden="false" customHeight="true" outlineLevel="0" collapsed="false">
      <c r="A330" s="32" t="s">
        <v>9859</v>
      </c>
      <c r="B330" s="32" t="s">
        <v>1304</v>
      </c>
      <c r="C330" s="33" t="s">
        <v>98</v>
      </c>
      <c r="D330" s="33" t="s">
        <v>59</v>
      </c>
      <c r="E330" s="33" t="s">
        <v>82</v>
      </c>
      <c r="F330" s="33" t="s">
        <v>1310</v>
      </c>
      <c r="G330" s="33" t="s">
        <v>9</v>
      </c>
      <c r="H330" s="33" t="n">
        <v>10</v>
      </c>
    </row>
    <row r="331" customFormat="false" ht="54" hidden="false" customHeight="true" outlineLevel="0" collapsed="false">
      <c r="A331" s="32" t="s">
        <v>9860</v>
      </c>
      <c r="B331" s="32" t="s">
        <v>1304</v>
      </c>
      <c r="C331" s="33" t="s">
        <v>98</v>
      </c>
      <c r="D331" s="33" t="s">
        <v>59</v>
      </c>
      <c r="E331" s="33" t="s">
        <v>83</v>
      </c>
      <c r="F331" s="33" t="s">
        <v>1310</v>
      </c>
      <c r="G331" s="33" t="s">
        <v>9</v>
      </c>
      <c r="H331" s="33" t="n">
        <v>10</v>
      </c>
    </row>
    <row r="332" customFormat="false" ht="54" hidden="false" customHeight="true" outlineLevel="0" collapsed="false">
      <c r="A332" s="32" t="s">
        <v>9861</v>
      </c>
      <c r="B332" s="32" t="s">
        <v>1314</v>
      </c>
      <c r="C332" s="33" t="s">
        <v>98</v>
      </c>
      <c r="D332" s="33" t="s">
        <v>59</v>
      </c>
      <c r="E332" s="33" t="s">
        <v>82</v>
      </c>
      <c r="F332" s="33" t="s">
        <v>1320</v>
      </c>
      <c r="G332" s="33" t="s">
        <v>9</v>
      </c>
      <c r="H332" s="33" t="n">
        <v>10</v>
      </c>
    </row>
    <row r="333" customFormat="false" ht="54" hidden="false" customHeight="true" outlineLevel="0" collapsed="false">
      <c r="A333" s="32" t="s">
        <v>9862</v>
      </c>
      <c r="B333" s="32" t="s">
        <v>1314</v>
      </c>
      <c r="C333" s="33" t="s">
        <v>98</v>
      </c>
      <c r="D333" s="33" t="s">
        <v>59</v>
      </c>
      <c r="E333" s="33" t="s">
        <v>82</v>
      </c>
      <c r="F333" s="33" t="s">
        <v>9863</v>
      </c>
      <c r="G333" s="33" t="s">
        <v>9</v>
      </c>
      <c r="H333" s="33" t="n">
        <v>10</v>
      </c>
    </row>
    <row r="334" customFormat="false" ht="54" hidden="false" customHeight="true" outlineLevel="0" collapsed="false">
      <c r="A334" s="32" t="s">
        <v>9864</v>
      </c>
      <c r="B334" s="32" t="s">
        <v>1314</v>
      </c>
      <c r="C334" s="33" t="s">
        <v>98</v>
      </c>
      <c r="D334" s="33" t="s">
        <v>59</v>
      </c>
      <c r="E334" s="33" t="s">
        <v>82</v>
      </c>
      <c r="F334" s="33" t="s">
        <v>9865</v>
      </c>
      <c r="G334" s="33" t="s">
        <v>9</v>
      </c>
      <c r="H334" s="33" t="n">
        <v>10</v>
      </c>
    </row>
    <row r="335" customFormat="false" ht="54" hidden="false" customHeight="true" outlineLevel="0" collapsed="false">
      <c r="A335" s="32" t="s">
        <v>9866</v>
      </c>
      <c r="B335" s="32" t="s">
        <v>1314</v>
      </c>
      <c r="C335" s="33" t="s">
        <v>98</v>
      </c>
      <c r="D335" s="33" t="s">
        <v>59</v>
      </c>
      <c r="E335" s="33" t="s">
        <v>82</v>
      </c>
      <c r="F335" s="33" t="s">
        <v>9867</v>
      </c>
      <c r="G335" s="33" t="s">
        <v>9</v>
      </c>
      <c r="H335" s="33" t="n">
        <v>10</v>
      </c>
    </row>
    <row r="336" customFormat="false" ht="54" hidden="false" customHeight="true" outlineLevel="0" collapsed="false">
      <c r="A336" s="32" t="s">
        <v>9868</v>
      </c>
      <c r="B336" s="32" t="s">
        <v>1314</v>
      </c>
      <c r="C336" s="33" t="s">
        <v>98</v>
      </c>
      <c r="D336" s="33" t="s">
        <v>59</v>
      </c>
      <c r="E336" s="33" t="s">
        <v>82</v>
      </c>
      <c r="F336" s="33" t="s">
        <v>9869</v>
      </c>
      <c r="G336" s="33" t="s">
        <v>9</v>
      </c>
      <c r="H336" s="33" t="n">
        <v>10</v>
      </c>
    </row>
    <row r="337" customFormat="false" ht="54" hidden="false" customHeight="true" outlineLevel="0" collapsed="false">
      <c r="A337" s="32" t="s">
        <v>9870</v>
      </c>
      <c r="B337" s="32" t="s">
        <v>1314</v>
      </c>
      <c r="C337" s="33" t="s">
        <v>98</v>
      </c>
      <c r="D337" s="33" t="s">
        <v>59</v>
      </c>
      <c r="E337" s="33" t="s">
        <v>84</v>
      </c>
      <c r="F337" s="33" t="s">
        <v>1319</v>
      </c>
      <c r="G337" s="33" t="s">
        <v>9</v>
      </c>
      <c r="H337" s="33" t="n">
        <v>10</v>
      </c>
    </row>
    <row r="338" customFormat="false" ht="54" hidden="false" customHeight="true" outlineLevel="0" collapsed="false">
      <c r="A338" s="32" t="s">
        <v>9871</v>
      </c>
      <c r="B338" s="32" t="s">
        <v>1314</v>
      </c>
      <c r="C338" s="33" t="s">
        <v>98</v>
      </c>
      <c r="D338" s="33" t="s">
        <v>59</v>
      </c>
      <c r="E338" s="33" t="s">
        <v>84</v>
      </c>
      <c r="F338" s="33" t="s">
        <v>9863</v>
      </c>
      <c r="G338" s="33" t="s">
        <v>9</v>
      </c>
      <c r="H338" s="33" t="n">
        <v>10</v>
      </c>
    </row>
    <row r="339" customFormat="false" ht="54" hidden="false" customHeight="true" outlineLevel="0" collapsed="false">
      <c r="A339" s="32" t="s">
        <v>9872</v>
      </c>
      <c r="B339" s="32" t="s">
        <v>1314</v>
      </c>
      <c r="C339" s="33" t="s">
        <v>98</v>
      </c>
      <c r="D339" s="33" t="s">
        <v>59</v>
      </c>
      <c r="E339" s="33" t="s">
        <v>84</v>
      </c>
      <c r="F339" s="33" t="s">
        <v>9865</v>
      </c>
      <c r="G339" s="33" t="s">
        <v>9</v>
      </c>
      <c r="H339" s="33" t="n">
        <v>10</v>
      </c>
    </row>
    <row r="340" customFormat="false" ht="54" hidden="false" customHeight="true" outlineLevel="0" collapsed="false">
      <c r="A340" s="32" t="s">
        <v>9873</v>
      </c>
      <c r="B340" s="32" t="s">
        <v>1314</v>
      </c>
      <c r="C340" s="33" t="s">
        <v>98</v>
      </c>
      <c r="D340" s="33" t="s">
        <v>59</v>
      </c>
      <c r="E340" s="33" t="s">
        <v>84</v>
      </c>
      <c r="F340" s="33" t="s">
        <v>9867</v>
      </c>
      <c r="G340" s="33" t="s">
        <v>9</v>
      </c>
      <c r="H340" s="33" t="n">
        <v>10</v>
      </c>
    </row>
    <row r="341" customFormat="false" ht="54" hidden="false" customHeight="true" outlineLevel="0" collapsed="false">
      <c r="A341" s="32" t="s">
        <v>9874</v>
      </c>
      <c r="B341" s="32" t="s">
        <v>1327</v>
      </c>
      <c r="C341" s="33" t="s">
        <v>98</v>
      </c>
      <c r="D341" s="33" t="s">
        <v>59</v>
      </c>
      <c r="E341" s="33" t="s">
        <v>80</v>
      </c>
      <c r="F341" s="33" t="s">
        <v>1334</v>
      </c>
      <c r="G341" s="33" t="s">
        <v>9</v>
      </c>
      <c r="H341" s="33" t="n">
        <v>10</v>
      </c>
    </row>
    <row r="342" customFormat="false" ht="54" hidden="false" customHeight="true" outlineLevel="0" collapsed="false">
      <c r="A342" s="32" t="s">
        <v>9875</v>
      </c>
      <c r="B342" s="32" t="s">
        <v>1327</v>
      </c>
      <c r="C342" s="33" t="s">
        <v>98</v>
      </c>
      <c r="D342" s="33" t="s">
        <v>59</v>
      </c>
      <c r="E342" s="33" t="s">
        <v>80</v>
      </c>
      <c r="F342" s="33" t="s">
        <v>9876</v>
      </c>
      <c r="G342" s="33" t="s">
        <v>9</v>
      </c>
      <c r="H342" s="33" t="n">
        <v>10</v>
      </c>
    </row>
    <row r="343" customFormat="false" ht="54" hidden="false" customHeight="true" outlineLevel="0" collapsed="false">
      <c r="A343" s="32" t="s">
        <v>9877</v>
      </c>
      <c r="B343" s="32" t="s">
        <v>1327</v>
      </c>
      <c r="C343" s="33" t="s">
        <v>98</v>
      </c>
      <c r="D343" s="33" t="s">
        <v>59</v>
      </c>
      <c r="E343" s="33" t="s">
        <v>80</v>
      </c>
      <c r="F343" s="33" t="s">
        <v>9878</v>
      </c>
      <c r="G343" s="33" t="s">
        <v>9</v>
      </c>
      <c r="H343" s="33" t="n">
        <v>10</v>
      </c>
    </row>
    <row r="344" customFormat="false" ht="54" hidden="false" customHeight="true" outlineLevel="0" collapsed="false">
      <c r="A344" s="32" t="s">
        <v>9879</v>
      </c>
      <c r="B344" s="32" t="s">
        <v>1327</v>
      </c>
      <c r="C344" s="33" t="s">
        <v>98</v>
      </c>
      <c r="D344" s="33" t="s">
        <v>59</v>
      </c>
      <c r="E344" s="33" t="s">
        <v>82</v>
      </c>
      <c r="F344" s="33" t="s">
        <v>9880</v>
      </c>
      <c r="G344" s="33" t="s">
        <v>9</v>
      </c>
      <c r="H344" s="33" t="n">
        <v>10</v>
      </c>
    </row>
    <row r="345" customFormat="false" ht="54" hidden="false" customHeight="true" outlineLevel="0" collapsed="false">
      <c r="A345" s="32" t="s">
        <v>9881</v>
      </c>
      <c r="B345" s="32" t="s">
        <v>1327</v>
      </c>
      <c r="C345" s="33" t="s">
        <v>98</v>
      </c>
      <c r="D345" s="33" t="s">
        <v>59</v>
      </c>
      <c r="E345" s="33" t="s">
        <v>82</v>
      </c>
      <c r="F345" s="33" t="s">
        <v>9876</v>
      </c>
      <c r="G345" s="33" t="s">
        <v>9</v>
      </c>
      <c r="H345" s="33" t="n">
        <v>10</v>
      </c>
    </row>
    <row r="346" customFormat="false" ht="54" hidden="false" customHeight="true" outlineLevel="0" collapsed="false">
      <c r="A346" s="32" t="s">
        <v>9882</v>
      </c>
      <c r="B346" s="32" t="s">
        <v>1327</v>
      </c>
      <c r="C346" s="33" t="s">
        <v>98</v>
      </c>
      <c r="D346" s="33" t="s">
        <v>59</v>
      </c>
      <c r="E346" s="33" t="s">
        <v>83</v>
      </c>
      <c r="F346" s="33" t="s">
        <v>1333</v>
      </c>
      <c r="G346" s="33" t="s">
        <v>9</v>
      </c>
      <c r="H346" s="33" t="n">
        <v>10</v>
      </c>
    </row>
    <row r="347" customFormat="false" ht="54" hidden="false" customHeight="true" outlineLevel="0" collapsed="false">
      <c r="A347" s="32" t="s">
        <v>9883</v>
      </c>
      <c r="B347" s="32" t="s">
        <v>1327</v>
      </c>
      <c r="C347" s="33" t="s">
        <v>98</v>
      </c>
      <c r="D347" s="33" t="s">
        <v>59</v>
      </c>
      <c r="E347" s="33" t="s">
        <v>84</v>
      </c>
      <c r="F347" s="33" t="s">
        <v>1332</v>
      </c>
      <c r="G347" s="33" t="s">
        <v>9</v>
      </c>
      <c r="H347" s="33" t="n">
        <v>10</v>
      </c>
    </row>
    <row r="348" customFormat="false" ht="54" hidden="false" customHeight="true" outlineLevel="0" collapsed="false">
      <c r="A348" s="32" t="s">
        <v>9884</v>
      </c>
      <c r="B348" s="32" t="s">
        <v>1327</v>
      </c>
      <c r="C348" s="33" t="s">
        <v>98</v>
      </c>
      <c r="D348" s="33" t="s">
        <v>59</v>
      </c>
      <c r="E348" s="33" t="s">
        <v>84</v>
      </c>
      <c r="F348" s="33" t="s">
        <v>9876</v>
      </c>
      <c r="G348" s="33" t="s">
        <v>9</v>
      </c>
      <c r="H348" s="33" t="n">
        <v>10</v>
      </c>
    </row>
    <row r="349" customFormat="false" ht="54" hidden="false" customHeight="true" outlineLevel="0" collapsed="false">
      <c r="A349" s="32" t="s">
        <v>9885</v>
      </c>
      <c r="B349" s="32" t="s">
        <v>1343</v>
      </c>
      <c r="C349" s="33" t="s">
        <v>98</v>
      </c>
      <c r="D349" s="33" t="s">
        <v>59</v>
      </c>
      <c r="E349" s="33" t="s">
        <v>82</v>
      </c>
      <c r="F349" s="33" t="s">
        <v>1352</v>
      </c>
      <c r="G349" s="33" t="s">
        <v>9</v>
      </c>
      <c r="H349" s="33" t="n">
        <v>10</v>
      </c>
    </row>
    <row r="350" customFormat="false" ht="54" hidden="false" customHeight="true" outlineLevel="0" collapsed="false">
      <c r="A350" s="32" t="s">
        <v>9886</v>
      </c>
      <c r="B350" s="32" t="s">
        <v>1343</v>
      </c>
      <c r="C350" s="33" t="s">
        <v>98</v>
      </c>
      <c r="D350" s="33" t="s">
        <v>59</v>
      </c>
      <c r="E350" s="33" t="s">
        <v>83</v>
      </c>
      <c r="F350" s="33" t="s">
        <v>1352</v>
      </c>
      <c r="G350" s="33" t="s">
        <v>9</v>
      </c>
      <c r="H350" s="33" t="n">
        <v>10</v>
      </c>
    </row>
    <row r="351" customFormat="false" ht="54" hidden="false" customHeight="true" outlineLevel="0" collapsed="false">
      <c r="A351" s="32" t="s">
        <v>9887</v>
      </c>
      <c r="B351" s="32" t="s">
        <v>1343</v>
      </c>
      <c r="C351" s="33" t="s">
        <v>98</v>
      </c>
      <c r="D351" s="33" t="s">
        <v>59</v>
      </c>
      <c r="E351" s="33" t="s">
        <v>83</v>
      </c>
      <c r="F351" s="33" t="s">
        <v>1353</v>
      </c>
      <c r="G351" s="33" t="s">
        <v>9</v>
      </c>
      <c r="H351" s="33" t="n">
        <v>10</v>
      </c>
    </row>
    <row r="352" customFormat="false" ht="54" hidden="false" customHeight="true" outlineLevel="0" collapsed="false">
      <c r="A352" s="32" t="s">
        <v>9888</v>
      </c>
      <c r="B352" s="32" t="s">
        <v>1357</v>
      </c>
      <c r="C352" s="33" t="s">
        <v>57</v>
      </c>
      <c r="D352" s="33" t="s">
        <v>57</v>
      </c>
      <c r="E352" s="33" t="s">
        <v>81</v>
      </c>
      <c r="F352" s="33" t="s">
        <v>1362</v>
      </c>
      <c r="G352" s="33" t="s">
        <v>9</v>
      </c>
      <c r="H352" s="33" t="n">
        <v>10</v>
      </c>
    </row>
    <row r="353" customFormat="false" ht="54" hidden="false" customHeight="true" outlineLevel="0" collapsed="false">
      <c r="A353" s="32" t="s">
        <v>9889</v>
      </c>
      <c r="B353" s="32" t="s">
        <v>1357</v>
      </c>
      <c r="C353" s="33" t="s">
        <v>57</v>
      </c>
      <c r="D353" s="33" t="s">
        <v>57</v>
      </c>
      <c r="E353" s="33" t="s">
        <v>82</v>
      </c>
      <c r="F353" s="33" t="s">
        <v>1362</v>
      </c>
      <c r="G353" s="33" t="s">
        <v>9</v>
      </c>
      <c r="H353" s="33" t="n">
        <v>10</v>
      </c>
    </row>
    <row r="354" customFormat="false" ht="54" hidden="false" customHeight="true" outlineLevel="0" collapsed="false">
      <c r="A354" s="32" t="s">
        <v>9890</v>
      </c>
      <c r="B354" s="32" t="s">
        <v>1357</v>
      </c>
      <c r="C354" s="33" t="s">
        <v>57</v>
      </c>
      <c r="D354" s="33" t="s">
        <v>57</v>
      </c>
      <c r="E354" s="33" t="s">
        <v>82</v>
      </c>
      <c r="F354" s="33" t="s">
        <v>1363</v>
      </c>
      <c r="G354" s="33" t="s">
        <v>9</v>
      </c>
      <c r="H354" s="33" t="n">
        <v>10</v>
      </c>
    </row>
    <row r="355" customFormat="false" ht="54" hidden="false" customHeight="true" outlineLevel="0" collapsed="false">
      <c r="A355" s="32" t="s">
        <v>9891</v>
      </c>
      <c r="B355" s="32" t="s">
        <v>1357</v>
      </c>
      <c r="C355" s="33" t="s">
        <v>57</v>
      </c>
      <c r="D355" s="33" t="s">
        <v>57</v>
      </c>
      <c r="E355" s="33" t="s">
        <v>83</v>
      </c>
      <c r="F355" s="33" t="s">
        <v>1362</v>
      </c>
      <c r="G355" s="33" t="s">
        <v>9</v>
      </c>
      <c r="H355" s="33" t="n">
        <v>10</v>
      </c>
    </row>
    <row r="356" customFormat="false" ht="54" hidden="false" customHeight="true" outlineLevel="0" collapsed="false">
      <c r="A356" s="32" t="s">
        <v>9892</v>
      </c>
      <c r="B356" s="32" t="s">
        <v>1369</v>
      </c>
      <c r="C356" s="33" t="s">
        <v>57</v>
      </c>
      <c r="D356" s="33" t="s">
        <v>57</v>
      </c>
      <c r="E356" s="33" t="s">
        <v>80</v>
      </c>
      <c r="F356" s="33" t="s">
        <v>183</v>
      </c>
      <c r="G356" s="33" t="s">
        <v>9</v>
      </c>
      <c r="H356" s="33" t="n">
        <v>10</v>
      </c>
    </row>
    <row r="357" customFormat="false" ht="54" hidden="false" customHeight="true" outlineLevel="0" collapsed="false">
      <c r="A357" s="32" t="s">
        <v>9893</v>
      </c>
      <c r="B357" s="32" t="s">
        <v>1369</v>
      </c>
      <c r="C357" s="33" t="s">
        <v>57</v>
      </c>
      <c r="D357" s="33" t="s">
        <v>57</v>
      </c>
      <c r="E357" s="33" t="s">
        <v>80</v>
      </c>
      <c r="F357" s="33" t="s">
        <v>9894</v>
      </c>
      <c r="G357" s="33" t="s">
        <v>9</v>
      </c>
      <c r="H357" s="33" t="n">
        <v>10</v>
      </c>
    </row>
    <row r="358" customFormat="false" ht="54" hidden="false" customHeight="true" outlineLevel="0" collapsed="false">
      <c r="A358" s="32" t="s">
        <v>9895</v>
      </c>
      <c r="B358" s="32" t="s">
        <v>1369</v>
      </c>
      <c r="C358" s="33" t="s">
        <v>57</v>
      </c>
      <c r="D358" s="33" t="s">
        <v>57</v>
      </c>
      <c r="E358" s="33" t="s">
        <v>82</v>
      </c>
      <c r="F358" s="33" t="s">
        <v>1375</v>
      </c>
      <c r="G358" s="33" t="s">
        <v>9</v>
      </c>
      <c r="H358" s="33" t="n">
        <v>10</v>
      </c>
    </row>
    <row r="359" customFormat="false" ht="54" hidden="false" customHeight="true" outlineLevel="0" collapsed="false">
      <c r="A359" s="32" t="s">
        <v>9896</v>
      </c>
      <c r="B359" s="32" t="s">
        <v>1369</v>
      </c>
      <c r="C359" s="33" t="s">
        <v>57</v>
      </c>
      <c r="D359" s="33" t="s">
        <v>57</v>
      </c>
      <c r="E359" s="33" t="s">
        <v>83</v>
      </c>
      <c r="F359" s="33" t="s">
        <v>1381</v>
      </c>
      <c r="G359" s="33" t="s">
        <v>9</v>
      </c>
      <c r="H359" s="33" t="n">
        <v>10</v>
      </c>
    </row>
    <row r="360" customFormat="false" ht="54" hidden="false" customHeight="true" outlineLevel="0" collapsed="false">
      <c r="A360" s="32" t="s">
        <v>9897</v>
      </c>
      <c r="B360" s="32" t="s">
        <v>1369</v>
      </c>
      <c r="C360" s="33" t="s">
        <v>57</v>
      </c>
      <c r="D360" s="33" t="s">
        <v>57</v>
      </c>
      <c r="E360" s="33" t="s">
        <v>84</v>
      </c>
      <c r="F360" s="33" t="s">
        <v>183</v>
      </c>
      <c r="G360" s="33" t="s">
        <v>9</v>
      </c>
      <c r="H360" s="33" t="n">
        <v>10</v>
      </c>
    </row>
    <row r="361" customFormat="false" ht="54" hidden="false" customHeight="true" outlineLevel="0" collapsed="false">
      <c r="A361" s="32" t="s">
        <v>9898</v>
      </c>
      <c r="B361" s="32" t="s">
        <v>1369</v>
      </c>
      <c r="C361" s="33" t="s">
        <v>57</v>
      </c>
      <c r="D361" s="33" t="s">
        <v>57</v>
      </c>
      <c r="E361" s="33" t="s">
        <v>84</v>
      </c>
      <c r="F361" s="33" t="s">
        <v>9894</v>
      </c>
      <c r="G361" s="33" t="s">
        <v>9</v>
      </c>
      <c r="H361" s="33" t="n">
        <v>10</v>
      </c>
    </row>
    <row r="362" customFormat="false" ht="54" hidden="false" customHeight="true" outlineLevel="0" collapsed="false">
      <c r="A362" s="32" t="s">
        <v>9899</v>
      </c>
      <c r="B362" s="32" t="s">
        <v>1383</v>
      </c>
      <c r="C362" s="33" t="s">
        <v>57</v>
      </c>
      <c r="D362" s="33" t="s">
        <v>57</v>
      </c>
      <c r="E362" s="33" t="s">
        <v>81</v>
      </c>
      <c r="F362" s="33" t="s">
        <v>1390</v>
      </c>
      <c r="G362" s="33" t="s">
        <v>9</v>
      </c>
      <c r="H362" s="33" t="n">
        <v>10</v>
      </c>
    </row>
    <row r="363" customFormat="false" ht="54" hidden="false" customHeight="true" outlineLevel="0" collapsed="false">
      <c r="A363" s="32" t="s">
        <v>9900</v>
      </c>
      <c r="B363" s="32" t="s">
        <v>1383</v>
      </c>
      <c r="C363" s="33" t="s">
        <v>57</v>
      </c>
      <c r="D363" s="33" t="s">
        <v>57</v>
      </c>
      <c r="E363" s="33" t="s">
        <v>81</v>
      </c>
      <c r="F363" s="33" t="s">
        <v>1393</v>
      </c>
      <c r="G363" s="33" t="s">
        <v>9</v>
      </c>
      <c r="H363" s="33" t="n">
        <v>10</v>
      </c>
    </row>
    <row r="364" customFormat="false" ht="54" hidden="false" customHeight="true" outlineLevel="0" collapsed="false">
      <c r="A364" s="32" t="s">
        <v>9901</v>
      </c>
      <c r="B364" s="32" t="s">
        <v>1383</v>
      </c>
      <c r="C364" s="33" t="s">
        <v>57</v>
      </c>
      <c r="D364" s="33" t="s">
        <v>57</v>
      </c>
      <c r="E364" s="33" t="s">
        <v>82</v>
      </c>
      <c r="F364" s="33" t="s">
        <v>1391</v>
      </c>
      <c r="G364" s="33" t="s">
        <v>9</v>
      </c>
      <c r="H364" s="33" t="n">
        <v>10</v>
      </c>
    </row>
    <row r="365" customFormat="false" ht="54" hidden="false" customHeight="true" outlineLevel="0" collapsed="false">
      <c r="A365" s="32" t="s">
        <v>9902</v>
      </c>
      <c r="B365" s="32" t="s">
        <v>1395</v>
      </c>
      <c r="C365" s="33" t="s">
        <v>1396</v>
      </c>
      <c r="D365" s="33" t="s">
        <v>55</v>
      </c>
      <c r="E365" s="33" t="s">
        <v>82</v>
      </c>
      <c r="F365" s="33" t="s">
        <v>1404</v>
      </c>
      <c r="G365" s="33" t="s">
        <v>9</v>
      </c>
      <c r="H365" s="33" t="n">
        <v>10</v>
      </c>
    </row>
    <row r="366" customFormat="false" ht="54" hidden="false" customHeight="true" outlineLevel="0" collapsed="false">
      <c r="A366" s="32" t="s">
        <v>9903</v>
      </c>
      <c r="B366" s="32" t="s">
        <v>1406</v>
      </c>
      <c r="C366" s="33" t="s">
        <v>1407</v>
      </c>
      <c r="D366" s="33" t="s">
        <v>50</v>
      </c>
      <c r="E366" s="33" t="s">
        <v>80</v>
      </c>
      <c r="F366" s="33" t="s">
        <v>1414</v>
      </c>
      <c r="G366" s="33" t="s">
        <v>9</v>
      </c>
      <c r="H366" s="33" t="n">
        <v>10</v>
      </c>
    </row>
    <row r="367" customFormat="false" ht="54" hidden="false" customHeight="true" outlineLevel="0" collapsed="false">
      <c r="A367" s="32" t="s">
        <v>9904</v>
      </c>
      <c r="B367" s="32" t="s">
        <v>1406</v>
      </c>
      <c r="C367" s="33" t="s">
        <v>1407</v>
      </c>
      <c r="D367" s="33" t="s">
        <v>50</v>
      </c>
      <c r="E367" s="33" t="s">
        <v>80</v>
      </c>
      <c r="F367" s="33" t="s">
        <v>1415</v>
      </c>
      <c r="G367" s="33" t="s">
        <v>9</v>
      </c>
      <c r="H367" s="33" t="n">
        <v>10</v>
      </c>
    </row>
    <row r="368" customFormat="false" ht="54" hidden="false" customHeight="true" outlineLevel="0" collapsed="false">
      <c r="A368" s="32" t="s">
        <v>9905</v>
      </c>
      <c r="B368" s="32" t="s">
        <v>1406</v>
      </c>
      <c r="C368" s="33" t="s">
        <v>1407</v>
      </c>
      <c r="D368" s="33" t="s">
        <v>50</v>
      </c>
      <c r="E368" s="33" t="s">
        <v>81</v>
      </c>
      <c r="F368" s="33" t="s">
        <v>1413</v>
      </c>
      <c r="G368" s="33" t="s">
        <v>9</v>
      </c>
      <c r="H368" s="33" t="n">
        <v>10</v>
      </c>
    </row>
    <row r="369" customFormat="false" ht="54" hidden="false" customHeight="true" outlineLevel="0" collapsed="false">
      <c r="A369" s="32" t="s">
        <v>9906</v>
      </c>
      <c r="B369" s="32" t="s">
        <v>1406</v>
      </c>
      <c r="C369" s="33" t="s">
        <v>1407</v>
      </c>
      <c r="D369" s="33" t="s">
        <v>50</v>
      </c>
      <c r="E369" s="33" t="s">
        <v>81</v>
      </c>
      <c r="F369" s="33" t="s">
        <v>1414</v>
      </c>
      <c r="G369" s="33" t="s">
        <v>9</v>
      </c>
      <c r="H369" s="33" t="n">
        <v>10</v>
      </c>
    </row>
    <row r="370" customFormat="false" ht="54" hidden="false" customHeight="true" outlineLevel="0" collapsed="false">
      <c r="A370" s="32" t="s">
        <v>9907</v>
      </c>
      <c r="B370" s="32" t="s">
        <v>1406</v>
      </c>
      <c r="C370" s="33" t="s">
        <v>1407</v>
      </c>
      <c r="D370" s="33" t="s">
        <v>50</v>
      </c>
      <c r="E370" s="33" t="s">
        <v>81</v>
      </c>
      <c r="F370" s="33" t="s">
        <v>1415</v>
      </c>
      <c r="G370" s="33" t="s">
        <v>9</v>
      </c>
      <c r="H370" s="33" t="n">
        <v>10</v>
      </c>
    </row>
    <row r="371" customFormat="false" ht="54" hidden="false" customHeight="true" outlineLevel="0" collapsed="false">
      <c r="A371" s="32" t="s">
        <v>9908</v>
      </c>
      <c r="B371" s="32" t="s">
        <v>1406</v>
      </c>
      <c r="C371" s="33" t="s">
        <v>1407</v>
      </c>
      <c r="D371" s="33" t="s">
        <v>50</v>
      </c>
      <c r="E371" s="33" t="s">
        <v>81</v>
      </c>
      <c r="F371" s="33" t="s">
        <v>1417</v>
      </c>
      <c r="G371" s="33" t="s">
        <v>9</v>
      </c>
      <c r="H371" s="33" t="n">
        <v>10</v>
      </c>
    </row>
    <row r="372" customFormat="false" ht="54" hidden="false" customHeight="true" outlineLevel="0" collapsed="false">
      <c r="A372" s="32" t="s">
        <v>9909</v>
      </c>
      <c r="B372" s="32" t="s">
        <v>1420</v>
      </c>
      <c r="C372" s="33" t="s">
        <v>57</v>
      </c>
      <c r="D372" s="33" t="s">
        <v>57</v>
      </c>
      <c r="E372" s="33" t="s">
        <v>82</v>
      </c>
      <c r="F372" s="33" t="s">
        <v>1425</v>
      </c>
      <c r="G372" s="33" t="s">
        <v>9</v>
      </c>
      <c r="H372" s="33" t="n">
        <v>10</v>
      </c>
    </row>
    <row r="373" customFormat="false" ht="54" hidden="false" customHeight="true" outlineLevel="0" collapsed="false">
      <c r="A373" s="32" t="s">
        <v>9910</v>
      </c>
      <c r="B373" s="32" t="s">
        <v>1420</v>
      </c>
      <c r="C373" s="33" t="s">
        <v>57</v>
      </c>
      <c r="D373" s="33" t="s">
        <v>57</v>
      </c>
      <c r="E373" s="33" t="s">
        <v>82</v>
      </c>
      <c r="F373" s="33" t="s">
        <v>1426</v>
      </c>
      <c r="G373" s="33" t="s">
        <v>9</v>
      </c>
      <c r="H373" s="33" t="n">
        <v>10</v>
      </c>
    </row>
    <row r="374" customFormat="false" ht="54" hidden="false" customHeight="true" outlineLevel="0" collapsed="false">
      <c r="A374" s="32" t="s">
        <v>9911</v>
      </c>
      <c r="B374" s="32" t="s">
        <v>1420</v>
      </c>
      <c r="C374" s="33" t="s">
        <v>57</v>
      </c>
      <c r="D374" s="33" t="s">
        <v>57</v>
      </c>
      <c r="E374" s="33" t="s">
        <v>82</v>
      </c>
      <c r="F374" s="33" t="s">
        <v>9912</v>
      </c>
      <c r="G374" s="33" t="s">
        <v>9</v>
      </c>
      <c r="H374" s="33" t="n">
        <v>10</v>
      </c>
    </row>
    <row r="375" customFormat="false" ht="54" hidden="false" customHeight="true" outlineLevel="0" collapsed="false">
      <c r="A375" s="32" t="s">
        <v>9913</v>
      </c>
      <c r="B375" s="32" t="s">
        <v>1432</v>
      </c>
      <c r="C375" s="33" t="s">
        <v>1407</v>
      </c>
      <c r="D375" s="33" t="s">
        <v>50</v>
      </c>
      <c r="E375" s="33" t="s">
        <v>80</v>
      </c>
      <c r="F375" s="33" t="s">
        <v>1439</v>
      </c>
      <c r="G375" s="33" t="s">
        <v>9</v>
      </c>
      <c r="H375" s="33" t="n">
        <v>10</v>
      </c>
    </row>
    <row r="376" customFormat="false" ht="54" hidden="false" customHeight="true" outlineLevel="0" collapsed="false">
      <c r="A376" s="32" t="s">
        <v>9914</v>
      </c>
      <c r="B376" s="32" t="s">
        <v>1432</v>
      </c>
      <c r="C376" s="33" t="s">
        <v>1407</v>
      </c>
      <c r="D376" s="33" t="s">
        <v>50</v>
      </c>
      <c r="E376" s="33" t="s">
        <v>81</v>
      </c>
      <c r="F376" s="33" t="s">
        <v>1438</v>
      </c>
      <c r="G376" s="33" t="s">
        <v>9</v>
      </c>
      <c r="H376" s="33" t="n">
        <v>10</v>
      </c>
    </row>
    <row r="377" customFormat="false" ht="54" hidden="false" customHeight="true" outlineLevel="0" collapsed="false">
      <c r="A377" s="32" t="s">
        <v>9915</v>
      </c>
      <c r="B377" s="32" t="s">
        <v>1432</v>
      </c>
      <c r="C377" s="33" t="s">
        <v>1407</v>
      </c>
      <c r="D377" s="33" t="s">
        <v>50</v>
      </c>
      <c r="E377" s="33" t="s">
        <v>86</v>
      </c>
      <c r="F377" s="33" t="s">
        <v>1440</v>
      </c>
      <c r="G377" s="33" t="s">
        <v>9</v>
      </c>
      <c r="H377" s="33" t="n">
        <v>10</v>
      </c>
    </row>
    <row r="378" customFormat="false" ht="54" hidden="false" customHeight="true" outlineLevel="0" collapsed="false">
      <c r="A378" s="32" t="s">
        <v>9916</v>
      </c>
      <c r="B378" s="32" t="s">
        <v>1452</v>
      </c>
      <c r="C378" s="33" t="s">
        <v>57</v>
      </c>
      <c r="D378" s="33" t="s">
        <v>57</v>
      </c>
      <c r="E378" s="33" t="s">
        <v>82</v>
      </c>
      <c r="F378" s="33" t="s">
        <v>1457</v>
      </c>
      <c r="G378" s="33" t="s">
        <v>9</v>
      </c>
      <c r="H378" s="33" t="n">
        <v>10</v>
      </c>
    </row>
    <row r="379" customFormat="false" ht="54" hidden="false" customHeight="true" outlineLevel="0" collapsed="false">
      <c r="A379" s="32" t="s">
        <v>9917</v>
      </c>
      <c r="B379" s="32" t="s">
        <v>1452</v>
      </c>
      <c r="C379" s="33" t="s">
        <v>57</v>
      </c>
      <c r="D379" s="33" t="s">
        <v>57</v>
      </c>
      <c r="E379" s="33" t="s">
        <v>83</v>
      </c>
      <c r="F379" s="33" t="s">
        <v>1459</v>
      </c>
      <c r="G379" s="33" t="s">
        <v>9</v>
      </c>
      <c r="H379" s="33" t="n">
        <v>10</v>
      </c>
    </row>
    <row r="380" customFormat="false" ht="54" hidden="false" customHeight="true" outlineLevel="0" collapsed="false">
      <c r="A380" s="32" t="s">
        <v>9918</v>
      </c>
      <c r="B380" s="32" t="s">
        <v>1472</v>
      </c>
      <c r="C380" s="33" t="s">
        <v>57</v>
      </c>
      <c r="D380" s="33" t="s">
        <v>57</v>
      </c>
      <c r="E380" s="33" t="s">
        <v>82</v>
      </c>
      <c r="F380" s="33" t="s">
        <v>1476</v>
      </c>
      <c r="G380" s="33" t="s">
        <v>9</v>
      </c>
      <c r="H380" s="33" t="n">
        <v>10</v>
      </c>
    </row>
    <row r="381" customFormat="false" ht="54" hidden="false" customHeight="true" outlineLevel="0" collapsed="false">
      <c r="A381" s="32" t="s">
        <v>9919</v>
      </c>
      <c r="B381" s="32" t="s">
        <v>1472</v>
      </c>
      <c r="C381" s="33" t="s">
        <v>57</v>
      </c>
      <c r="D381" s="33" t="s">
        <v>57</v>
      </c>
      <c r="E381" s="33" t="s">
        <v>82</v>
      </c>
      <c r="F381" s="33" t="s">
        <v>1477</v>
      </c>
      <c r="G381" s="33" t="s">
        <v>9</v>
      </c>
      <c r="H381" s="33" t="n">
        <v>10</v>
      </c>
    </row>
    <row r="382" customFormat="false" ht="54" hidden="false" customHeight="true" outlineLevel="0" collapsed="false">
      <c r="A382" s="32" t="s">
        <v>9920</v>
      </c>
      <c r="B382" s="32" t="s">
        <v>1472</v>
      </c>
      <c r="C382" s="33" t="s">
        <v>57</v>
      </c>
      <c r="D382" s="33" t="s">
        <v>57</v>
      </c>
      <c r="E382" s="33" t="s">
        <v>82</v>
      </c>
      <c r="F382" s="33" t="s">
        <v>1478</v>
      </c>
      <c r="G382" s="33" t="s">
        <v>9</v>
      </c>
      <c r="H382" s="33" t="n">
        <v>10</v>
      </c>
    </row>
    <row r="383" customFormat="false" ht="54" hidden="false" customHeight="true" outlineLevel="0" collapsed="false">
      <c r="A383" s="32" t="s">
        <v>9921</v>
      </c>
      <c r="B383" s="32" t="s">
        <v>1472</v>
      </c>
      <c r="C383" s="33" t="s">
        <v>57</v>
      </c>
      <c r="D383" s="33" t="s">
        <v>57</v>
      </c>
      <c r="E383" s="33" t="s">
        <v>82</v>
      </c>
      <c r="F383" s="33" t="s">
        <v>9922</v>
      </c>
      <c r="G383" s="33" t="s">
        <v>9</v>
      </c>
      <c r="H383" s="33" t="n">
        <v>10</v>
      </c>
    </row>
    <row r="384" customFormat="false" ht="54" hidden="false" customHeight="true" outlineLevel="0" collapsed="false">
      <c r="A384" s="32" t="s">
        <v>9923</v>
      </c>
      <c r="B384" s="32" t="s">
        <v>1472</v>
      </c>
      <c r="C384" s="33" t="s">
        <v>57</v>
      </c>
      <c r="D384" s="33" t="s">
        <v>57</v>
      </c>
      <c r="E384" s="33" t="s">
        <v>82</v>
      </c>
      <c r="F384" s="33" t="s">
        <v>9924</v>
      </c>
      <c r="G384" s="33" t="s">
        <v>9</v>
      </c>
      <c r="H384" s="33" t="n">
        <v>10</v>
      </c>
    </row>
    <row r="385" customFormat="false" ht="54" hidden="false" customHeight="true" outlineLevel="0" collapsed="false">
      <c r="A385" s="32" t="s">
        <v>9925</v>
      </c>
      <c r="B385" s="32" t="s">
        <v>1484</v>
      </c>
      <c r="C385" s="33" t="s">
        <v>57</v>
      </c>
      <c r="D385" s="33" t="s">
        <v>57</v>
      </c>
      <c r="E385" s="33" t="s">
        <v>81</v>
      </c>
      <c r="F385" s="33" t="s">
        <v>1492</v>
      </c>
      <c r="G385" s="33" t="s">
        <v>9</v>
      </c>
      <c r="H385" s="33" t="n">
        <v>10</v>
      </c>
    </row>
    <row r="386" customFormat="false" ht="54" hidden="false" customHeight="true" outlineLevel="0" collapsed="false">
      <c r="A386" s="32" t="s">
        <v>9926</v>
      </c>
      <c r="B386" s="32" t="s">
        <v>1484</v>
      </c>
      <c r="C386" s="33" t="s">
        <v>57</v>
      </c>
      <c r="D386" s="33" t="s">
        <v>57</v>
      </c>
      <c r="E386" s="33" t="s">
        <v>82</v>
      </c>
      <c r="F386" s="33" t="s">
        <v>1494</v>
      </c>
      <c r="G386" s="33" t="s">
        <v>9</v>
      </c>
      <c r="H386" s="33" t="n">
        <v>10</v>
      </c>
    </row>
    <row r="387" customFormat="false" ht="54" hidden="false" customHeight="true" outlineLevel="0" collapsed="false">
      <c r="A387" s="32" t="s">
        <v>9927</v>
      </c>
      <c r="B387" s="32" t="s">
        <v>1498</v>
      </c>
      <c r="C387" s="33" t="s">
        <v>1714</v>
      </c>
      <c r="D387" s="33" t="s">
        <v>54</v>
      </c>
      <c r="E387" s="33" t="s">
        <v>82</v>
      </c>
      <c r="F387" s="33" t="s">
        <v>9928</v>
      </c>
      <c r="G387" s="33" t="s">
        <v>9</v>
      </c>
      <c r="H387" s="33" t="n">
        <v>10</v>
      </c>
    </row>
    <row r="388" customFormat="false" ht="54" hidden="false" customHeight="true" outlineLevel="0" collapsed="false">
      <c r="A388" s="32" t="s">
        <v>9929</v>
      </c>
      <c r="B388" s="32" t="s">
        <v>1514</v>
      </c>
      <c r="C388" s="33" t="s">
        <v>57</v>
      </c>
      <c r="D388" s="33" t="s">
        <v>57</v>
      </c>
      <c r="E388" s="33" t="s">
        <v>81</v>
      </c>
      <c r="F388" s="33" t="s">
        <v>1524</v>
      </c>
      <c r="G388" s="33" t="s">
        <v>9</v>
      </c>
      <c r="H388" s="33" t="n">
        <v>10</v>
      </c>
    </row>
    <row r="389" customFormat="false" ht="54" hidden="false" customHeight="true" outlineLevel="0" collapsed="false">
      <c r="A389" s="32" t="s">
        <v>9930</v>
      </c>
      <c r="B389" s="32" t="s">
        <v>1514</v>
      </c>
      <c r="C389" s="33" t="s">
        <v>57</v>
      </c>
      <c r="D389" s="33" t="s">
        <v>57</v>
      </c>
      <c r="E389" s="33" t="s">
        <v>82</v>
      </c>
      <c r="F389" s="33" t="s">
        <v>1524</v>
      </c>
      <c r="G389" s="33" t="s">
        <v>9</v>
      </c>
      <c r="H389" s="33" t="n">
        <v>10</v>
      </c>
    </row>
    <row r="390" customFormat="false" ht="54" hidden="false" customHeight="true" outlineLevel="0" collapsed="false">
      <c r="A390" s="32" t="s">
        <v>9931</v>
      </c>
      <c r="B390" s="32" t="s">
        <v>1539</v>
      </c>
      <c r="C390" s="33" t="s">
        <v>57</v>
      </c>
      <c r="D390" s="33" t="s">
        <v>57</v>
      </c>
      <c r="E390" s="33" t="s">
        <v>81</v>
      </c>
      <c r="F390" s="33" t="s">
        <v>1547</v>
      </c>
      <c r="G390" s="33" t="s">
        <v>9</v>
      </c>
      <c r="H390" s="33" t="n">
        <v>10</v>
      </c>
    </row>
    <row r="391" customFormat="false" ht="54" hidden="false" customHeight="true" outlineLevel="0" collapsed="false">
      <c r="A391" s="32" t="s">
        <v>9932</v>
      </c>
      <c r="B391" s="32" t="s">
        <v>1539</v>
      </c>
      <c r="C391" s="33" t="s">
        <v>57</v>
      </c>
      <c r="D391" s="33" t="s">
        <v>57</v>
      </c>
      <c r="E391" s="33" t="s">
        <v>82</v>
      </c>
      <c r="F391" s="33" t="s">
        <v>1549</v>
      </c>
      <c r="G391" s="33" t="s">
        <v>9</v>
      </c>
      <c r="H391" s="33" t="n">
        <v>10</v>
      </c>
    </row>
    <row r="392" customFormat="false" ht="54" hidden="false" customHeight="true" outlineLevel="0" collapsed="false">
      <c r="A392" s="32" t="s">
        <v>9933</v>
      </c>
      <c r="B392" s="32" t="s">
        <v>1552</v>
      </c>
      <c r="C392" s="33" t="s">
        <v>57</v>
      </c>
      <c r="D392" s="33" t="s">
        <v>57</v>
      </c>
      <c r="E392" s="33" t="s">
        <v>81</v>
      </c>
      <c r="F392" s="33" t="s">
        <v>1557</v>
      </c>
      <c r="G392" s="33" t="s">
        <v>9</v>
      </c>
      <c r="H392" s="33" t="n">
        <v>10</v>
      </c>
    </row>
    <row r="393" customFormat="false" ht="54" hidden="false" customHeight="true" outlineLevel="0" collapsed="false">
      <c r="A393" s="32" t="s">
        <v>9934</v>
      </c>
      <c r="B393" s="32" t="s">
        <v>1552</v>
      </c>
      <c r="C393" s="33" t="s">
        <v>57</v>
      </c>
      <c r="D393" s="33" t="s">
        <v>57</v>
      </c>
      <c r="E393" s="33" t="s">
        <v>81</v>
      </c>
      <c r="F393" s="33" t="s">
        <v>9935</v>
      </c>
      <c r="G393" s="33" t="s">
        <v>9</v>
      </c>
      <c r="H393" s="33" t="n">
        <v>10</v>
      </c>
    </row>
    <row r="394" customFormat="false" ht="54" hidden="false" customHeight="true" outlineLevel="0" collapsed="false">
      <c r="A394" s="32" t="s">
        <v>9936</v>
      </c>
      <c r="B394" s="32" t="s">
        <v>1552</v>
      </c>
      <c r="C394" s="33" t="s">
        <v>57</v>
      </c>
      <c r="D394" s="33" t="s">
        <v>57</v>
      </c>
      <c r="E394" s="33" t="s">
        <v>81</v>
      </c>
      <c r="F394" s="33" t="s">
        <v>1559</v>
      </c>
      <c r="G394" s="33" t="s">
        <v>9</v>
      </c>
      <c r="H394" s="33" t="n">
        <v>10</v>
      </c>
    </row>
    <row r="395" customFormat="false" ht="54" hidden="false" customHeight="true" outlineLevel="0" collapsed="false">
      <c r="A395" s="32" t="s">
        <v>9937</v>
      </c>
      <c r="B395" s="32" t="s">
        <v>1563</v>
      </c>
      <c r="C395" s="33" t="s">
        <v>98</v>
      </c>
      <c r="D395" s="33" t="s">
        <v>59</v>
      </c>
      <c r="E395" s="33" t="s">
        <v>82</v>
      </c>
      <c r="F395" s="33" t="s">
        <v>9938</v>
      </c>
      <c r="G395" s="33" t="s">
        <v>9</v>
      </c>
      <c r="H395" s="33" t="n">
        <v>10</v>
      </c>
    </row>
    <row r="396" customFormat="false" ht="54" hidden="false" customHeight="true" outlineLevel="0" collapsed="false">
      <c r="A396" s="32" t="s">
        <v>9939</v>
      </c>
      <c r="B396" s="32" t="s">
        <v>1563</v>
      </c>
      <c r="C396" s="33" t="s">
        <v>98</v>
      </c>
      <c r="D396" s="33" t="s">
        <v>59</v>
      </c>
      <c r="E396" s="33" t="s">
        <v>82</v>
      </c>
      <c r="F396" s="33" t="s">
        <v>9940</v>
      </c>
      <c r="G396" s="33" t="s">
        <v>9</v>
      </c>
      <c r="H396" s="33" t="n">
        <v>10</v>
      </c>
    </row>
    <row r="397" customFormat="false" ht="54" hidden="false" customHeight="true" outlineLevel="0" collapsed="false">
      <c r="A397" s="32" t="s">
        <v>9941</v>
      </c>
      <c r="B397" s="32" t="s">
        <v>1563</v>
      </c>
      <c r="C397" s="33" t="s">
        <v>98</v>
      </c>
      <c r="D397" s="33" t="s">
        <v>59</v>
      </c>
      <c r="E397" s="33" t="s">
        <v>82</v>
      </c>
      <c r="F397" s="33" t="s">
        <v>1572</v>
      </c>
      <c r="G397" s="33" t="s">
        <v>9</v>
      </c>
      <c r="H397" s="33" t="n">
        <v>10</v>
      </c>
    </row>
    <row r="398" customFormat="false" ht="54" hidden="false" customHeight="true" outlineLevel="0" collapsed="false">
      <c r="A398" s="32" t="s">
        <v>9942</v>
      </c>
      <c r="B398" s="32" t="s">
        <v>1576</v>
      </c>
      <c r="C398" s="33" t="s">
        <v>57</v>
      </c>
      <c r="D398" s="33" t="s">
        <v>57</v>
      </c>
      <c r="E398" s="33" t="s">
        <v>82</v>
      </c>
      <c r="F398" s="33" t="s">
        <v>1588</v>
      </c>
      <c r="G398" s="33" t="s">
        <v>9</v>
      </c>
      <c r="H398" s="33" t="n">
        <v>10</v>
      </c>
    </row>
    <row r="399" customFormat="false" ht="54" hidden="false" customHeight="true" outlineLevel="0" collapsed="false">
      <c r="A399" s="32" t="s">
        <v>9943</v>
      </c>
      <c r="B399" s="32" t="s">
        <v>1590</v>
      </c>
      <c r="C399" s="33" t="s">
        <v>57</v>
      </c>
      <c r="D399" s="33" t="s">
        <v>57</v>
      </c>
      <c r="E399" s="33" t="s">
        <v>80</v>
      </c>
      <c r="F399" s="33" t="s">
        <v>1594</v>
      </c>
      <c r="G399" s="33" t="s">
        <v>9</v>
      </c>
      <c r="H399" s="33" t="n">
        <v>10</v>
      </c>
    </row>
    <row r="400" customFormat="false" ht="54" hidden="false" customHeight="true" outlineLevel="0" collapsed="false">
      <c r="A400" s="32" t="s">
        <v>9944</v>
      </c>
      <c r="B400" s="32" t="s">
        <v>1590</v>
      </c>
      <c r="C400" s="33" t="s">
        <v>57</v>
      </c>
      <c r="D400" s="33" t="s">
        <v>57</v>
      </c>
      <c r="E400" s="33" t="s">
        <v>80</v>
      </c>
      <c r="F400" s="33" t="s">
        <v>1603</v>
      </c>
      <c r="G400" s="33" t="s">
        <v>9</v>
      </c>
      <c r="H400" s="33" t="n">
        <v>10</v>
      </c>
    </row>
    <row r="401" customFormat="false" ht="54" hidden="false" customHeight="true" outlineLevel="0" collapsed="false">
      <c r="A401" s="32" t="s">
        <v>9945</v>
      </c>
      <c r="B401" s="32" t="s">
        <v>1590</v>
      </c>
      <c r="C401" s="33" t="s">
        <v>57</v>
      </c>
      <c r="D401" s="33" t="s">
        <v>57</v>
      </c>
      <c r="E401" s="33" t="s">
        <v>81</v>
      </c>
      <c r="F401" s="33" t="s">
        <v>1594</v>
      </c>
      <c r="G401" s="33" t="s">
        <v>9</v>
      </c>
      <c r="H401" s="33" t="n">
        <v>10</v>
      </c>
    </row>
    <row r="402" customFormat="false" ht="54" hidden="false" customHeight="true" outlineLevel="0" collapsed="false">
      <c r="A402" s="32" t="s">
        <v>9946</v>
      </c>
      <c r="B402" s="32" t="s">
        <v>1590</v>
      </c>
      <c r="C402" s="33" t="s">
        <v>57</v>
      </c>
      <c r="D402" s="33" t="s">
        <v>57</v>
      </c>
      <c r="E402" s="33" t="s">
        <v>81</v>
      </c>
      <c r="F402" s="33" t="s">
        <v>6715</v>
      </c>
      <c r="G402" s="33" t="s">
        <v>9</v>
      </c>
      <c r="H402" s="33" t="n">
        <v>10</v>
      </c>
    </row>
    <row r="403" customFormat="false" ht="54" hidden="false" customHeight="true" outlineLevel="0" collapsed="false">
      <c r="A403" s="32" t="s">
        <v>9947</v>
      </c>
      <c r="B403" s="32" t="s">
        <v>1590</v>
      </c>
      <c r="C403" s="33" t="s">
        <v>57</v>
      </c>
      <c r="D403" s="33" t="s">
        <v>57</v>
      </c>
      <c r="E403" s="33" t="s">
        <v>81</v>
      </c>
      <c r="F403" s="33" t="s">
        <v>9948</v>
      </c>
      <c r="G403" s="33" t="s">
        <v>9</v>
      </c>
      <c r="H403" s="33" t="n">
        <v>10</v>
      </c>
    </row>
    <row r="404" customFormat="false" ht="54" hidden="false" customHeight="true" outlineLevel="0" collapsed="false">
      <c r="A404" s="32" t="s">
        <v>9949</v>
      </c>
      <c r="B404" s="32" t="s">
        <v>1590</v>
      </c>
      <c r="C404" s="33" t="s">
        <v>57</v>
      </c>
      <c r="D404" s="33" t="s">
        <v>57</v>
      </c>
      <c r="E404" s="33" t="s">
        <v>81</v>
      </c>
      <c r="F404" s="33" t="s">
        <v>9950</v>
      </c>
      <c r="G404" s="33" t="s">
        <v>9</v>
      </c>
      <c r="H404" s="33" t="n">
        <v>10</v>
      </c>
    </row>
    <row r="405" customFormat="false" ht="54" hidden="false" customHeight="true" outlineLevel="0" collapsed="false">
      <c r="A405" s="32" t="s">
        <v>9951</v>
      </c>
      <c r="B405" s="32" t="s">
        <v>1590</v>
      </c>
      <c r="C405" s="33" t="s">
        <v>57</v>
      </c>
      <c r="D405" s="33" t="s">
        <v>57</v>
      </c>
      <c r="E405" s="33" t="s">
        <v>81</v>
      </c>
      <c r="F405" s="33" t="s">
        <v>9952</v>
      </c>
      <c r="G405" s="33" t="s">
        <v>9</v>
      </c>
      <c r="H405" s="33" t="n">
        <v>10</v>
      </c>
    </row>
    <row r="406" customFormat="false" ht="54" hidden="false" customHeight="true" outlineLevel="0" collapsed="false">
      <c r="A406" s="32" t="s">
        <v>9953</v>
      </c>
      <c r="B406" s="32" t="s">
        <v>1590</v>
      </c>
      <c r="C406" s="33" t="s">
        <v>57</v>
      </c>
      <c r="D406" s="33" t="s">
        <v>57</v>
      </c>
      <c r="E406" s="33" t="s">
        <v>82</v>
      </c>
      <c r="F406" s="33" t="s">
        <v>1596</v>
      </c>
      <c r="G406" s="33" t="s">
        <v>9</v>
      </c>
      <c r="H406" s="33" t="n">
        <v>10</v>
      </c>
    </row>
    <row r="407" customFormat="false" ht="54" hidden="false" customHeight="true" outlineLevel="0" collapsed="false">
      <c r="A407" s="32" t="s">
        <v>9954</v>
      </c>
      <c r="B407" s="32" t="s">
        <v>1590</v>
      </c>
      <c r="C407" s="33" t="s">
        <v>57</v>
      </c>
      <c r="D407" s="33" t="s">
        <v>57</v>
      </c>
      <c r="E407" s="33" t="s">
        <v>82</v>
      </c>
      <c r="F407" s="33" t="s">
        <v>1603</v>
      </c>
      <c r="G407" s="33" t="s">
        <v>9</v>
      </c>
      <c r="H407" s="33" t="n">
        <v>10</v>
      </c>
    </row>
    <row r="408" customFormat="false" ht="54" hidden="false" customHeight="true" outlineLevel="0" collapsed="false">
      <c r="A408" s="32" t="s">
        <v>9955</v>
      </c>
      <c r="B408" s="32" t="s">
        <v>1590</v>
      </c>
      <c r="C408" s="33" t="s">
        <v>57</v>
      </c>
      <c r="D408" s="33" t="s">
        <v>57</v>
      </c>
      <c r="E408" s="33" t="s">
        <v>82</v>
      </c>
      <c r="F408" s="33" t="s">
        <v>9956</v>
      </c>
      <c r="G408" s="33" t="s">
        <v>9</v>
      </c>
      <c r="H408" s="33" t="n">
        <v>10</v>
      </c>
    </row>
    <row r="409" customFormat="false" ht="54" hidden="false" customHeight="true" outlineLevel="0" collapsed="false">
      <c r="A409" s="32" t="s">
        <v>9957</v>
      </c>
      <c r="B409" s="32" t="s">
        <v>1590</v>
      </c>
      <c r="C409" s="33" t="s">
        <v>57</v>
      </c>
      <c r="D409" s="33" t="s">
        <v>57</v>
      </c>
      <c r="E409" s="33" t="s">
        <v>82</v>
      </c>
      <c r="F409" s="33" t="s">
        <v>9948</v>
      </c>
      <c r="G409" s="33" t="s">
        <v>9</v>
      </c>
      <c r="H409" s="33" t="n">
        <v>10</v>
      </c>
    </row>
    <row r="410" customFormat="false" ht="54" hidden="false" customHeight="true" outlineLevel="0" collapsed="false">
      <c r="A410" s="32" t="s">
        <v>9958</v>
      </c>
      <c r="B410" s="32" t="s">
        <v>1590</v>
      </c>
      <c r="C410" s="33" t="s">
        <v>57</v>
      </c>
      <c r="D410" s="33" t="s">
        <v>57</v>
      </c>
      <c r="E410" s="33" t="s">
        <v>82</v>
      </c>
      <c r="F410" s="33" t="s">
        <v>9950</v>
      </c>
      <c r="G410" s="33" t="s">
        <v>9</v>
      </c>
      <c r="H410" s="33" t="n">
        <v>10</v>
      </c>
    </row>
    <row r="411" customFormat="false" ht="54" hidden="false" customHeight="true" outlineLevel="0" collapsed="false">
      <c r="A411" s="32" t="s">
        <v>9959</v>
      </c>
      <c r="B411" s="32" t="s">
        <v>1590</v>
      </c>
      <c r="C411" s="33" t="s">
        <v>57</v>
      </c>
      <c r="D411" s="33" t="s">
        <v>57</v>
      </c>
      <c r="E411" s="33" t="s">
        <v>82</v>
      </c>
      <c r="F411" s="33" t="s">
        <v>9952</v>
      </c>
      <c r="G411" s="33" t="s">
        <v>9</v>
      </c>
      <c r="H411" s="33" t="n">
        <v>10</v>
      </c>
    </row>
    <row r="412" customFormat="false" ht="54" hidden="false" customHeight="true" outlineLevel="0" collapsed="false">
      <c r="A412" s="32" t="s">
        <v>9960</v>
      </c>
      <c r="B412" s="32" t="s">
        <v>1590</v>
      </c>
      <c r="C412" s="33" t="s">
        <v>57</v>
      </c>
      <c r="D412" s="33" t="s">
        <v>57</v>
      </c>
      <c r="E412" s="33" t="s">
        <v>84</v>
      </c>
      <c r="F412" s="33" t="s">
        <v>1603</v>
      </c>
      <c r="G412" s="33" t="s">
        <v>9</v>
      </c>
      <c r="H412" s="33" t="n">
        <v>10</v>
      </c>
    </row>
    <row r="413" customFormat="false" ht="54" hidden="false" customHeight="true" outlineLevel="0" collapsed="false">
      <c r="A413" s="32" t="s">
        <v>9961</v>
      </c>
      <c r="B413" s="32" t="s">
        <v>1605</v>
      </c>
      <c r="C413" s="33" t="s">
        <v>57</v>
      </c>
      <c r="D413" s="33" t="s">
        <v>57</v>
      </c>
      <c r="E413" s="33" t="s">
        <v>80</v>
      </c>
      <c r="F413" s="33" t="s">
        <v>1610</v>
      </c>
      <c r="G413" s="33" t="s">
        <v>9</v>
      </c>
      <c r="H413" s="33" t="n">
        <v>10</v>
      </c>
    </row>
    <row r="414" customFormat="false" ht="54" hidden="false" customHeight="true" outlineLevel="0" collapsed="false">
      <c r="A414" s="32" t="s">
        <v>9962</v>
      </c>
      <c r="B414" s="32" t="s">
        <v>1605</v>
      </c>
      <c r="C414" s="33" t="s">
        <v>57</v>
      </c>
      <c r="D414" s="33" t="s">
        <v>57</v>
      </c>
      <c r="E414" s="33" t="s">
        <v>81</v>
      </c>
      <c r="F414" s="33" t="s">
        <v>1610</v>
      </c>
      <c r="G414" s="33" t="s">
        <v>9</v>
      </c>
      <c r="H414" s="33" t="n">
        <v>10</v>
      </c>
    </row>
    <row r="415" customFormat="false" ht="54" hidden="false" customHeight="true" outlineLevel="0" collapsed="false">
      <c r="A415" s="32" t="s">
        <v>9963</v>
      </c>
      <c r="B415" s="32" t="s">
        <v>1605</v>
      </c>
      <c r="C415" s="33" t="s">
        <v>57</v>
      </c>
      <c r="D415" s="33" t="s">
        <v>57</v>
      </c>
      <c r="E415" s="33" t="s">
        <v>81</v>
      </c>
      <c r="F415" s="33" t="s">
        <v>1611</v>
      </c>
      <c r="G415" s="33" t="s">
        <v>9</v>
      </c>
      <c r="H415" s="33" t="n">
        <v>10</v>
      </c>
    </row>
    <row r="416" customFormat="false" ht="54" hidden="false" customHeight="true" outlineLevel="0" collapsed="false">
      <c r="A416" s="32" t="s">
        <v>9964</v>
      </c>
      <c r="B416" s="32" t="s">
        <v>1605</v>
      </c>
      <c r="C416" s="33" t="s">
        <v>57</v>
      </c>
      <c r="D416" s="33" t="s">
        <v>57</v>
      </c>
      <c r="E416" s="33" t="s">
        <v>81</v>
      </c>
      <c r="F416" s="33" t="s">
        <v>9965</v>
      </c>
      <c r="G416" s="33" t="s">
        <v>9</v>
      </c>
      <c r="H416" s="33" t="n">
        <v>10</v>
      </c>
    </row>
    <row r="417" customFormat="false" ht="54" hidden="false" customHeight="true" outlineLevel="0" collapsed="false">
      <c r="A417" s="32" t="s">
        <v>9966</v>
      </c>
      <c r="B417" s="32" t="s">
        <v>1605</v>
      </c>
      <c r="C417" s="33" t="s">
        <v>57</v>
      </c>
      <c r="D417" s="33" t="s">
        <v>57</v>
      </c>
      <c r="E417" s="33" t="s">
        <v>81</v>
      </c>
      <c r="F417" s="33" t="s">
        <v>9967</v>
      </c>
      <c r="G417" s="33" t="s">
        <v>9</v>
      </c>
      <c r="H417" s="33" t="n">
        <v>10</v>
      </c>
    </row>
    <row r="418" customFormat="false" ht="54" hidden="false" customHeight="true" outlineLevel="0" collapsed="false">
      <c r="A418" s="32" t="s">
        <v>9968</v>
      </c>
      <c r="B418" s="32" t="s">
        <v>1605</v>
      </c>
      <c r="C418" s="33" t="s">
        <v>57</v>
      </c>
      <c r="D418" s="33" t="s">
        <v>57</v>
      </c>
      <c r="E418" s="33" t="s">
        <v>81</v>
      </c>
      <c r="F418" s="33" t="s">
        <v>9969</v>
      </c>
      <c r="G418" s="33" t="s">
        <v>9</v>
      </c>
      <c r="H418" s="33" t="n">
        <v>10</v>
      </c>
    </row>
    <row r="419" customFormat="false" ht="54" hidden="false" customHeight="true" outlineLevel="0" collapsed="false">
      <c r="A419" s="32" t="s">
        <v>9970</v>
      </c>
      <c r="B419" s="32" t="s">
        <v>1605</v>
      </c>
      <c r="C419" s="33" t="s">
        <v>57</v>
      </c>
      <c r="D419" s="33" t="s">
        <v>57</v>
      </c>
      <c r="E419" s="33" t="s">
        <v>82</v>
      </c>
      <c r="F419" s="33" t="s">
        <v>1612</v>
      </c>
      <c r="G419" s="33" t="s">
        <v>9</v>
      </c>
      <c r="H419" s="33" t="n">
        <v>10</v>
      </c>
    </row>
    <row r="420" customFormat="false" ht="54" hidden="false" customHeight="true" outlineLevel="0" collapsed="false">
      <c r="A420" s="32" t="s">
        <v>9971</v>
      </c>
      <c r="B420" s="32" t="s">
        <v>1605</v>
      </c>
      <c r="C420" s="33" t="s">
        <v>57</v>
      </c>
      <c r="D420" s="33" t="s">
        <v>57</v>
      </c>
      <c r="E420" s="33" t="s">
        <v>82</v>
      </c>
      <c r="F420" s="33" t="s">
        <v>9965</v>
      </c>
      <c r="G420" s="33" t="s">
        <v>9</v>
      </c>
      <c r="H420" s="33" t="n">
        <v>10</v>
      </c>
    </row>
    <row r="421" customFormat="false" ht="54" hidden="false" customHeight="true" outlineLevel="0" collapsed="false">
      <c r="A421" s="32" t="s">
        <v>9972</v>
      </c>
      <c r="B421" s="32" t="s">
        <v>1605</v>
      </c>
      <c r="C421" s="33" t="s">
        <v>57</v>
      </c>
      <c r="D421" s="33" t="s">
        <v>57</v>
      </c>
      <c r="E421" s="33" t="s">
        <v>82</v>
      </c>
      <c r="F421" s="33" t="s">
        <v>9973</v>
      </c>
      <c r="G421" s="33" t="s">
        <v>9</v>
      </c>
      <c r="H421" s="33" t="n">
        <v>10</v>
      </c>
    </row>
    <row r="422" customFormat="false" ht="54" hidden="false" customHeight="true" outlineLevel="0" collapsed="false">
      <c r="A422" s="32" t="s">
        <v>9974</v>
      </c>
      <c r="B422" s="32" t="s">
        <v>1605</v>
      </c>
      <c r="C422" s="33" t="s">
        <v>57</v>
      </c>
      <c r="D422" s="33" t="s">
        <v>57</v>
      </c>
      <c r="E422" s="33" t="s">
        <v>82</v>
      </c>
      <c r="F422" s="33" t="s">
        <v>9967</v>
      </c>
      <c r="G422" s="33" t="s">
        <v>9</v>
      </c>
      <c r="H422" s="33" t="n">
        <v>10</v>
      </c>
    </row>
    <row r="423" customFormat="false" ht="54" hidden="false" customHeight="true" outlineLevel="0" collapsed="false">
      <c r="A423" s="32" t="s">
        <v>9975</v>
      </c>
      <c r="B423" s="32" t="s">
        <v>1605</v>
      </c>
      <c r="C423" s="33" t="s">
        <v>57</v>
      </c>
      <c r="D423" s="33" t="s">
        <v>57</v>
      </c>
      <c r="E423" s="33" t="s">
        <v>82</v>
      </c>
      <c r="F423" s="33" t="s">
        <v>9969</v>
      </c>
      <c r="G423" s="33" t="s">
        <v>9</v>
      </c>
      <c r="H423" s="33" t="n">
        <v>10</v>
      </c>
    </row>
    <row r="424" customFormat="false" ht="54" hidden="false" customHeight="true" outlineLevel="0" collapsed="false">
      <c r="A424" s="32" t="s">
        <v>9976</v>
      </c>
      <c r="B424" s="32" t="s">
        <v>1619</v>
      </c>
      <c r="C424" s="33" t="s">
        <v>57</v>
      </c>
      <c r="D424" s="33" t="s">
        <v>57</v>
      </c>
      <c r="E424" s="33" t="s">
        <v>80</v>
      </c>
      <c r="F424" s="33" t="s">
        <v>1623</v>
      </c>
      <c r="G424" s="33" t="s">
        <v>9</v>
      </c>
      <c r="H424" s="33" t="n">
        <v>10</v>
      </c>
    </row>
    <row r="425" customFormat="false" ht="54" hidden="false" customHeight="true" outlineLevel="0" collapsed="false">
      <c r="A425" s="32" t="s">
        <v>9977</v>
      </c>
      <c r="B425" s="32" t="s">
        <v>1619</v>
      </c>
      <c r="C425" s="33" t="s">
        <v>57</v>
      </c>
      <c r="D425" s="33" t="s">
        <v>57</v>
      </c>
      <c r="E425" s="33" t="s">
        <v>81</v>
      </c>
      <c r="F425" s="33" t="s">
        <v>1623</v>
      </c>
      <c r="G425" s="33" t="s">
        <v>9</v>
      </c>
      <c r="H425" s="33" t="n">
        <v>10</v>
      </c>
    </row>
    <row r="426" customFormat="false" ht="54" hidden="false" customHeight="true" outlineLevel="0" collapsed="false">
      <c r="A426" s="32" t="s">
        <v>9978</v>
      </c>
      <c r="B426" s="32" t="s">
        <v>1619</v>
      </c>
      <c r="C426" s="33" t="s">
        <v>57</v>
      </c>
      <c r="D426" s="33" t="s">
        <v>57</v>
      </c>
      <c r="E426" s="33" t="s">
        <v>81</v>
      </c>
      <c r="F426" s="33" t="s">
        <v>1624</v>
      </c>
      <c r="G426" s="33" t="s">
        <v>9</v>
      </c>
      <c r="H426" s="33" t="n">
        <v>10</v>
      </c>
    </row>
    <row r="427" customFormat="false" ht="54" hidden="false" customHeight="true" outlineLevel="0" collapsed="false">
      <c r="A427" s="32" t="s">
        <v>9979</v>
      </c>
      <c r="B427" s="32" t="s">
        <v>1619</v>
      </c>
      <c r="C427" s="33" t="s">
        <v>57</v>
      </c>
      <c r="D427" s="33" t="s">
        <v>57</v>
      </c>
      <c r="E427" s="33" t="s">
        <v>81</v>
      </c>
      <c r="F427" s="33" t="s">
        <v>1626</v>
      </c>
      <c r="G427" s="33" t="s">
        <v>9</v>
      </c>
      <c r="H427" s="33" t="n">
        <v>10</v>
      </c>
    </row>
    <row r="428" customFormat="false" ht="54" hidden="false" customHeight="true" outlineLevel="0" collapsed="false">
      <c r="A428" s="32" t="s">
        <v>9980</v>
      </c>
      <c r="B428" s="32" t="s">
        <v>1619</v>
      </c>
      <c r="C428" s="33" t="s">
        <v>57</v>
      </c>
      <c r="D428" s="33" t="s">
        <v>57</v>
      </c>
      <c r="E428" s="33" t="s">
        <v>82</v>
      </c>
      <c r="F428" s="33" t="s">
        <v>1625</v>
      </c>
      <c r="G428" s="33" t="s">
        <v>9</v>
      </c>
      <c r="H428" s="33" t="n">
        <v>10</v>
      </c>
    </row>
    <row r="429" customFormat="false" ht="54" hidden="false" customHeight="true" outlineLevel="0" collapsed="false">
      <c r="A429" s="32" t="s">
        <v>9981</v>
      </c>
      <c r="B429" s="32" t="s">
        <v>1619</v>
      </c>
      <c r="C429" s="33" t="s">
        <v>57</v>
      </c>
      <c r="D429" s="33" t="s">
        <v>57</v>
      </c>
      <c r="E429" s="33" t="s">
        <v>82</v>
      </c>
      <c r="F429" s="33" t="s">
        <v>1626</v>
      </c>
      <c r="G429" s="33" t="s">
        <v>9</v>
      </c>
      <c r="H429" s="33" t="n">
        <v>10</v>
      </c>
    </row>
    <row r="430" customFormat="false" ht="54" hidden="false" customHeight="true" outlineLevel="0" collapsed="false">
      <c r="A430" s="32" t="s">
        <v>9982</v>
      </c>
      <c r="B430" s="32" t="s">
        <v>1632</v>
      </c>
      <c r="C430" s="33" t="s">
        <v>57</v>
      </c>
      <c r="D430" s="33" t="s">
        <v>57</v>
      </c>
      <c r="E430" s="33" t="s">
        <v>82</v>
      </c>
      <c r="F430" s="33" t="s">
        <v>1639</v>
      </c>
      <c r="G430" s="33" t="s">
        <v>9</v>
      </c>
      <c r="H430" s="33" t="n">
        <v>10</v>
      </c>
    </row>
    <row r="431" customFormat="false" ht="54" hidden="false" customHeight="true" outlineLevel="0" collapsed="false">
      <c r="A431" s="32" t="s">
        <v>9983</v>
      </c>
      <c r="B431" s="32" t="s">
        <v>1642</v>
      </c>
      <c r="C431" s="33" t="s">
        <v>57</v>
      </c>
      <c r="D431" s="33" t="s">
        <v>57</v>
      </c>
      <c r="E431" s="33" t="s">
        <v>82</v>
      </c>
      <c r="F431" s="33" t="s">
        <v>9984</v>
      </c>
      <c r="G431" s="33" t="s">
        <v>9</v>
      </c>
      <c r="H431" s="33" t="n">
        <v>10</v>
      </c>
    </row>
    <row r="432" customFormat="false" ht="54" hidden="false" customHeight="true" outlineLevel="0" collapsed="false">
      <c r="A432" s="32" t="s">
        <v>9985</v>
      </c>
      <c r="B432" s="32" t="s">
        <v>1642</v>
      </c>
      <c r="C432" s="33" t="s">
        <v>57</v>
      </c>
      <c r="D432" s="33" t="s">
        <v>57</v>
      </c>
      <c r="E432" s="33" t="s">
        <v>82</v>
      </c>
      <c r="F432" s="33" t="s">
        <v>9986</v>
      </c>
      <c r="G432" s="33" t="s">
        <v>9</v>
      </c>
      <c r="H432" s="33" t="n">
        <v>10</v>
      </c>
    </row>
    <row r="433" customFormat="false" ht="54" hidden="false" customHeight="true" outlineLevel="0" collapsed="false">
      <c r="A433" s="32" t="s">
        <v>9987</v>
      </c>
      <c r="B433" s="32" t="s">
        <v>1653</v>
      </c>
      <c r="C433" s="33" t="s">
        <v>57</v>
      </c>
      <c r="D433" s="33" t="s">
        <v>57</v>
      </c>
      <c r="E433" s="33" t="s">
        <v>84</v>
      </c>
      <c r="F433" s="33" t="s">
        <v>1660</v>
      </c>
      <c r="G433" s="33" t="s">
        <v>9</v>
      </c>
      <c r="H433" s="33" t="n">
        <v>10</v>
      </c>
    </row>
    <row r="434" customFormat="false" ht="54" hidden="false" customHeight="true" outlineLevel="0" collapsed="false">
      <c r="A434" s="32" t="s">
        <v>9988</v>
      </c>
      <c r="B434" s="32" t="s">
        <v>1694</v>
      </c>
      <c r="C434" s="33" t="s">
        <v>57</v>
      </c>
      <c r="D434" s="33" t="s">
        <v>57</v>
      </c>
      <c r="E434" s="33" t="s">
        <v>82</v>
      </c>
      <c r="F434" s="33" t="s">
        <v>1700</v>
      </c>
      <c r="G434" s="33" t="s">
        <v>9</v>
      </c>
      <c r="H434" s="33" t="n">
        <v>10</v>
      </c>
    </row>
    <row r="435" customFormat="false" ht="54" hidden="false" customHeight="true" outlineLevel="0" collapsed="false">
      <c r="A435" s="32" t="s">
        <v>9989</v>
      </c>
      <c r="B435" s="32" t="s">
        <v>1702</v>
      </c>
      <c r="C435" s="33" t="s">
        <v>57</v>
      </c>
      <c r="D435" s="33" t="s">
        <v>57</v>
      </c>
      <c r="E435" s="33" t="s">
        <v>82</v>
      </c>
      <c r="F435" s="33" t="s">
        <v>9990</v>
      </c>
      <c r="G435" s="33" t="s">
        <v>9</v>
      </c>
      <c r="H435" s="33" t="n">
        <v>10</v>
      </c>
    </row>
    <row r="436" customFormat="false" ht="54" hidden="false" customHeight="true" outlineLevel="0" collapsed="false">
      <c r="A436" s="32" t="s">
        <v>9991</v>
      </c>
      <c r="B436" s="32" t="s">
        <v>1702</v>
      </c>
      <c r="C436" s="33" t="s">
        <v>57</v>
      </c>
      <c r="D436" s="33" t="s">
        <v>57</v>
      </c>
      <c r="E436" s="33" t="s">
        <v>82</v>
      </c>
      <c r="F436" s="33" t="s">
        <v>9992</v>
      </c>
      <c r="G436" s="33" t="s">
        <v>9</v>
      </c>
      <c r="H436" s="33" t="n">
        <v>10</v>
      </c>
    </row>
    <row r="437" customFormat="false" ht="54" hidden="false" customHeight="true" outlineLevel="0" collapsed="false">
      <c r="A437" s="32" t="s">
        <v>9993</v>
      </c>
      <c r="B437" s="32" t="s">
        <v>1702</v>
      </c>
      <c r="C437" s="33" t="s">
        <v>57</v>
      </c>
      <c r="D437" s="33" t="s">
        <v>57</v>
      </c>
      <c r="E437" s="33" t="s">
        <v>82</v>
      </c>
      <c r="F437" s="33" t="s">
        <v>9994</v>
      </c>
      <c r="G437" s="33" t="s">
        <v>9</v>
      </c>
      <c r="H437" s="33" t="n">
        <v>10</v>
      </c>
    </row>
    <row r="438" customFormat="false" ht="54" hidden="false" customHeight="true" outlineLevel="0" collapsed="false">
      <c r="A438" s="32" t="s">
        <v>9995</v>
      </c>
      <c r="B438" s="32" t="s">
        <v>1713</v>
      </c>
      <c r="C438" s="33" t="s">
        <v>1714</v>
      </c>
      <c r="D438" s="33" t="s">
        <v>54</v>
      </c>
      <c r="E438" s="33" t="s">
        <v>80</v>
      </c>
      <c r="F438" s="33" t="s">
        <v>1719</v>
      </c>
      <c r="G438" s="33" t="s">
        <v>9</v>
      </c>
      <c r="H438" s="33" t="n">
        <v>10</v>
      </c>
    </row>
    <row r="439" customFormat="false" ht="54" hidden="false" customHeight="true" outlineLevel="0" collapsed="false">
      <c r="A439" s="32" t="s">
        <v>9996</v>
      </c>
      <c r="B439" s="32" t="s">
        <v>1713</v>
      </c>
      <c r="C439" s="33" t="s">
        <v>1714</v>
      </c>
      <c r="D439" s="33" t="s">
        <v>54</v>
      </c>
      <c r="E439" s="33" t="s">
        <v>80</v>
      </c>
      <c r="F439" s="33" t="s">
        <v>9997</v>
      </c>
      <c r="G439" s="33" t="s">
        <v>9</v>
      </c>
      <c r="H439" s="33" t="n">
        <v>10</v>
      </c>
    </row>
    <row r="440" customFormat="false" ht="54" hidden="false" customHeight="true" outlineLevel="0" collapsed="false">
      <c r="A440" s="32" t="s">
        <v>9998</v>
      </c>
      <c r="B440" s="32" t="s">
        <v>1713</v>
      </c>
      <c r="C440" s="33" t="s">
        <v>1714</v>
      </c>
      <c r="D440" s="33" t="s">
        <v>54</v>
      </c>
      <c r="E440" s="33" t="s">
        <v>83</v>
      </c>
      <c r="F440" s="33" t="s">
        <v>1720</v>
      </c>
      <c r="G440" s="33" t="s">
        <v>9</v>
      </c>
      <c r="H440" s="33" t="n">
        <v>10</v>
      </c>
    </row>
    <row r="441" customFormat="false" ht="54" hidden="false" customHeight="true" outlineLevel="0" collapsed="false">
      <c r="A441" s="32" t="s">
        <v>9999</v>
      </c>
      <c r="B441" s="32" t="s">
        <v>1713</v>
      </c>
      <c r="C441" s="33" t="s">
        <v>1714</v>
      </c>
      <c r="D441" s="33" t="s">
        <v>54</v>
      </c>
      <c r="E441" s="33" t="s">
        <v>83</v>
      </c>
      <c r="F441" s="33" t="s">
        <v>10000</v>
      </c>
      <c r="G441" s="33" t="s">
        <v>9</v>
      </c>
      <c r="H441" s="33" t="n">
        <v>10</v>
      </c>
    </row>
    <row r="442" customFormat="false" ht="54" hidden="false" customHeight="true" outlineLevel="0" collapsed="false">
      <c r="A442" s="32" t="s">
        <v>10001</v>
      </c>
      <c r="B442" s="32" t="s">
        <v>1713</v>
      </c>
      <c r="C442" s="33" t="s">
        <v>1714</v>
      </c>
      <c r="D442" s="33" t="s">
        <v>54</v>
      </c>
      <c r="E442" s="33" t="s">
        <v>84</v>
      </c>
      <c r="F442" s="33" t="s">
        <v>1719</v>
      </c>
      <c r="G442" s="33" t="s">
        <v>9</v>
      </c>
      <c r="H442" s="33" t="n">
        <v>10</v>
      </c>
    </row>
    <row r="443" customFormat="false" ht="54" hidden="false" customHeight="true" outlineLevel="0" collapsed="false">
      <c r="A443" s="32" t="s">
        <v>10002</v>
      </c>
      <c r="B443" s="32" t="s">
        <v>1713</v>
      </c>
      <c r="C443" s="33" t="s">
        <v>1714</v>
      </c>
      <c r="D443" s="33" t="s">
        <v>54</v>
      </c>
      <c r="E443" s="33" t="s">
        <v>84</v>
      </c>
      <c r="F443" s="33" t="s">
        <v>9997</v>
      </c>
      <c r="G443" s="33" t="s">
        <v>9</v>
      </c>
      <c r="H443" s="33" t="n">
        <v>10</v>
      </c>
    </row>
    <row r="444" customFormat="false" ht="54" hidden="false" customHeight="true" outlineLevel="0" collapsed="false">
      <c r="A444" s="32" t="s">
        <v>10003</v>
      </c>
      <c r="B444" s="32" t="s">
        <v>1713</v>
      </c>
      <c r="C444" s="33" t="s">
        <v>1714</v>
      </c>
      <c r="D444" s="33" t="s">
        <v>54</v>
      </c>
      <c r="E444" s="33" t="s">
        <v>85</v>
      </c>
      <c r="F444" s="33" t="s">
        <v>1719</v>
      </c>
      <c r="G444" s="33" t="s">
        <v>9</v>
      </c>
      <c r="H444" s="33" t="n">
        <v>10</v>
      </c>
    </row>
    <row r="445" customFormat="false" ht="54" hidden="false" customHeight="true" outlineLevel="0" collapsed="false">
      <c r="A445" s="32" t="s">
        <v>10004</v>
      </c>
      <c r="B445" s="32" t="s">
        <v>1713</v>
      </c>
      <c r="C445" s="33" t="s">
        <v>1714</v>
      </c>
      <c r="D445" s="33" t="s">
        <v>54</v>
      </c>
      <c r="E445" s="33" t="s">
        <v>85</v>
      </c>
      <c r="F445" s="33" t="s">
        <v>9997</v>
      </c>
      <c r="G445" s="33" t="s">
        <v>9</v>
      </c>
      <c r="H445" s="33" t="n">
        <v>10</v>
      </c>
    </row>
    <row r="446" customFormat="false" ht="54" hidden="false" customHeight="true" outlineLevel="0" collapsed="false">
      <c r="A446" s="32" t="s">
        <v>10005</v>
      </c>
      <c r="B446" s="32" t="s">
        <v>1713</v>
      </c>
      <c r="C446" s="33" t="s">
        <v>1714</v>
      </c>
      <c r="D446" s="33" t="s">
        <v>54</v>
      </c>
      <c r="E446" s="33" t="s">
        <v>86</v>
      </c>
      <c r="F446" s="33" t="s">
        <v>1723</v>
      </c>
      <c r="G446" s="33" t="s">
        <v>9</v>
      </c>
      <c r="H446" s="33" t="n">
        <v>10</v>
      </c>
    </row>
    <row r="447" customFormat="false" ht="54" hidden="false" customHeight="true" outlineLevel="0" collapsed="false">
      <c r="A447" s="32" t="s">
        <v>10006</v>
      </c>
      <c r="B447" s="32" t="s">
        <v>1731</v>
      </c>
      <c r="C447" s="33" t="s">
        <v>57</v>
      </c>
      <c r="D447" s="33" t="s">
        <v>57</v>
      </c>
      <c r="E447" s="33" t="s">
        <v>80</v>
      </c>
      <c r="F447" s="33" t="s">
        <v>1735</v>
      </c>
      <c r="G447" s="33" t="s">
        <v>9</v>
      </c>
      <c r="H447" s="33" t="n">
        <v>10</v>
      </c>
    </row>
    <row r="448" customFormat="false" ht="54" hidden="false" customHeight="true" outlineLevel="0" collapsed="false">
      <c r="A448" s="32" t="s">
        <v>10007</v>
      </c>
      <c r="B448" s="32" t="s">
        <v>1731</v>
      </c>
      <c r="C448" s="33" t="s">
        <v>57</v>
      </c>
      <c r="D448" s="33" t="s">
        <v>57</v>
      </c>
      <c r="E448" s="33" t="s">
        <v>81</v>
      </c>
      <c r="F448" s="33" t="s">
        <v>1735</v>
      </c>
      <c r="G448" s="33" t="s">
        <v>9</v>
      </c>
      <c r="H448" s="33" t="n">
        <v>10</v>
      </c>
    </row>
    <row r="449" customFormat="false" ht="54" hidden="false" customHeight="true" outlineLevel="0" collapsed="false">
      <c r="A449" s="32" t="s">
        <v>10008</v>
      </c>
      <c r="B449" s="32" t="s">
        <v>1731</v>
      </c>
      <c r="C449" s="33" t="s">
        <v>57</v>
      </c>
      <c r="D449" s="33" t="s">
        <v>57</v>
      </c>
      <c r="E449" s="33" t="s">
        <v>81</v>
      </c>
      <c r="F449" s="33" t="s">
        <v>1736</v>
      </c>
      <c r="G449" s="33" t="s">
        <v>9</v>
      </c>
      <c r="H449" s="33" t="n">
        <v>10</v>
      </c>
    </row>
    <row r="450" customFormat="false" ht="54" hidden="false" customHeight="true" outlineLevel="0" collapsed="false">
      <c r="A450" s="32" t="s">
        <v>10009</v>
      </c>
      <c r="B450" s="32" t="s">
        <v>1731</v>
      </c>
      <c r="C450" s="33" t="s">
        <v>57</v>
      </c>
      <c r="D450" s="33" t="s">
        <v>57</v>
      </c>
      <c r="E450" s="33" t="s">
        <v>81</v>
      </c>
      <c r="F450" s="33" t="s">
        <v>10010</v>
      </c>
      <c r="G450" s="33" t="s">
        <v>9</v>
      </c>
      <c r="H450" s="33" t="n">
        <v>10</v>
      </c>
    </row>
    <row r="451" customFormat="false" ht="54" hidden="false" customHeight="true" outlineLevel="0" collapsed="false">
      <c r="A451" s="32" t="s">
        <v>10011</v>
      </c>
      <c r="B451" s="32" t="s">
        <v>1731</v>
      </c>
      <c r="C451" s="33" t="s">
        <v>57</v>
      </c>
      <c r="D451" s="33" t="s">
        <v>57</v>
      </c>
      <c r="E451" s="33" t="s">
        <v>81</v>
      </c>
      <c r="F451" s="33" t="s">
        <v>10012</v>
      </c>
      <c r="G451" s="33" t="s">
        <v>9</v>
      </c>
      <c r="H451" s="33" t="n">
        <v>10</v>
      </c>
    </row>
    <row r="452" customFormat="false" ht="54" hidden="false" customHeight="true" outlineLevel="0" collapsed="false">
      <c r="A452" s="32" t="s">
        <v>10013</v>
      </c>
      <c r="B452" s="32" t="s">
        <v>1731</v>
      </c>
      <c r="C452" s="33" t="s">
        <v>57</v>
      </c>
      <c r="D452" s="33" t="s">
        <v>57</v>
      </c>
      <c r="E452" s="33" t="s">
        <v>82</v>
      </c>
      <c r="F452" s="33" t="s">
        <v>1738</v>
      </c>
      <c r="G452" s="33" t="s">
        <v>9</v>
      </c>
      <c r="H452" s="33" t="n">
        <v>10</v>
      </c>
    </row>
    <row r="453" customFormat="false" ht="54" hidden="false" customHeight="true" outlineLevel="0" collapsed="false">
      <c r="A453" s="32" t="s">
        <v>10014</v>
      </c>
      <c r="B453" s="32" t="s">
        <v>1743</v>
      </c>
      <c r="C453" s="33" t="s">
        <v>57</v>
      </c>
      <c r="D453" s="33" t="s">
        <v>57</v>
      </c>
      <c r="E453" s="33" t="s">
        <v>80</v>
      </c>
      <c r="F453" s="33" t="s">
        <v>1747</v>
      </c>
      <c r="G453" s="33" t="s">
        <v>9</v>
      </c>
      <c r="H453" s="33" t="n">
        <v>10</v>
      </c>
    </row>
    <row r="454" customFormat="false" ht="54" hidden="false" customHeight="true" outlineLevel="0" collapsed="false">
      <c r="A454" s="32" t="s">
        <v>10015</v>
      </c>
      <c r="B454" s="32" t="s">
        <v>1743</v>
      </c>
      <c r="C454" s="33" t="s">
        <v>57</v>
      </c>
      <c r="D454" s="33" t="s">
        <v>57</v>
      </c>
      <c r="E454" s="33" t="s">
        <v>81</v>
      </c>
      <c r="F454" s="33" t="s">
        <v>1747</v>
      </c>
      <c r="G454" s="33" t="s">
        <v>9</v>
      </c>
      <c r="H454" s="33" t="n">
        <v>10</v>
      </c>
    </row>
    <row r="455" customFormat="false" ht="54" hidden="false" customHeight="true" outlineLevel="0" collapsed="false">
      <c r="A455" s="32" t="s">
        <v>10016</v>
      </c>
      <c r="B455" s="32" t="s">
        <v>1743</v>
      </c>
      <c r="C455" s="33" t="s">
        <v>57</v>
      </c>
      <c r="D455" s="33" t="s">
        <v>57</v>
      </c>
      <c r="E455" s="33" t="s">
        <v>81</v>
      </c>
      <c r="F455" s="33" t="s">
        <v>1748</v>
      </c>
      <c r="G455" s="33" t="s">
        <v>9</v>
      </c>
      <c r="H455" s="33" t="n">
        <v>10</v>
      </c>
    </row>
    <row r="456" customFormat="false" ht="54" hidden="false" customHeight="true" outlineLevel="0" collapsed="false">
      <c r="A456" s="32" t="s">
        <v>10017</v>
      </c>
      <c r="B456" s="32" t="s">
        <v>1743</v>
      </c>
      <c r="C456" s="33" t="s">
        <v>57</v>
      </c>
      <c r="D456" s="33" t="s">
        <v>57</v>
      </c>
      <c r="E456" s="33" t="s">
        <v>82</v>
      </c>
      <c r="F456" s="33" t="s">
        <v>1749</v>
      </c>
      <c r="G456" s="33" t="s">
        <v>9</v>
      </c>
      <c r="H456" s="33" t="n">
        <v>10</v>
      </c>
    </row>
    <row r="457" customFormat="false" ht="54" hidden="false" customHeight="true" outlineLevel="0" collapsed="false">
      <c r="A457" s="32" t="s">
        <v>10018</v>
      </c>
      <c r="B457" s="32" t="s">
        <v>1755</v>
      </c>
      <c r="C457" s="33" t="s">
        <v>57</v>
      </c>
      <c r="D457" s="33" t="s">
        <v>57</v>
      </c>
      <c r="E457" s="33" t="s">
        <v>82</v>
      </c>
      <c r="F457" s="33" t="s">
        <v>1761</v>
      </c>
      <c r="G457" s="33" t="s">
        <v>9</v>
      </c>
      <c r="H457" s="33" t="n">
        <v>10</v>
      </c>
    </row>
    <row r="458" customFormat="false" ht="54" hidden="false" customHeight="true" outlineLevel="0" collapsed="false">
      <c r="A458" s="32" t="s">
        <v>10019</v>
      </c>
      <c r="B458" s="32" t="s">
        <v>1775</v>
      </c>
      <c r="C458" s="33" t="s">
        <v>57</v>
      </c>
      <c r="D458" s="33" t="s">
        <v>57</v>
      </c>
      <c r="E458" s="33" t="s">
        <v>82</v>
      </c>
      <c r="F458" s="33" t="s">
        <v>1781</v>
      </c>
      <c r="G458" s="33" t="s">
        <v>9</v>
      </c>
      <c r="H458" s="33" t="n">
        <v>10</v>
      </c>
    </row>
    <row r="459" customFormat="false" ht="54" hidden="false" customHeight="true" outlineLevel="0" collapsed="false">
      <c r="A459" s="32" t="s">
        <v>10020</v>
      </c>
      <c r="B459" s="32" t="s">
        <v>1784</v>
      </c>
      <c r="C459" s="33" t="s">
        <v>57</v>
      </c>
      <c r="D459" s="33" t="s">
        <v>57</v>
      </c>
      <c r="E459" s="33" t="s">
        <v>81</v>
      </c>
      <c r="F459" s="33" t="s">
        <v>1788</v>
      </c>
      <c r="G459" s="33" t="s">
        <v>9</v>
      </c>
      <c r="H459" s="33" t="n">
        <v>10</v>
      </c>
    </row>
    <row r="460" customFormat="false" ht="54" hidden="false" customHeight="true" outlineLevel="0" collapsed="false">
      <c r="A460" s="32" t="s">
        <v>10021</v>
      </c>
      <c r="B460" s="32" t="s">
        <v>1784</v>
      </c>
      <c r="C460" s="33" t="s">
        <v>57</v>
      </c>
      <c r="D460" s="33" t="s">
        <v>57</v>
      </c>
      <c r="E460" s="33" t="s">
        <v>81</v>
      </c>
      <c r="F460" s="33" t="s">
        <v>1789</v>
      </c>
      <c r="G460" s="33" t="s">
        <v>9</v>
      </c>
      <c r="H460" s="33" t="n">
        <v>10</v>
      </c>
    </row>
    <row r="461" customFormat="false" ht="54" hidden="false" customHeight="true" outlineLevel="0" collapsed="false">
      <c r="A461" s="32" t="s">
        <v>10022</v>
      </c>
      <c r="B461" s="32" t="s">
        <v>1784</v>
      </c>
      <c r="C461" s="33" t="s">
        <v>57</v>
      </c>
      <c r="D461" s="33" t="s">
        <v>57</v>
      </c>
      <c r="E461" s="33" t="s">
        <v>81</v>
      </c>
      <c r="F461" s="33" t="s">
        <v>1792</v>
      </c>
      <c r="G461" s="33" t="s">
        <v>9</v>
      </c>
      <c r="H461" s="33" t="n">
        <v>10</v>
      </c>
    </row>
    <row r="462" customFormat="false" ht="54" hidden="false" customHeight="true" outlineLevel="0" collapsed="false">
      <c r="A462" s="32" t="s">
        <v>10023</v>
      </c>
      <c r="B462" s="32" t="s">
        <v>1813</v>
      </c>
      <c r="C462" s="33" t="s">
        <v>57</v>
      </c>
      <c r="D462" s="33" t="s">
        <v>57</v>
      </c>
      <c r="E462" s="33" t="s">
        <v>82</v>
      </c>
      <c r="F462" s="33" t="s">
        <v>10024</v>
      </c>
      <c r="G462" s="33" t="s">
        <v>9</v>
      </c>
      <c r="H462" s="33" t="n">
        <v>10</v>
      </c>
    </row>
    <row r="463" customFormat="false" ht="54" hidden="false" customHeight="true" outlineLevel="0" collapsed="false">
      <c r="A463" s="32" t="s">
        <v>10025</v>
      </c>
      <c r="B463" s="32" t="s">
        <v>1813</v>
      </c>
      <c r="C463" s="33" t="s">
        <v>57</v>
      </c>
      <c r="D463" s="33" t="s">
        <v>57</v>
      </c>
      <c r="E463" s="33" t="s">
        <v>82</v>
      </c>
      <c r="F463" s="33" t="s">
        <v>10026</v>
      </c>
      <c r="G463" s="33" t="s">
        <v>9</v>
      </c>
      <c r="H463" s="33" t="n">
        <v>10</v>
      </c>
    </row>
    <row r="464" customFormat="false" ht="54" hidden="false" customHeight="true" outlineLevel="0" collapsed="false">
      <c r="A464" s="32" t="s">
        <v>10027</v>
      </c>
      <c r="B464" s="32" t="s">
        <v>1831</v>
      </c>
      <c r="C464" s="33" t="s">
        <v>57</v>
      </c>
      <c r="D464" s="33" t="s">
        <v>57</v>
      </c>
      <c r="E464" s="33" t="s">
        <v>82</v>
      </c>
      <c r="F464" s="33" t="s">
        <v>1838</v>
      </c>
      <c r="G464" s="33" t="s">
        <v>9</v>
      </c>
      <c r="H464" s="33" t="n">
        <v>10</v>
      </c>
    </row>
    <row r="465" customFormat="false" ht="54" hidden="false" customHeight="true" outlineLevel="0" collapsed="false">
      <c r="A465" s="32" t="s">
        <v>10028</v>
      </c>
      <c r="B465" s="32" t="s">
        <v>1874</v>
      </c>
      <c r="C465" s="33" t="s">
        <v>57</v>
      </c>
      <c r="D465" s="33" t="s">
        <v>57</v>
      </c>
      <c r="E465" s="33" t="s">
        <v>81</v>
      </c>
      <c r="F465" s="33" t="s">
        <v>1879</v>
      </c>
      <c r="G465" s="33" t="s">
        <v>9</v>
      </c>
      <c r="H465" s="33" t="n">
        <v>10</v>
      </c>
    </row>
    <row r="466" customFormat="false" ht="54" hidden="false" customHeight="true" outlineLevel="0" collapsed="false">
      <c r="A466" s="32" t="s">
        <v>10029</v>
      </c>
      <c r="B466" s="32" t="s">
        <v>1874</v>
      </c>
      <c r="C466" s="33" t="s">
        <v>57</v>
      </c>
      <c r="D466" s="33" t="s">
        <v>57</v>
      </c>
      <c r="E466" s="33" t="s">
        <v>82</v>
      </c>
      <c r="F466" s="33" t="s">
        <v>10030</v>
      </c>
      <c r="G466" s="33" t="s">
        <v>9</v>
      </c>
      <c r="H466" s="33" t="n">
        <v>10</v>
      </c>
    </row>
    <row r="467" customFormat="false" ht="54" hidden="false" customHeight="true" outlineLevel="0" collapsed="false">
      <c r="A467" s="32" t="s">
        <v>10031</v>
      </c>
      <c r="B467" s="32" t="s">
        <v>1874</v>
      </c>
      <c r="C467" s="33" t="s">
        <v>57</v>
      </c>
      <c r="D467" s="33" t="s">
        <v>57</v>
      </c>
      <c r="E467" s="33" t="s">
        <v>82</v>
      </c>
      <c r="F467" s="33" t="s">
        <v>1879</v>
      </c>
      <c r="G467" s="33" t="s">
        <v>9</v>
      </c>
      <c r="H467" s="33" t="n">
        <v>10</v>
      </c>
    </row>
    <row r="468" customFormat="false" ht="54" hidden="false" customHeight="true" outlineLevel="0" collapsed="false">
      <c r="A468" s="32" t="s">
        <v>10032</v>
      </c>
      <c r="B468" s="32" t="s">
        <v>1882</v>
      </c>
      <c r="C468" s="33" t="s">
        <v>57</v>
      </c>
      <c r="D468" s="33" t="s">
        <v>57</v>
      </c>
      <c r="E468" s="33" t="s">
        <v>81</v>
      </c>
      <c r="F468" s="33" t="s">
        <v>1888</v>
      </c>
      <c r="G468" s="33" t="s">
        <v>9</v>
      </c>
      <c r="H468" s="33" t="n">
        <v>10</v>
      </c>
    </row>
    <row r="469" customFormat="false" ht="54" hidden="false" customHeight="true" outlineLevel="0" collapsed="false">
      <c r="A469" s="32" t="s">
        <v>10033</v>
      </c>
      <c r="B469" s="32" t="s">
        <v>1882</v>
      </c>
      <c r="C469" s="33" t="s">
        <v>57</v>
      </c>
      <c r="D469" s="33" t="s">
        <v>57</v>
      </c>
      <c r="E469" s="33" t="s">
        <v>81</v>
      </c>
      <c r="F469" s="33" t="s">
        <v>1893</v>
      </c>
      <c r="G469" s="33" t="s">
        <v>9</v>
      </c>
      <c r="H469" s="33" t="n">
        <v>10</v>
      </c>
    </row>
    <row r="470" customFormat="false" ht="54" hidden="false" customHeight="true" outlineLevel="0" collapsed="false">
      <c r="A470" s="32" t="s">
        <v>10034</v>
      </c>
      <c r="B470" s="32" t="s">
        <v>1882</v>
      </c>
      <c r="C470" s="33" t="s">
        <v>57</v>
      </c>
      <c r="D470" s="33" t="s">
        <v>57</v>
      </c>
      <c r="E470" s="33" t="s">
        <v>81</v>
      </c>
      <c r="F470" s="33" t="s">
        <v>10035</v>
      </c>
      <c r="G470" s="33" t="s">
        <v>9</v>
      </c>
      <c r="H470" s="33" t="n">
        <v>10</v>
      </c>
    </row>
    <row r="471" customFormat="false" ht="54" hidden="false" customHeight="true" outlineLevel="0" collapsed="false">
      <c r="A471" s="32" t="s">
        <v>10036</v>
      </c>
      <c r="B471" s="32" t="s">
        <v>1882</v>
      </c>
      <c r="C471" s="33" t="s">
        <v>57</v>
      </c>
      <c r="D471" s="33" t="s">
        <v>57</v>
      </c>
      <c r="E471" s="33" t="s">
        <v>82</v>
      </c>
      <c r="F471" s="33" t="s">
        <v>1893</v>
      </c>
      <c r="G471" s="33" t="s">
        <v>9</v>
      </c>
      <c r="H471" s="33" t="n">
        <v>10</v>
      </c>
    </row>
    <row r="472" customFormat="false" ht="54" hidden="false" customHeight="true" outlineLevel="0" collapsed="false">
      <c r="A472" s="32" t="s">
        <v>10037</v>
      </c>
      <c r="B472" s="32" t="s">
        <v>1882</v>
      </c>
      <c r="C472" s="33" t="s">
        <v>57</v>
      </c>
      <c r="D472" s="33" t="s">
        <v>57</v>
      </c>
      <c r="E472" s="33" t="s">
        <v>84</v>
      </c>
      <c r="F472" s="33" t="s">
        <v>1893</v>
      </c>
      <c r="G472" s="33" t="s">
        <v>9</v>
      </c>
      <c r="H472" s="33" t="n">
        <v>10</v>
      </c>
    </row>
    <row r="473" customFormat="false" ht="54" hidden="false" customHeight="true" outlineLevel="0" collapsed="false">
      <c r="A473" s="32" t="s">
        <v>10038</v>
      </c>
      <c r="B473" s="32" t="s">
        <v>1895</v>
      </c>
      <c r="C473" s="33" t="s">
        <v>1407</v>
      </c>
      <c r="D473" s="33" t="s">
        <v>50</v>
      </c>
      <c r="E473" s="33" t="s">
        <v>80</v>
      </c>
      <c r="F473" s="33" t="s">
        <v>1899</v>
      </c>
      <c r="G473" s="33" t="s">
        <v>9</v>
      </c>
      <c r="H473" s="33" t="n">
        <v>10</v>
      </c>
    </row>
    <row r="474" customFormat="false" ht="54" hidden="false" customHeight="true" outlineLevel="0" collapsed="false">
      <c r="A474" s="32" t="s">
        <v>10039</v>
      </c>
      <c r="B474" s="32" t="s">
        <v>1895</v>
      </c>
      <c r="C474" s="33" t="s">
        <v>1407</v>
      </c>
      <c r="D474" s="33" t="s">
        <v>50</v>
      </c>
      <c r="E474" s="33" t="s">
        <v>80</v>
      </c>
      <c r="F474" s="33" t="s">
        <v>1902</v>
      </c>
      <c r="G474" s="33" t="s">
        <v>9</v>
      </c>
      <c r="H474" s="33" t="n">
        <v>10</v>
      </c>
    </row>
    <row r="475" customFormat="false" ht="54" hidden="false" customHeight="true" outlineLevel="0" collapsed="false">
      <c r="A475" s="32" t="s">
        <v>10040</v>
      </c>
      <c r="B475" s="32" t="s">
        <v>1895</v>
      </c>
      <c r="C475" s="33" t="s">
        <v>1407</v>
      </c>
      <c r="D475" s="33" t="s">
        <v>50</v>
      </c>
      <c r="E475" s="33" t="s">
        <v>80</v>
      </c>
      <c r="F475" s="33" t="s">
        <v>1903</v>
      </c>
      <c r="G475" s="33" t="s">
        <v>9</v>
      </c>
      <c r="H475" s="33" t="n">
        <v>10</v>
      </c>
    </row>
    <row r="476" customFormat="false" ht="54" hidden="false" customHeight="true" outlineLevel="0" collapsed="false">
      <c r="A476" s="32" t="s">
        <v>10041</v>
      </c>
      <c r="B476" s="32" t="s">
        <v>1895</v>
      </c>
      <c r="C476" s="33" t="s">
        <v>1407</v>
      </c>
      <c r="D476" s="33" t="s">
        <v>50</v>
      </c>
      <c r="E476" s="33" t="s">
        <v>81</v>
      </c>
      <c r="F476" s="33" t="s">
        <v>1899</v>
      </c>
      <c r="G476" s="33" t="s">
        <v>9</v>
      </c>
      <c r="H476" s="33" t="n">
        <v>10</v>
      </c>
    </row>
    <row r="477" customFormat="false" ht="54" hidden="false" customHeight="true" outlineLevel="0" collapsed="false">
      <c r="A477" s="32" t="s">
        <v>10042</v>
      </c>
      <c r="B477" s="32" t="s">
        <v>1895</v>
      </c>
      <c r="C477" s="33" t="s">
        <v>1407</v>
      </c>
      <c r="D477" s="33" t="s">
        <v>50</v>
      </c>
      <c r="E477" s="33" t="s">
        <v>81</v>
      </c>
      <c r="F477" s="33" t="s">
        <v>1900</v>
      </c>
      <c r="G477" s="33" t="s">
        <v>9</v>
      </c>
      <c r="H477" s="33" t="n">
        <v>10</v>
      </c>
    </row>
    <row r="478" customFormat="false" ht="54" hidden="false" customHeight="true" outlineLevel="0" collapsed="false">
      <c r="A478" s="32" t="s">
        <v>10043</v>
      </c>
      <c r="B478" s="32" t="s">
        <v>1895</v>
      </c>
      <c r="C478" s="33" t="s">
        <v>1407</v>
      </c>
      <c r="D478" s="33" t="s">
        <v>50</v>
      </c>
      <c r="E478" s="33" t="s">
        <v>82</v>
      </c>
      <c r="F478" s="33" t="s">
        <v>1901</v>
      </c>
      <c r="G478" s="33" t="s">
        <v>9</v>
      </c>
      <c r="H478" s="33" t="n">
        <v>10</v>
      </c>
    </row>
    <row r="479" customFormat="false" ht="54" hidden="false" customHeight="true" outlineLevel="0" collapsed="false">
      <c r="A479" s="32" t="s">
        <v>10044</v>
      </c>
      <c r="B479" s="32" t="s">
        <v>1895</v>
      </c>
      <c r="C479" s="33" t="s">
        <v>1407</v>
      </c>
      <c r="D479" s="33" t="s">
        <v>50</v>
      </c>
      <c r="E479" s="33" t="s">
        <v>82</v>
      </c>
      <c r="F479" s="33" t="s">
        <v>1902</v>
      </c>
      <c r="G479" s="33" t="s">
        <v>9</v>
      </c>
      <c r="H479" s="33" t="n">
        <v>10</v>
      </c>
    </row>
    <row r="480" customFormat="false" ht="54" hidden="false" customHeight="true" outlineLevel="0" collapsed="false">
      <c r="A480" s="32" t="s">
        <v>10045</v>
      </c>
      <c r="B480" s="32" t="s">
        <v>1895</v>
      </c>
      <c r="C480" s="33" t="s">
        <v>1407</v>
      </c>
      <c r="D480" s="33" t="s">
        <v>50</v>
      </c>
      <c r="E480" s="33" t="s">
        <v>84</v>
      </c>
      <c r="F480" s="33" t="s">
        <v>1902</v>
      </c>
      <c r="G480" s="33" t="s">
        <v>9</v>
      </c>
      <c r="H480" s="33" t="n">
        <v>10</v>
      </c>
    </row>
    <row r="481" customFormat="false" ht="54" hidden="false" customHeight="true" outlineLevel="0" collapsed="false">
      <c r="A481" s="32" t="s">
        <v>10046</v>
      </c>
      <c r="B481" s="32" t="s">
        <v>1919</v>
      </c>
      <c r="C481" s="33" t="s">
        <v>57</v>
      </c>
      <c r="D481" s="33" t="s">
        <v>57</v>
      </c>
      <c r="E481" s="33" t="s">
        <v>81</v>
      </c>
      <c r="F481" s="33" t="s">
        <v>1926</v>
      </c>
      <c r="G481" s="33" t="s">
        <v>9</v>
      </c>
      <c r="H481" s="33" t="n">
        <v>10</v>
      </c>
    </row>
    <row r="482" customFormat="false" ht="54" hidden="false" customHeight="true" outlineLevel="0" collapsed="false">
      <c r="A482" s="32" t="s">
        <v>10047</v>
      </c>
      <c r="B482" s="32" t="s">
        <v>1919</v>
      </c>
      <c r="C482" s="33" t="s">
        <v>57</v>
      </c>
      <c r="D482" s="33" t="s">
        <v>57</v>
      </c>
      <c r="E482" s="33" t="s">
        <v>82</v>
      </c>
      <c r="F482" s="33" t="s">
        <v>1926</v>
      </c>
      <c r="G482" s="33" t="s">
        <v>9</v>
      </c>
      <c r="H482" s="33" t="n">
        <v>10</v>
      </c>
    </row>
    <row r="483" customFormat="false" ht="54" hidden="false" customHeight="true" outlineLevel="0" collapsed="false">
      <c r="A483" s="32" t="s">
        <v>10048</v>
      </c>
      <c r="B483" s="32" t="s">
        <v>1931</v>
      </c>
      <c r="C483" s="33" t="s">
        <v>57</v>
      </c>
      <c r="D483" s="33" t="s">
        <v>57</v>
      </c>
      <c r="E483" s="33" t="s">
        <v>82</v>
      </c>
      <c r="F483" s="33" t="s">
        <v>1936</v>
      </c>
      <c r="G483" s="33" t="s">
        <v>9</v>
      </c>
      <c r="H483" s="33" t="n">
        <v>10</v>
      </c>
    </row>
    <row r="484" customFormat="false" ht="54" hidden="false" customHeight="true" outlineLevel="0" collapsed="false">
      <c r="A484" s="32" t="s">
        <v>10049</v>
      </c>
      <c r="B484" s="32" t="s">
        <v>1939</v>
      </c>
      <c r="C484" s="33" t="s">
        <v>57</v>
      </c>
      <c r="D484" s="33" t="s">
        <v>57</v>
      </c>
      <c r="E484" s="33" t="s">
        <v>82</v>
      </c>
      <c r="F484" s="33" t="s">
        <v>1945</v>
      </c>
      <c r="G484" s="33" t="s">
        <v>9</v>
      </c>
      <c r="H484" s="33" t="n">
        <v>10</v>
      </c>
    </row>
    <row r="485" customFormat="false" ht="54" hidden="false" customHeight="true" outlineLevel="0" collapsed="false">
      <c r="A485" s="32" t="s">
        <v>10050</v>
      </c>
      <c r="B485" s="32" t="s">
        <v>1960</v>
      </c>
      <c r="C485" s="33" t="s">
        <v>1407</v>
      </c>
      <c r="D485" s="33" t="s">
        <v>50</v>
      </c>
      <c r="E485" s="33" t="s">
        <v>81</v>
      </c>
      <c r="F485" s="33" t="s">
        <v>1967</v>
      </c>
      <c r="G485" s="33" t="s">
        <v>9</v>
      </c>
      <c r="H485" s="33" t="n">
        <v>10</v>
      </c>
    </row>
    <row r="486" customFormat="false" ht="54" hidden="false" customHeight="true" outlineLevel="0" collapsed="false">
      <c r="A486" s="32" t="s">
        <v>10051</v>
      </c>
      <c r="B486" s="32" t="s">
        <v>1971</v>
      </c>
      <c r="C486" s="33" t="s">
        <v>57</v>
      </c>
      <c r="D486" s="33" t="s">
        <v>57</v>
      </c>
      <c r="E486" s="33" t="s">
        <v>82</v>
      </c>
      <c r="F486" s="33" t="s">
        <v>1976</v>
      </c>
      <c r="G486" s="33" t="s">
        <v>9</v>
      </c>
      <c r="H486" s="33" t="n">
        <v>10</v>
      </c>
    </row>
    <row r="487" customFormat="false" ht="54" hidden="false" customHeight="true" outlineLevel="0" collapsed="false">
      <c r="A487" s="32" t="s">
        <v>10052</v>
      </c>
      <c r="B487" s="32" t="s">
        <v>1978</v>
      </c>
      <c r="C487" s="33" t="s">
        <v>1407</v>
      </c>
      <c r="D487" s="33" t="s">
        <v>50</v>
      </c>
      <c r="E487" s="33" t="s">
        <v>80</v>
      </c>
      <c r="F487" s="33" t="s">
        <v>1594</v>
      </c>
      <c r="G487" s="33" t="s">
        <v>9</v>
      </c>
      <c r="H487" s="33" t="n">
        <v>10</v>
      </c>
    </row>
    <row r="488" customFormat="false" ht="54" hidden="false" customHeight="true" outlineLevel="0" collapsed="false">
      <c r="A488" s="32" t="s">
        <v>10053</v>
      </c>
      <c r="B488" s="32" t="s">
        <v>1978</v>
      </c>
      <c r="C488" s="33" t="s">
        <v>1407</v>
      </c>
      <c r="D488" s="33" t="s">
        <v>50</v>
      </c>
      <c r="E488" s="33" t="s">
        <v>80</v>
      </c>
      <c r="F488" s="33" t="s">
        <v>1988</v>
      </c>
      <c r="G488" s="33" t="s">
        <v>9</v>
      </c>
      <c r="H488" s="33" t="n">
        <v>10</v>
      </c>
    </row>
    <row r="489" customFormat="false" ht="54" hidden="false" customHeight="true" outlineLevel="0" collapsed="false">
      <c r="A489" s="32" t="s">
        <v>10054</v>
      </c>
      <c r="B489" s="32" t="s">
        <v>1978</v>
      </c>
      <c r="C489" s="33" t="s">
        <v>1407</v>
      </c>
      <c r="D489" s="33" t="s">
        <v>50</v>
      </c>
      <c r="E489" s="33" t="s">
        <v>81</v>
      </c>
      <c r="F489" s="33" t="s">
        <v>1594</v>
      </c>
      <c r="G489" s="33" t="s">
        <v>9</v>
      </c>
      <c r="H489" s="33" t="n">
        <v>10</v>
      </c>
    </row>
    <row r="490" customFormat="false" ht="54" hidden="false" customHeight="true" outlineLevel="0" collapsed="false">
      <c r="A490" s="32" t="s">
        <v>10055</v>
      </c>
      <c r="B490" s="32" t="s">
        <v>1978</v>
      </c>
      <c r="C490" s="33" t="s">
        <v>1407</v>
      </c>
      <c r="D490" s="33" t="s">
        <v>50</v>
      </c>
      <c r="E490" s="33" t="s">
        <v>81</v>
      </c>
      <c r="F490" s="33" t="s">
        <v>6715</v>
      </c>
      <c r="G490" s="33" t="s">
        <v>9</v>
      </c>
      <c r="H490" s="33" t="n">
        <v>10</v>
      </c>
    </row>
    <row r="491" customFormat="false" ht="54" hidden="false" customHeight="true" outlineLevel="0" collapsed="false">
      <c r="A491" s="32" t="s">
        <v>10056</v>
      </c>
      <c r="B491" s="32" t="s">
        <v>1978</v>
      </c>
      <c r="C491" s="33" t="s">
        <v>1407</v>
      </c>
      <c r="D491" s="33" t="s">
        <v>50</v>
      </c>
      <c r="E491" s="33" t="s">
        <v>82</v>
      </c>
      <c r="F491" s="33" t="s">
        <v>1612</v>
      </c>
      <c r="G491" s="33" t="s">
        <v>9</v>
      </c>
      <c r="H491" s="33" t="n">
        <v>10</v>
      </c>
    </row>
    <row r="492" customFormat="false" ht="54" hidden="false" customHeight="true" outlineLevel="0" collapsed="false">
      <c r="A492" s="32" t="s">
        <v>10057</v>
      </c>
      <c r="B492" s="32" t="s">
        <v>1978</v>
      </c>
      <c r="C492" s="33" t="s">
        <v>1407</v>
      </c>
      <c r="D492" s="33" t="s">
        <v>50</v>
      </c>
      <c r="E492" s="33" t="s">
        <v>82</v>
      </c>
      <c r="F492" s="33" t="s">
        <v>10058</v>
      </c>
      <c r="G492" s="33" t="s">
        <v>9</v>
      </c>
      <c r="H492" s="33" t="n">
        <v>10</v>
      </c>
    </row>
    <row r="493" customFormat="false" ht="54" hidden="false" customHeight="true" outlineLevel="0" collapsed="false">
      <c r="A493" s="32" t="s">
        <v>10059</v>
      </c>
      <c r="B493" s="32" t="s">
        <v>1978</v>
      </c>
      <c r="C493" s="33" t="s">
        <v>1407</v>
      </c>
      <c r="D493" s="33" t="s">
        <v>50</v>
      </c>
      <c r="E493" s="33" t="s">
        <v>82</v>
      </c>
      <c r="F493" s="33" t="s">
        <v>10060</v>
      </c>
      <c r="G493" s="33" t="s">
        <v>9</v>
      </c>
      <c r="H493" s="33" t="n">
        <v>10</v>
      </c>
    </row>
    <row r="494" customFormat="false" ht="54" hidden="false" customHeight="true" outlineLevel="0" collapsed="false">
      <c r="A494" s="32" t="s">
        <v>10061</v>
      </c>
      <c r="B494" s="32" t="s">
        <v>1978</v>
      </c>
      <c r="C494" s="33" t="s">
        <v>1407</v>
      </c>
      <c r="D494" s="33" t="s">
        <v>50</v>
      </c>
      <c r="E494" s="33" t="s">
        <v>82</v>
      </c>
      <c r="F494" s="33" t="s">
        <v>1988</v>
      </c>
      <c r="G494" s="33" t="s">
        <v>9</v>
      </c>
      <c r="H494" s="33" t="n">
        <v>10</v>
      </c>
    </row>
    <row r="495" customFormat="false" ht="54" hidden="false" customHeight="true" outlineLevel="0" collapsed="false">
      <c r="A495" s="32" t="s">
        <v>10062</v>
      </c>
      <c r="B495" s="32" t="s">
        <v>1978</v>
      </c>
      <c r="C495" s="33" t="s">
        <v>1407</v>
      </c>
      <c r="D495" s="33" t="s">
        <v>50</v>
      </c>
      <c r="E495" s="33" t="s">
        <v>84</v>
      </c>
      <c r="F495" s="33" t="s">
        <v>1988</v>
      </c>
      <c r="G495" s="33" t="s">
        <v>9</v>
      </c>
      <c r="H495" s="33" t="n">
        <v>10</v>
      </c>
    </row>
    <row r="496" customFormat="false" ht="54" hidden="false" customHeight="true" outlineLevel="0" collapsed="false">
      <c r="A496" s="32" t="s">
        <v>10063</v>
      </c>
      <c r="B496" s="32" t="s">
        <v>1990</v>
      </c>
      <c r="C496" s="33" t="s">
        <v>57</v>
      </c>
      <c r="D496" s="33" t="s">
        <v>57</v>
      </c>
      <c r="E496" s="33" t="s">
        <v>82</v>
      </c>
      <c r="F496" s="33" t="s">
        <v>1995</v>
      </c>
      <c r="G496" s="33" t="s">
        <v>9</v>
      </c>
      <c r="H496" s="33" t="n">
        <v>10</v>
      </c>
    </row>
    <row r="497" customFormat="false" ht="54" hidden="false" customHeight="true" outlineLevel="0" collapsed="false">
      <c r="A497" s="32" t="s">
        <v>10064</v>
      </c>
      <c r="B497" s="32" t="s">
        <v>1998</v>
      </c>
      <c r="C497" s="33" t="s">
        <v>57</v>
      </c>
      <c r="D497" s="33" t="s">
        <v>57</v>
      </c>
      <c r="E497" s="33" t="s">
        <v>82</v>
      </c>
      <c r="F497" s="33" t="s">
        <v>2002</v>
      </c>
      <c r="G497" s="33" t="s">
        <v>9</v>
      </c>
      <c r="H497" s="33" t="n">
        <v>10</v>
      </c>
    </row>
    <row r="498" customFormat="false" ht="54" hidden="false" customHeight="true" outlineLevel="0" collapsed="false">
      <c r="A498" s="32" t="s">
        <v>10065</v>
      </c>
      <c r="B498" s="32" t="s">
        <v>2004</v>
      </c>
      <c r="C498" s="33" t="s">
        <v>57</v>
      </c>
      <c r="D498" s="33" t="s">
        <v>57</v>
      </c>
      <c r="E498" s="33" t="s">
        <v>82</v>
      </c>
      <c r="F498" s="33" t="s">
        <v>2009</v>
      </c>
      <c r="G498" s="33" t="s">
        <v>9</v>
      </c>
      <c r="H498" s="33" t="n">
        <v>10</v>
      </c>
    </row>
    <row r="499" customFormat="false" ht="54" hidden="false" customHeight="true" outlineLevel="0" collapsed="false">
      <c r="A499" s="32" t="s">
        <v>10066</v>
      </c>
      <c r="B499" s="32" t="s">
        <v>2004</v>
      </c>
      <c r="C499" s="33" t="s">
        <v>57</v>
      </c>
      <c r="D499" s="33" t="s">
        <v>57</v>
      </c>
      <c r="E499" s="33" t="s">
        <v>82</v>
      </c>
      <c r="F499" s="33" t="s">
        <v>2010</v>
      </c>
      <c r="G499" s="33" t="s">
        <v>9</v>
      </c>
      <c r="H499" s="33" t="n">
        <v>10</v>
      </c>
    </row>
    <row r="500" customFormat="false" ht="54" hidden="false" customHeight="true" outlineLevel="0" collapsed="false">
      <c r="A500" s="32" t="s">
        <v>10067</v>
      </c>
      <c r="B500" s="32" t="s">
        <v>2004</v>
      </c>
      <c r="C500" s="33" t="s">
        <v>57</v>
      </c>
      <c r="D500" s="33" t="s">
        <v>57</v>
      </c>
      <c r="E500" s="33" t="s">
        <v>82</v>
      </c>
      <c r="F500" s="33" t="s">
        <v>2012</v>
      </c>
      <c r="G500" s="33" t="s">
        <v>9</v>
      </c>
      <c r="H500" s="33" t="n">
        <v>10</v>
      </c>
    </row>
    <row r="501" customFormat="false" ht="54" hidden="false" customHeight="true" outlineLevel="0" collapsed="false">
      <c r="A501" s="32" t="s">
        <v>10068</v>
      </c>
      <c r="B501" s="32" t="s">
        <v>2024</v>
      </c>
      <c r="C501" s="33" t="s">
        <v>57</v>
      </c>
      <c r="D501" s="33" t="s">
        <v>57</v>
      </c>
      <c r="E501" s="33" t="s">
        <v>80</v>
      </c>
      <c r="F501" s="33" t="s">
        <v>1594</v>
      </c>
      <c r="G501" s="33" t="s">
        <v>9</v>
      </c>
      <c r="H501" s="33" t="n">
        <v>10</v>
      </c>
    </row>
    <row r="502" customFormat="false" ht="54" hidden="false" customHeight="true" outlineLevel="0" collapsed="false">
      <c r="A502" s="32" t="s">
        <v>10069</v>
      </c>
      <c r="B502" s="32" t="s">
        <v>2024</v>
      </c>
      <c r="C502" s="33" t="s">
        <v>57</v>
      </c>
      <c r="D502" s="33" t="s">
        <v>57</v>
      </c>
      <c r="E502" s="33" t="s">
        <v>80</v>
      </c>
      <c r="F502" s="33" t="s">
        <v>2031</v>
      </c>
      <c r="G502" s="33" t="s">
        <v>9</v>
      </c>
      <c r="H502" s="33" t="n">
        <v>10</v>
      </c>
    </row>
    <row r="503" customFormat="false" ht="54" hidden="false" customHeight="true" outlineLevel="0" collapsed="false">
      <c r="A503" s="32" t="s">
        <v>10070</v>
      </c>
      <c r="B503" s="32" t="s">
        <v>2024</v>
      </c>
      <c r="C503" s="33" t="s">
        <v>57</v>
      </c>
      <c r="D503" s="33" t="s">
        <v>57</v>
      </c>
      <c r="E503" s="33" t="s">
        <v>81</v>
      </c>
      <c r="F503" s="33" t="s">
        <v>1594</v>
      </c>
      <c r="G503" s="33" t="s">
        <v>9</v>
      </c>
      <c r="H503" s="33" t="n">
        <v>10</v>
      </c>
    </row>
    <row r="504" customFormat="false" ht="54" hidden="false" customHeight="true" outlineLevel="0" collapsed="false">
      <c r="A504" s="32" t="s">
        <v>10071</v>
      </c>
      <c r="B504" s="32" t="s">
        <v>2034</v>
      </c>
      <c r="C504" s="33" t="s">
        <v>1407</v>
      </c>
      <c r="D504" s="33" t="s">
        <v>50</v>
      </c>
      <c r="E504" s="33" t="s">
        <v>82</v>
      </c>
      <c r="F504" s="33" t="s">
        <v>2041</v>
      </c>
      <c r="G504" s="33" t="s">
        <v>9</v>
      </c>
      <c r="H504" s="33" t="n">
        <v>10</v>
      </c>
    </row>
    <row r="505" customFormat="false" ht="54" hidden="false" customHeight="true" outlineLevel="0" collapsed="false">
      <c r="A505" s="32" t="s">
        <v>10072</v>
      </c>
      <c r="B505" s="32" t="s">
        <v>2034</v>
      </c>
      <c r="C505" s="33" t="s">
        <v>1407</v>
      </c>
      <c r="D505" s="33" t="s">
        <v>50</v>
      </c>
      <c r="E505" s="33" t="s">
        <v>82</v>
      </c>
      <c r="F505" s="33" t="s">
        <v>10073</v>
      </c>
      <c r="G505" s="33" t="s">
        <v>9</v>
      </c>
      <c r="H505" s="33" t="n">
        <v>10</v>
      </c>
    </row>
    <row r="506" customFormat="false" ht="54" hidden="false" customHeight="true" outlineLevel="0" collapsed="false">
      <c r="A506" s="32" t="s">
        <v>10074</v>
      </c>
      <c r="B506" s="32" t="s">
        <v>2047</v>
      </c>
      <c r="C506" s="33" t="s">
        <v>57</v>
      </c>
      <c r="D506" s="33" t="s">
        <v>57</v>
      </c>
      <c r="E506" s="33" t="s">
        <v>82</v>
      </c>
      <c r="F506" s="33" t="s">
        <v>2052</v>
      </c>
      <c r="G506" s="33" t="s">
        <v>9</v>
      </c>
      <c r="H506" s="33" t="n">
        <v>10</v>
      </c>
    </row>
    <row r="507" customFormat="false" ht="54" hidden="false" customHeight="true" outlineLevel="0" collapsed="false">
      <c r="A507" s="32" t="s">
        <v>10075</v>
      </c>
      <c r="B507" s="32" t="s">
        <v>2066</v>
      </c>
      <c r="C507" s="33" t="s">
        <v>57</v>
      </c>
      <c r="D507" s="33" t="s">
        <v>57</v>
      </c>
      <c r="E507" s="33" t="s">
        <v>82</v>
      </c>
      <c r="F507" s="33" t="s">
        <v>2070</v>
      </c>
      <c r="G507" s="33" t="s">
        <v>9</v>
      </c>
      <c r="H507" s="33" t="n">
        <v>10</v>
      </c>
    </row>
    <row r="508" customFormat="false" ht="54" hidden="false" customHeight="true" outlineLevel="0" collapsed="false">
      <c r="A508" s="32" t="s">
        <v>10076</v>
      </c>
      <c r="B508" s="32" t="s">
        <v>2073</v>
      </c>
      <c r="C508" s="33" t="s">
        <v>57</v>
      </c>
      <c r="D508" s="33" t="s">
        <v>57</v>
      </c>
      <c r="E508" s="33" t="s">
        <v>82</v>
      </c>
      <c r="F508" s="33" t="s">
        <v>2078</v>
      </c>
      <c r="G508" s="33" t="s">
        <v>9</v>
      </c>
      <c r="H508" s="33" t="n">
        <v>10</v>
      </c>
    </row>
    <row r="509" customFormat="false" ht="54" hidden="false" customHeight="true" outlineLevel="0" collapsed="false">
      <c r="A509" s="32" t="s">
        <v>10077</v>
      </c>
      <c r="B509" s="32" t="s">
        <v>2080</v>
      </c>
      <c r="C509" s="33" t="s">
        <v>57</v>
      </c>
      <c r="D509" s="33" t="s">
        <v>57</v>
      </c>
      <c r="E509" s="33" t="s">
        <v>80</v>
      </c>
      <c r="F509" s="33" t="s">
        <v>1735</v>
      </c>
      <c r="G509" s="33" t="s">
        <v>9</v>
      </c>
      <c r="H509" s="33" t="n">
        <v>10</v>
      </c>
    </row>
    <row r="510" customFormat="false" ht="54" hidden="false" customHeight="true" outlineLevel="0" collapsed="false">
      <c r="A510" s="32" t="s">
        <v>10078</v>
      </c>
      <c r="B510" s="32" t="s">
        <v>2080</v>
      </c>
      <c r="C510" s="33" t="s">
        <v>57</v>
      </c>
      <c r="D510" s="33" t="s">
        <v>57</v>
      </c>
      <c r="E510" s="33" t="s">
        <v>80</v>
      </c>
      <c r="F510" s="33" t="s">
        <v>2085</v>
      </c>
      <c r="G510" s="33" t="s">
        <v>9</v>
      </c>
      <c r="H510" s="33" t="n">
        <v>10</v>
      </c>
    </row>
    <row r="511" customFormat="false" ht="54" hidden="false" customHeight="true" outlineLevel="0" collapsed="false">
      <c r="A511" s="32" t="s">
        <v>10079</v>
      </c>
      <c r="B511" s="32" t="s">
        <v>2080</v>
      </c>
      <c r="C511" s="33" t="s">
        <v>57</v>
      </c>
      <c r="D511" s="33" t="s">
        <v>57</v>
      </c>
      <c r="E511" s="33" t="s">
        <v>80</v>
      </c>
      <c r="F511" s="33" t="s">
        <v>10080</v>
      </c>
      <c r="G511" s="33" t="s">
        <v>9</v>
      </c>
      <c r="H511" s="33" t="n">
        <v>10</v>
      </c>
    </row>
    <row r="512" customFormat="false" ht="54" hidden="false" customHeight="true" outlineLevel="0" collapsed="false">
      <c r="A512" s="32" t="s">
        <v>10081</v>
      </c>
      <c r="B512" s="32" t="s">
        <v>2080</v>
      </c>
      <c r="C512" s="33" t="s">
        <v>57</v>
      </c>
      <c r="D512" s="33" t="s">
        <v>57</v>
      </c>
      <c r="E512" s="33" t="s">
        <v>80</v>
      </c>
      <c r="F512" s="33" t="s">
        <v>10082</v>
      </c>
      <c r="G512" s="33" t="s">
        <v>9</v>
      </c>
      <c r="H512" s="33" t="n">
        <v>10</v>
      </c>
    </row>
    <row r="513" customFormat="false" ht="54" hidden="false" customHeight="true" outlineLevel="0" collapsed="false">
      <c r="A513" s="32" t="s">
        <v>10083</v>
      </c>
      <c r="B513" s="32" t="s">
        <v>2080</v>
      </c>
      <c r="C513" s="33" t="s">
        <v>57</v>
      </c>
      <c r="D513" s="33" t="s">
        <v>57</v>
      </c>
      <c r="E513" s="33" t="s">
        <v>81</v>
      </c>
      <c r="F513" s="33" t="s">
        <v>1735</v>
      </c>
      <c r="G513" s="33" t="s">
        <v>9</v>
      </c>
      <c r="H513" s="33" t="n">
        <v>10</v>
      </c>
    </row>
    <row r="514" customFormat="false" ht="54" hidden="false" customHeight="true" outlineLevel="0" collapsed="false">
      <c r="A514" s="32" t="s">
        <v>10084</v>
      </c>
      <c r="B514" s="32" t="s">
        <v>2080</v>
      </c>
      <c r="C514" s="33" t="s">
        <v>57</v>
      </c>
      <c r="D514" s="33" t="s">
        <v>57</v>
      </c>
      <c r="E514" s="33" t="s">
        <v>82</v>
      </c>
      <c r="F514" s="33" t="s">
        <v>2086</v>
      </c>
      <c r="G514" s="33" t="s">
        <v>9</v>
      </c>
      <c r="H514" s="33" t="n">
        <v>10</v>
      </c>
    </row>
    <row r="515" customFormat="false" ht="54" hidden="false" customHeight="true" outlineLevel="0" collapsed="false">
      <c r="A515" s="32" t="s">
        <v>10085</v>
      </c>
      <c r="B515" s="32" t="s">
        <v>2080</v>
      </c>
      <c r="C515" s="33" t="s">
        <v>57</v>
      </c>
      <c r="D515" s="33" t="s">
        <v>57</v>
      </c>
      <c r="E515" s="33" t="s">
        <v>82</v>
      </c>
      <c r="F515" s="33" t="s">
        <v>10086</v>
      </c>
      <c r="G515" s="33" t="s">
        <v>9</v>
      </c>
      <c r="H515" s="33" t="n">
        <v>10</v>
      </c>
    </row>
    <row r="516" customFormat="false" ht="54" hidden="false" customHeight="true" outlineLevel="0" collapsed="false">
      <c r="A516" s="32" t="s">
        <v>10087</v>
      </c>
      <c r="B516" s="32" t="s">
        <v>2080</v>
      </c>
      <c r="C516" s="33" t="s">
        <v>57</v>
      </c>
      <c r="D516" s="33" t="s">
        <v>57</v>
      </c>
      <c r="E516" s="33" t="s">
        <v>82</v>
      </c>
      <c r="F516" s="33" t="s">
        <v>10082</v>
      </c>
      <c r="G516" s="33" t="s">
        <v>9</v>
      </c>
      <c r="H516" s="33" t="n">
        <v>10</v>
      </c>
    </row>
    <row r="517" customFormat="false" ht="54" hidden="false" customHeight="true" outlineLevel="0" collapsed="false">
      <c r="A517" s="32" t="s">
        <v>10088</v>
      </c>
      <c r="B517" s="32" t="s">
        <v>2080</v>
      </c>
      <c r="C517" s="33" t="s">
        <v>57</v>
      </c>
      <c r="D517" s="33" t="s">
        <v>57</v>
      </c>
      <c r="E517" s="33" t="s">
        <v>84</v>
      </c>
      <c r="F517" s="33" t="s">
        <v>2085</v>
      </c>
      <c r="G517" s="33" t="s">
        <v>9</v>
      </c>
      <c r="H517" s="33" t="n">
        <v>10</v>
      </c>
    </row>
    <row r="518" customFormat="false" ht="54" hidden="false" customHeight="true" outlineLevel="0" collapsed="false">
      <c r="A518" s="32" t="s">
        <v>10089</v>
      </c>
      <c r="B518" s="32" t="s">
        <v>2080</v>
      </c>
      <c r="C518" s="33" t="s">
        <v>57</v>
      </c>
      <c r="D518" s="33" t="s">
        <v>57</v>
      </c>
      <c r="E518" s="33" t="s">
        <v>84</v>
      </c>
      <c r="F518" s="33" t="s">
        <v>10080</v>
      </c>
      <c r="G518" s="33" t="s">
        <v>9</v>
      </c>
      <c r="H518" s="33" t="n">
        <v>10</v>
      </c>
    </row>
    <row r="519" customFormat="false" ht="54" hidden="false" customHeight="true" outlineLevel="0" collapsed="false">
      <c r="A519" s="32" t="s">
        <v>10090</v>
      </c>
      <c r="B519" s="32" t="s">
        <v>2080</v>
      </c>
      <c r="C519" s="33" t="s">
        <v>57</v>
      </c>
      <c r="D519" s="33" t="s">
        <v>57</v>
      </c>
      <c r="E519" s="33" t="s">
        <v>84</v>
      </c>
      <c r="F519" s="33" t="s">
        <v>10082</v>
      </c>
      <c r="G519" s="33" t="s">
        <v>9</v>
      </c>
      <c r="H519" s="33" t="n">
        <v>10</v>
      </c>
    </row>
    <row r="520" customFormat="false" ht="54" hidden="false" customHeight="true" outlineLevel="0" collapsed="false">
      <c r="A520" s="32" t="s">
        <v>10091</v>
      </c>
      <c r="B520" s="32" t="s">
        <v>2104</v>
      </c>
      <c r="C520" s="33" t="s">
        <v>57</v>
      </c>
      <c r="D520" s="33" t="s">
        <v>57</v>
      </c>
      <c r="E520" s="33" t="s">
        <v>82</v>
      </c>
      <c r="F520" s="33" t="s">
        <v>2110</v>
      </c>
      <c r="G520" s="33" t="s">
        <v>9</v>
      </c>
      <c r="H520" s="33" t="n">
        <v>10</v>
      </c>
    </row>
    <row r="521" customFormat="false" ht="54" hidden="false" customHeight="true" outlineLevel="0" collapsed="false">
      <c r="A521" s="32" t="s">
        <v>10092</v>
      </c>
      <c r="B521" s="32" t="s">
        <v>2113</v>
      </c>
      <c r="C521" s="33" t="s">
        <v>57</v>
      </c>
      <c r="D521" s="33" t="s">
        <v>57</v>
      </c>
      <c r="E521" s="33" t="s">
        <v>82</v>
      </c>
      <c r="F521" s="33" t="s">
        <v>2078</v>
      </c>
      <c r="G521" s="33" t="s">
        <v>9</v>
      </c>
      <c r="H521" s="33" t="n">
        <v>10</v>
      </c>
    </row>
    <row r="522" customFormat="false" ht="54" hidden="false" customHeight="true" outlineLevel="0" collapsed="false">
      <c r="A522" s="32" t="s">
        <v>10093</v>
      </c>
      <c r="B522" s="32" t="s">
        <v>2118</v>
      </c>
      <c r="C522" s="33" t="s">
        <v>1407</v>
      </c>
      <c r="D522" s="33" t="s">
        <v>50</v>
      </c>
      <c r="E522" s="33" t="s">
        <v>80</v>
      </c>
      <c r="F522" s="33" t="s">
        <v>2128</v>
      </c>
      <c r="G522" s="33" t="s">
        <v>9</v>
      </c>
      <c r="H522" s="33" t="n">
        <v>10</v>
      </c>
    </row>
    <row r="523" customFormat="false" ht="54" hidden="false" customHeight="true" outlineLevel="0" collapsed="false">
      <c r="A523" s="32" t="s">
        <v>10094</v>
      </c>
      <c r="B523" s="32" t="s">
        <v>2118</v>
      </c>
      <c r="C523" s="33" t="s">
        <v>1407</v>
      </c>
      <c r="D523" s="33" t="s">
        <v>50</v>
      </c>
      <c r="E523" s="33" t="s">
        <v>84</v>
      </c>
      <c r="F523" s="33" t="s">
        <v>2128</v>
      </c>
      <c r="G523" s="33" t="s">
        <v>9</v>
      </c>
      <c r="H523" s="33" t="n">
        <v>10</v>
      </c>
    </row>
    <row r="524" customFormat="false" ht="54" hidden="false" customHeight="true" outlineLevel="0" collapsed="false">
      <c r="A524" s="32" t="s">
        <v>10095</v>
      </c>
      <c r="B524" s="32" t="s">
        <v>2130</v>
      </c>
      <c r="C524" s="33" t="s">
        <v>1407</v>
      </c>
      <c r="D524" s="33" t="s">
        <v>50</v>
      </c>
      <c r="E524" s="33" t="s">
        <v>80</v>
      </c>
      <c r="F524" s="33" t="s">
        <v>2140</v>
      </c>
      <c r="G524" s="33" t="s">
        <v>9</v>
      </c>
      <c r="H524" s="33" t="n">
        <v>10</v>
      </c>
    </row>
    <row r="525" customFormat="false" ht="54" hidden="false" customHeight="true" outlineLevel="0" collapsed="false">
      <c r="A525" s="32" t="s">
        <v>10096</v>
      </c>
      <c r="B525" s="32" t="s">
        <v>2130</v>
      </c>
      <c r="C525" s="33" t="s">
        <v>1407</v>
      </c>
      <c r="D525" s="33" t="s">
        <v>50</v>
      </c>
      <c r="E525" s="33" t="s">
        <v>81</v>
      </c>
      <c r="F525" s="33" t="s">
        <v>2141</v>
      </c>
      <c r="G525" s="33" t="s">
        <v>9</v>
      </c>
      <c r="H525" s="33" t="n">
        <v>10</v>
      </c>
    </row>
    <row r="526" customFormat="false" ht="54" hidden="false" customHeight="true" outlineLevel="0" collapsed="false">
      <c r="A526" s="32" t="s">
        <v>10097</v>
      </c>
      <c r="B526" s="32" t="s">
        <v>2130</v>
      </c>
      <c r="C526" s="33" t="s">
        <v>1407</v>
      </c>
      <c r="D526" s="33" t="s">
        <v>50</v>
      </c>
      <c r="E526" s="33" t="s">
        <v>82</v>
      </c>
      <c r="F526" s="33" t="s">
        <v>2136</v>
      </c>
      <c r="G526" s="33" t="s">
        <v>9</v>
      </c>
      <c r="H526" s="33" t="n">
        <v>10</v>
      </c>
    </row>
    <row r="527" customFormat="false" ht="54" hidden="false" customHeight="true" outlineLevel="0" collapsed="false">
      <c r="A527" s="32" t="s">
        <v>10098</v>
      </c>
      <c r="B527" s="32" t="s">
        <v>2130</v>
      </c>
      <c r="C527" s="33" t="s">
        <v>1407</v>
      </c>
      <c r="D527" s="33" t="s">
        <v>50</v>
      </c>
      <c r="E527" s="33" t="s">
        <v>82</v>
      </c>
      <c r="F527" s="33" t="s">
        <v>10099</v>
      </c>
      <c r="G527" s="33" t="s">
        <v>9</v>
      </c>
      <c r="H527" s="33" t="n">
        <v>10</v>
      </c>
    </row>
    <row r="528" customFormat="false" ht="54" hidden="false" customHeight="true" outlineLevel="0" collapsed="false">
      <c r="A528" s="32" t="s">
        <v>10100</v>
      </c>
      <c r="B528" s="32" t="s">
        <v>2130</v>
      </c>
      <c r="C528" s="33" t="s">
        <v>1407</v>
      </c>
      <c r="D528" s="33" t="s">
        <v>50</v>
      </c>
      <c r="E528" s="33" t="s">
        <v>84</v>
      </c>
      <c r="F528" s="33" t="s">
        <v>2134</v>
      </c>
      <c r="G528" s="33" t="s">
        <v>9</v>
      </c>
      <c r="H528" s="33" t="n">
        <v>10</v>
      </c>
    </row>
    <row r="529" customFormat="false" ht="54" hidden="false" customHeight="true" outlineLevel="0" collapsed="false">
      <c r="A529" s="32" t="s">
        <v>10101</v>
      </c>
      <c r="B529" s="32" t="s">
        <v>2130</v>
      </c>
      <c r="C529" s="33" t="s">
        <v>1407</v>
      </c>
      <c r="D529" s="33" t="s">
        <v>50</v>
      </c>
      <c r="E529" s="33" t="s">
        <v>84</v>
      </c>
      <c r="F529" s="33" t="s">
        <v>10102</v>
      </c>
      <c r="G529" s="33" t="s">
        <v>9</v>
      </c>
      <c r="H529" s="33" t="n">
        <v>10</v>
      </c>
    </row>
    <row r="530" customFormat="false" ht="54" hidden="false" customHeight="true" outlineLevel="0" collapsed="false">
      <c r="A530" s="32" t="s">
        <v>10103</v>
      </c>
      <c r="B530" s="32" t="s">
        <v>2130</v>
      </c>
      <c r="C530" s="33" t="s">
        <v>1407</v>
      </c>
      <c r="D530" s="33" t="s">
        <v>50</v>
      </c>
      <c r="E530" s="33" t="s">
        <v>84</v>
      </c>
      <c r="F530" s="33" t="s">
        <v>10104</v>
      </c>
      <c r="G530" s="33" t="s">
        <v>9</v>
      </c>
      <c r="H530" s="33" t="n">
        <v>10</v>
      </c>
    </row>
    <row r="531" customFormat="false" ht="54" hidden="false" customHeight="true" outlineLevel="0" collapsed="false">
      <c r="A531" s="32" t="s">
        <v>10105</v>
      </c>
      <c r="B531" s="32" t="s">
        <v>2130</v>
      </c>
      <c r="C531" s="33" t="s">
        <v>1407</v>
      </c>
      <c r="D531" s="33" t="s">
        <v>50</v>
      </c>
      <c r="E531" s="33" t="s">
        <v>84</v>
      </c>
      <c r="F531" s="33" t="s">
        <v>2139</v>
      </c>
      <c r="G531" s="33" t="s">
        <v>9</v>
      </c>
      <c r="H531" s="33" t="n">
        <v>10</v>
      </c>
    </row>
    <row r="532" customFormat="false" ht="54" hidden="false" customHeight="true" outlineLevel="0" collapsed="false">
      <c r="A532" s="32" t="s">
        <v>10106</v>
      </c>
      <c r="B532" s="32" t="s">
        <v>2146</v>
      </c>
      <c r="C532" s="33" t="s">
        <v>1407</v>
      </c>
      <c r="D532" s="33" t="s">
        <v>50</v>
      </c>
      <c r="E532" s="33" t="s">
        <v>80</v>
      </c>
      <c r="F532" s="33" t="s">
        <v>2140</v>
      </c>
      <c r="G532" s="33" t="s">
        <v>9</v>
      </c>
      <c r="H532" s="33" t="n">
        <v>10</v>
      </c>
    </row>
    <row r="533" customFormat="false" ht="54" hidden="false" customHeight="true" outlineLevel="0" collapsed="false">
      <c r="A533" s="32" t="s">
        <v>10107</v>
      </c>
      <c r="B533" s="32" t="s">
        <v>2146</v>
      </c>
      <c r="C533" s="33" t="s">
        <v>1407</v>
      </c>
      <c r="D533" s="33" t="s">
        <v>50</v>
      </c>
      <c r="E533" s="33" t="s">
        <v>81</v>
      </c>
      <c r="F533" s="33" t="s">
        <v>10108</v>
      </c>
      <c r="G533" s="33" t="s">
        <v>9</v>
      </c>
      <c r="H533" s="33" t="n">
        <v>10</v>
      </c>
    </row>
    <row r="534" customFormat="false" ht="54" hidden="false" customHeight="true" outlineLevel="0" collapsed="false">
      <c r="A534" s="32" t="s">
        <v>10109</v>
      </c>
      <c r="B534" s="32" t="s">
        <v>2146</v>
      </c>
      <c r="C534" s="33" t="s">
        <v>1407</v>
      </c>
      <c r="D534" s="33" t="s">
        <v>50</v>
      </c>
      <c r="E534" s="33" t="s">
        <v>81</v>
      </c>
      <c r="F534" s="33" t="s">
        <v>2151</v>
      </c>
      <c r="G534" s="33" t="s">
        <v>9</v>
      </c>
      <c r="H534" s="33" t="n">
        <v>10</v>
      </c>
    </row>
    <row r="535" customFormat="false" ht="54" hidden="false" customHeight="true" outlineLevel="0" collapsed="false">
      <c r="A535" s="32" t="s">
        <v>10110</v>
      </c>
      <c r="B535" s="32" t="s">
        <v>2146</v>
      </c>
      <c r="C535" s="33" t="s">
        <v>1407</v>
      </c>
      <c r="D535" s="33" t="s">
        <v>50</v>
      </c>
      <c r="E535" s="33" t="s">
        <v>82</v>
      </c>
      <c r="F535" s="33" t="s">
        <v>2152</v>
      </c>
      <c r="G535" s="33" t="s">
        <v>9</v>
      </c>
      <c r="H535" s="33" t="n">
        <v>10</v>
      </c>
    </row>
    <row r="536" customFormat="false" ht="54" hidden="false" customHeight="true" outlineLevel="0" collapsed="false">
      <c r="A536" s="32" t="s">
        <v>10111</v>
      </c>
      <c r="B536" s="32" t="s">
        <v>2146</v>
      </c>
      <c r="C536" s="33" t="s">
        <v>1407</v>
      </c>
      <c r="D536" s="33" t="s">
        <v>50</v>
      </c>
      <c r="E536" s="33" t="s">
        <v>82</v>
      </c>
      <c r="F536" s="33" t="s">
        <v>10112</v>
      </c>
      <c r="G536" s="33" t="s">
        <v>9</v>
      </c>
      <c r="H536" s="33" t="n">
        <v>10</v>
      </c>
    </row>
    <row r="537" customFormat="false" ht="54" hidden="false" customHeight="true" outlineLevel="0" collapsed="false">
      <c r="A537" s="32" t="s">
        <v>10113</v>
      </c>
      <c r="B537" s="32" t="s">
        <v>2146</v>
      </c>
      <c r="C537" s="33" t="s">
        <v>1407</v>
      </c>
      <c r="D537" s="33" t="s">
        <v>50</v>
      </c>
      <c r="E537" s="33" t="s">
        <v>82</v>
      </c>
      <c r="F537" s="33" t="s">
        <v>2155</v>
      </c>
      <c r="G537" s="33" t="s">
        <v>9</v>
      </c>
      <c r="H537" s="33" t="n">
        <v>10</v>
      </c>
    </row>
    <row r="538" customFormat="false" ht="54" hidden="false" customHeight="true" outlineLevel="0" collapsed="false">
      <c r="A538" s="32" t="s">
        <v>10114</v>
      </c>
      <c r="B538" s="32" t="s">
        <v>2146</v>
      </c>
      <c r="C538" s="33" t="s">
        <v>1407</v>
      </c>
      <c r="D538" s="33" t="s">
        <v>50</v>
      </c>
      <c r="E538" s="33" t="s">
        <v>84</v>
      </c>
      <c r="F538" s="33" t="s">
        <v>10115</v>
      </c>
      <c r="G538" s="33" t="s">
        <v>9</v>
      </c>
      <c r="H538" s="33" t="n">
        <v>10</v>
      </c>
    </row>
    <row r="539" customFormat="false" ht="54" hidden="false" customHeight="true" outlineLevel="0" collapsed="false">
      <c r="A539" s="32" t="s">
        <v>10116</v>
      </c>
      <c r="B539" s="32" t="s">
        <v>2146</v>
      </c>
      <c r="C539" s="33" t="s">
        <v>1407</v>
      </c>
      <c r="D539" s="33" t="s">
        <v>50</v>
      </c>
      <c r="E539" s="33" t="s">
        <v>84</v>
      </c>
      <c r="F539" s="33" t="s">
        <v>10117</v>
      </c>
      <c r="G539" s="33" t="s">
        <v>9</v>
      </c>
      <c r="H539" s="33" t="n">
        <v>10</v>
      </c>
    </row>
    <row r="540" customFormat="false" ht="54" hidden="false" customHeight="true" outlineLevel="0" collapsed="false">
      <c r="A540" s="32" t="s">
        <v>10118</v>
      </c>
      <c r="B540" s="32" t="s">
        <v>2146</v>
      </c>
      <c r="C540" s="33" t="s">
        <v>1407</v>
      </c>
      <c r="D540" s="33" t="s">
        <v>50</v>
      </c>
      <c r="E540" s="33" t="s">
        <v>84</v>
      </c>
      <c r="F540" s="33" t="s">
        <v>10112</v>
      </c>
      <c r="G540" s="33" t="s">
        <v>9</v>
      </c>
      <c r="H540" s="33" t="n">
        <v>10</v>
      </c>
    </row>
    <row r="541" customFormat="false" ht="54" hidden="false" customHeight="true" outlineLevel="0" collapsed="false">
      <c r="A541" s="32" t="s">
        <v>10119</v>
      </c>
      <c r="B541" s="32" t="s">
        <v>2160</v>
      </c>
      <c r="C541" s="33" t="s">
        <v>57</v>
      </c>
      <c r="D541" s="33" t="s">
        <v>57</v>
      </c>
      <c r="E541" s="33" t="s">
        <v>82</v>
      </c>
      <c r="F541" s="33" t="s">
        <v>10120</v>
      </c>
      <c r="G541" s="33" t="s">
        <v>9</v>
      </c>
      <c r="H541" s="33" t="n">
        <v>10</v>
      </c>
    </row>
    <row r="542" customFormat="false" ht="54" hidden="false" customHeight="true" outlineLevel="0" collapsed="false">
      <c r="A542" s="32" t="s">
        <v>10121</v>
      </c>
      <c r="B542" s="32" t="s">
        <v>2160</v>
      </c>
      <c r="C542" s="33" t="s">
        <v>57</v>
      </c>
      <c r="D542" s="33" t="s">
        <v>57</v>
      </c>
      <c r="E542" s="33" t="s">
        <v>82</v>
      </c>
      <c r="F542" s="33" t="s">
        <v>10122</v>
      </c>
      <c r="G542" s="33" t="s">
        <v>9</v>
      </c>
      <c r="H542" s="33" t="n">
        <v>10</v>
      </c>
    </row>
    <row r="543" customFormat="false" ht="54" hidden="false" customHeight="true" outlineLevel="0" collapsed="false">
      <c r="A543" s="32" t="s">
        <v>10123</v>
      </c>
      <c r="B543" s="32" t="s">
        <v>2179</v>
      </c>
      <c r="C543" s="33" t="s">
        <v>57</v>
      </c>
      <c r="D543" s="33" t="s">
        <v>57</v>
      </c>
      <c r="E543" s="33" t="s">
        <v>80</v>
      </c>
      <c r="F543" s="33" t="s">
        <v>2182</v>
      </c>
      <c r="G543" s="33" t="s">
        <v>9</v>
      </c>
      <c r="H543" s="33" t="n">
        <v>10</v>
      </c>
    </row>
    <row r="544" customFormat="false" ht="54" hidden="false" customHeight="true" outlineLevel="0" collapsed="false">
      <c r="A544" s="32" t="s">
        <v>10124</v>
      </c>
      <c r="B544" s="32" t="s">
        <v>2179</v>
      </c>
      <c r="C544" s="33" t="s">
        <v>57</v>
      </c>
      <c r="D544" s="33" t="s">
        <v>57</v>
      </c>
      <c r="E544" s="33" t="s">
        <v>80</v>
      </c>
      <c r="F544" s="33" t="s">
        <v>10125</v>
      </c>
      <c r="G544" s="33" t="s">
        <v>9</v>
      </c>
      <c r="H544" s="33" t="n">
        <v>10</v>
      </c>
    </row>
    <row r="545" customFormat="false" ht="54" hidden="false" customHeight="true" outlineLevel="0" collapsed="false">
      <c r="A545" s="32" t="s">
        <v>10126</v>
      </c>
      <c r="B545" s="32" t="s">
        <v>2179</v>
      </c>
      <c r="C545" s="33" t="s">
        <v>57</v>
      </c>
      <c r="D545" s="33" t="s">
        <v>57</v>
      </c>
      <c r="E545" s="33" t="s">
        <v>80</v>
      </c>
      <c r="F545" s="33" t="s">
        <v>10127</v>
      </c>
      <c r="G545" s="33" t="s">
        <v>9</v>
      </c>
      <c r="H545" s="33" t="n">
        <v>10</v>
      </c>
    </row>
    <row r="546" customFormat="false" ht="54" hidden="false" customHeight="true" outlineLevel="0" collapsed="false">
      <c r="A546" s="32" t="s">
        <v>10128</v>
      </c>
      <c r="B546" s="32" t="s">
        <v>2179</v>
      </c>
      <c r="C546" s="33" t="s">
        <v>57</v>
      </c>
      <c r="D546" s="33" t="s">
        <v>57</v>
      </c>
      <c r="E546" s="33" t="s">
        <v>80</v>
      </c>
      <c r="F546" s="33" t="s">
        <v>2187</v>
      </c>
      <c r="G546" s="33" t="s">
        <v>9</v>
      </c>
      <c r="H546" s="33" t="n">
        <v>10</v>
      </c>
    </row>
    <row r="547" customFormat="false" ht="54" hidden="false" customHeight="true" outlineLevel="0" collapsed="false">
      <c r="A547" s="32" t="s">
        <v>10129</v>
      </c>
      <c r="B547" s="32" t="s">
        <v>2179</v>
      </c>
      <c r="C547" s="33" t="s">
        <v>57</v>
      </c>
      <c r="D547" s="33" t="s">
        <v>57</v>
      </c>
      <c r="E547" s="33" t="s">
        <v>81</v>
      </c>
      <c r="F547" s="33" t="s">
        <v>2182</v>
      </c>
      <c r="G547" s="33" t="s">
        <v>9</v>
      </c>
      <c r="H547" s="33" t="n">
        <v>10</v>
      </c>
    </row>
    <row r="548" customFormat="false" ht="54" hidden="false" customHeight="true" outlineLevel="0" collapsed="false">
      <c r="A548" s="32" t="s">
        <v>10130</v>
      </c>
      <c r="B548" s="32" t="s">
        <v>2179</v>
      </c>
      <c r="C548" s="33" t="s">
        <v>57</v>
      </c>
      <c r="D548" s="33" t="s">
        <v>57</v>
      </c>
      <c r="E548" s="33" t="s">
        <v>81</v>
      </c>
      <c r="F548" s="33" t="s">
        <v>10131</v>
      </c>
      <c r="G548" s="33" t="s">
        <v>9</v>
      </c>
      <c r="H548" s="33" t="n">
        <v>10</v>
      </c>
    </row>
    <row r="549" customFormat="false" ht="54" hidden="false" customHeight="true" outlineLevel="0" collapsed="false">
      <c r="A549" s="32" t="s">
        <v>10132</v>
      </c>
      <c r="B549" s="32" t="s">
        <v>2179</v>
      </c>
      <c r="C549" s="33" t="s">
        <v>57</v>
      </c>
      <c r="D549" s="33" t="s">
        <v>57</v>
      </c>
      <c r="E549" s="33" t="s">
        <v>84</v>
      </c>
      <c r="F549" s="33" t="s">
        <v>10125</v>
      </c>
      <c r="G549" s="33" t="s">
        <v>9</v>
      </c>
      <c r="H549" s="33" t="n">
        <v>10</v>
      </c>
    </row>
    <row r="550" customFormat="false" ht="54" hidden="false" customHeight="true" outlineLevel="0" collapsed="false">
      <c r="A550" s="32" t="s">
        <v>10133</v>
      </c>
      <c r="B550" s="32" t="s">
        <v>2179</v>
      </c>
      <c r="C550" s="33" t="s">
        <v>57</v>
      </c>
      <c r="D550" s="33" t="s">
        <v>57</v>
      </c>
      <c r="E550" s="33" t="s">
        <v>84</v>
      </c>
      <c r="F550" s="33" t="s">
        <v>10127</v>
      </c>
      <c r="G550" s="33" t="s">
        <v>9</v>
      </c>
      <c r="H550" s="33" t="n">
        <v>10</v>
      </c>
    </row>
    <row r="551" customFormat="false" ht="54" hidden="false" customHeight="true" outlineLevel="0" collapsed="false">
      <c r="A551" s="32" t="s">
        <v>10134</v>
      </c>
      <c r="B551" s="32" t="s">
        <v>2179</v>
      </c>
      <c r="C551" s="33" t="s">
        <v>57</v>
      </c>
      <c r="D551" s="33" t="s">
        <v>57</v>
      </c>
      <c r="E551" s="33" t="s">
        <v>84</v>
      </c>
      <c r="F551" s="33" t="s">
        <v>2187</v>
      </c>
      <c r="G551" s="33" t="s">
        <v>9</v>
      </c>
      <c r="H551" s="33" t="n">
        <v>10</v>
      </c>
    </row>
    <row r="552" customFormat="false" ht="54" hidden="false" customHeight="true" outlineLevel="0" collapsed="false">
      <c r="A552" s="32" t="s">
        <v>10135</v>
      </c>
      <c r="B552" s="32" t="s">
        <v>2179</v>
      </c>
      <c r="C552" s="33" t="s">
        <v>57</v>
      </c>
      <c r="D552" s="33" t="s">
        <v>57</v>
      </c>
      <c r="E552" s="33" t="s">
        <v>86</v>
      </c>
      <c r="F552" s="33" t="s">
        <v>2186</v>
      </c>
      <c r="G552" s="33" t="s">
        <v>9</v>
      </c>
      <c r="H552" s="33" t="n">
        <v>10</v>
      </c>
    </row>
    <row r="553" customFormat="false" ht="54" hidden="false" customHeight="true" outlineLevel="0" collapsed="false">
      <c r="A553" s="32" t="s">
        <v>10136</v>
      </c>
      <c r="B553" s="32" t="s">
        <v>2193</v>
      </c>
      <c r="C553" s="33" t="s">
        <v>57</v>
      </c>
      <c r="D553" s="33" t="s">
        <v>57</v>
      </c>
      <c r="E553" s="33" t="s">
        <v>80</v>
      </c>
      <c r="F553" s="33" t="s">
        <v>2200</v>
      </c>
      <c r="G553" s="33" t="s">
        <v>9</v>
      </c>
      <c r="H553" s="33" t="n">
        <v>10</v>
      </c>
    </row>
    <row r="554" customFormat="false" ht="54" hidden="false" customHeight="true" outlineLevel="0" collapsed="false">
      <c r="A554" s="32" t="s">
        <v>10137</v>
      </c>
      <c r="B554" s="32" t="s">
        <v>2193</v>
      </c>
      <c r="C554" s="33" t="s">
        <v>57</v>
      </c>
      <c r="D554" s="33" t="s">
        <v>57</v>
      </c>
      <c r="E554" s="33" t="s">
        <v>80</v>
      </c>
      <c r="F554" s="33" t="s">
        <v>2202</v>
      </c>
      <c r="G554" s="33" t="s">
        <v>9</v>
      </c>
      <c r="H554" s="33" t="n">
        <v>10</v>
      </c>
    </row>
    <row r="555" customFormat="false" ht="54" hidden="false" customHeight="true" outlineLevel="0" collapsed="false">
      <c r="A555" s="32" t="s">
        <v>10138</v>
      </c>
      <c r="B555" s="32" t="s">
        <v>2193</v>
      </c>
      <c r="C555" s="33" t="s">
        <v>57</v>
      </c>
      <c r="D555" s="33" t="s">
        <v>57</v>
      </c>
      <c r="E555" s="33" t="s">
        <v>81</v>
      </c>
      <c r="F555" s="33" t="s">
        <v>2202</v>
      </c>
      <c r="G555" s="33" t="s">
        <v>9</v>
      </c>
      <c r="H555" s="33" t="n">
        <v>10</v>
      </c>
    </row>
    <row r="556" customFormat="false" ht="54" hidden="false" customHeight="true" outlineLevel="0" collapsed="false">
      <c r="A556" s="32" t="s">
        <v>10139</v>
      </c>
      <c r="B556" s="32" t="s">
        <v>2193</v>
      </c>
      <c r="C556" s="33" t="s">
        <v>57</v>
      </c>
      <c r="D556" s="33" t="s">
        <v>57</v>
      </c>
      <c r="E556" s="33" t="s">
        <v>84</v>
      </c>
      <c r="F556" s="33" t="s">
        <v>2200</v>
      </c>
      <c r="G556" s="33" t="s">
        <v>9</v>
      </c>
      <c r="H556" s="33" t="n">
        <v>10</v>
      </c>
    </row>
    <row r="557" customFormat="false" ht="54" hidden="false" customHeight="true" outlineLevel="0" collapsed="false">
      <c r="A557" s="32" t="s">
        <v>10140</v>
      </c>
      <c r="B557" s="32" t="s">
        <v>2205</v>
      </c>
      <c r="C557" s="33" t="s">
        <v>57</v>
      </c>
      <c r="D557" s="33" t="s">
        <v>57</v>
      </c>
      <c r="E557" s="33" t="s">
        <v>81</v>
      </c>
      <c r="F557" s="33" t="s">
        <v>2209</v>
      </c>
      <c r="G557" s="33" t="s">
        <v>9</v>
      </c>
      <c r="H557" s="33" t="n">
        <v>10</v>
      </c>
    </row>
    <row r="558" customFormat="false" ht="54" hidden="false" customHeight="true" outlineLevel="0" collapsed="false">
      <c r="A558" s="32" t="s">
        <v>10141</v>
      </c>
      <c r="B558" s="32" t="s">
        <v>2205</v>
      </c>
      <c r="C558" s="33" t="s">
        <v>57</v>
      </c>
      <c r="D558" s="33" t="s">
        <v>57</v>
      </c>
      <c r="E558" s="33" t="s">
        <v>82</v>
      </c>
      <c r="F558" s="33" t="s">
        <v>2209</v>
      </c>
      <c r="G558" s="33" t="s">
        <v>9</v>
      </c>
      <c r="H558" s="33" t="n">
        <v>10</v>
      </c>
    </row>
    <row r="559" customFormat="false" ht="54" hidden="false" customHeight="true" outlineLevel="0" collapsed="false">
      <c r="A559" s="32" t="s">
        <v>10142</v>
      </c>
      <c r="B559" s="32" t="s">
        <v>2212</v>
      </c>
      <c r="C559" s="33" t="s">
        <v>1407</v>
      </c>
      <c r="D559" s="33" t="s">
        <v>50</v>
      </c>
      <c r="E559" s="33" t="s">
        <v>80</v>
      </c>
      <c r="F559" s="33" t="s">
        <v>2216</v>
      </c>
      <c r="G559" s="33" t="s">
        <v>9</v>
      </c>
      <c r="H559" s="33" t="n">
        <v>10</v>
      </c>
    </row>
    <row r="560" customFormat="false" ht="54" hidden="false" customHeight="true" outlineLevel="0" collapsed="false">
      <c r="A560" s="32" t="s">
        <v>10143</v>
      </c>
      <c r="B560" s="32" t="s">
        <v>2212</v>
      </c>
      <c r="C560" s="33" t="s">
        <v>1407</v>
      </c>
      <c r="D560" s="33" t="s">
        <v>50</v>
      </c>
      <c r="E560" s="33" t="s">
        <v>80</v>
      </c>
      <c r="F560" s="33" t="s">
        <v>2218</v>
      </c>
      <c r="G560" s="33" t="s">
        <v>9</v>
      </c>
      <c r="H560" s="33" t="n">
        <v>10</v>
      </c>
    </row>
    <row r="561" customFormat="false" ht="54" hidden="false" customHeight="true" outlineLevel="0" collapsed="false">
      <c r="A561" s="32" t="s">
        <v>10144</v>
      </c>
      <c r="B561" s="32" t="s">
        <v>2212</v>
      </c>
      <c r="C561" s="33" t="s">
        <v>1407</v>
      </c>
      <c r="D561" s="33" t="s">
        <v>50</v>
      </c>
      <c r="E561" s="33" t="s">
        <v>80</v>
      </c>
      <c r="F561" s="33" t="s">
        <v>10145</v>
      </c>
      <c r="G561" s="33" t="s">
        <v>9</v>
      </c>
      <c r="H561" s="33" t="n">
        <v>10</v>
      </c>
    </row>
    <row r="562" customFormat="false" ht="54" hidden="false" customHeight="true" outlineLevel="0" collapsed="false">
      <c r="A562" s="32" t="s">
        <v>10146</v>
      </c>
      <c r="B562" s="32" t="s">
        <v>2212</v>
      </c>
      <c r="C562" s="33" t="s">
        <v>1407</v>
      </c>
      <c r="D562" s="33" t="s">
        <v>50</v>
      </c>
      <c r="E562" s="33" t="s">
        <v>81</v>
      </c>
      <c r="F562" s="33" t="s">
        <v>2216</v>
      </c>
      <c r="G562" s="33" t="s">
        <v>9</v>
      </c>
      <c r="H562" s="33" t="n">
        <v>10</v>
      </c>
    </row>
    <row r="563" customFormat="false" ht="54" hidden="false" customHeight="true" outlineLevel="0" collapsed="false">
      <c r="A563" s="32" t="s">
        <v>10147</v>
      </c>
      <c r="B563" s="32" t="s">
        <v>2212</v>
      </c>
      <c r="C563" s="33" t="s">
        <v>1407</v>
      </c>
      <c r="D563" s="33" t="s">
        <v>50</v>
      </c>
      <c r="E563" s="33" t="s">
        <v>81</v>
      </c>
      <c r="F563" s="33" t="s">
        <v>2217</v>
      </c>
      <c r="G563" s="33" t="s">
        <v>9</v>
      </c>
      <c r="H563" s="33" t="n">
        <v>10</v>
      </c>
    </row>
    <row r="564" customFormat="false" ht="54" hidden="false" customHeight="true" outlineLevel="0" collapsed="false">
      <c r="A564" s="32" t="s">
        <v>10148</v>
      </c>
      <c r="B564" s="32" t="s">
        <v>2212</v>
      </c>
      <c r="C564" s="33" t="s">
        <v>1407</v>
      </c>
      <c r="D564" s="33" t="s">
        <v>50</v>
      </c>
      <c r="E564" s="33" t="s">
        <v>82</v>
      </c>
      <c r="F564" s="33" t="s">
        <v>2218</v>
      </c>
      <c r="G564" s="33" t="s">
        <v>9</v>
      </c>
      <c r="H564" s="33" t="n">
        <v>10</v>
      </c>
    </row>
    <row r="565" customFormat="false" ht="54" hidden="false" customHeight="true" outlineLevel="0" collapsed="false">
      <c r="A565" s="32" t="s">
        <v>10149</v>
      </c>
      <c r="B565" s="32" t="s">
        <v>2212</v>
      </c>
      <c r="C565" s="33" t="s">
        <v>1407</v>
      </c>
      <c r="D565" s="33" t="s">
        <v>50</v>
      </c>
      <c r="E565" s="33" t="s">
        <v>82</v>
      </c>
      <c r="F565" s="33" t="s">
        <v>10145</v>
      </c>
      <c r="G565" s="33" t="s">
        <v>9</v>
      </c>
      <c r="H565" s="33" t="n">
        <v>10</v>
      </c>
    </row>
    <row r="566" customFormat="false" ht="54" hidden="false" customHeight="true" outlineLevel="0" collapsed="false">
      <c r="A566" s="32" t="s">
        <v>10150</v>
      </c>
      <c r="B566" s="32" t="s">
        <v>2212</v>
      </c>
      <c r="C566" s="33" t="s">
        <v>1407</v>
      </c>
      <c r="D566" s="33" t="s">
        <v>50</v>
      </c>
      <c r="E566" s="33" t="s">
        <v>84</v>
      </c>
      <c r="F566" s="33" t="s">
        <v>2218</v>
      </c>
      <c r="G566" s="33" t="s">
        <v>9</v>
      </c>
      <c r="H566" s="33" t="n">
        <v>10</v>
      </c>
    </row>
    <row r="567" customFormat="false" ht="54" hidden="false" customHeight="true" outlineLevel="0" collapsed="false">
      <c r="A567" s="32" t="s">
        <v>10151</v>
      </c>
      <c r="B567" s="32" t="s">
        <v>2212</v>
      </c>
      <c r="C567" s="33" t="s">
        <v>1407</v>
      </c>
      <c r="D567" s="33" t="s">
        <v>50</v>
      </c>
      <c r="E567" s="33" t="s">
        <v>84</v>
      </c>
      <c r="F567" s="33" t="s">
        <v>10145</v>
      </c>
      <c r="G567" s="33" t="s">
        <v>9</v>
      </c>
      <c r="H567" s="33" t="n">
        <v>10</v>
      </c>
    </row>
    <row r="568" customFormat="false" ht="54" hidden="false" customHeight="true" outlineLevel="0" collapsed="false">
      <c r="A568" s="32" t="s">
        <v>10152</v>
      </c>
      <c r="B568" s="32" t="s">
        <v>2226</v>
      </c>
      <c r="C568" s="33" t="s">
        <v>57</v>
      </c>
      <c r="D568" s="33" t="s">
        <v>57</v>
      </c>
      <c r="E568" s="33" t="s">
        <v>82</v>
      </c>
      <c r="F568" s="33" t="s">
        <v>2231</v>
      </c>
      <c r="G568" s="33" t="s">
        <v>9</v>
      </c>
      <c r="H568" s="33" t="n">
        <v>10</v>
      </c>
    </row>
    <row r="569" customFormat="false" ht="54" hidden="false" customHeight="true" outlineLevel="0" collapsed="false">
      <c r="A569" s="32" t="s">
        <v>10153</v>
      </c>
      <c r="B569" s="32" t="s">
        <v>2233</v>
      </c>
      <c r="C569" s="33" t="s">
        <v>57</v>
      </c>
      <c r="D569" s="33" t="s">
        <v>57</v>
      </c>
      <c r="E569" s="33" t="s">
        <v>80</v>
      </c>
      <c r="F569" s="33" t="s">
        <v>10154</v>
      </c>
      <c r="G569" s="33" t="s">
        <v>9</v>
      </c>
      <c r="H569" s="33" t="n">
        <v>10</v>
      </c>
    </row>
    <row r="570" customFormat="false" ht="54" hidden="false" customHeight="true" outlineLevel="0" collapsed="false">
      <c r="A570" s="32" t="s">
        <v>10155</v>
      </c>
      <c r="B570" s="32" t="s">
        <v>2233</v>
      </c>
      <c r="C570" s="33" t="s">
        <v>57</v>
      </c>
      <c r="D570" s="33" t="s">
        <v>57</v>
      </c>
      <c r="E570" s="33" t="s">
        <v>80</v>
      </c>
      <c r="F570" s="33" t="s">
        <v>2244</v>
      </c>
      <c r="G570" s="33" t="s">
        <v>9</v>
      </c>
      <c r="H570" s="33" t="n">
        <v>10</v>
      </c>
    </row>
    <row r="571" customFormat="false" ht="54" hidden="false" customHeight="true" outlineLevel="0" collapsed="false">
      <c r="A571" s="32" t="s">
        <v>10156</v>
      </c>
      <c r="B571" s="32" t="s">
        <v>2233</v>
      </c>
      <c r="C571" s="33" t="s">
        <v>57</v>
      </c>
      <c r="D571" s="33" t="s">
        <v>57</v>
      </c>
      <c r="E571" s="33" t="s">
        <v>82</v>
      </c>
      <c r="F571" s="33" t="s">
        <v>2244</v>
      </c>
      <c r="G571" s="33" t="s">
        <v>9</v>
      </c>
      <c r="H571" s="33" t="n">
        <v>10</v>
      </c>
    </row>
    <row r="572" customFormat="false" ht="54" hidden="false" customHeight="true" outlineLevel="0" collapsed="false">
      <c r="A572" s="32" t="s">
        <v>10157</v>
      </c>
      <c r="B572" s="32" t="s">
        <v>2233</v>
      </c>
      <c r="C572" s="33" t="s">
        <v>57</v>
      </c>
      <c r="D572" s="33" t="s">
        <v>57</v>
      </c>
      <c r="E572" s="33" t="s">
        <v>84</v>
      </c>
      <c r="F572" s="33" t="s">
        <v>10154</v>
      </c>
      <c r="G572" s="33" t="s">
        <v>9</v>
      </c>
      <c r="H572" s="33" t="n">
        <v>10</v>
      </c>
    </row>
    <row r="573" customFormat="false" ht="54" hidden="false" customHeight="true" outlineLevel="0" collapsed="false">
      <c r="A573" s="32" t="s">
        <v>10158</v>
      </c>
      <c r="B573" s="32" t="s">
        <v>2233</v>
      </c>
      <c r="C573" s="33" t="s">
        <v>57</v>
      </c>
      <c r="D573" s="33" t="s">
        <v>57</v>
      </c>
      <c r="E573" s="33" t="s">
        <v>84</v>
      </c>
      <c r="F573" s="33" t="s">
        <v>2244</v>
      </c>
      <c r="G573" s="33" t="s">
        <v>9</v>
      </c>
      <c r="H573" s="33" t="n">
        <v>10</v>
      </c>
    </row>
    <row r="574" customFormat="false" ht="54" hidden="false" customHeight="true" outlineLevel="0" collapsed="false">
      <c r="A574" s="32" t="s">
        <v>10159</v>
      </c>
      <c r="B574" s="32" t="s">
        <v>2248</v>
      </c>
      <c r="C574" s="33" t="s">
        <v>57</v>
      </c>
      <c r="D574" s="33" t="s">
        <v>57</v>
      </c>
      <c r="E574" s="33" t="s">
        <v>82</v>
      </c>
      <c r="F574" s="33" t="s">
        <v>2252</v>
      </c>
      <c r="G574" s="33" t="s">
        <v>9</v>
      </c>
      <c r="H574" s="33" t="n">
        <v>10</v>
      </c>
    </row>
    <row r="575" customFormat="false" ht="54" hidden="false" customHeight="true" outlineLevel="0" collapsed="false">
      <c r="A575" s="32" t="s">
        <v>10160</v>
      </c>
      <c r="B575" s="32" t="s">
        <v>2248</v>
      </c>
      <c r="C575" s="33" t="s">
        <v>57</v>
      </c>
      <c r="D575" s="33" t="s">
        <v>57</v>
      </c>
      <c r="E575" s="33" t="s">
        <v>82</v>
      </c>
      <c r="F575" s="33" t="s">
        <v>10161</v>
      </c>
      <c r="G575" s="33" t="s">
        <v>9</v>
      </c>
      <c r="H575" s="33" t="n">
        <v>10</v>
      </c>
    </row>
    <row r="576" customFormat="false" ht="54" hidden="false" customHeight="true" outlineLevel="0" collapsed="false">
      <c r="A576" s="32" t="s">
        <v>10162</v>
      </c>
      <c r="B576" s="32" t="s">
        <v>2258</v>
      </c>
      <c r="C576" s="33" t="s">
        <v>1407</v>
      </c>
      <c r="D576" s="33" t="s">
        <v>50</v>
      </c>
      <c r="E576" s="33" t="s">
        <v>83</v>
      </c>
      <c r="F576" s="33" t="s">
        <v>2265</v>
      </c>
      <c r="G576" s="33" t="s">
        <v>9</v>
      </c>
      <c r="H576" s="33" t="n">
        <v>10</v>
      </c>
    </row>
    <row r="577" customFormat="false" ht="54" hidden="false" customHeight="true" outlineLevel="0" collapsed="false">
      <c r="A577" s="32" t="s">
        <v>10163</v>
      </c>
      <c r="B577" s="32" t="s">
        <v>2267</v>
      </c>
      <c r="C577" s="33" t="s">
        <v>57</v>
      </c>
      <c r="D577" s="33" t="s">
        <v>57</v>
      </c>
      <c r="E577" s="33" t="s">
        <v>82</v>
      </c>
      <c r="F577" s="33" t="s">
        <v>2273</v>
      </c>
      <c r="G577" s="33" t="s">
        <v>9</v>
      </c>
      <c r="H577" s="33" t="n">
        <v>10</v>
      </c>
    </row>
    <row r="578" customFormat="false" ht="54" hidden="false" customHeight="true" outlineLevel="0" collapsed="false">
      <c r="A578" s="32" t="s">
        <v>10164</v>
      </c>
      <c r="B578" s="32" t="s">
        <v>2267</v>
      </c>
      <c r="C578" s="33" t="s">
        <v>57</v>
      </c>
      <c r="D578" s="33" t="s">
        <v>57</v>
      </c>
      <c r="E578" s="33" t="s">
        <v>82</v>
      </c>
      <c r="F578" s="33" t="s">
        <v>2274</v>
      </c>
      <c r="G578" s="33" t="s">
        <v>9</v>
      </c>
      <c r="H578" s="33" t="n">
        <v>10</v>
      </c>
    </row>
    <row r="579" customFormat="false" ht="54" hidden="false" customHeight="true" outlineLevel="0" collapsed="false">
      <c r="A579" s="32" t="s">
        <v>10165</v>
      </c>
      <c r="B579" s="32" t="s">
        <v>2279</v>
      </c>
      <c r="C579" s="33" t="s">
        <v>57</v>
      </c>
      <c r="D579" s="33" t="s">
        <v>57</v>
      </c>
      <c r="E579" s="33" t="s">
        <v>80</v>
      </c>
      <c r="F579" s="33" t="s">
        <v>2285</v>
      </c>
      <c r="G579" s="33" t="s">
        <v>9</v>
      </c>
      <c r="H579" s="33" t="n">
        <v>10</v>
      </c>
    </row>
    <row r="580" customFormat="false" ht="54" hidden="false" customHeight="true" outlineLevel="0" collapsed="false">
      <c r="A580" s="32" t="s">
        <v>10166</v>
      </c>
      <c r="B580" s="32" t="s">
        <v>2279</v>
      </c>
      <c r="C580" s="33" t="s">
        <v>57</v>
      </c>
      <c r="D580" s="33" t="s">
        <v>57</v>
      </c>
      <c r="E580" s="33" t="s">
        <v>80</v>
      </c>
      <c r="F580" s="33" t="s">
        <v>2288</v>
      </c>
      <c r="G580" s="33" t="s">
        <v>9</v>
      </c>
      <c r="H580" s="33" t="n">
        <v>10</v>
      </c>
    </row>
    <row r="581" customFormat="false" ht="54" hidden="false" customHeight="true" outlineLevel="0" collapsed="false">
      <c r="A581" s="32" t="s">
        <v>10167</v>
      </c>
      <c r="B581" s="32" t="s">
        <v>2279</v>
      </c>
      <c r="C581" s="33" t="s">
        <v>57</v>
      </c>
      <c r="D581" s="33" t="s">
        <v>57</v>
      </c>
      <c r="E581" s="33" t="s">
        <v>84</v>
      </c>
      <c r="F581" s="33" t="s">
        <v>2285</v>
      </c>
      <c r="G581" s="33" t="s">
        <v>9</v>
      </c>
      <c r="H581" s="33" t="n">
        <v>10</v>
      </c>
    </row>
    <row r="582" customFormat="false" ht="54" hidden="false" customHeight="true" outlineLevel="0" collapsed="false">
      <c r="A582" s="32" t="s">
        <v>10168</v>
      </c>
      <c r="B582" s="32" t="s">
        <v>2279</v>
      </c>
      <c r="C582" s="33" t="s">
        <v>57</v>
      </c>
      <c r="D582" s="33" t="s">
        <v>57</v>
      </c>
      <c r="E582" s="33" t="s">
        <v>84</v>
      </c>
      <c r="F582" s="33" t="s">
        <v>10169</v>
      </c>
      <c r="G582" s="33" t="s">
        <v>9</v>
      </c>
      <c r="H582" s="33" t="n">
        <v>10</v>
      </c>
    </row>
    <row r="583" customFormat="false" ht="54" hidden="false" customHeight="true" outlineLevel="0" collapsed="false">
      <c r="A583" s="32" t="s">
        <v>10170</v>
      </c>
      <c r="B583" s="32" t="s">
        <v>2293</v>
      </c>
      <c r="C583" s="33" t="s">
        <v>57</v>
      </c>
      <c r="D583" s="33" t="s">
        <v>57</v>
      </c>
      <c r="E583" s="33" t="s">
        <v>82</v>
      </c>
      <c r="F583" s="33" t="s">
        <v>2299</v>
      </c>
      <c r="G583" s="33" t="s">
        <v>9</v>
      </c>
      <c r="H583" s="33" t="n">
        <v>10</v>
      </c>
    </row>
    <row r="584" customFormat="false" ht="54" hidden="false" customHeight="true" outlineLevel="0" collapsed="false">
      <c r="A584" s="32" t="s">
        <v>10171</v>
      </c>
      <c r="B584" s="32" t="s">
        <v>2309</v>
      </c>
      <c r="C584" s="33" t="s">
        <v>57</v>
      </c>
      <c r="D584" s="33" t="s">
        <v>57</v>
      </c>
      <c r="E584" s="33" t="s">
        <v>80</v>
      </c>
      <c r="F584" s="33" t="s">
        <v>2314</v>
      </c>
      <c r="G584" s="33" t="s">
        <v>9</v>
      </c>
      <c r="H584" s="33" t="n">
        <v>10</v>
      </c>
    </row>
    <row r="585" customFormat="false" ht="54" hidden="false" customHeight="true" outlineLevel="0" collapsed="false">
      <c r="A585" s="32" t="s">
        <v>10172</v>
      </c>
      <c r="B585" s="32" t="s">
        <v>2309</v>
      </c>
      <c r="C585" s="33" t="s">
        <v>57</v>
      </c>
      <c r="D585" s="33" t="s">
        <v>57</v>
      </c>
      <c r="E585" s="33" t="s">
        <v>84</v>
      </c>
      <c r="F585" s="33" t="s">
        <v>2314</v>
      </c>
      <c r="G585" s="33" t="s">
        <v>9</v>
      </c>
      <c r="H585" s="33" t="n">
        <v>10</v>
      </c>
    </row>
    <row r="586" customFormat="false" ht="54" hidden="false" customHeight="true" outlineLevel="0" collapsed="false">
      <c r="A586" s="32" t="s">
        <v>10173</v>
      </c>
      <c r="B586" s="32" t="s">
        <v>2338</v>
      </c>
      <c r="C586" s="33" t="s">
        <v>57</v>
      </c>
      <c r="D586" s="33" t="s">
        <v>57</v>
      </c>
      <c r="E586" s="33" t="s">
        <v>80</v>
      </c>
      <c r="F586" s="33" t="s">
        <v>2342</v>
      </c>
      <c r="G586" s="33" t="s">
        <v>9</v>
      </c>
      <c r="H586" s="33" t="n">
        <v>10</v>
      </c>
    </row>
    <row r="587" customFormat="false" ht="54" hidden="false" customHeight="true" outlineLevel="0" collapsed="false">
      <c r="A587" s="32" t="s">
        <v>10174</v>
      </c>
      <c r="B587" s="32" t="s">
        <v>2338</v>
      </c>
      <c r="C587" s="33" t="s">
        <v>57</v>
      </c>
      <c r="D587" s="33" t="s">
        <v>57</v>
      </c>
      <c r="E587" s="33" t="s">
        <v>82</v>
      </c>
      <c r="F587" s="33" t="s">
        <v>10175</v>
      </c>
      <c r="G587" s="33" t="s">
        <v>9</v>
      </c>
      <c r="H587" s="33" t="n">
        <v>10</v>
      </c>
    </row>
    <row r="588" customFormat="false" ht="54" hidden="false" customHeight="true" outlineLevel="0" collapsed="false">
      <c r="A588" s="32" t="s">
        <v>10176</v>
      </c>
      <c r="B588" s="32" t="s">
        <v>2338</v>
      </c>
      <c r="C588" s="33" t="s">
        <v>57</v>
      </c>
      <c r="D588" s="33" t="s">
        <v>57</v>
      </c>
      <c r="E588" s="33" t="s">
        <v>82</v>
      </c>
      <c r="F588" s="33" t="s">
        <v>10177</v>
      </c>
      <c r="G588" s="33" t="s">
        <v>9</v>
      </c>
      <c r="H588" s="33" t="n">
        <v>10</v>
      </c>
    </row>
    <row r="589" customFormat="false" ht="54" hidden="false" customHeight="true" outlineLevel="0" collapsed="false">
      <c r="A589" s="32" t="s">
        <v>10178</v>
      </c>
      <c r="B589" s="32" t="s">
        <v>2345</v>
      </c>
      <c r="C589" s="33" t="s">
        <v>1407</v>
      </c>
      <c r="D589" s="33" t="s">
        <v>50</v>
      </c>
      <c r="E589" s="33" t="s">
        <v>80</v>
      </c>
      <c r="F589" s="33" t="s">
        <v>2349</v>
      </c>
      <c r="G589" s="33" t="s">
        <v>9</v>
      </c>
      <c r="H589" s="33" t="n">
        <v>10</v>
      </c>
    </row>
    <row r="590" customFormat="false" ht="54" hidden="false" customHeight="true" outlineLevel="0" collapsed="false">
      <c r="A590" s="32" t="s">
        <v>10179</v>
      </c>
      <c r="B590" s="32" t="s">
        <v>2345</v>
      </c>
      <c r="C590" s="33" t="s">
        <v>1407</v>
      </c>
      <c r="D590" s="33" t="s">
        <v>50</v>
      </c>
      <c r="E590" s="33" t="s">
        <v>80</v>
      </c>
      <c r="F590" s="33" t="s">
        <v>2351</v>
      </c>
      <c r="G590" s="33" t="s">
        <v>9</v>
      </c>
      <c r="H590" s="33" t="n">
        <v>10</v>
      </c>
    </row>
    <row r="591" customFormat="false" ht="54" hidden="false" customHeight="true" outlineLevel="0" collapsed="false">
      <c r="A591" s="32" t="s">
        <v>10180</v>
      </c>
      <c r="B591" s="32" t="s">
        <v>2355</v>
      </c>
      <c r="C591" s="33" t="s">
        <v>57</v>
      </c>
      <c r="D591" s="33" t="s">
        <v>57</v>
      </c>
      <c r="E591" s="33" t="s">
        <v>82</v>
      </c>
      <c r="F591" s="33" t="s">
        <v>10181</v>
      </c>
      <c r="G591" s="33" t="s">
        <v>9</v>
      </c>
      <c r="H591" s="33" t="n">
        <v>10</v>
      </c>
    </row>
    <row r="592" customFormat="false" ht="54" hidden="false" customHeight="true" outlineLevel="0" collapsed="false">
      <c r="A592" s="32" t="s">
        <v>10182</v>
      </c>
      <c r="B592" s="32" t="s">
        <v>2355</v>
      </c>
      <c r="C592" s="33" t="s">
        <v>57</v>
      </c>
      <c r="D592" s="33" t="s">
        <v>57</v>
      </c>
      <c r="E592" s="33" t="s">
        <v>82</v>
      </c>
      <c r="F592" s="33" t="s">
        <v>10183</v>
      </c>
      <c r="G592" s="33" t="s">
        <v>9</v>
      </c>
      <c r="H592" s="33" t="n">
        <v>10</v>
      </c>
    </row>
    <row r="593" customFormat="false" ht="54" hidden="false" customHeight="true" outlineLevel="0" collapsed="false">
      <c r="A593" s="32" t="s">
        <v>10184</v>
      </c>
      <c r="B593" s="32" t="s">
        <v>2379</v>
      </c>
      <c r="C593" s="33" t="s">
        <v>57</v>
      </c>
      <c r="D593" s="33" t="s">
        <v>57</v>
      </c>
      <c r="E593" s="33" t="s">
        <v>81</v>
      </c>
      <c r="F593" s="33" t="s">
        <v>2386</v>
      </c>
      <c r="G593" s="33" t="s">
        <v>9</v>
      </c>
      <c r="H593" s="33" t="n">
        <v>10</v>
      </c>
    </row>
    <row r="594" customFormat="false" ht="54" hidden="false" customHeight="true" outlineLevel="0" collapsed="false">
      <c r="A594" s="32" t="s">
        <v>10185</v>
      </c>
      <c r="B594" s="32" t="s">
        <v>2379</v>
      </c>
      <c r="C594" s="33" t="s">
        <v>57</v>
      </c>
      <c r="D594" s="33" t="s">
        <v>57</v>
      </c>
      <c r="E594" s="33" t="s">
        <v>81</v>
      </c>
      <c r="F594" s="33" t="s">
        <v>2387</v>
      </c>
      <c r="G594" s="33" t="s">
        <v>9</v>
      </c>
      <c r="H594" s="33" t="n">
        <v>10</v>
      </c>
    </row>
    <row r="595" customFormat="false" ht="54" hidden="false" customHeight="true" outlineLevel="0" collapsed="false">
      <c r="A595" s="32" t="s">
        <v>10186</v>
      </c>
      <c r="B595" s="32" t="s">
        <v>2379</v>
      </c>
      <c r="C595" s="33" t="s">
        <v>57</v>
      </c>
      <c r="D595" s="33" t="s">
        <v>57</v>
      </c>
      <c r="E595" s="33" t="s">
        <v>81</v>
      </c>
      <c r="F595" s="33" t="s">
        <v>2388</v>
      </c>
      <c r="G595" s="33" t="s">
        <v>9</v>
      </c>
      <c r="H595" s="33" t="n">
        <v>10</v>
      </c>
    </row>
    <row r="596" customFormat="false" ht="54" hidden="false" customHeight="true" outlineLevel="0" collapsed="false">
      <c r="A596" s="32" t="s">
        <v>10187</v>
      </c>
      <c r="B596" s="32" t="s">
        <v>2379</v>
      </c>
      <c r="C596" s="33" t="s">
        <v>57</v>
      </c>
      <c r="D596" s="33" t="s">
        <v>57</v>
      </c>
      <c r="E596" s="33" t="s">
        <v>82</v>
      </c>
      <c r="F596" s="33" t="s">
        <v>2386</v>
      </c>
      <c r="G596" s="33" t="s">
        <v>9</v>
      </c>
      <c r="H596" s="33" t="n">
        <v>10</v>
      </c>
    </row>
    <row r="597" customFormat="false" ht="54" hidden="false" customHeight="true" outlineLevel="0" collapsed="false">
      <c r="A597" s="32" t="s">
        <v>10188</v>
      </c>
      <c r="B597" s="32" t="s">
        <v>2391</v>
      </c>
      <c r="C597" s="33" t="s">
        <v>57</v>
      </c>
      <c r="D597" s="33" t="s">
        <v>57</v>
      </c>
      <c r="E597" s="33" t="s">
        <v>81</v>
      </c>
      <c r="F597" s="33" t="s">
        <v>2395</v>
      </c>
      <c r="G597" s="33" t="s">
        <v>9</v>
      </c>
      <c r="H597" s="33" t="n">
        <v>10</v>
      </c>
    </row>
    <row r="598" customFormat="false" ht="54" hidden="false" customHeight="true" outlineLevel="0" collapsed="false">
      <c r="A598" s="32" t="s">
        <v>10189</v>
      </c>
      <c r="B598" s="32" t="s">
        <v>2391</v>
      </c>
      <c r="C598" s="33" t="s">
        <v>57</v>
      </c>
      <c r="D598" s="33" t="s">
        <v>57</v>
      </c>
      <c r="E598" s="33" t="s">
        <v>81</v>
      </c>
      <c r="F598" s="33" t="s">
        <v>2396</v>
      </c>
      <c r="G598" s="33" t="s">
        <v>9</v>
      </c>
      <c r="H598" s="33" t="n">
        <v>10</v>
      </c>
    </row>
    <row r="599" customFormat="false" ht="54" hidden="false" customHeight="true" outlineLevel="0" collapsed="false">
      <c r="A599" s="32" t="s">
        <v>10190</v>
      </c>
      <c r="B599" s="32" t="s">
        <v>2403</v>
      </c>
      <c r="C599" s="33" t="s">
        <v>2404</v>
      </c>
      <c r="D599" s="33" t="s">
        <v>51</v>
      </c>
      <c r="E599" s="33" t="s">
        <v>80</v>
      </c>
      <c r="F599" s="33" t="s">
        <v>10191</v>
      </c>
      <c r="G599" s="33" t="s">
        <v>9</v>
      </c>
      <c r="H599" s="33" t="n">
        <v>10</v>
      </c>
    </row>
    <row r="600" customFormat="false" ht="54" hidden="false" customHeight="true" outlineLevel="0" collapsed="false">
      <c r="A600" s="32" t="s">
        <v>10192</v>
      </c>
      <c r="B600" s="32" t="s">
        <v>2403</v>
      </c>
      <c r="C600" s="33" t="s">
        <v>2404</v>
      </c>
      <c r="D600" s="33" t="s">
        <v>51</v>
      </c>
      <c r="E600" s="33" t="s">
        <v>80</v>
      </c>
      <c r="F600" s="33" t="s">
        <v>2411</v>
      </c>
      <c r="G600" s="33" t="s">
        <v>9</v>
      </c>
      <c r="H600" s="33" t="n">
        <v>10</v>
      </c>
    </row>
    <row r="601" customFormat="false" ht="54" hidden="false" customHeight="true" outlineLevel="0" collapsed="false">
      <c r="A601" s="32" t="s">
        <v>10193</v>
      </c>
      <c r="B601" s="32" t="s">
        <v>2403</v>
      </c>
      <c r="C601" s="33" t="s">
        <v>2404</v>
      </c>
      <c r="D601" s="33" t="s">
        <v>51</v>
      </c>
      <c r="E601" s="33" t="s">
        <v>81</v>
      </c>
      <c r="F601" s="33" t="s">
        <v>10194</v>
      </c>
      <c r="G601" s="33" t="s">
        <v>9</v>
      </c>
      <c r="H601" s="33" t="n">
        <v>10</v>
      </c>
    </row>
    <row r="602" customFormat="false" ht="54" hidden="false" customHeight="true" outlineLevel="0" collapsed="false">
      <c r="A602" s="32" t="s">
        <v>10195</v>
      </c>
      <c r="B602" s="32" t="s">
        <v>2403</v>
      </c>
      <c r="C602" s="33" t="s">
        <v>2404</v>
      </c>
      <c r="D602" s="33" t="s">
        <v>51</v>
      </c>
      <c r="E602" s="33" t="s">
        <v>81</v>
      </c>
      <c r="F602" s="33" t="s">
        <v>2411</v>
      </c>
      <c r="G602" s="33" t="s">
        <v>9</v>
      </c>
      <c r="H602" s="33" t="n">
        <v>10</v>
      </c>
    </row>
    <row r="603" customFormat="false" ht="54" hidden="false" customHeight="true" outlineLevel="0" collapsed="false">
      <c r="A603" s="32" t="s">
        <v>10196</v>
      </c>
      <c r="B603" s="32" t="s">
        <v>2403</v>
      </c>
      <c r="C603" s="33" t="s">
        <v>2404</v>
      </c>
      <c r="D603" s="33" t="s">
        <v>51</v>
      </c>
      <c r="E603" s="33" t="s">
        <v>84</v>
      </c>
      <c r="F603" s="33" t="s">
        <v>10191</v>
      </c>
      <c r="G603" s="33" t="s">
        <v>9</v>
      </c>
      <c r="H603" s="33" t="n">
        <v>10</v>
      </c>
    </row>
    <row r="604" customFormat="false" ht="54" hidden="false" customHeight="true" outlineLevel="0" collapsed="false">
      <c r="A604" s="32" t="s">
        <v>10197</v>
      </c>
      <c r="B604" s="32" t="s">
        <v>2403</v>
      </c>
      <c r="C604" s="33" t="s">
        <v>2404</v>
      </c>
      <c r="D604" s="33" t="s">
        <v>51</v>
      </c>
      <c r="E604" s="33" t="s">
        <v>84</v>
      </c>
      <c r="F604" s="33" t="s">
        <v>2411</v>
      </c>
      <c r="G604" s="33" t="s">
        <v>9</v>
      </c>
      <c r="H604" s="33" t="n">
        <v>10</v>
      </c>
    </row>
    <row r="605" customFormat="false" ht="54" hidden="false" customHeight="true" outlineLevel="0" collapsed="false">
      <c r="A605" s="32" t="s">
        <v>10198</v>
      </c>
      <c r="B605" s="32" t="s">
        <v>2403</v>
      </c>
      <c r="C605" s="33" t="s">
        <v>2404</v>
      </c>
      <c r="D605" s="33" t="s">
        <v>51</v>
      </c>
      <c r="E605" s="33" t="s">
        <v>84</v>
      </c>
      <c r="F605" s="33" t="s">
        <v>2412</v>
      </c>
      <c r="G605" s="33" t="s">
        <v>9</v>
      </c>
      <c r="H605" s="33" t="n">
        <v>10</v>
      </c>
    </row>
    <row r="606" customFormat="false" ht="54" hidden="false" customHeight="true" outlineLevel="0" collapsed="false">
      <c r="A606" s="32" t="s">
        <v>10199</v>
      </c>
      <c r="B606" s="32" t="s">
        <v>2418</v>
      </c>
      <c r="C606" s="33" t="s">
        <v>1407</v>
      </c>
      <c r="D606" s="33" t="s">
        <v>50</v>
      </c>
      <c r="E606" s="33" t="s">
        <v>81</v>
      </c>
      <c r="F606" s="33" t="s">
        <v>2426</v>
      </c>
      <c r="G606" s="33" t="s">
        <v>9</v>
      </c>
      <c r="H606" s="33" t="n">
        <v>10</v>
      </c>
    </row>
    <row r="607" customFormat="false" ht="54" hidden="false" customHeight="true" outlineLevel="0" collapsed="false">
      <c r="A607" s="32" t="s">
        <v>10200</v>
      </c>
      <c r="B607" s="32" t="s">
        <v>2429</v>
      </c>
      <c r="C607" s="33" t="s">
        <v>1407</v>
      </c>
      <c r="D607" s="33" t="s">
        <v>50</v>
      </c>
      <c r="E607" s="33" t="s">
        <v>81</v>
      </c>
      <c r="F607" s="33" t="s">
        <v>2435</v>
      </c>
      <c r="G607" s="33" t="s">
        <v>9</v>
      </c>
      <c r="H607" s="33" t="n">
        <v>10</v>
      </c>
    </row>
    <row r="608" customFormat="false" ht="54" hidden="false" customHeight="true" outlineLevel="0" collapsed="false">
      <c r="A608" s="32" t="s">
        <v>10201</v>
      </c>
      <c r="B608" s="32" t="s">
        <v>2429</v>
      </c>
      <c r="C608" s="33" t="s">
        <v>1407</v>
      </c>
      <c r="D608" s="33" t="s">
        <v>50</v>
      </c>
      <c r="E608" s="33" t="s">
        <v>81</v>
      </c>
      <c r="F608" s="33" t="s">
        <v>2436</v>
      </c>
      <c r="G608" s="33" t="s">
        <v>9</v>
      </c>
      <c r="H608" s="33" t="n">
        <v>10</v>
      </c>
    </row>
    <row r="609" customFormat="false" ht="54" hidden="false" customHeight="true" outlineLevel="0" collapsed="false">
      <c r="A609" s="32" t="s">
        <v>10202</v>
      </c>
      <c r="B609" s="32" t="s">
        <v>2429</v>
      </c>
      <c r="C609" s="33" t="s">
        <v>1407</v>
      </c>
      <c r="D609" s="33" t="s">
        <v>50</v>
      </c>
      <c r="E609" s="33" t="s">
        <v>81</v>
      </c>
      <c r="F609" s="33" t="s">
        <v>2437</v>
      </c>
      <c r="G609" s="33" t="s">
        <v>9</v>
      </c>
      <c r="H609" s="33" t="n">
        <v>10</v>
      </c>
    </row>
    <row r="610" customFormat="false" ht="54" hidden="false" customHeight="true" outlineLevel="0" collapsed="false">
      <c r="A610" s="32" t="s">
        <v>10203</v>
      </c>
      <c r="B610" s="32" t="s">
        <v>2441</v>
      </c>
      <c r="C610" s="33" t="s">
        <v>2404</v>
      </c>
      <c r="D610" s="33" t="s">
        <v>51</v>
      </c>
      <c r="E610" s="33" t="s">
        <v>82</v>
      </c>
      <c r="F610" s="33" t="s">
        <v>2448</v>
      </c>
      <c r="G610" s="33" t="s">
        <v>9</v>
      </c>
      <c r="H610" s="33" t="n">
        <v>55</v>
      </c>
    </row>
    <row r="611" customFormat="false" ht="54" hidden="false" customHeight="true" outlineLevel="0" collapsed="false">
      <c r="A611" s="32" t="s">
        <v>10204</v>
      </c>
      <c r="B611" s="32" t="s">
        <v>2441</v>
      </c>
      <c r="C611" s="33" t="s">
        <v>2404</v>
      </c>
      <c r="D611" s="33" t="s">
        <v>51</v>
      </c>
      <c r="E611" s="33" t="s">
        <v>82</v>
      </c>
      <c r="F611" s="33" t="s">
        <v>10205</v>
      </c>
      <c r="G611" s="33" t="s">
        <v>9</v>
      </c>
      <c r="H611" s="33" t="n">
        <v>55</v>
      </c>
    </row>
    <row r="612" customFormat="false" ht="54" hidden="false" customHeight="true" outlineLevel="0" collapsed="false">
      <c r="A612" s="32" t="s">
        <v>10206</v>
      </c>
      <c r="B612" s="32" t="s">
        <v>2462</v>
      </c>
      <c r="C612" s="33" t="s">
        <v>57</v>
      </c>
      <c r="D612" s="33" t="s">
        <v>57</v>
      </c>
      <c r="E612" s="33" t="s">
        <v>81</v>
      </c>
      <c r="F612" s="33" t="s">
        <v>2466</v>
      </c>
      <c r="G612" s="33" t="s">
        <v>9</v>
      </c>
      <c r="H612" s="33" t="n">
        <v>10</v>
      </c>
    </row>
    <row r="613" customFormat="false" ht="54" hidden="false" customHeight="true" outlineLevel="0" collapsed="false">
      <c r="A613" s="32" t="s">
        <v>10207</v>
      </c>
      <c r="B613" s="32" t="s">
        <v>2462</v>
      </c>
      <c r="C613" s="33" t="s">
        <v>57</v>
      </c>
      <c r="D613" s="33" t="s">
        <v>57</v>
      </c>
      <c r="E613" s="33" t="s">
        <v>81</v>
      </c>
      <c r="F613" s="33" t="s">
        <v>2468</v>
      </c>
      <c r="G613" s="33" t="s">
        <v>9</v>
      </c>
      <c r="H613" s="33" t="n">
        <v>10</v>
      </c>
    </row>
    <row r="614" customFormat="false" ht="54" hidden="false" customHeight="true" outlineLevel="0" collapsed="false">
      <c r="A614" s="32" t="s">
        <v>10208</v>
      </c>
      <c r="B614" s="32" t="s">
        <v>2462</v>
      </c>
      <c r="C614" s="33" t="s">
        <v>57</v>
      </c>
      <c r="D614" s="33" t="s">
        <v>57</v>
      </c>
      <c r="E614" s="33" t="s">
        <v>82</v>
      </c>
      <c r="F614" s="33" t="s">
        <v>2467</v>
      </c>
      <c r="G614" s="33" t="s">
        <v>9</v>
      </c>
      <c r="H614" s="33" t="n">
        <v>10</v>
      </c>
    </row>
    <row r="615" customFormat="false" ht="54" hidden="false" customHeight="true" outlineLevel="0" collapsed="false">
      <c r="A615" s="32" t="s">
        <v>10209</v>
      </c>
      <c r="B615" s="32" t="s">
        <v>2472</v>
      </c>
      <c r="C615" s="33" t="s">
        <v>2404</v>
      </c>
      <c r="D615" s="33" t="s">
        <v>51</v>
      </c>
      <c r="E615" s="33" t="s">
        <v>80</v>
      </c>
      <c r="F615" s="33" t="s">
        <v>2479</v>
      </c>
      <c r="G615" s="33" t="s">
        <v>9</v>
      </c>
      <c r="H615" s="33" t="n">
        <v>10</v>
      </c>
    </row>
    <row r="616" customFormat="false" ht="54" hidden="false" customHeight="true" outlineLevel="0" collapsed="false">
      <c r="A616" s="32" t="s">
        <v>10210</v>
      </c>
      <c r="B616" s="32" t="s">
        <v>2472</v>
      </c>
      <c r="C616" s="33" t="s">
        <v>2404</v>
      </c>
      <c r="D616" s="33" t="s">
        <v>51</v>
      </c>
      <c r="E616" s="33" t="s">
        <v>81</v>
      </c>
      <c r="F616" s="33" t="s">
        <v>2478</v>
      </c>
      <c r="G616" s="33" t="s">
        <v>9</v>
      </c>
      <c r="H616" s="33" t="n">
        <v>10</v>
      </c>
    </row>
    <row r="617" customFormat="false" ht="54" hidden="false" customHeight="true" outlineLevel="0" collapsed="false">
      <c r="A617" s="32" t="s">
        <v>10211</v>
      </c>
      <c r="B617" s="32" t="s">
        <v>2472</v>
      </c>
      <c r="C617" s="33" t="s">
        <v>2404</v>
      </c>
      <c r="D617" s="33" t="s">
        <v>51</v>
      </c>
      <c r="E617" s="33" t="s">
        <v>82</v>
      </c>
      <c r="F617" s="33" t="s">
        <v>2478</v>
      </c>
      <c r="G617" s="33" t="s">
        <v>9</v>
      </c>
      <c r="H617" s="33" t="n">
        <v>10</v>
      </c>
    </row>
    <row r="618" customFormat="false" ht="54" hidden="false" customHeight="true" outlineLevel="0" collapsed="false">
      <c r="A618" s="32" t="s">
        <v>10212</v>
      </c>
      <c r="B618" s="32" t="s">
        <v>2472</v>
      </c>
      <c r="C618" s="33" t="s">
        <v>2404</v>
      </c>
      <c r="D618" s="33" t="s">
        <v>51</v>
      </c>
      <c r="E618" s="33" t="s">
        <v>82</v>
      </c>
      <c r="F618" s="33" t="s">
        <v>2479</v>
      </c>
      <c r="G618" s="33" t="s">
        <v>9</v>
      </c>
      <c r="H618" s="33" t="n">
        <v>10</v>
      </c>
    </row>
    <row r="619" customFormat="false" ht="54" hidden="false" customHeight="true" outlineLevel="0" collapsed="false">
      <c r="A619" s="32" t="s">
        <v>10213</v>
      </c>
      <c r="B619" s="32" t="s">
        <v>2472</v>
      </c>
      <c r="C619" s="33" t="s">
        <v>2404</v>
      </c>
      <c r="D619" s="33" t="s">
        <v>51</v>
      </c>
      <c r="E619" s="33" t="s">
        <v>84</v>
      </c>
      <c r="F619" s="33" t="s">
        <v>2479</v>
      </c>
      <c r="G619" s="33" t="s">
        <v>9</v>
      </c>
      <c r="H619" s="33" t="n">
        <v>10</v>
      </c>
    </row>
    <row r="620" customFormat="false" ht="54" hidden="false" customHeight="true" outlineLevel="0" collapsed="false">
      <c r="A620" s="32" t="s">
        <v>10214</v>
      </c>
      <c r="B620" s="32" t="s">
        <v>2484</v>
      </c>
      <c r="C620" s="33" t="s">
        <v>1407</v>
      </c>
      <c r="D620" s="33" t="s">
        <v>50</v>
      </c>
      <c r="E620" s="33" t="s">
        <v>82</v>
      </c>
      <c r="F620" s="33" t="s">
        <v>2489</v>
      </c>
      <c r="G620" s="33" t="s">
        <v>9</v>
      </c>
      <c r="H620" s="33" t="n">
        <v>10</v>
      </c>
    </row>
    <row r="621" customFormat="false" ht="54" hidden="false" customHeight="true" outlineLevel="0" collapsed="false">
      <c r="A621" s="32" t="s">
        <v>10215</v>
      </c>
      <c r="B621" s="32" t="s">
        <v>2484</v>
      </c>
      <c r="C621" s="33" t="s">
        <v>1407</v>
      </c>
      <c r="D621" s="33" t="s">
        <v>50</v>
      </c>
      <c r="E621" s="33" t="s">
        <v>82</v>
      </c>
      <c r="F621" s="33" t="s">
        <v>2490</v>
      </c>
      <c r="G621" s="33" t="s">
        <v>9</v>
      </c>
      <c r="H621" s="33" t="n">
        <v>10</v>
      </c>
    </row>
    <row r="622" customFormat="false" ht="54" hidden="false" customHeight="true" outlineLevel="0" collapsed="false">
      <c r="A622" s="32" t="s">
        <v>10216</v>
      </c>
      <c r="B622" s="32" t="s">
        <v>2495</v>
      </c>
      <c r="C622" s="33" t="s">
        <v>2404</v>
      </c>
      <c r="D622" s="33" t="s">
        <v>51</v>
      </c>
      <c r="E622" s="33" t="s">
        <v>82</v>
      </c>
      <c r="F622" s="33" t="s">
        <v>2501</v>
      </c>
      <c r="G622" s="33" t="s">
        <v>9</v>
      </c>
      <c r="H622" s="33" t="n">
        <v>10</v>
      </c>
    </row>
    <row r="623" customFormat="false" ht="54" hidden="false" customHeight="true" outlineLevel="0" collapsed="false">
      <c r="A623" s="32" t="s">
        <v>10217</v>
      </c>
      <c r="B623" s="32" t="s">
        <v>2516</v>
      </c>
      <c r="C623" s="33" t="s">
        <v>1407</v>
      </c>
      <c r="D623" s="33" t="s">
        <v>50</v>
      </c>
      <c r="E623" s="33" t="s">
        <v>82</v>
      </c>
      <c r="F623" s="33" t="s">
        <v>2520</v>
      </c>
      <c r="G623" s="33" t="s">
        <v>9</v>
      </c>
      <c r="H623" s="33" t="n">
        <v>10</v>
      </c>
    </row>
    <row r="624" customFormat="false" ht="54" hidden="false" customHeight="true" outlineLevel="0" collapsed="false">
      <c r="A624" s="32" t="s">
        <v>10218</v>
      </c>
      <c r="B624" s="32" t="s">
        <v>2516</v>
      </c>
      <c r="C624" s="33" t="s">
        <v>1407</v>
      </c>
      <c r="D624" s="33" t="s">
        <v>50</v>
      </c>
      <c r="E624" s="33" t="s">
        <v>82</v>
      </c>
      <c r="F624" s="33" t="s">
        <v>2521</v>
      </c>
      <c r="G624" s="33" t="s">
        <v>9</v>
      </c>
      <c r="H624" s="33" t="n">
        <v>10</v>
      </c>
    </row>
    <row r="625" customFormat="false" ht="54" hidden="false" customHeight="true" outlineLevel="0" collapsed="false">
      <c r="A625" s="32" t="s">
        <v>10219</v>
      </c>
      <c r="B625" s="32" t="s">
        <v>2526</v>
      </c>
      <c r="C625" s="33" t="s">
        <v>1805</v>
      </c>
      <c r="D625" s="33" t="s">
        <v>56</v>
      </c>
      <c r="E625" s="33" t="s">
        <v>80</v>
      </c>
      <c r="F625" s="33" t="s">
        <v>2532</v>
      </c>
      <c r="G625" s="33" t="s">
        <v>9</v>
      </c>
      <c r="H625" s="33" t="n">
        <v>10</v>
      </c>
    </row>
    <row r="626" customFormat="false" ht="54" hidden="false" customHeight="true" outlineLevel="0" collapsed="false">
      <c r="A626" s="32" t="s">
        <v>10220</v>
      </c>
      <c r="B626" s="32" t="s">
        <v>2526</v>
      </c>
      <c r="C626" s="33" t="s">
        <v>1805</v>
      </c>
      <c r="D626" s="33" t="s">
        <v>56</v>
      </c>
      <c r="E626" s="33" t="s">
        <v>80</v>
      </c>
      <c r="F626" s="33" t="s">
        <v>2533</v>
      </c>
      <c r="G626" s="33" t="s">
        <v>9</v>
      </c>
      <c r="H626" s="33" t="n">
        <v>10</v>
      </c>
    </row>
    <row r="627" customFormat="false" ht="54" hidden="false" customHeight="true" outlineLevel="0" collapsed="false">
      <c r="A627" s="32" t="s">
        <v>10221</v>
      </c>
      <c r="B627" s="32" t="s">
        <v>2526</v>
      </c>
      <c r="C627" s="33" t="s">
        <v>1805</v>
      </c>
      <c r="D627" s="33" t="s">
        <v>56</v>
      </c>
      <c r="E627" s="33" t="s">
        <v>81</v>
      </c>
      <c r="F627" s="33" t="s">
        <v>2532</v>
      </c>
      <c r="G627" s="33" t="s">
        <v>9</v>
      </c>
      <c r="H627" s="33" t="n">
        <v>10</v>
      </c>
    </row>
    <row r="628" customFormat="false" ht="54" hidden="false" customHeight="true" outlineLevel="0" collapsed="false">
      <c r="A628" s="32" t="s">
        <v>10222</v>
      </c>
      <c r="B628" s="32" t="s">
        <v>2526</v>
      </c>
      <c r="C628" s="33" t="s">
        <v>1805</v>
      </c>
      <c r="D628" s="33" t="s">
        <v>56</v>
      </c>
      <c r="E628" s="33" t="s">
        <v>82</v>
      </c>
      <c r="F628" s="33" t="s">
        <v>2532</v>
      </c>
      <c r="G628" s="33" t="s">
        <v>9</v>
      </c>
      <c r="H628" s="33" t="n">
        <v>10</v>
      </c>
    </row>
    <row r="629" customFormat="false" ht="54" hidden="false" customHeight="true" outlineLevel="0" collapsed="false">
      <c r="A629" s="32" t="s">
        <v>10223</v>
      </c>
      <c r="B629" s="32" t="s">
        <v>2537</v>
      </c>
      <c r="C629" s="33" t="s">
        <v>2404</v>
      </c>
      <c r="D629" s="33" t="s">
        <v>51</v>
      </c>
      <c r="E629" s="33" t="s">
        <v>81</v>
      </c>
      <c r="F629" s="33" t="s">
        <v>2542</v>
      </c>
      <c r="G629" s="33" t="s">
        <v>9</v>
      </c>
      <c r="H629" s="33" t="n">
        <v>10</v>
      </c>
    </row>
    <row r="630" customFormat="false" ht="54" hidden="false" customHeight="true" outlineLevel="0" collapsed="false">
      <c r="A630" s="32" t="s">
        <v>10224</v>
      </c>
      <c r="B630" s="32" t="s">
        <v>2537</v>
      </c>
      <c r="C630" s="33" t="s">
        <v>2404</v>
      </c>
      <c r="D630" s="33" t="s">
        <v>51</v>
      </c>
      <c r="E630" s="33" t="s">
        <v>81</v>
      </c>
      <c r="F630" s="33" t="s">
        <v>2543</v>
      </c>
      <c r="G630" s="33" t="s">
        <v>9</v>
      </c>
      <c r="H630" s="33" t="n">
        <v>10</v>
      </c>
    </row>
    <row r="631" customFormat="false" ht="54" hidden="false" customHeight="true" outlineLevel="0" collapsed="false">
      <c r="A631" s="32" t="s">
        <v>10225</v>
      </c>
      <c r="B631" s="32" t="s">
        <v>2537</v>
      </c>
      <c r="C631" s="33" t="s">
        <v>2404</v>
      </c>
      <c r="D631" s="33" t="s">
        <v>51</v>
      </c>
      <c r="E631" s="33" t="s">
        <v>84</v>
      </c>
      <c r="F631" s="33" t="s">
        <v>2540</v>
      </c>
      <c r="G631" s="33" t="s">
        <v>9</v>
      </c>
      <c r="H631" s="33" t="n">
        <v>10</v>
      </c>
    </row>
    <row r="632" customFormat="false" ht="54" hidden="false" customHeight="true" outlineLevel="0" collapsed="false">
      <c r="A632" s="32" t="s">
        <v>10226</v>
      </c>
      <c r="B632" s="32" t="s">
        <v>2548</v>
      </c>
      <c r="C632" s="33" t="s">
        <v>57</v>
      </c>
      <c r="D632" s="33" t="s">
        <v>57</v>
      </c>
      <c r="E632" s="33" t="s">
        <v>81</v>
      </c>
      <c r="F632" s="33" t="s">
        <v>2558</v>
      </c>
      <c r="G632" s="33" t="s">
        <v>9</v>
      </c>
      <c r="H632" s="33" t="n">
        <v>10</v>
      </c>
    </row>
    <row r="633" customFormat="false" ht="54" hidden="false" customHeight="true" outlineLevel="0" collapsed="false">
      <c r="A633" s="32" t="s">
        <v>10227</v>
      </c>
      <c r="B633" s="32" t="s">
        <v>2548</v>
      </c>
      <c r="C633" s="33" t="s">
        <v>57</v>
      </c>
      <c r="D633" s="33" t="s">
        <v>57</v>
      </c>
      <c r="E633" s="33" t="s">
        <v>81</v>
      </c>
      <c r="F633" s="33" t="s">
        <v>2555</v>
      </c>
      <c r="G633" s="33" t="s">
        <v>9</v>
      </c>
      <c r="H633" s="33" t="n">
        <v>10</v>
      </c>
    </row>
    <row r="634" customFormat="false" ht="54" hidden="false" customHeight="true" outlineLevel="0" collapsed="false">
      <c r="A634" s="32" t="s">
        <v>10228</v>
      </c>
      <c r="B634" s="32" t="s">
        <v>2548</v>
      </c>
      <c r="C634" s="33" t="s">
        <v>57</v>
      </c>
      <c r="D634" s="33" t="s">
        <v>57</v>
      </c>
      <c r="E634" s="33" t="s">
        <v>81</v>
      </c>
      <c r="F634" s="33" t="s">
        <v>2556</v>
      </c>
      <c r="G634" s="33" t="s">
        <v>9</v>
      </c>
      <c r="H634" s="33" t="n">
        <v>10</v>
      </c>
    </row>
    <row r="635" customFormat="false" ht="54" hidden="false" customHeight="true" outlineLevel="0" collapsed="false">
      <c r="A635" s="32" t="s">
        <v>10229</v>
      </c>
      <c r="B635" s="32" t="s">
        <v>2548</v>
      </c>
      <c r="C635" s="33" t="s">
        <v>57</v>
      </c>
      <c r="D635" s="33" t="s">
        <v>57</v>
      </c>
      <c r="E635" s="33" t="s">
        <v>82</v>
      </c>
      <c r="F635" s="33" t="s">
        <v>2558</v>
      </c>
      <c r="G635" s="33" t="s">
        <v>9</v>
      </c>
      <c r="H635" s="33" t="n">
        <v>10</v>
      </c>
    </row>
    <row r="636" customFormat="false" ht="54" hidden="false" customHeight="true" outlineLevel="0" collapsed="false">
      <c r="A636" s="32" t="s">
        <v>10230</v>
      </c>
      <c r="B636" s="32" t="s">
        <v>2560</v>
      </c>
      <c r="C636" s="33" t="s">
        <v>57</v>
      </c>
      <c r="D636" s="33" t="s">
        <v>57</v>
      </c>
      <c r="E636" s="33" t="s">
        <v>80</v>
      </c>
      <c r="F636" s="33" t="s">
        <v>183</v>
      </c>
      <c r="G636" s="33" t="s">
        <v>9</v>
      </c>
      <c r="H636" s="33" t="n">
        <v>10</v>
      </c>
    </row>
    <row r="637" customFormat="false" ht="54" hidden="false" customHeight="true" outlineLevel="0" collapsed="false">
      <c r="A637" s="32" t="s">
        <v>10231</v>
      </c>
      <c r="B637" s="32" t="s">
        <v>2560</v>
      </c>
      <c r="C637" s="33" t="s">
        <v>57</v>
      </c>
      <c r="D637" s="33" t="s">
        <v>57</v>
      </c>
      <c r="E637" s="33" t="s">
        <v>80</v>
      </c>
      <c r="F637" s="33" t="s">
        <v>10232</v>
      </c>
      <c r="G637" s="33" t="s">
        <v>9</v>
      </c>
      <c r="H637" s="33" t="n">
        <v>10</v>
      </c>
    </row>
    <row r="638" customFormat="false" ht="54" hidden="false" customHeight="true" outlineLevel="0" collapsed="false">
      <c r="A638" s="32" t="s">
        <v>10233</v>
      </c>
      <c r="B638" s="32" t="s">
        <v>2560</v>
      </c>
      <c r="C638" s="33" t="s">
        <v>57</v>
      </c>
      <c r="D638" s="33" t="s">
        <v>57</v>
      </c>
      <c r="E638" s="33" t="s">
        <v>81</v>
      </c>
      <c r="F638" s="33" t="s">
        <v>2564</v>
      </c>
      <c r="G638" s="33" t="s">
        <v>9</v>
      </c>
      <c r="H638" s="33" t="n">
        <v>10</v>
      </c>
    </row>
    <row r="639" customFormat="false" ht="54" hidden="false" customHeight="true" outlineLevel="0" collapsed="false">
      <c r="A639" s="32" t="s">
        <v>10234</v>
      </c>
      <c r="B639" s="32" t="s">
        <v>2560</v>
      </c>
      <c r="C639" s="33" t="s">
        <v>57</v>
      </c>
      <c r="D639" s="33" t="s">
        <v>57</v>
      </c>
      <c r="E639" s="33" t="s">
        <v>82</v>
      </c>
      <c r="F639" s="33" t="s">
        <v>182</v>
      </c>
      <c r="G639" s="33" t="s">
        <v>9</v>
      </c>
      <c r="H639" s="33" t="n">
        <v>10</v>
      </c>
    </row>
    <row r="640" customFormat="false" ht="54" hidden="false" customHeight="true" outlineLevel="0" collapsed="false">
      <c r="A640" s="32" t="s">
        <v>10235</v>
      </c>
      <c r="B640" s="32" t="s">
        <v>2560</v>
      </c>
      <c r="C640" s="33" t="s">
        <v>57</v>
      </c>
      <c r="D640" s="33" t="s">
        <v>57</v>
      </c>
      <c r="E640" s="33" t="s">
        <v>84</v>
      </c>
      <c r="F640" s="33" t="s">
        <v>183</v>
      </c>
      <c r="G640" s="33" t="s">
        <v>9</v>
      </c>
      <c r="H640" s="33" t="n">
        <v>10</v>
      </c>
    </row>
    <row r="641" customFormat="false" ht="54" hidden="false" customHeight="true" outlineLevel="0" collapsed="false">
      <c r="A641" s="32" t="s">
        <v>10236</v>
      </c>
      <c r="B641" s="32" t="s">
        <v>2571</v>
      </c>
      <c r="C641" s="33" t="s">
        <v>2404</v>
      </c>
      <c r="D641" s="33" t="s">
        <v>51</v>
      </c>
      <c r="E641" s="33" t="s">
        <v>80</v>
      </c>
      <c r="F641" s="33" t="s">
        <v>2581</v>
      </c>
      <c r="G641" s="33" t="s">
        <v>9</v>
      </c>
      <c r="H641" s="33" t="n">
        <v>10</v>
      </c>
    </row>
    <row r="642" customFormat="false" ht="54" hidden="false" customHeight="true" outlineLevel="0" collapsed="false">
      <c r="A642" s="32" t="s">
        <v>10237</v>
      </c>
      <c r="B642" s="32" t="s">
        <v>2571</v>
      </c>
      <c r="C642" s="33" t="s">
        <v>2404</v>
      </c>
      <c r="D642" s="33" t="s">
        <v>51</v>
      </c>
      <c r="E642" s="33" t="s">
        <v>82</v>
      </c>
      <c r="F642" s="33" t="s">
        <v>2582</v>
      </c>
      <c r="G642" s="33" t="s">
        <v>9</v>
      </c>
      <c r="H642" s="33" t="n">
        <v>10</v>
      </c>
    </row>
    <row r="643" customFormat="false" ht="54" hidden="false" customHeight="true" outlineLevel="0" collapsed="false">
      <c r="A643" s="32" t="s">
        <v>10238</v>
      </c>
      <c r="B643" s="32" t="s">
        <v>2571</v>
      </c>
      <c r="C643" s="33" t="s">
        <v>2404</v>
      </c>
      <c r="D643" s="33" t="s">
        <v>51</v>
      </c>
      <c r="E643" s="33" t="s">
        <v>83</v>
      </c>
      <c r="F643" s="33" t="s">
        <v>2581</v>
      </c>
      <c r="G643" s="33" t="s">
        <v>9</v>
      </c>
      <c r="H643" s="33" t="n">
        <v>10</v>
      </c>
    </row>
    <row r="644" customFormat="false" ht="54" hidden="false" customHeight="true" outlineLevel="0" collapsed="false">
      <c r="A644" s="32" t="s">
        <v>10239</v>
      </c>
      <c r="B644" s="32" t="s">
        <v>2585</v>
      </c>
      <c r="C644" s="33" t="s">
        <v>2404</v>
      </c>
      <c r="D644" s="33" t="s">
        <v>51</v>
      </c>
      <c r="E644" s="33" t="s">
        <v>82</v>
      </c>
      <c r="F644" s="33" t="s">
        <v>2589</v>
      </c>
      <c r="G644" s="33" t="s">
        <v>9</v>
      </c>
      <c r="H644" s="33" t="n">
        <v>10</v>
      </c>
    </row>
    <row r="645" customFormat="false" ht="54" hidden="false" customHeight="true" outlineLevel="0" collapsed="false">
      <c r="A645" s="32" t="s">
        <v>10240</v>
      </c>
      <c r="B645" s="32" t="s">
        <v>2593</v>
      </c>
      <c r="C645" s="33" t="s">
        <v>2404</v>
      </c>
      <c r="D645" s="33" t="s">
        <v>51</v>
      </c>
      <c r="E645" s="33" t="s">
        <v>80</v>
      </c>
      <c r="F645" s="33" t="s">
        <v>2599</v>
      </c>
      <c r="G645" s="33" t="s">
        <v>9</v>
      </c>
      <c r="H645" s="33" t="n">
        <v>10</v>
      </c>
    </row>
    <row r="646" customFormat="false" ht="54" hidden="false" customHeight="true" outlineLevel="0" collapsed="false">
      <c r="A646" s="32" t="s">
        <v>10241</v>
      </c>
      <c r="B646" s="32" t="s">
        <v>2593</v>
      </c>
      <c r="C646" s="33" t="s">
        <v>2404</v>
      </c>
      <c r="D646" s="33" t="s">
        <v>51</v>
      </c>
      <c r="E646" s="33" t="s">
        <v>81</v>
      </c>
      <c r="F646" s="33" t="s">
        <v>2598</v>
      </c>
      <c r="G646" s="33" t="s">
        <v>9</v>
      </c>
      <c r="H646" s="33" t="n">
        <v>10</v>
      </c>
    </row>
    <row r="647" customFormat="false" ht="54" hidden="false" customHeight="true" outlineLevel="0" collapsed="false">
      <c r="A647" s="32" t="s">
        <v>10242</v>
      </c>
      <c r="B647" s="32" t="s">
        <v>2593</v>
      </c>
      <c r="C647" s="33" t="s">
        <v>2404</v>
      </c>
      <c r="D647" s="33" t="s">
        <v>51</v>
      </c>
      <c r="E647" s="33" t="s">
        <v>82</v>
      </c>
      <c r="F647" s="33" t="s">
        <v>2598</v>
      </c>
      <c r="G647" s="33" t="s">
        <v>9</v>
      </c>
      <c r="H647" s="33" t="n">
        <v>10</v>
      </c>
    </row>
    <row r="648" customFormat="false" ht="54" hidden="false" customHeight="true" outlineLevel="0" collapsed="false">
      <c r="A648" s="32" t="s">
        <v>10243</v>
      </c>
      <c r="B648" s="32" t="s">
        <v>2593</v>
      </c>
      <c r="C648" s="33" t="s">
        <v>2404</v>
      </c>
      <c r="D648" s="33" t="s">
        <v>51</v>
      </c>
      <c r="E648" s="33" t="s">
        <v>82</v>
      </c>
      <c r="F648" s="33" t="s">
        <v>2599</v>
      </c>
      <c r="G648" s="33" t="s">
        <v>9</v>
      </c>
      <c r="H648" s="33" t="n">
        <v>10</v>
      </c>
    </row>
    <row r="649" customFormat="false" ht="54" hidden="false" customHeight="true" outlineLevel="0" collapsed="false">
      <c r="A649" s="32" t="s">
        <v>10244</v>
      </c>
      <c r="B649" s="32" t="s">
        <v>2593</v>
      </c>
      <c r="C649" s="33" t="s">
        <v>2404</v>
      </c>
      <c r="D649" s="33" t="s">
        <v>51</v>
      </c>
      <c r="E649" s="33" t="s">
        <v>83</v>
      </c>
      <c r="F649" s="33" t="s">
        <v>2601</v>
      </c>
      <c r="G649" s="33" t="s">
        <v>9</v>
      </c>
      <c r="H649" s="33" t="n">
        <v>10</v>
      </c>
    </row>
    <row r="650" customFormat="false" ht="54" hidden="false" customHeight="true" outlineLevel="0" collapsed="false">
      <c r="A650" s="32" t="s">
        <v>10245</v>
      </c>
      <c r="B650" s="32" t="s">
        <v>2593</v>
      </c>
      <c r="C650" s="33" t="s">
        <v>2404</v>
      </c>
      <c r="D650" s="33" t="s">
        <v>51</v>
      </c>
      <c r="E650" s="33" t="s">
        <v>84</v>
      </c>
      <c r="F650" s="33" t="s">
        <v>2599</v>
      </c>
      <c r="G650" s="33" t="s">
        <v>9</v>
      </c>
      <c r="H650" s="33" t="n">
        <v>10</v>
      </c>
    </row>
    <row r="651" customFormat="false" ht="54" hidden="false" customHeight="true" outlineLevel="0" collapsed="false">
      <c r="A651" s="32" t="s">
        <v>10246</v>
      </c>
      <c r="B651" s="32" t="s">
        <v>2614</v>
      </c>
      <c r="C651" s="33" t="s">
        <v>57</v>
      </c>
      <c r="D651" s="33" t="s">
        <v>57</v>
      </c>
      <c r="E651" s="33" t="s">
        <v>81</v>
      </c>
      <c r="F651" s="33" t="s">
        <v>2620</v>
      </c>
      <c r="G651" s="33" t="s">
        <v>9</v>
      </c>
      <c r="H651" s="33" t="n">
        <v>10</v>
      </c>
    </row>
    <row r="652" customFormat="false" ht="54" hidden="false" customHeight="true" outlineLevel="0" collapsed="false">
      <c r="A652" s="32" t="s">
        <v>10247</v>
      </c>
      <c r="B652" s="32" t="s">
        <v>2614</v>
      </c>
      <c r="C652" s="33" t="s">
        <v>57</v>
      </c>
      <c r="D652" s="33" t="s">
        <v>57</v>
      </c>
      <c r="E652" s="33" t="s">
        <v>81</v>
      </c>
      <c r="F652" s="33" t="s">
        <v>2621</v>
      </c>
      <c r="G652" s="33" t="s">
        <v>9</v>
      </c>
      <c r="H652" s="33" t="n">
        <v>10</v>
      </c>
    </row>
    <row r="653" customFormat="false" ht="54" hidden="false" customHeight="true" outlineLevel="0" collapsed="false">
      <c r="A653" s="32" t="s">
        <v>10248</v>
      </c>
      <c r="B653" s="32" t="s">
        <v>2614</v>
      </c>
      <c r="C653" s="33" t="s">
        <v>57</v>
      </c>
      <c r="D653" s="33" t="s">
        <v>57</v>
      </c>
      <c r="E653" s="33" t="s">
        <v>82</v>
      </c>
      <c r="F653" s="33" t="s">
        <v>2620</v>
      </c>
      <c r="G653" s="33" t="s">
        <v>9</v>
      </c>
      <c r="H653" s="33" t="n">
        <v>10</v>
      </c>
    </row>
    <row r="654" customFormat="false" ht="54" hidden="false" customHeight="true" outlineLevel="0" collapsed="false">
      <c r="A654" s="32" t="s">
        <v>10249</v>
      </c>
      <c r="B654" s="32" t="s">
        <v>2625</v>
      </c>
      <c r="C654" s="33" t="s">
        <v>57</v>
      </c>
      <c r="D654" s="33" t="s">
        <v>57</v>
      </c>
      <c r="E654" s="33" t="s">
        <v>80</v>
      </c>
      <c r="F654" s="33" t="s">
        <v>183</v>
      </c>
      <c r="G654" s="33" t="s">
        <v>9</v>
      </c>
      <c r="H654" s="33" t="n">
        <v>10</v>
      </c>
    </row>
    <row r="655" customFormat="false" ht="54" hidden="false" customHeight="true" outlineLevel="0" collapsed="false">
      <c r="A655" s="32" t="s">
        <v>10250</v>
      </c>
      <c r="B655" s="32" t="s">
        <v>2625</v>
      </c>
      <c r="C655" s="33" t="s">
        <v>57</v>
      </c>
      <c r="D655" s="33" t="s">
        <v>57</v>
      </c>
      <c r="E655" s="33" t="s">
        <v>81</v>
      </c>
      <c r="F655" s="33" t="s">
        <v>2627</v>
      </c>
      <c r="G655" s="33" t="s">
        <v>9</v>
      </c>
      <c r="H655" s="33" t="n">
        <v>10</v>
      </c>
    </row>
    <row r="656" customFormat="false" ht="54" hidden="false" customHeight="true" outlineLevel="0" collapsed="false">
      <c r="A656" s="32" t="s">
        <v>10251</v>
      </c>
      <c r="B656" s="32" t="s">
        <v>2625</v>
      </c>
      <c r="C656" s="33" t="s">
        <v>57</v>
      </c>
      <c r="D656" s="33" t="s">
        <v>57</v>
      </c>
      <c r="E656" s="33" t="s">
        <v>82</v>
      </c>
      <c r="F656" s="33" t="s">
        <v>182</v>
      </c>
      <c r="G656" s="33" t="s">
        <v>9</v>
      </c>
      <c r="H656" s="33" t="n">
        <v>10</v>
      </c>
    </row>
    <row r="657" customFormat="false" ht="54" hidden="false" customHeight="true" outlineLevel="0" collapsed="false">
      <c r="A657" s="32" t="s">
        <v>10252</v>
      </c>
      <c r="B657" s="32" t="s">
        <v>2625</v>
      </c>
      <c r="C657" s="33" t="s">
        <v>57</v>
      </c>
      <c r="D657" s="33" t="s">
        <v>57</v>
      </c>
      <c r="E657" s="33" t="s">
        <v>83</v>
      </c>
      <c r="F657" s="33" t="s">
        <v>10253</v>
      </c>
      <c r="G657" s="33" t="s">
        <v>9</v>
      </c>
      <c r="H657" s="33" t="n">
        <v>10</v>
      </c>
    </row>
    <row r="658" customFormat="false" ht="54" hidden="false" customHeight="true" outlineLevel="0" collapsed="false">
      <c r="A658" s="32" t="s">
        <v>10254</v>
      </c>
      <c r="B658" s="32" t="s">
        <v>2625</v>
      </c>
      <c r="C658" s="33" t="s">
        <v>57</v>
      </c>
      <c r="D658" s="33" t="s">
        <v>57</v>
      </c>
      <c r="E658" s="33" t="s">
        <v>83</v>
      </c>
      <c r="F658" s="33" t="s">
        <v>10255</v>
      </c>
      <c r="G658" s="33" t="s">
        <v>9</v>
      </c>
      <c r="H658" s="33" t="n">
        <v>10</v>
      </c>
    </row>
    <row r="659" customFormat="false" ht="54" hidden="false" customHeight="true" outlineLevel="0" collapsed="false">
      <c r="A659" s="32" t="s">
        <v>10256</v>
      </c>
      <c r="B659" s="32" t="s">
        <v>2625</v>
      </c>
      <c r="C659" s="33" t="s">
        <v>57</v>
      </c>
      <c r="D659" s="33" t="s">
        <v>57</v>
      </c>
      <c r="E659" s="33" t="s">
        <v>84</v>
      </c>
      <c r="F659" s="33" t="s">
        <v>183</v>
      </c>
      <c r="G659" s="33" t="s">
        <v>9</v>
      </c>
      <c r="H659" s="33" t="n">
        <v>10</v>
      </c>
    </row>
    <row r="660" customFormat="false" ht="54" hidden="false" customHeight="true" outlineLevel="0" collapsed="false">
      <c r="A660" s="32" t="s">
        <v>10257</v>
      </c>
      <c r="B660" s="32" t="s">
        <v>2633</v>
      </c>
      <c r="C660" s="33" t="s">
        <v>57</v>
      </c>
      <c r="D660" s="33" t="s">
        <v>57</v>
      </c>
      <c r="E660" s="33" t="s">
        <v>82</v>
      </c>
      <c r="F660" s="33" t="s">
        <v>2638</v>
      </c>
      <c r="G660" s="33" t="s">
        <v>9</v>
      </c>
      <c r="H660" s="33" t="n">
        <v>10</v>
      </c>
    </row>
    <row r="661" customFormat="false" ht="54" hidden="false" customHeight="true" outlineLevel="0" collapsed="false">
      <c r="A661" s="32" t="s">
        <v>10258</v>
      </c>
      <c r="B661" s="32" t="s">
        <v>2633</v>
      </c>
      <c r="C661" s="33" t="s">
        <v>57</v>
      </c>
      <c r="D661" s="33" t="s">
        <v>57</v>
      </c>
      <c r="E661" s="33" t="s">
        <v>83</v>
      </c>
      <c r="F661" s="33" t="s">
        <v>2641</v>
      </c>
      <c r="G661" s="33" t="s">
        <v>9</v>
      </c>
      <c r="H661" s="33" t="n">
        <v>10</v>
      </c>
    </row>
    <row r="662" customFormat="false" ht="54" hidden="false" customHeight="true" outlineLevel="0" collapsed="false">
      <c r="A662" s="32" t="s">
        <v>10259</v>
      </c>
      <c r="B662" s="32" t="s">
        <v>2644</v>
      </c>
      <c r="C662" s="33" t="s">
        <v>57</v>
      </c>
      <c r="D662" s="33" t="s">
        <v>57</v>
      </c>
      <c r="E662" s="33" t="s">
        <v>80</v>
      </c>
      <c r="F662" s="33" t="s">
        <v>183</v>
      </c>
      <c r="G662" s="33" t="s">
        <v>9</v>
      </c>
      <c r="H662" s="33" t="n">
        <v>10</v>
      </c>
    </row>
    <row r="663" customFormat="false" ht="54" hidden="false" customHeight="true" outlineLevel="0" collapsed="false">
      <c r="A663" s="32" t="s">
        <v>10260</v>
      </c>
      <c r="B663" s="32" t="s">
        <v>2644</v>
      </c>
      <c r="C663" s="33" t="s">
        <v>57</v>
      </c>
      <c r="D663" s="33" t="s">
        <v>57</v>
      </c>
      <c r="E663" s="33" t="s">
        <v>82</v>
      </c>
      <c r="F663" s="33" t="s">
        <v>182</v>
      </c>
      <c r="G663" s="33" t="s">
        <v>9</v>
      </c>
      <c r="H663" s="33" t="n">
        <v>10</v>
      </c>
    </row>
    <row r="664" customFormat="false" ht="54" hidden="false" customHeight="true" outlineLevel="0" collapsed="false">
      <c r="A664" s="32" t="s">
        <v>10261</v>
      </c>
      <c r="B664" s="32" t="s">
        <v>2644</v>
      </c>
      <c r="C664" s="33" t="s">
        <v>57</v>
      </c>
      <c r="D664" s="33" t="s">
        <v>57</v>
      </c>
      <c r="E664" s="33" t="s">
        <v>82</v>
      </c>
      <c r="F664" s="33" t="s">
        <v>10262</v>
      </c>
      <c r="G664" s="33" t="s">
        <v>9</v>
      </c>
      <c r="H664" s="33" t="n">
        <v>10</v>
      </c>
    </row>
    <row r="665" customFormat="false" ht="54" hidden="false" customHeight="true" outlineLevel="0" collapsed="false">
      <c r="A665" s="32" t="s">
        <v>10263</v>
      </c>
      <c r="B665" s="32" t="s">
        <v>2644</v>
      </c>
      <c r="C665" s="33" t="s">
        <v>57</v>
      </c>
      <c r="D665" s="33" t="s">
        <v>57</v>
      </c>
      <c r="E665" s="33" t="s">
        <v>84</v>
      </c>
      <c r="F665" s="33" t="s">
        <v>183</v>
      </c>
      <c r="G665" s="33" t="s">
        <v>9</v>
      </c>
      <c r="H665" s="33" t="n">
        <v>10</v>
      </c>
    </row>
    <row r="666" customFormat="false" ht="54" hidden="false" customHeight="true" outlineLevel="0" collapsed="false">
      <c r="A666" s="32" t="s">
        <v>10264</v>
      </c>
      <c r="B666" s="32" t="s">
        <v>2644</v>
      </c>
      <c r="C666" s="33" t="s">
        <v>57</v>
      </c>
      <c r="D666" s="33" t="s">
        <v>57</v>
      </c>
      <c r="E666" s="33" t="s">
        <v>85</v>
      </c>
      <c r="F666" s="33" t="s">
        <v>2655</v>
      </c>
      <c r="G666" s="33" t="s">
        <v>9</v>
      </c>
      <c r="H666" s="33" t="n">
        <v>10</v>
      </c>
    </row>
    <row r="667" customFormat="false" ht="54" hidden="false" customHeight="true" outlineLevel="0" collapsed="false">
      <c r="A667" s="32" t="s">
        <v>10265</v>
      </c>
      <c r="B667" s="32" t="s">
        <v>2657</v>
      </c>
      <c r="C667" s="33" t="s">
        <v>2404</v>
      </c>
      <c r="D667" s="33" t="s">
        <v>51</v>
      </c>
      <c r="E667" s="33" t="s">
        <v>80</v>
      </c>
      <c r="F667" s="33" t="s">
        <v>2663</v>
      </c>
      <c r="G667" s="33" t="s">
        <v>9</v>
      </c>
      <c r="H667" s="33" t="n">
        <v>10</v>
      </c>
    </row>
    <row r="668" customFormat="false" ht="54" hidden="false" customHeight="true" outlineLevel="0" collapsed="false">
      <c r="A668" s="32" t="s">
        <v>10266</v>
      </c>
      <c r="B668" s="32" t="s">
        <v>2657</v>
      </c>
      <c r="C668" s="33" t="s">
        <v>2404</v>
      </c>
      <c r="D668" s="33" t="s">
        <v>51</v>
      </c>
      <c r="E668" s="33" t="s">
        <v>81</v>
      </c>
      <c r="F668" s="33" t="s">
        <v>2662</v>
      </c>
      <c r="G668" s="33" t="s">
        <v>9</v>
      </c>
      <c r="H668" s="33" t="n">
        <v>10</v>
      </c>
    </row>
    <row r="669" customFormat="false" ht="54" hidden="false" customHeight="true" outlineLevel="0" collapsed="false">
      <c r="A669" s="32" t="s">
        <v>10267</v>
      </c>
      <c r="B669" s="32" t="s">
        <v>2657</v>
      </c>
      <c r="C669" s="33" t="s">
        <v>2404</v>
      </c>
      <c r="D669" s="33" t="s">
        <v>51</v>
      </c>
      <c r="E669" s="33" t="s">
        <v>82</v>
      </c>
      <c r="F669" s="33" t="s">
        <v>2662</v>
      </c>
      <c r="G669" s="33" t="s">
        <v>9</v>
      </c>
      <c r="H669" s="33" t="n">
        <v>10</v>
      </c>
    </row>
    <row r="670" customFormat="false" ht="54" hidden="false" customHeight="true" outlineLevel="0" collapsed="false">
      <c r="A670" s="32" t="s">
        <v>10268</v>
      </c>
      <c r="B670" s="32" t="s">
        <v>2657</v>
      </c>
      <c r="C670" s="33" t="s">
        <v>2404</v>
      </c>
      <c r="D670" s="33" t="s">
        <v>51</v>
      </c>
      <c r="E670" s="33" t="s">
        <v>82</v>
      </c>
      <c r="F670" s="33" t="s">
        <v>2663</v>
      </c>
      <c r="G670" s="33" t="s">
        <v>9</v>
      </c>
      <c r="H670" s="33" t="n">
        <v>10</v>
      </c>
    </row>
    <row r="671" customFormat="false" ht="54" hidden="false" customHeight="true" outlineLevel="0" collapsed="false">
      <c r="A671" s="32" t="s">
        <v>10269</v>
      </c>
      <c r="B671" s="32" t="s">
        <v>2657</v>
      </c>
      <c r="C671" s="33" t="s">
        <v>2404</v>
      </c>
      <c r="D671" s="33" t="s">
        <v>51</v>
      </c>
      <c r="E671" s="33" t="s">
        <v>82</v>
      </c>
      <c r="F671" s="33" t="s">
        <v>2665</v>
      </c>
      <c r="G671" s="33" t="s">
        <v>9</v>
      </c>
      <c r="H671" s="33" t="n">
        <v>10</v>
      </c>
    </row>
    <row r="672" customFormat="false" ht="54" hidden="false" customHeight="true" outlineLevel="0" collapsed="false">
      <c r="A672" s="32" t="s">
        <v>10270</v>
      </c>
      <c r="B672" s="32" t="s">
        <v>2657</v>
      </c>
      <c r="C672" s="33" t="s">
        <v>2404</v>
      </c>
      <c r="D672" s="33" t="s">
        <v>51</v>
      </c>
      <c r="E672" s="33" t="s">
        <v>84</v>
      </c>
      <c r="F672" s="33" t="s">
        <v>2663</v>
      </c>
      <c r="G672" s="33" t="s">
        <v>9</v>
      </c>
      <c r="H672" s="33" t="n">
        <v>10</v>
      </c>
    </row>
    <row r="673" customFormat="false" ht="54" hidden="false" customHeight="true" outlineLevel="0" collapsed="false">
      <c r="A673" s="32" t="s">
        <v>10271</v>
      </c>
      <c r="B673" s="32" t="s">
        <v>2668</v>
      </c>
      <c r="C673" s="33" t="s">
        <v>1407</v>
      </c>
      <c r="D673" s="33" t="s">
        <v>50</v>
      </c>
      <c r="E673" s="33" t="s">
        <v>80</v>
      </c>
      <c r="F673" s="33" t="s">
        <v>2674</v>
      </c>
      <c r="G673" s="33" t="s">
        <v>9</v>
      </c>
      <c r="H673" s="33" t="n">
        <v>10</v>
      </c>
    </row>
    <row r="674" customFormat="false" ht="54" hidden="false" customHeight="true" outlineLevel="0" collapsed="false">
      <c r="A674" s="32" t="s">
        <v>10272</v>
      </c>
      <c r="B674" s="32" t="s">
        <v>2668</v>
      </c>
      <c r="C674" s="33" t="s">
        <v>1407</v>
      </c>
      <c r="D674" s="33" t="s">
        <v>50</v>
      </c>
      <c r="E674" s="33" t="s">
        <v>81</v>
      </c>
      <c r="F674" s="33" t="s">
        <v>2677</v>
      </c>
      <c r="G674" s="33" t="s">
        <v>9</v>
      </c>
      <c r="H674" s="33" t="n">
        <v>10</v>
      </c>
    </row>
    <row r="675" customFormat="false" ht="54" hidden="false" customHeight="true" outlineLevel="0" collapsed="false">
      <c r="A675" s="32" t="s">
        <v>10273</v>
      </c>
      <c r="B675" s="32" t="s">
        <v>2668</v>
      </c>
      <c r="C675" s="33" t="s">
        <v>1407</v>
      </c>
      <c r="D675" s="33" t="s">
        <v>50</v>
      </c>
      <c r="E675" s="33" t="s">
        <v>82</v>
      </c>
      <c r="F675" s="33" t="s">
        <v>10274</v>
      </c>
      <c r="G675" s="33" t="s">
        <v>9</v>
      </c>
      <c r="H675" s="33" t="n">
        <v>10</v>
      </c>
    </row>
    <row r="676" customFormat="false" ht="54" hidden="false" customHeight="true" outlineLevel="0" collapsed="false">
      <c r="A676" s="32" t="s">
        <v>10275</v>
      </c>
      <c r="B676" s="32" t="s">
        <v>2668</v>
      </c>
      <c r="C676" s="33" t="s">
        <v>1407</v>
      </c>
      <c r="D676" s="33" t="s">
        <v>50</v>
      </c>
      <c r="E676" s="33" t="s">
        <v>82</v>
      </c>
      <c r="F676" s="33" t="s">
        <v>2674</v>
      </c>
      <c r="G676" s="33" t="s">
        <v>9</v>
      </c>
      <c r="H676" s="33" t="n">
        <v>10</v>
      </c>
    </row>
    <row r="677" customFormat="false" ht="54" hidden="false" customHeight="true" outlineLevel="0" collapsed="false">
      <c r="A677" s="32" t="s">
        <v>10276</v>
      </c>
      <c r="B677" s="32" t="s">
        <v>2668</v>
      </c>
      <c r="C677" s="33" t="s">
        <v>1407</v>
      </c>
      <c r="D677" s="33" t="s">
        <v>50</v>
      </c>
      <c r="E677" s="33" t="s">
        <v>84</v>
      </c>
      <c r="F677" s="33" t="s">
        <v>2674</v>
      </c>
      <c r="G677" s="33" t="s">
        <v>9</v>
      </c>
      <c r="H677" s="33" t="n">
        <v>10</v>
      </c>
    </row>
    <row r="678" customFormat="false" ht="54" hidden="false" customHeight="true" outlineLevel="0" collapsed="false">
      <c r="A678" s="32" t="s">
        <v>10277</v>
      </c>
      <c r="B678" s="32" t="s">
        <v>2680</v>
      </c>
      <c r="C678" s="33" t="s">
        <v>1407</v>
      </c>
      <c r="D678" s="33" t="s">
        <v>50</v>
      </c>
      <c r="E678" s="33" t="s">
        <v>80</v>
      </c>
      <c r="F678" s="33" t="s">
        <v>2684</v>
      </c>
      <c r="G678" s="33" t="s">
        <v>9</v>
      </c>
      <c r="H678" s="33" t="n">
        <v>10</v>
      </c>
    </row>
    <row r="679" customFormat="false" ht="54" hidden="false" customHeight="true" outlineLevel="0" collapsed="false">
      <c r="A679" s="32" t="s">
        <v>10278</v>
      </c>
      <c r="B679" s="32" t="s">
        <v>2680</v>
      </c>
      <c r="C679" s="33" t="s">
        <v>1407</v>
      </c>
      <c r="D679" s="33" t="s">
        <v>50</v>
      </c>
      <c r="E679" s="33" t="s">
        <v>81</v>
      </c>
      <c r="F679" s="33" t="s">
        <v>2683</v>
      </c>
      <c r="G679" s="33" t="s">
        <v>9</v>
      </c>
      <c r="H679" s="33" t="n">
        <v>10</v>
      </c>
    </row>
    <row r="680" customFormat="false" ht="54" hidden="false" customHeight="true" outlineLevel="0" collapsed="false">
      <c r="A680" s="32" t="s">
        <v>10279</v>
      </c>
      <c r="B680" s="32" t="s">
        <v>2680</v>
      </c>
      <c r="C680" s="33" t="s">
        <v>1407</v>
      </c>
      <c r="D680" s="33" t="s">
        <v>50</v>
      </c>
      <c r="E680" s="33" t="s">
        <v>82</v>
      </c>
      <c r="F680" s="33" t="s">
        <v>2683</v>
      </c>
      <c r="G680" s="33" t="s">
        <v>9</v>
      </c>
      <c r="H680" s="33" t="n">
        <v>10</v>
      </c>
    </row>
    <row r="681" customFormat="false" ht="54" hidden="false" customHeight="true" outlineLevel="0" collapsed="false">
      <c r="A681" s="32" t="s">
        <v>10280</v>
      </c>
      <c r="B681" s="32" t="s">
        <v>2680</v>
      </c>
      <c r="C681" s="33" t="s">
        <v>1407</v>
      </c>
      <c r="D681" s="33" t="s">
        <v>50</v>
      </c>
      <c r="E681" s="33" t="s">
        <v>82</v>
      </c>
      <c r="F681" s="33" t="s">
        <v>2684</v>
      </c>
      <c r="G681" s="33" t="s">
        <v>9</v>
      </c>
      <c r="H681" s="33" t="n">
        <v>10</v>
      </c>
    </row>
    <row r="682" customFormat="false" ht="54" hidden="false" customHeight="true" outlineLevel="0" collapsed="false">
      <c r="A682" s="32" t="s">
        <v>10281</v>
      </c>
      <c r="B682" s="32" t="s">
        <v>2680</v>
      </c>
      <c r="C682" s="33" t="s">
        <v>1407</v>
      </c>
      <c r="D682" s="33" t="s">
        <v>50</v>
      </c>
      <c r="E682" s="33" t="s">
        <v>82</v>
      </c>
      <c r="F682" s="33" t="s">
        <v>2686</v>
      </c>
      <c r="G682" s="33" t="s">
        <v>9</v>
      </c>
      <c r="H682" s="33" t="n">
        <v>10</v>
      </c>
    </row>
    <row r="683" customFormat="false" ht="54" hidden="false" customHeight="true" outlineLevel="0" collapsed="false">
      <c r="A683" s="32" t="s">
        <v>10282</v>
      </c>
      <c r="B683" s="32" t="s">
        <v>2680</v>
      </c>
      <c r="C683" s="33" t="s">
        <v>1407</v>
      </c>
      <c r="D683" s="33" t="s">
        <v>50</v>
      </c>
      <c r="E683" s="33" t="s">
        <v>84</v>
      </c>
      <c r="F683" s="33" t="s">
        <v>2684</v>
      </c>
      <c r="G683" s="33" t="s">
        <v>9</v>
      </c>
      <c r="H683" s="33" t="n">
        <v>10</v>
      </c>
    </row>
    <row r="684" customFormat="false" ht="54" hidden="false" customHeight="true" outlineLevel="0" collapsed="false">
      <c r="A684" s="32" t="s">
        <v>10283</v>
      </c>
      <c r="B684" s="32" t="s">
        <v>2689</v>
      </c>
      <c r="C684" s="33" t="s">
        <v>1407</v>
      </c>
      <c r="D684" s="33" t="s">
        <v>50</v>
      </c>
      <c r="E684" s="33" t="s">
        <v>80</v>
      </c>
      <c r="F684" s="33" t="s">
        <v>183</v>
      </c>
      <c r="G684" s="33" t="s">
        <v>9</v>
      </c>
      <c r="H684" s="33" t="n">
        <v>10</v>
      </c>
    </row>
    <row r="685" customFormat="false" ht="54" hidden="false" customHeight="true" outlineLevel="0" collapsed="false">
      <c r="A685" s="32" t="s">
        <v>10284</v>
      </c>
      <c r="B685" s="32" t="s">
        <v>2689</v>
      </c>
      <c r="C685" s="33" t="s">
        <v>1407</v>
      </c>
      <c r="D685" s="33" t="s">
        <v>50</v>
      </c>
      <c r="E685" s="33" t="s">
        <v>84</v>
      </c>
      <c r="F685" s="33" t="s">
        <v>183</v>
      </c>
      <c r="G685" s="33" t="s">
        <v>9</v>
      </c>
      <c r="H685" s="33" t="n">
        <v>10</v>
      </c>
    </row>
    <row r="686" customFormat="false" ht="54" hidden="false" customHeight="true" outlineLevel="0" collapsed="false">
      <c r="A686" s="32" t="s">
        <v>10285</v>
      </c>
      <c r="B686" s="32" t="s">
        <v>2699</v>
      </c>
      <c r="C686" s="33" t="s">
        <v>57</v>
      </c>
      <c r="D686" s="33" t="s">
        <v>57</v>
      </c>
      <c r="E686" s="33" t="s">
        <v>80</v>
      </c>
      <c r="F686" s="33" t="s">
        <v>2704</v>
      </c>
      <c r="G686" s="33" t="s">
        <v>9</v>
      </c>
      <c r="H686" s="33" t="n">
        <v>10</v>
      </c>
    </row>
    <row r="687" customFormat="false" ht="54" hidden="false" customHeight="true" outlineLevel="0" collapsed="false">
      <c r="A687" s="32" t="s">
        <v>10286</v>
      </c>
      <c r="B687" s="32" t="s">
        <v>2699</v>
      </c>
      <c r="C687" s="33" t="s">
        <v>57</v>
      </c>
      <c r="D687" s="33" t="s">
        <v>57</v>
      </c>
      <c r="E687" s="33" t="s">
        <v>80</v>
      </c>
      <c r="F687" s="33" t="s">
        <v>183</v>
      </c>
      <c r="G687" s="33" t="s">
        <v>9</v>
      </c>
      <c r="H687" s="33" t="n">
        <v>10</v>
      </c>
    </row>
    <row r="688" customFormat="false" ht="54" hidden="false" customHeight="true" outlineLevel="0" collapsed="false">
      <c r="A688" s="32" t="s">
        <v>10287</v>
      </c>
      <c r="B688" s="32" t="s">
        <v>2699</v>
      </c>
      <c r="C688" s="33" t="s">
        <v>57</v>
      </c>
      <c r="D688" s="33" t="s">
        <v>57</v>
      </c>
      <c r="E688" s="33" t="s">
        <v>80</v>
      </c>
      <c r="F688" s="33" t="s">
        <v>10288</v>
      </c>
      <c r="G688" s="33" t="s">
        <v>9</v>
      </c>
      <c r="H688" s="33" t="n">
        <v>10</v>
      </c>
    </row>
    <row r="689" customFormat="false" ht="54" hidden="false" customHeight="true" outlineLevel="0" collapsed="false">
      <c r="A689" s="32" t="s">
        <v>10289</v>
      </c>
      <c r="B689" s="32" t="s">
        <v>2699</v>
      </c>
      <c r="C689" s="33" t="s">
        <v>57</v>
      </c>
      <c r="D689" s="33" t="s">
        <v>57</v>
      </c>
      <c r="E689" s="33" t="s">
        <v>80</v>
      </c>
      <c r="F689" s="33" t="s">
        <v>10290</v>
      </c>
      <c r="G689" s="33" t="s">
        <v>9</v>
      </c>
      <c r="H689" s="33" t="n">
        <v>10</v>
      </c>
    </row>
    <row r="690" customFormat="false" ht="54" hidden="false" customHeight="true" outlineLevel="0" collapsed="false">
      <c r="A690" s="32" t="s">
        <v>10291</v>
      </c>
      <c r="B690" s="32" t="s">
        <v>2699</v>
      </c>
      <c r="C690" s="33" t="s">
        <v>57</v>
      </c>
      <c r="D690" s="33" t="s">
        <v>57</v>
      </c>
      <c r="E690" s="33" t="s">
        <v>81</v>
      </c>
      <c r="F690" s="33" t="s">
        <v>2704</v>
      </c>
      <c r="G690" s="33" t="s">
        <v>9</v>
      </c>
      <c r="H690" s="33" t="n">
        <v>10</v>
      </c>
    </row>
    <row r="691" customFormat="false" ht="54" hidden="false" customHeight="true" outlineLevel="0" collapsed="false">
      <c r="A691" s="32" t="s">
        <v>10292</v>
      </c>
      <c r="B691" s="32" t="s">
        <v>2699</v>
      </c>
      <c r="C691" s="33" t="s">
        <v>57</v>
      </c>
      <c r="D691" s="33" t="s">
        <v>57</v>
      </c>
      <c r="E691" s="33" t="s">
        <v>82</v>
      </c>
      <c r="F691" s="33" t="s">
        <v>182</v>
      </c>
      <c r="G691" s="33" t="s">
        <v>9</v>
      </c>
      <c r="H691" s="33" t="n">
        <v>10</v>
      </c>
    </row>
    <row r="692" customFormat="false" ht="54" hidden="false" customHeight="true" outlineLevel="0" collapsed="false">
      <c r="A692" s="32" t="s">
        <v>10293</v>
      </c>
      <c r="B692" s="32" t="s">
        <v>2699</v>
      </c>
      <c r="C692" s="33" t="s">
        <v>57</v>
      </c>
      <c r="D692" s="33" t="s">
        <v>57</v>
      </c>
      <c r="E692" s="33" t="s">
        <v>84</v>
      </c>
      <c r="F692" s="33" t="s">
        <v>2704</v>
      </c>
      <c r="G692" s="33" t="s">
        <v>9</v>
      </c>
      <c r="H692" s="33" t="n">
        <v>10</v>
      </c>
    </row>
    <row r="693" customFormat="false" ht="54" hidden="false" customHeight="true" outlineLevel="0" collapsed="false">
      <c r="A693" s="32" t="s">
        <v>10294</v>
      </c>
      <c r="B693" s="32" t="s">
        <v>2699</v>
      </c>
      <c r="C693" s="33" t="s">
        <v>57</v>
      </c>
      <c r="D693" s="33" t="s">
        <v>57</v>
      </c>
      <c r="E693" s="33" t="s">
        <v>84</v>
      </c>
      <c r="F693" s="33" t="s">
        <v>183</v>
      </c>
      <c r="G693" s="33" t="s">
        <v>9</v>
      </c>
      <c r="H693" s="33" t="n">
        <v>10</v>
      </c>
    </row>
    <row r="694" customFormat="false" ht="54" hidden="false" customHeight="true" outlineLevel="0" collapsed="false">
      <c r="A694" s="32" t="s">
        <v>10295</v>
      </c>
      <c r="B694" s="32" t="s">
        <v>2699</v>
      </c>
      <c r="C694" s="33" t="s">
        <v>57</v>
      </c>
      <c r="D694" s="33" t="s">
        <v>57</v>
      </c>
      <c r="E694" s="33" t="s">
        <v>84</v>
      </c>
      <c r="F694" s="33" t="s">
        <v>10288</v>
      </c>
      <c r="G694" s="33" t="s">
        <v>9</v>
      </c>
      <c r="H694" s="33" t="n">
        <v>10</v>
      </c>
    </row>
    <row r="695" customFormat="false" ht="54" hidden="false" customHeight="true" outlineLevel="0" collapsed="false">
      <c r="A695" s="32" t="s">
        <v>10296</v>
      </c>
      <c r="B695" s="32" t="s">
        <v>2699</v>
      </c>
      <c r="C695" s="33" t="s">
        <v>57</v>
      </c>
      <c r="D695" s="33" t="s">
        <v>57</v>
      </c>
      <c r="E695" s="33" t="s">
        <v>84</v>
      </c>
      <c r="F695" s="33" t="s">
        <v>10290</v>
      </c>
      <c r="G695" s="33" t="s">
        <v>9</v>
      </c>
      <c r="H695" s="33" t="n">
        <v>10</v>
      </c>
    </row>
    <row r="696" customFormat="false" ht="54" hidden="false" customHeight="true" outlineLevel="0" collapsed="false">
      <c r="A696" s="32" t="s">
        <v>10297</v>
      </c>
      <c r="B696" s="32" t="s">
        <v>2711</v>
      </c>
      <c r="C696" s="33" t="s">
        <v>2404</v>
      </c>
      <c r="D696" s="33" t="s">
        <v>51</v>
      </c>
      <c r="E696" s="33" t="s">
        <v>80</v>
      </c>
      <c r="F696" s="33" t="s">
        <v>2716</v>
      </c>
      <c r="G696" s="33" t="s">
        <v>9</v>
      </c>
      <c r="H696" s="33" t="n">
        <v>10</v>
      </c>
    </row>
    <row r="697" customFormat="false" ht="54" hidden="false" customHeight="true" outlineLevel="0" collapsed="false">
      <c r="A697" s="32" t="s">
        <v>10298</v>
      </c>
      <c r="B697" s="32" t="s">
        <v>2711</v>
      </c>
      <c r="C697" s="33" t="s">
        <v>2404</v>
      </c>
      <c r="D697" s="33" t="s">
        <v>51</v>
      </c>
      <c r="E697" s="33" t="s">
        <v>81</v>
      </c>
      <c r="F697" s="33" t="s">
        <v>2716</v>
      </c>
      <c r="G697" s="33" t="s">
        <v>9</v>
      </c>
      <c r="H697" s="33" t="n">
        <v>10</v>
      </c>
    </row>
    <row r="698" customFormat="false" ht="54" hidden="false" customHeight="true" outlineLevel="0" collapsed="false">
      <c r="A698" s="32" t="s">
        <v>10299</v>
      </c>
      <c r="B698" s="32" t="s">
        <v>2711</v>
      </c>
      <c r="C698" s="33" t="s">
        <v>2404</v>
      </c>
      <c r="D698" s="33" t="s">
        <v>51</v>
      </c>
      <c r="E698" s="33" t="s">
        <v>83</v>
      </c>
      <c r="F698" s="33" t="s">
        <v>2716</v>
      </c>
      <c r="G698" s="33" t="s">
        <v>9</v>
      </c>
      <c r="H698" s="33" t="n">
        <v>10</v>
      </c>
    </row>
    <row r="699" customFormat="false" ht="54" hidden="false" customHeight="true" outlineLevel="0" collapsed="false">
      <c r="A699" s="32" t="s">
        <v>10300</v>
      </c>
      <c r="B699" s="32" t="s">
        <v>2711</v>
      </c>
      <c r="C699" s="33" t="s">
        <v>2404</v>
      </c>
      <c r="D699" s="33" t="s">
        <v>51</v>
      </c>
      <c r="E699" s="33" t="s">
        <v>84</v>
      </c>
      <c r="F699" s="33" t="s">
        <v>2716</v>
      </c>
      <c r="G699" s="33" t="s">
        <v>9</v>
      </c>
      <c r="H699" s="33" t="n">
        <v>10</v>
      </c>
    </row>
    <row r="700" customFormat="false" ht="54" hidden="false" customHeight="true" outlineLevel="0" collapsed="false">
      <c r="A700" s="32" t="s">
        <v>10301</v>
      </c>
      <c r="B700" s="32" t="s">
        <v>2719</v>
      </c>
      <c r="C700" s="33" t="s">
        <v>2404</v>
      </c>
      <c r="D700" s="33" t="s">
        <v>51</v>
      </c>
      <c r="E700" s="33" t="s">
        <v>80</v>
      </c>
      <c r="F700" s="33" t="s">
        <v>2728</v>
      </c>
      <c r="G700" s="33" t="s">
        <v>9</v>
      </c>
      <c r="H700" s="33" t="n">
        <v>10</v>
      </c>
    </row>
    <row r="701" customFormat="false" ht="54" hidden="false" customHeight="true" outlineLevel="0" collapsed="false">
      <c r="A701" s="32" t="s">
        <v>10302</v>
      </c>
      <c r="B701" s="32" t="s">
        <v>2719</v>
      </c>
      <c r="C701" s="33" t="s">
        <v>2404</v>
      </c>
      <c r="D701" s="33" t="s">
        <v>51</v>
      </c>
      <c r="E701" s="33" t="s">
        <v>82</v>
      </c>
      <c r="F701" s="33" t="s">
        <v>2728</v>
      </c>
      <c r="G701" s="33" t="s">
        <v>9</v>
      </c>
      <c r="H701" s="33" t="n">
        <v>10</v>
      </c>
    </row>
    <row r="702" customFormat="false" ht="54" hidden="false" customHeight="true" outlineLevel="0" collapsed="false">
      <c r="A702" s="32" t="s">
        <v>10303</v>
      </c>
      <c r="B702" s="32" t="s">
        <v>2719</v>
      </c>
      <c r="C702" s="33" t="s">
        <v>2404</v>
      </c>
      <c r="D702" s="33" t="s">
        <v>51</v>
      </c>
      <c r="E702" s="33" t="s">
        <v>83</v>
      </c>
      <c r="F702" s="33" t="s">
        <v>2727</v>
      </c>
      <c r="G702" s="33" t="s">
        <v>9</v>
      </c>
      <c r="H702" s="33" t="n">
        <v>10</v>
      </c>
    </row>
    <row r="703" customFormat="false" ht="54" hidden="false" customHeight="true" outlineLevel="0" collapsed="false">
      <c r="A703" s="32" t="s">
        <v>10304</v>
      </c>
      <c r="B703" s="32" t="s">
        <v>2719</v>
      </c>
      <c r="C703" s="33" t="s">
        <v>2404</v>
      </c>
      <c r="D703" s="33" t="s">
        <v>51</v>
      </c>
      <c r="E703" s="33" t="s">
        <v>84</v>
      </c>
      <c r="F703" s="33" t="s">
        <v>2728</v>
      </c>
      <c r="G703" s="33" t="s">
        <v>9</v>
      </c>
      <c r="H703" s="33" t="n">
        <v>10</v>
      </c>
    </row>
    <row r="704" customFormat="false" ht="54" hidden="false" customHeight="true" outlineLevel="0" collapsed="false">
      <c r="A704" s="32" t="s">
        <v>10305</v>
      </c>
      <c r="B704" s="32" t="s">
        <v>2730</v>
      </c>
      <c r="C704" s="33" t="s">
        <v>1407</v>
      </c>
      <c r="D704" s="33" t="s">
        <v>50</v>
      </c>
      <c r="E704" s="33" t="s">
        <v>80</v>
      </c>
      <c r="F704" s="33" t="s">
        <v>10306</v>
      </c>
      <c r="G704" s="33" t="s">
        <v>9</v>
      </c>
      <c r="H704" s="33" t="n">
        <v>10</v>
      </c>
    </row>
    <row r="705" customFormat="false" ht="54" hidden="false" customHeight="true" outlineLevel="0" collapsed="false">
      <c r="A705" s="32" t="s">
        <v>10307</v>
      </c>
      <c r="B705" s="32" t="s">
        <v>2730</v>
      </c>
      <c r="C705" s="33" t="s">
        <v>1407</v>
      </c>
      <c r="D705" s="33" t="s">
        <v>50</v>
      </c>
      <c r="E705" s="33" t="s">
        <v>80</v>
      </c>
      <c r="F705" s="33" t="s">
        <v>2737</v>
      </c>
      <c r="G705" s="33" t="s">
        <v>9</v>
      </c>
      <c r="H705" s="33" t="n">
        <v>10</v>
      </c>
    </row>
    <row r="706" customFormat="false" ht="54" hidden="false" customHeight="true" outlineLevel="0" collapsed="false">
      <c r="A706" s="32" t="s">
        <v>10308</v>
      </c>
      <c r="B706" s="32" t="s">
        <v>2730</v>
      </c>
      <c r="C706" s="33" t="s">
        <v>1407</v>
      </c>
      <c r="D706" s="33" t="s">
        <v>50</v>
      </c>
      <c r="E706" s="33" t="s">
        <v>82</v>
      </c>
      <c r="F706" s="33" t="s">
        <v>10306</v>
      </c>
      <c r="G706" s="33" t="s">
        <v>9</v>
      </c>
      <c r="H706" s="33" t="n">
        <v>10</v>
      </c>
    </row>
    <row r="707" customFormat="false" ht="54" hidden="false" customHeight="true" outlineLevel="0" collapsed="false">
      <c r="A707" s="32" t="s">
        <v>10309</v>
      </c>
      <c r="B707" s="32" t="s">
        <v>2730</v>
      </c>
      <c r="C707" s="33" t="s">
        <v>1407</v>
      </c>
      <c r="D707" s="33" t="s">
        <v>50</v>
      </c>
      <c r="E707" s="33" t="s">
        <v>82</v>
      </c>
      <c r="F707" s="33" t="s">
        <v>2737</v>
      </c>
      <c r="G707" s="33" t="s">
        <v>9</v>
      </c>
      <c r="H707" s="33" t="n">
        <v>10</v>
      </c>
    </row>
    <row r="708" customFormat="false" ht="54" hidden="false" customHeight="true" outlineLevel="0" collapsed="false">
      <c r="A708" s="32" t="s">
        <v>10310</v>
      </c>
      <c r="B708" s="32" t="s">
        <v>2752</v>
      </c>
      <c r="C708" s="33" t="s">
        <v>98</v>
      </c>
      <c r="D708" s="33" t="s">
        <v>59</v>
      </c>
      <c r="E708" s="33" t="s">
        <v>80</v>
      </c>
      <c r="F708" s="33" t="s">
        <v>183</v>
      </c>
      <c r="G708" s="33" t="s">
        <v>12</v>
      </c>
      <c r="H708" s="33" t="n">
        <v>10</v>
      </c>
    </row>
    <row r="709" customFormat="false" ht="54" hidden="false" customHeight="true" outlineLevel="0" collapsed="false">
      <c r="A709" s="32" t="s">
        <v>10311</v>
      </c>
      <c r="B709" s="32" t="s">
        <v>2752</v>
      </c>
      <c r="C709" s="33" t="s">
        <v>98</v>
      </c>
      <c r="D709" s="33" t="s">
        <v>59</v>
      </c>
      <c r="E709" s="33" t="s">
        <v>81</v>
      </c>
      <c r="F709" s="33" t="s">
        <v>2756</v>
      </c>
      <c r="G709" s="33" t="s">
        <v>12</v>
      </c>
      <c r="H709" s="33" t="n">
        <v>10</v>
      </c>
    </row>
    <row r="710" customFormat="false" ht="54" hidden="false" customHeight="true" outlineLevel="0" collapsed="false">
      <c r="A710" s="32" t="s">
        <v>10312</v>
      </c>
      <c r="B710" s="32" t="s">
        <v>2752</v>
      </c>
      <c r="C710" s="33" t="s">
        <v>98</v>
      </c>
      <c r="D710" s="33" t="s">
        <v>59</v>
      </c>
      <c r="E710" s="33" t="s">
        <v>81</v>
      </c>
      <c r="F710" s="33" t="s">
        <v>10313</v>
      </c>
      <c r="G710" s="33" t="s">
        <v>12</v>
      </c>
      <c r="H710" s="33" t="n">
        <v>10</v>
      </c>
    </row>
    <row r="711" customFormat="false" ht="54" hidden="false" customHeight="true" outlineLevel="0" collapsed="false">
      <c r="A711" s="32" t="s">
        <v>10314</v>
      </c>
      <c r="B711" s="32" t="s">
        <v>2752</v>
      </c>
      <c r="C711" s="33" t="s">
        <v>98</v>
      </c>
      <c r="D711" s="33" t="s">
        <v>59</v>
      </c>
      <c r="E711" s="33" t="s">
        <v>82</v>
      </c>
      <c r="F711" s="33" t="s">
        <v>2756</v>
      </c>
      <c r="G711" s="33" t="s">
        <v>12</v>
      </c>
      <c r="H711" s="33" t="n">
        <v>10</v>
      </c>
    </row>
    <row r="712" customFormat="false" ht="54" hidden="false" customHeight="true" outlineLevel="0" collapsed="false">
      <c r="A712" s="32" t="s">
        <v>10315</v>
      </c>
      <c r="B712" s="32" t="s">
        <v>2752</v>
      </c>
      <c r="C712" s="33" t="s">
        <v>98</v>
      </c>
      <c r="D712" s="33" t="s">
        <v>59</v>
      </c>
      <c r="E712" s="33" t="s">
        <v>82</v>
      </c>
      <c r="F712" s="33" t="s">
        <v>10313</v>
      </c>
      <c r="G712" s="33" t="s">
        <v>12</v>
      </c>
      <c r="H712" s="33" t="n">
        <v>10</v>
      </c>
    </row>
    <row r="713" customFormat="false" ht="54" hidden="false" customHeight="true" outlineLevel="0" collapsed="false">
      <c r="A713" s="32" t="s">
        <v>10316</v>
      </c>
      <c r="B713" s="32" t="s">
        <v>2752</v>
      </c>
      <c r="C713" s="33" t="s">
        <v>98</v>
      </c>
      <c r="D713" s="33" t="s">
        <v>59</v>
      </c>
      <c r="E713" s="33" t="s">
        <v>84</v>
      </c>
      <c r="F713" s="33" t="s">
        <v>183</v>
      </c>
      <c r="G713" s="33" t="s">
        <v>12</v>
      </c>
      <c r="H713" s="33" t="n">
        <v>10</v>
      </c>
    </row>
    <row r="714" customFormat="false" ht="54" hidden="false" customHeight="true" outlineLevel="0" collapsed="false">
      <c r="A714" s="32" t="s">
        <v>10317</v>
      </c>
      <c r="B714" s="32" t="s">
        <v>2764</v>
      </c>
      <c r="C714" s="33" t="s">
        <v>1407</v>
      </c>
      <c r="D714" s="33" t="s">
        <v>50</v>
      </c>
      <c r="E714" s="33" t="s">
        <v>84</v>
      </c>
      <c r="F714" s="33" t="s">
        <v>2772</v>
      </c>
      <c r="G714" s="33" t="s">
        <v>9</v>
      </c>
      <c r="H714" s="33" t="n">
        <v>10</v>
      </c>
    </row>
    <row r="715" customFormat="false" ht="54" hidden="false" customHeight="true" outlineLevel="0" collapsed="false">
      <c r="A715" s="32" t="s">
        <v>10318</v>
      </c>
      <c r="B715" s="32" t="s">
        <v>2774</v>
      </c>
      <c r="C715" s="33" t="s">
        <v>1407</v>
      </c>
      <c r="D715" s="33" t="s">
        <v>50</v>
      </c>
      <c r="E715" s="33" t="s">
        <v>80</v>
      </c>
      <c r="F715" s="33" t="s">
        <v>183</v>
      </c>
      <c r="G715" s="33" t="s">
        <v>12</v>
      </c>
      <c r="H715" s="33" t="n">
        <v>10</v>
      </c>
    </row>
    <row r="716" customFormat="false" ht="54" hidden="false" customHeight="true" outlineLevel="0" collapsed="false">
      <c r="A716" s="32" t="s">
        <v>10319</v>
      </c>
      <c r="B716" s="32" t="s">
        <v>2774</v>
      </c>
      <c r="C716" s="33" t="s">
        <v>1407</v>
      </c>
      <c r="D716" s="33" t="s">
        <v>50</v>
      </c>
      <c r="E716" s="33" t="s">
        <v>82</v>
      </c>
      <c r="F716" s="33" t="s">
        <v>10320</v>
      </c>
      <c r="G716" s="33" t="s">
        <v>12</v>
      </c>
      <c r="H716" s="33" t="n">
        <v>10</v>
      </c>
    </row>
    <row r="717" customFormat="false" ht="54" hidden="false" customHeight="true" outlineLevel="0" collapsed="false">
      <c r="A717" s="32" t="s">
        <v>10321</v>
      </c>
      <c r="B717" s="32" t="s">
        <v>2774</v>
      </c>
      <c r="C717" s="33" t="s">
        <v>1407</v>
      </c>
      <c r="D717" s="33" t="s">
        <v>50</v>
      </c>
      <c r="E717" s="33" t="s">
        <v>82</v>
      </c>
      <c r="F717" s="33" t="s">
        <v>10322</v>
      </c>
      <c r="G717" s="33" t="s">
        <v>12</v>
      </c>
      <c r="H717" s="33" t="n">
        <v>10</v>
      </c>
    </row>
    <row r="718" customFormat="false" ht="54" hidden="false" customHeight="true" outlineLevel="0" collapsed="false">
      <c r="A718" s="32" t="s">
        <v>10323</v>
      </c>
      <c r="B718" s="32" t="s">
        <v>2774</v>
      </c>
      <c r="C718" s="33" t="s">
        <v>1407</v>
      </c>
      <c r="D718" s="33" t="s">
        <v>50</v>
      </c>
      <c r="E718" s="33" t="s">
        <v>82</v>
      </c>
      <c r="F718" s="33" t="s">
        <v>10324</v>
      </c>
      <c r="G718" s="33" t="s">
        <v>12</v>
      </c>
      <c r="H718" s="33" t="n">
        <v>10</v>
      </c>
    </row>
    <row r="719" customFormat="false" ht="54" hidden="false" customHeight="true" outlineLevel="0" collapsed="false">
      <c r="A719" s="32" t="s">
        <v>10325</v>
      </c>
      <c r="B719" s="32" t="s">
        <v>2774</v>
      </c>
      <c r="C719" s="33" t="s">
        <v>1407</v>
      </c>
      <c r="D719" s="33" t="s">
        <v>50</v>
      </c>
      <c r="E719" s="33" t="s">
        <v>83</v>
      </c>
      <c r="F719" s="33" t="s">
        <v>2783</v>
      </c>
      <c r="G719" s="33" t="s">
        <v>12</v>
      </c>
      <c r="H719" s="33" t="n">
        <v>10</v>
      </c>
    </row>
    <row r="720" customFormat="false" ht="54" hidden="false" customHeight="true" outlineLevel="0" collapsed="false">
      <c r="A720" s="32" t="s">
        <v>10326</v>
      </c>
      <c r="B720" s="32" t="s">
        <v>2774</v>
      </c>
      <c r="C720" s="33" t="s">
        <v>1407</v>
      </c>
      <c r="D720" s="33" t="s">
        <v>50</v>
      </c>
      <c r="E720" s="33" t="s">
        <v>84</v>
      </c>
      <c r="F720" s="33" t="s">
        <v>183</v>
      </c>
      <c r="G720" s="33" t="s">
        <v>12</v>
      </c>
      <c r="H720" s="33" t="n">
        <v>10</v>
      </c>
    </row>
    <row r="721" customFormat="false" ht="54" hidden="false" customHeight="true" outlineLevel="0" collapsed="false">
      <c r="A721" s="32" t="s">
        <v>10327</v>
      </c>
      <c r="B721" s="32" t="s">
        <v>2788</v>
      </c>
      <c r="C721" s="33" t="s">
        <v>1407</v>
      </c>
      <c r="D721" s="33" t="s">
        <v>50</v>
      </c>
      <c r="E721" s="33" t="s">
        <v>82</v>
      </c>
      <c r="F721" s="33" t="s">
        <v>2792</v>
      </c>
      <c r="G721" s="33" t="s">
        <v>9</v>
      </c>
      <c r="H721" s="33" t="n">
        <v>10</v>
      </c>
    </row>
    <row r="722" customFormat="false" ht="54" hidden="false" customHeight="true" outlineLevel="0" collapsed="false">
      <c r="A722" s="32" t="s">
        <v>10328</v>
      </c>
      <c r="B722" s="32" t="s">
        <v>2788</v>
      </c>
      <c r="C722" s="33" t="s">
        <v>1407</v>
      </c>
      <c r="D722" s="33" t="s">
        <v>50</v>
      </c>
      <c r="E722" s="33" t="s">
        <v>82</v>
      </c>
      <c r="F722" s="33" t="s">
        <v>2793</v>
      </c>
      <c r="G722" s="33" t="s">
        <v>9</v>
      </c>
      <c r="H722" s="33" t="n">
        <v>10</v>
      </c>
    </row>
    <row r="723" customFormat="false" ht="54" hidden="false" customHeight="true" outlineLevel="0" collapsed="false">
      <c r="A723" s="32" t="s">
        <v>10329</v>
      </c>
      <c r="B723" s="32" t="s">
        <v>2798</v>
      </c>
      <c r="C723" s="33" t="s">
        <v>2404</v>
      </c>
      <c r="D723" s="33" t="s">
        <v>51</v>
      </c>
      <c r="E723" s="33" t="s">
        <v>80</v>
      </c>
      <c r="F723" s="33" t="s">
        <v>183</v>
      </c>
      <c r="G723" s="33" t="s">
        <v>9</v>
      </c>
      <c r="H723" s="33" t="n">
        <v>10</v>
      </c>
    </row>
    <row r="724" customFormat="false" ht="54" hidden="false" customHeight="true" outlineLevel="0" collapsed="false">
      <c r="A724" s="32" t="s">
        <v>10330</v>
      </c>
      <c r="B724" s="32" t="s">
        <v>2798</v>
      </c>
      <c r="C724" s="33" t="s">
        <v>2404</v>
      </c>
      <c r="D724" s="33" t="s">
        <v>51</v>
      </c>
      <c r="E724" s="33" t="s">
        <v>82</v>
      </c>
      <c r="F724" s="33" t="s">
        <v>182</v>
      </c>
      <c r="G724" s="33" t="s">
        <v>9</v>
      </c>
      <c r="H724" s="33" t="n">
        <v>10</v>
      </c>
    </row>
    <row r="725" customFormat="false" ht="54" hidden="false" customHeight="true" outlineLevel="0" collapsed="false">
      <c r="A725" s="32" t="s">
        <v>10331</v>
      </c>
      <c r="B725" s="32" t="s">
        <v>2798</v>
      </c>
      <c r="C725" s="33" t="s">
        <v>2404</v>
      </c>
      <c r="D725" s="33" t="s">
        <v>51</v>
      </c>
      <c r="E725" s="33" t="s">
        <v>84</v>
      </c>
      <c r="F725" s="33" t="s">
        <v>183</v>
      </c>
      <c r="G725" s="33" t="s">
        <v>9</v>
      </c>
      <c r="H725" s="33" t="n">
        <v>10</v>
      </c>
    </row>
    <row r="726" customFormat="false" ht="54" hidden="false" customHeight="true" outlineLevel="0" collapsed="false">
      <c r="A726" s="32" t="s">
        <v>10332</v>
      </c>
      <c r="B726" s="32" t="s">
        <v>2830</v>
      </c>
      <c r="C726" s="33" t="s">
        <v>1407</v>
      </c>
      <c r="D726" s="33" t="s">
        <v>50</v>
      </c>
      <c r="E726" s="33" t="s">
        <v>81</v>
      </c>
      <c r="F726" s="33" t="s">
        <v>2835</v>
      </c>
      <c r="G726" s="33" t="s">
        <v>9</v>
      </c>
      <c r="H726" s="33" t="n">
        <v>10</v>
      </c>
    </row>
    <row r="727" customFormat="false" ht="54" hidden="false" customHeight="true" outlineLevel="0" collapsed="false">
      <c r="A727" s="32" t="s">
        <v>10333</v>
      </c>
      <c r="B727" s="32" t="s">
        <v>2830</v>
      </c>
      <c r="C727" s="33" t="s">
        <v>1407</v>
      </c>
      <c r="D727" s="33" t="s">
        <v>50</v>
      </c>
      <c r="E727" s="33" t="s">
        <v>81</v>
      </c>
      <c r="F727" s="33" t="s">
        <v>2836</v>
      </c>
      <c r="G727" s="33" t="s">
        <v>9</v>
      </c>
      <c r="H727" s="33" t="n">
        <v>10</v>
      </c>
    </row>
    <row r="728" customFormat="false" ht="54" hidden="false" customHeight="true" outlineLevel="0" collapsed="false">
      <c r="A728" s="32" t="s">
        <v>10334</v>
      </c>
      <c r="B728" s="32" t="s">
        <v>2830</v>
      </c>
      <c r="C728" s="33" t="s">
        <v>1407</v>
      </c>
      <c r="D728" s="33" t="s">
        <v>50</v>
      </c>
      <c r="E728" s="33" t="s">
        <v>81</v>
      </c>
      <c r="F728" s="33" t="s">
        <v>2837</v>
      </c>
      <c r="G728" s="33" t="s">
        <v>9</v>
      </c>
      <c r="H728" s="33" t="n">
        <v>10</v>
      </c>
    </row>
    <row r="729" customFormat="false" ht="54" hidden="false" customHeight="true" outlineLevel="0" collapsed="false">
      <c r="A729" s="32" t="s">
        <v>10335</v>
      </c>
      <c r="B729" s="32" t="s">
        <v>2830</v>
      </c>
      <c r="C729" s="33" t="s">
        <v>1407</v>
      </c>
      <c r="D729" s="33" t="s">
        <v>50</v>
      </c>
      <c r="E729" s="33" t="s">
        <v>84</v>
      </c>
      <c r="F729" s="33" t="s">
        <v>2835</v>
      </c>
      <c r="G729" s="33" t="s">
        <v>9</v>
      </c>
      <c r="H729" s="33" t="n">
        <v>10</v>
      </c>
    </row>
    <row r="730" customFormat="false" ht="54" hidden="false" customHeight="true" outlineLevel="0" collapsed="false">
      <c r="A730" s="32" t="s">
        <v>10336</v>
      </c>
      <c r="B730" s="32" t="s">
        <v>2830</v>
      </c>
      <c r="C730" s="33" t="s">
        <v>1407</v>
      </c>
      <c r="D730" s="33" t="s">
        <v>50</v>
      </c>
      <c r="E730" s="33" t="s">
        <v>84</v>
      </c>
      <c r="F730" s="33" t="s">
        <v>2836</v>
      </c>
      <c r="G730" s="33" t="s">
        <v>9</v>
      </c>
      <c r="H730" s="33" t="n">
        <v>10</v>
      </c>
    </row>
    <row r="731" customFormat="false" ht="54" hidden="false" customHeight="true" outlineLevel="0" collapsed="false">
      <c r="A731" s="32" t="s">
        <v>10337</v>
      </c>
      <c r="B731" s="32" t="s">
        <v>2860</v>
      </c>
      <c r="C731" s="33" t="s">
        <v>1407</v>
      </c>
      <c r="D731" s="33" t="s">
        <v>50</v>
      </c>
      <c r="E731" s="33" t="s">
        <v>80</v>
      </c>
      <c r="F731" s="33" t="s">
        <v>183</v>
      </c>
      <c r="G731" s="33" t="s">
        <v>9</v>
      </c>
      <c r="H731" s="33" t="n">
        <v>10</v>
      </c>
    </row>
    <row r="732" customFormat="false" ht="54" hidden="false" customHeight="true" outlineLevel="0" collapsed="false">
      <c r="A732" s="32" t="s">
        <v>10338</v>
      </c>
      <c r="B732" s="32" t="s">
        <v>2860</v>
      </c>
      <c r="C732" s="33" t="s">
        <v>1407</v>
      </c>
      <c r="D732" s="33" t="s">
        <v>50</v>
      </c>
      <c r="E732" s="33" t="s">
        <v>82</v>
      </c>
      <c r="F732" s="33" t="s">
        <v>182</v>
      </c>
      <c r="G732" s="33" t="s">
        <v>9</v>
      </c>
      <c r="H732" s="33" t="n">
        <v>10</v>
      </c>
    </row>
    <row r="733" customFormat="false" ht="54" hidden="false" customHeight="true" outlineLevel="0" collapsed="false">
      <c r="A733" s="32" t="s">
        <v>10339</v>
      </c>
      <c r="B733" s="32" t="s">
        <v>2860</v>
      </c>
      <c r="C733" s="33" t="s">
        <v>1407</v>
      </c>
      <c r="D733" s="33" t="s">
        <v>50</v>
      </c>
      <c r="E733" s="33" t="s">
        <v>83</v>
      </c>
      <c r="F733" s="33" t="s">
        <v>2870</v>
      </c>
      <c r="G733" s="33" t="s">
        <v>9</v>
      </c>
      <c r="H733" s="33" t="n">
        <v>10</v>
      </c>
    </row>
    <row r="734" customFormat="false" ht="54" hidden="false" customHeight="true" outlineLevel="0" collapsed="false">
      <c r="A734" s="32" t="s">
        <v>10340</v>
      </c>
      <c r="B734" s="32" t="s">
        <v>2860</v>
      </c>
      <c r="C734" s="33" t="s">
        <v>1407</v>
      </c>
      <c r="D734" s="33" t="s">
        <v>50</v>
      </c>
      <c r="E734" s="33" t="s">
        <v>84</v>
      </c>
      <c r="F734" s="33" t="s">
        <v>183</v>
      </c>
      <c r="G734" s="33" t="s">
        <v>9</v>
      </c>
      <c r="H734" s="33" t="n">
        <v>10</v>
      </c>
    </row>
    <row r="735" customFormat="false" ht="54" hidden="false" customHeight="true" outlineLevel="0" collapsed="false">
      <c r="A735" s="32" t="s">
        <v>10341</v>
      </c>
      <c r="B735" s="32" t="s">
        <v>2872</v>
      </c>
      <c r="C735" s="33" t="s">
        <v>1407</v>
      </c>
      <c r="D735" s="33" t="s">
        <v>50</v>
      </c>
      <c r="E735" s="33" t="s">
        <v>80</v>
      </c>
      <c r="F735" s="33" t="s">
        <v>183</v>
      </c>
      <c r="G735" s="33" t="s">
        <v>9</v>
      </c>
      <c r="H735" s="33" t="n">
        <v>10</v>
      </c>
    </row>
    <row r="736" customFormat="false" ht="54" hidden="false" customHeight="true" outlineLevel="0" collapsed="false">
      <c r="A736" s="32" t="s">
        <v>10342</v>
      </c>
      <c r="B736" s="32" t="s">
        <v>2872</v>
      </c>
      <c r="C736" s="33" t="s">
        <v>1407</v>
      </c>
      <c r="D736" s="33" t="s">
        <v>50</v>
      </c>
      <c r="E736" s="33" t="s">
        <v>80</v>
      </c>
      <c r="F736" s="33" t="s">
        <v>10343</v>
      </c>
      <c r="G736" s="33" t="s">
        <v>9</v>
      </c>
      <c r="H736" s="33" t="n">
        <v>10</v>
      </c>
    </row>
    <row r="737" customFormat="false" ht="54" hidden="false" customHeight="true" outlineLevel="0" collapsed="false">
      <c r="A737" s="32" t="s">
        <v>10344</v>
      </c>
      <c r="B737" s="32" t="s">
        <v>2872</v>
      </c>
      <c r="C737" s="33" t="s">
        <v>1407</v>
      </c>
      <c r="D737" s="33" t="s">
        <v>50</v>
      </c>
      <c r="E737" s="33" t="s">
        <v>80</v>
      </c>
      <c r="F737" s="33" t="s">
        <v>2881</v>
      </c>
      <c r="G737" s="33" t="s">
        <v>9</v>
      </c>
      <c r="H737" s="33" t="n">
        <v>10</v>
      </c>
    </row>
    <row r="738" customFormat="false" ht="54" hidden="false" customHeight="true" outlineLevel="0" collapsed="false">
      <c r="A738" s="32" t="s">
        <v>10345</v>
      </c>
      <c r="B738" s="32" t="s">
        <v>2872</v>
      </c>
      <c r="C738" s="33" t="s">
        <v>1407</v>
      </c>
      <c r="D738" s="33" t="s">
        <v>50</v>
      </c>
      <c r="E738" s="33" t="s">
        <v>80</v>
      </c>
      <c r="F738" s="33" t="s">
        <v>2884</v>
      </c>
      <c r="G738" s="33" t="s">
        <v>9</v>
      </c>
      <c r="H738" s="33" t="n">
        <v>10</v>
      </c>
    </row>
    <row r="739" customFormat="false" ht="54" hidden="false" customHeight="true" outlineLevel="0" collapsed="false">
      <c r="A739" s="32" t="s">
        <v>10346</v>
      </c>
      <c r="B739" s="32" t="s">
        <v>2872</v>
      </c>
      <c r="C739" s="33" t="s">
        <v>1407</v>
      </c>
      <c r="D739" s="33" t="s">
        <v>50</v>
      </c>
      <c r="E739" s="33" t="s">
        <v>81</v>
      </c>
      <c r="F739" s="33" t="s">
        <v>2884</v>
      </c>
      <c r="G739" s="33" t="s">
        <v>9</v>
      </c>
      <c r="H739" s="33" t="n">
        <v>10</v>
      </c>
    </row>
    <row r="740" customFormat="false" ht="54" hidden="false" customHeight="true" outlineLevel="0" collapsed="false">
      <c r="A740" s="32" t="s">
        <v>10347</v>
      </c>
      <c r="B740" s="32" t="s">
        <v>2872</v>
      </c>
      <c r="C740" s="33" t="s">
        <v>1407</v>
      </c>
      <c r="D740" s="33" t="s">
        <v>50</v>
      </c>
      <c r="E740" s="33" t="s">
        <v>82</v>
      </c>
      <c r="F740" s="33" t="s">
        <v>182</v>
      </c>
      <c r="G740" s="33" t="s">
        <v>9</v>
      </c>
      <c r="H740" s="33" t="n">
        <v>10</v>
      </c>
    </row>
    <row r="741" customFormat="false" ht="54" hidden="false" customHeight="true" outlineLevel="0" collapsed="false">
      <c r="A741" s="32" t="s">
        <v>10348</v>
      </c>
      <c r="B741" s="32" t="s">
        <v>2872</v>
      </c>
      <c r="C741" s="33" t="s">
        <v>1407</v>
      </c>
      <c r="D741" s="33" t="s">
        <v>50</v>
      </c>
      <c r="E741" s="33" t="s">
        <v>84</v>
      </c>
      <c r="F741" s="33" t="s">
        <v>2877</v>
      </c>
      <c r="G741" s="33" t="s">
        <v>9</v>
      </c>
      <c r="H741" s="33" t="n">
        <v>10</v>
      </c>
    </row>
    <row r="742" customFormat="false" ht="54" hidden="false" customHeight="true" outlineLevel="0" collapsed="false">
      <c r="A742" s="32" t="s">
        <v>10349</v>
      </c>
      <c r="B742" s="32" t="s">
        <v>2872</v>
      </c>
      <c r="C742" s="33" t="s">
        <v>1407</v>
      </c>
      <c r="D742" s="33" t="s">
        <v>50</v>
      </c>
      <c r="E742" s="33" t="s">
        <v>84</v>
      </c>
      <c r="F742" s="33" t="s">
        <v>183</v>
      </c>
      <c r="G742" s="33" t="s">
        <v>9</v>
      </c>
      <c r="H742" s="33" t="n">
        <v>10</v>
      </c>
    </row>
    <row r="743" customFormat="false" ht="54" hidden="false" customHeight="true" outlineLevel="0" collapsed="false">
      <c r="A743" s="32" t="s">
        <v>10350</v>
      </c>
      <c r="B743" s="32" t="s">
        <v>2889</v>
      </c>
      <c r="C743" s="33" t="s">
        <v>1407</v>
      </c>
      <c r="D743" s="33" t="s">
        <v>50</v>
      </c>
      <c r="E743" s="33" t="s">
        <v>82</v>
      </c>
      <c r="F743" s="33" t="s">
        <v>2899</v>
      </c>
      <c r="G743" s="33" t="s">
        <v>9</v>
      </c>
      <c r="H743" s="33" t="n">
        <v>10</v>
      </c>
    </row>
    <row r="744" customFormat="false" ht="54" hidden="false" customHeight="true" outlineLevel="0" collapsed="false">
      <c r="A744" s="32" t="s">
        <v>10351</v>
      </c>
      <c r="B744" s="32" t="s">
        <v>2916</v>
      </c>
      <c r="C744" s="33" t="s">
        <v>98</v>
      </c>
      <c r="D744" s="33" t="s">
        <v>59</v>
      </c>
      <c r="E744" s="33" t="s">
        <v>82</v>
      </c>
      <c r="F744" s="33" t="s">
        <v>2922</v>
      </c>
      <c r="G744" s="33" t="s">
        <v>9</v>
      </c>
      <c r="H744" s="33" t="n">
        <v>10</v>
      </c>
    </row>
    <row r="745" customFormat="false" ht="54" hidden="false" customHeight="true" outlineLevel="0" collapsed="false">
      <c r="A745" s="32" t="s">
        <v>10352</v>
      </c>
      <c r="B745" s="32" t="s">
        <v>2916</v>
      </c>
      <c r="C745" s="33" t="s">
        <v>98</v>
      </c>
      <c r="D745" s="33" t="s">
        <v>59</v>
      </c>
      <c r="E745" s="33" t="s">
        <v>82</v>
      </c>
      <c r="F745" s="33" t="s">
        <v>10353</v>
      </c>
      <c r="G745" s="33" t="s">
        <v>9</v>
      </c>
      <c r="H745" s="33" t="n">
        <v>10</v>
      </c>
    </row>
    <row r="746" customFormat="false" ht="54" hidden="false" customHeight="true" outlineLevel="0" collapsed="false">
      <c r="A746" s="32" t="s">
        <v>10354</v>
      </c>
      <c r="B746" s="32" t="s">
        <v>2931</v>
      </c>
      <c r="C746" s="33" t="s">
        <v>98</v>
      </c>
      <c r="D746" s="33" t="s">
        <v>59</v>
      </c>
      <c r="E746" s="33" t="s">
        <v>82</v>
      </c>
      <c r="F746" s="33" t="s">
        <v>2934</v>
      </c>
      <c r="G746" s="33" t="s">
        <v>9</v>
      </c>
      <c r="H746" s="33" t="n">
        <v>10</v>
      </c>
    </row>
    <row r="747" customFormat="false" ht="54" hidden="false" customHeight="true" outlineLevel="0" collapsed="false">
      <c r="A747" s="32" t="s">
        <v>10355</v>
      </c>
      <c r="B747" s="32" t="s">
        <v>2931</v>
      </c>
      <c r="C747" s="33" t="s">
        <v>98</v>
      </c>
      <c r="D747" s="33" t="s">
        <v>59</v>
      </c>
      <c r="E747" s="33" t="s">
        <v>82</v>
      </c>
      <c r="F747" s="33" t="s">
        <v>10356</v>
      </c>
      <c r="G747" s="33" t="s">
        <v>9</v>
      </c>
      <c r="H747" s="33" t="n">
        <v>10</v>
      </c>
    </row>
    <row r="748" customFormat="false" ht="54" hidden="false" customHeight="true" outlineLevel="0" collapsed="false">
      <c r="A748" s="32" t="s">
        <v>10357</v>
      </c>
      <c r="B748" s="32" t="s">
        <v>2966</v>
      </c>
      <c r="C748" s="33" t="s">
        <v>98</v>
      </c>
      <c r="D748" s="33" t="s">
        <v>59</v>
      </c>
      <c r="E748" s="33" t="s">
        <v>82</v>
      </c>
      <c r="F748" s="33" t="s">
        <v>2973</v>
      </c>
      <c r="G748" s="33" t="s">
        <v>9</v>
      </c>
      <c r="H748" s="33" t="n">
        <v>10</v>
      </c>
    </row>
    <row r="749" customFormat="false" ht="54" hidden="false" customHeight="true" outlineLevel="0" collapsed="false">
      <c r="A749" s="32" t="s">
        <v>10358</v>
      </c>
      <c r="B749" s="32" t="s">
        <v>2976</v>
      </c>
      <c r="C749" s="33" t="s">
        <v>98</v>
      </c>
      <c r="D749" s="33" t="s">
        <v>59</v>
      </c>
      <c r="E749" s="33" t="s">
        <v>82</v>
      </c>
      <c r="F749" s="33" t="s">
        <v>2981</v>
      </c>
      <c r="G749" s="33" t="s">
        <v>9</v>
      </c>
      <c r="H749" s="33" t="n">
        <v>10</v>
      </c>
    </row>
    <row r="750" customFormat="false" ht="54" hidden="false" customHeight="true" outlineLevel="0" collapsed="false">
      <c r="A750" s="32" t="s">
        <v>10359</v>
      </c>
      <c r="B750" s="32" t="s">
        <v>2984</v>
      </c>
      <c r="C750" s="33" t="s">
        <v>1407</v>
      </c>
      <c r="D750" s="33" t="s">
        <v>50</v>
      </c>
      <c r="E750" s="33" t="s">
        <v>80</v>
      </c>
      <c r="F750" s="33" t="s">
        <v>2992</v>
      </c>
      <c r="G750" s="33" t="s">
        <v>9</v>
      </c>
      <c r="H750" s="33" t="n">
        <v>10</v>
      </c>
    </row>
    <row r="751" customFormat="false" ht="54" hidden="false" customHeight="true" outlineLevel="0" collapsed="false">
      <c r="A751" s="32" t="s">
        <v>10360</v>
      </c>
      <c r="B751" s="32" t="s">
        <v>2984</v>
      </c>
      <c r="C751" s="33" t="s">
        <v>1407</v>
      </c>
      <c r="D751" s="33" t="s">
        <v>50</v>
      </c>
      <c r="E751" s="33" t="s">
        <v>82</v>
      </c>
      <c r="F751" s="33" t="s">
        <v>2989</v>
      </c>
      <c r="G751" s="33" t="s">
        <v>9</v>
      </c>
      <c r="H751" s="33" t="n">
        <v>10</v>
      </c>
    </row>
    <row r="752" customFormat="false" ht="54" hidden="false" customHeight="true" outlineLevel="0" collapsed="false">
      <c r="A752" s="32" t="s">
        <v>10361</v>
      </c>
      <c r="B752" s="32" t="s">
        <v>2984</v>
      </c>
      <c r="C752" s="33" t="s">
        <v>1407</v>
      </c>
      <c r="D752" s="33" t="s">
        <v>50</v>
      </c>
      <c r="E752" s="33" t="s">
        <v>82</v>
      </c>
      <c r="F752" s="33" t="s">
        <v>2990</v>
      </c>
      <c r="G752" s="33" t="s">
        <v>9</v>
      </c>
      <c r="H752" s="33" t="n">
        <v>10</v>
      </c>
    </row>
    <row r="753" customFormat="false" ht="54" hidden="false" customHeight="true" outlineLevel="0" collapsed="false">
      <c r="A753" s="32" t="s">
        <v>10362</v>
      </c>
      <c r="B753" s="32" t="s">
        <v>2994</v>
      </c>
      <c r="C753" s="33" t="s">
        <v>2404</v>
      </c>
      <c r="D753" s="33" t="s">
        <v>51</v>
      </c>
      <c r="E753" s="33" t="s">
        <v>83</v>
      </c>
      <c r="F753" s="33" t="s">
        <v>3003</v>
      </c>
      <c r="G753" s="33" t="s">
        <v>9</v>
      </c>
      <c r="H753" s="33" t="n">
        <v>10</v>
      </c>
    </row>
    <row r="754" customFormat="false" ht="54" hidden="false" customHeight="true" outlineLevel="0" collapsed="false">
      <c r="A754" s="32" t="s">
        <v>10363</v>
      </c>
      <c r="B754" s="32" t="s">
        <v>3007</v>
      </c>
      <c r="C754" s="33" t="s">
        <v>2404</v>
      </c>
      <c r="D754" s="33" t="s">
        <v>51</v>
      </c>
      <c r="E754" s="33" t="s">
        <v>81</v>
      </c>
      <c r="F754" s="33" t="s">
        <v>3011</v>
      </c>
      <c r="G754" s="33" t="s">
        <v>9</v>
      </c>
      <c r="H754" s="33" t="n">
        <v>10</v>
      </c>
    </row>
    <row r="755" customFormat="false" ht="54" hidden="false" customHeight="true" outlineLevel="0" collapsed="false">
      <c r="A755" s="32" t="s">
        <v>10364</v>
      </c>
      <c r="B755" s="32" t="s">
        <v>3007</v>
      </c>
      <c r="C755" s="33" t="s">
        <v>2404</v>
      </c>
      <c r="D755" s="33" t="s">
        <v>51</v>
      </c>
      <c r="E755" s="33" t="s">
        <v>81</v>
      </c>
      <c r="F755" s="33" t="s">
        <v>3012</v>
      </c>
      <c r="G755" s="33" t="s">
        <v>9</v>
      </c>
      <c r="H755" s="33" t="n">
        <v>10</v>
      </c>
    </row>
    <row r="756" customFormat="false" ht="54" hidden="false" customHeight="true" outlineLevel="0" collapsed="false">
      <c r="A756" s="32" t="s">
        <v>10365</v>
      </c>
      <c r="B756" s="32" t="s">
        <v>3017</v>
      </c>
      <c r="C756" s="33" t="s">
        <v>1407</v>
      </c>
      <c r="D756" s="33" t="s">
        <v>50</v>
      </c>
      <c r="E756" s="33" t="s">
        <v>84</v>
      </c>
      <c r="F756" s="33" t="s">
        <v>3022</v>
      </c>
      <c r="G756" s="33" t="s">
        <v>9</v>
      </c>
      <c r="H756" s="33" t="n">
        <v>10</v>
      </c>
    </row>
    <row r="757" customFormat="false" ht="54" hidden="false" customHeight="true" outlineLevel="0" collapsed="false">
      <c r="A757" s="32" t="s">
        <v>10366</v>
      </c>
      <c r="B757" s="32" t="s">
        <v>3017</v>
      </c>
      <c r="C757" s="33" t="s">
        <v>1407</v>
      </c>
      <c r="D757" s="33" t="s">
        <v>50</v>
      </c>
      <c r="E757" s="33" t="s">
        <v>84</v>
      </c>
      <c r="F757" s="33" t="s">
        <v>3023</v>
      </c>
      <c r="G757" s="33" t="s">
        <v>9</v>
      </c>
      <c r="H757" s="33" t="n">
        <v>10</v>
      </c>
    </row>
    <row r="758" customFormat="false" ht="54" hidden="false" customHeight="true" outlineLevel="0" collapsed="false">
      <c r="A758" s="32" t="s">
        <v>10367</v>
      </c>
      <c r="B758" s="32" t="s">
        <v>3017</v>
      </c>
      <c r="C758" s="33" t="s">
        <v>1407</v>
      </c>
      <c r="D758" s="33" t="s">
        <v>50</v>
      </c>
      <c r="E758" s="33" t="s">
        <v>84</v>
      </c>
      <c r="F758" s="33" t="s">
        <v>3024</v>
      </c>
      <c r="G758" s="33" t="s">
        <v>9</v>
      </c>
      <c r="H758" s="33" t="n">
        <v>10</v>
      </c>
    </row>
    <row r="759" customFormat="false" ht="54" hidden="false" customHeight="true" outlineLevel="0" collapsed="false">
      <c r="A759" s="32" t="s">
        <v>10368</v>
      </c>
      <c r="B759" s="32" t="s">
        <v>3029</v>
      </c>
      <c r="C759" s="33" t="s">
        <v>98</v>
      </c>
      <c r="D759" s="33" t="s">
        <v>59</v>
      </c>
      <c r="E759" s="33" t="s">
        <v>80</v>
      </c>
      <c r="F759" s="33" t="s">
        <v>183</v>
      </c>
      <c r="G759" s="33" t="s">
        <v>9</v>
      </c>
      <c r="H759" s="33" t="n">
        <v>10</v>
      </c>
    </row>
    <row r="760" customFormat="false" ht="54" hidden="false" customHeight="true" outlineLevel="0" collapsed="false">
      <c r="A760" s="32" t="s">
        <v>10369</v>
      </c>
      <c r="B760" s="32" t="s">
        <v>3029</v>
      </c>
      <c r="C760" s="33" t="s">
        <v>98</v>
      </c>
      <c r="D760" s="33" t="s">
        <v>59</v>
      </c>
      <c r="E760" s="33" t="s">
        <v>82</v>
      </c>
      <c r="F760" s="33" t="s">
        <v>10370</v>
      </c>
      <c r="G760" s="33" t="s">
        <v>9</v>
      </c>
      <c r="H760" s="33" t="n">
        <v>10</v>
      </c>
    </row>
    <row r="761" customFormat="false" ht="54" hidden="false" customHeight="true" outlineLevel="0" collapsed="false">
      <c r="A761" s="32" t="s">
        <v>10371</v>
      </c>
      <c r="B761" s="32" t="s">
        <v>3029</v>
      </c>
      <c r="C761" s="33" t="s">
        <v>98</v>
      </c>
      <c r="D761" s="33" t="s">
        <v>59</v>
      </c>
      <c r="E761" s="33" t="s">
        <v>82</v>
      </c>
      <c r="F761" s="33" t="s">
        <v>182</v>
      </c>
      <c r="G761" s="33" t="s">
        <v>9</v>
      </c>
      <c r="H761" s="33" t="n">
        <v>10</v>
      </c>
    </row>
    <row r="762" customFormat="false" ht="54" hidden="false" customHeight="true" outlineLevel="0" collapsed="false">
      <c r="A762" s="32" t="s">
        <v>10372</v>
      </c>
      <c r="B762" s="32" t="s">
        <v>3029</v>
      </c>
      <c r="C762" s="33" t="s">
        <v>98</v>
      </c>
      <c r="D762" s="33" t="s">
        <v>59</v>
      </c>
      <c r="E762" s="33" t="s">
        <v>84</v>
      </c>
      <c r="F762" s="33" t="s">
        <v>183</v>
      </c>
      <c r="G762" s="33" t="s">
        <v>9</v>
      </c>
      <c r="H762" s="33" t="n">
        <v>10</v>
      </c>
    </row>
    <row r="763" customFormat="false" ht="54" hidden="false" customHeight="true" outlineLevel="0" collapsed="false">
      <c r="A763" s="32" t="s">
        <v>10373</v>
      </c>
      <c r="B763" s="32" t="s">
        <v>3036</v>
      </c>
      <c r="C763" s="33" t="s">
        <v>1407</v>
      </c>
      <c r="D763" s="33" t="s">
        <v>50</v>
      </c>
      <c r="E763" s="33" t="s">
        <v>82</v>
      </c>
      <c r="F763" s="33" t="s">
        <v>3040</v>
      </c>
      <c r="G763" s="33" t="s">
        <v>9</v>
      </c>
      <c r="H763" s="33" t="n">
        <v>10</v>
      </c>
    </row>
    <row r="764" customFormat="false" ht="54" hidden="false" customHeight="true" outlineLevel="0" collapsed="false">
      <c r="A764" s="32" t="s">
        <v>10374</v>
      </c>
      <c r="B764" s="32" t="s">
        <v>3043</v>
      </c>
      <c r="C764" s="33" t="s">
        <v>1407</v>
      </c>
      <c r="D764" s="33" t="s">
        <v>50</v>
      </c>
      <c r="E764" s="33" t="s">
        <v>80</v>
      </c>
      <c r="F764" s="33" t="s">
        <v>3050</v>
      </c>
      <c r="G764" s="33" t="s">
        <v>9</v>
      </c>
      <c r="H764" s="33" t="n">
        <v>10</v>
      </c>
    </row>
    <row r="765" customFormat="false" ht="54" hidden="false" customHeight="true" outlineLevel="0" collapsed="false">
      <c r="A765" s="32" t="s">
        <v>10375</v>
      </c>
      <c r="B765" s="32" t="s">
        <v>3051</v>
      </c>
      <c r="C765" s="33" t="s">
        <v>98</v>
      </c>
      <c r="D765" s="33" t="s">
        <v>59</v>
      </c>
      <c r="E765" s="33" t="s">
        <v>82</v>
      </c>
      <c r="F765" s="33" t="s">
        <v>3056</v>
      </c>
      <c r="G765" s="33" t="s">
        <v>9</v>
      </c>
      <c r="H765" s="33" t="n">
        <v>10</v>
      </c>
    </row>
    <row r="766" customFormat="false" ht="54" hidden="false" customHeight="true" outlineLevel="0" collapsed="false">
      <c r="A766" s="32" t="s">
        <v>10376</v>
      </c>
      <c r="B766" s="32" t="s">
        <v>3058</v>
      </c>
      <c r="C766" s="33" t="s">
        <v>1407</v>
      </c>
      <c r="D766" s="33" t="s">
        <v>50</v>
      </c>
      <c r="E766" s="33" t="s">
        <v>82</v>
      </c>
      <c r="F766" s="33" t="s">
        <v>3061</v>
      </c>
      <c r="G766" s="33" t="s">
        <v>9</v>
      </c>
      <c r="H766" s="33" t="n">
        <v>10</v>
      </c>
    </row>
    <row r="767" customFormat="false" ht="54" hidden="false" customHeight="true" outlineLevel="0" collapsed="false">
      <c r="A767" s="32" t="s">
        <v>10377</v>
      </c>
      <c r="B767" s="32" t="s">
        <v>3064</v>
      </c>
      <c r="C767" s="33" t="s">
        <v>98</v>
      </c>
      <c r="D767" s="33" t="s">
        <v>59</v>
      </c>
      <c r="E767" s="33" t="s">
        <v>82</v>
      </c>
      <c r="F767" s="33" t="s">
        <v>3069</v>
      </c>
      <c r="G767" s="33" t="s">
        <v>9</v>
      </c>
      <c r="H767" s="33" t="n">
        <v>10</v>
      </c>
    </row>
    <row r="768" customFormat="false" ht="54" hidden="false" customHeight="true" outlineLevel="0" collapsed="false">
      <c r="A768" s="32" t="s">
        <v>10378</v>
      </c>
      <c r="B768" s="32" t="s">
        <v>3072</v>
      </c>
      <c r="C768" s="33" t="s">
        <v>1407</v>
      </c>
      <c r="D768" s="33" t="s">
        <v>50</v>
      </c>
      <c r="E768" s="33" t="s">
        <v>82</v>
      </c>
      <c r="F768" s="33" t="s">
        <v>10379</v>
      </c>
      <c r="G768" s="33" t="s">
        <v>9</v>
      </c>
      <c r="H768" s="33" t="n">
        <v>10</v>
      </c>
    </row>
    <row r="769" customFormat="false" ht="54" hidden="false" customHeight="true" outlineLevel="0" collapsed="false">
      <c r="A769" s="32" t="s">
        <v>10380</v>
      </c>
      <c r="B769" s="32" t="s">
        <v>3072</v>
      </c>
      <c r="C769" s="33" t="s">
        <v>1407</v>
      </c>
      <c r="D769" s="33" t="s">
        <v>50</v>
      </c>
      <c r="E769" s="33" t="s">
        <v>82</v>
      </c>
      <c r="F769" s="33" t="s">
        <v>10381</v>
      </c>
      <c r="G769" s="33" t="s">
        <v>9</v>
      </c>
      <c r="H769" s="33" t="n">
        <v>10</v>
      </c>
    </row>
    <row r="770" customFormat="false" ht="54" hidden="false" customHeight="true" outlineLevel="0" collapsed="false">
      <c r="A770" s="32" t="s">
        <v>10382</v>
      </c>
      <c r="B770" s="32" t="s">
        <v>3085</v>
      </c>
      <c r="C770" s="33" t="s">
        <v>2404</v>
      </c>
      <c r="D770" s="33" t="s">
        <v>51</v>
      </c>
      <c r="E770" s="33" t="s">
        <v>82</v>
      </c>
      <c r="F770" s="33" t="s">
        <v>3092</v>
      </c>
      <c r="G770" s="33" t="s">
        <v>9</v>
      </c>
      <c r="H770" s="33" t="n">
        <v>10</v>
      </c>
    </row>
    <row r="771" customFormat="false" ht="54" hidden="false" customHeight="true" outlineLevel="0" collapsed="false">
      <c r="A771" s="32" t="s">
        <v>10383</v>
      </c>
      <c r="B771" s="32" t="s">
        <v>3085</v>
      </c>
      <c r="C771" s="33" t="s">
        <v>2404</v>
      </c>
      <c r="D771" s="33" t="s">
        <v>51</v>
      </c>
      <c r="E771" s="33" t="s">
        <v>82</v>
      </c>
      <c r="F771" s="33" t="s">
        <v>3094</v>
      </c>
      <c r="G771" s="33" t="s">
        <v>9</v>
      </c>
      <c r="H771" s="33" t="n">
        <v>10</v>
      </c>
    </row>
    <row r="772" customFormat="false" ht="54" hidden="false" customHeight="true" outlineLevel="0" collapsed="false">
      <c r="A772" s="32" t="s">
        <v>10384</v>
      </c>
      <c r="B772" s="32" t="s">
        <v>3096</v>
      </c>
      <c r="C772" s="33" t="s">
        <v>98</v>
      </c>
      <c r="D772" s="33" t="s">
        <v>59</v>
      </c>
      <c r="E772" s="33" t="s">
        <v>82</v>
      </c>
      <c r="F772" s="33" t="s">
        <v>3100</v>
      </c>
      <c r="G772" s="33" t="s">
        <v>9</v>
      </c>
      <c r="H772" s="33" t="n">
        <v>10</v>
      </c>
    </row>
    <row r="773" customFormat="false" ht="54" hidden="false" customHeight="true" outlineLevel="0" collapsed="false">
      <c r="A773" s="32" t="s">
        <v>10385</v>
      </c>
      <c r="B773" s="32" t="s">
        <v>3102</v>
      </c>
      <c r="C773" s="33" t="s">
        <v>1407</v>
      </c>
      <c r="D773" s="33" t="s">
        <v>50</v>
      </c>
      <c r="E773" s="33" t="s">
        <v>82</v>
      </c>
      <c r="F773" s="33" t="s">
        <v>3106</v>
      </c>
      <c r="G773" s="33" t="s">
        <v>9</v>
      </c>
      <c r="H773" s="33" t="n">
        <v>10</v>
      </c>
    </row>
    <row r="774" customFormat="false" ht="54" hidden="false" customHeight="true" outlineLevel="0" collapsed="false">
      <c r="A774" s="32" t="s">
        <v>10386</v>
      </c>
      <c r="B774" s="32" t="s">
        <v>3108</v>
      </c>
      <c r="C774" s="33" t="s">
        <v>2404</v>
      </c>
      <c r="D774" s="33" t="s">
        <v>51</v>
      </c>
      <c r="E774" s="33" t="s">
        <v>82</v>
      </c>
      <c r="F774" s="33" t="s">
        <v>10387</v>
      </c>
      <c r="G774" s="33" t="s">
        <v>9</v>
      </c>
      <c r="H774" s="33" t="n">
        <v>10</v>
      </c>
    </row>
    <row r="775" customFormat="false" ht="54" hidden="false" customHeight="true" outlineLevel="0" collapsed="false">
      <c r="A775" s="32" t="s">
        <v>10388</v>
      </c>
      <c r="B775" s="32" t="s">
        <v>3108</v>
      </c>
      <c r="C775" s="33" t="s">
        <v>2404</v>
      </c>
      <c r="D775" s="33" t="s">
        <v>51</v>
      </c>
      <c r="E775" s="33" t="s">
        <v>82</v>
      </c>
      <c r="F775" s="33" t="s">
        <v>10389</v>
      </c>
      <c r="G775" s="33" t="s">
        <v>9</v>
      </c>
      <c r="H775" s="33" t="n">
        <v>10</v>
      </c>
    </row>
    <row r="776" customFormat="false" ht="54" hidden="false" customHeight="true" outlineLevel="0" collapsed="false">
      <c r="A776" s="32" t="s">
        <v>10390</v>
      </c>
      <c r="B776" s="32" t="s">
        <v>3120</v>
      </c>
      <c r="C776" s="33" t="s">
        <v>2404</v>
      </c>
      <c r="D776" s="33" t="s">
        <v>51</v>
      </c>
      <c r="E776" s="33" t="s">
        <v>82</v>
      </c>
      <c r="F776" s="33" t="s">
        <v>3126</v>
      </c>
      <c r="G776" s="33" t="s">
        <v>9</v>
      </c>
      <c r="H776" s="33" t="n">
        <v>10</v>
      </c>
    </row>
    <row r="777" customFormat="false" ht="54" hidden="false" customHeight="true" outlineLevel="0" collapsed="false">
      <c r="A777" s="32" t="s">
        <v>10391</v>
      </c>
      <c r="B777" s="32" t="s">
        <v>3120</v>
      </c>
      <c r="C777" s="33" t="s">
        <v>2404</v>
      </c>
      <c r="D777" s="33" t="s">
        <v>51</v>
      </c>
      <c r="E777" s="33" t="s">
        <v>84</v>
      </c>
      <c r="F777" s="33" t="s">
        <v>3127</v>
      </c>
      <c r="G777" s="33" t="s">
        <v>9</v>
      </c>
      <c r="H777" s="33" t="n">
        <v>10</v>
      </c>
    </row>
    <row r="778" customFormat="false" ht="54" hidden="false" customHeight="true" outlineLevel="0" collapsed="false">
      <c r="A778" s="32" t="s">
        <v>10392</v>
      </c>
      <c r="B778" s="32" t="s">
        <v>3120</v>
      </c>
      <c r="C778" s="33" t="s">
        <v>2404</v>
      </c>
      <c r="D778" s="33" t="s">
        <v>51</v>
      </c>
      <c r="E778" s="33" t="s">
        <v>84</v>
      </c>
      <c r="F778" s="33" t="s">
        <v>3128</v>
      </c>
      <c r="G778" s="33" t="s">
        <v>9</v>
      </c>
      <c r="H778" s="33" t="n">
        <v>10</v>
      </c>
    </row>
    <row r="779" customFormat="false" ht="54" hidden="false" customHeight="true" outlineLevel="0" collapsed="false">
      <c r="A779" s="32" t="s">
        <v>10393</v>
      </c>
      <c r="B779" s="32" t="s">
        <v>3131</v>
      </c>
      <c r="C779" s="33" t="s">
        <v>98</v>
      </c>
      <c r="D779" s="33" t="s">
        <v>59</v>
      </c>
      <c r="E779" s="33" t="s">
        <v>82</v>
      </c>
      <c r="F779" s="33" t="s">
        <v>3140</v>
      </c>
      <c r="G779" s="33" t="s">
        <v>9</v>
      </c>
      <c r="H779" s="33" t="n">
        <v>10</v>
      </c>
    </row>
    <row r="780" customFormat="false" ht="54" hidden="false" customHeight="true" outlineLevel="0" collapsed="false">
      <c r="A780" s="32" t="s">
        <v>10394</v>
      </c>
      <c r="B780" s="32" t="s">
        <v>3143</v>
      </c>
      <c r="C780" s="33" t="s">
        <v>1407</v>
      </c>
      <c r="D780" s="33" t="s">
        <v>50</v>
      </c>
      <c r="E780" s="33" t="s">
        <v>82</v>
      </c>
      <c r="F780" s="33" t="s">
        <v>3149</v>
      </c>
      <c r="G780" s="33" t="s">
        <v>9</v>
      </c>
      <c r="H780" s="33" t="n">
        <v>10</v>
      </c>
    </row>
    <row r="781" customFormat="false" ht="54" hidden="false" customHeight="true" outlineLevel="0" collapsed="false">
      <c r="A781" s="32" t="s">
        <v>10395</v>
      </c>
      <c r="B781" s="32" t="s">
        <v>3163</v>
      </c>
      <c r="C781" s="33" t="s">
        <v>2404</v>
      </c>
      <c r="D781" s="33" t="s">
        <v>51</v>
      </c>
      <c r="E781" s="33" t="s">
        <v>81</v>
      </c>
      <c r="F781" s="33" t="s">
        <v>3171</v>
      </c>
      <c r="G781" s="33" t="s">
        <v>9</v>
      </c>
      <c r="H781" s="33" t="n">
        <v>10</v>
      </c>
    </row>
    <row r="782" customFormat="false" ht="54" hidden="false" customHeight="true" outlineLevel="0" collapsed="false">
      <c r="A782" s="32" t="s">
        <v>10396</v>
      </c>
      <c r="B782" s="32" t="s">
        <v>3163</v>
      </c>
      <c r="C782" s="33" t="s">
        <v>2404</v>
      </c>
      <c r="D782" s="33" t="s">
        <v>51</v>
      </c>
      <c r="E782" s="33" t="s">
        <v>82</v>
      </c>
      <c r="F782" s="33" t="s">
        <v>3169</v>
      </c>
      <c r="G782" s="33" t="s">
        <v>9</v>
      </c>
      <c r="H782" s="33" t="n">
        <v>10</v>
      </c>
    </row>
    <row r="783" customFormat="false" ht="54" hidden="false" customHeight="true" outlineLevel="0" collapsed="false">
      <c r="A783" s="32" t="s">
        <v>10397</v>
      </c>
      <c r="B783" s="32" t="s">
        <v>3174</v>
      </c>
      <c r="C783" s="33" t="s">
        <v>1407</v>
      </c>
      <c r="D783" s="33" t="s">
        <v>50</v>
      </c>
      <c r="E783" s="33" t="s">
        <v>80</v>
      </c>
      <c r="F783" s="33" t="s">
        <v>3181</v>
      </c>
      <c r="G783" s="33" t="s">
        <v>9</v>
      </c>
      <c r="H783" s="33" t="n">
        <v>10</v>
      </c>
    </row>
    <row r="784" customFormat="false" ht="54" hidden="false" customHeight="true" outlineLevel="0" collapsed="false">
      <c r="A784" s="32" t="s">
        <v>10398</v>
      </c>
      <c r="B784" s="32" t="s">
        <v>3174</v>
      </c>
      <c r="C784" s="33" t="s">
        <v>1407</v>
      </c>
      <c r="D784" s="33" t="s">
        <v>50</v>
      </c>
      <c r="E784" s="33" t="s">
        <v>80</v>
      </c>
      <c r="F784" s="33" t="s">
        <v>3182</v>
      </c>
      <c r="G784" s="33" t="s">
        <v>9</v>
      </c>
      <c r="H784" s="33" t="n">
        <v>10</v>
      </c>
    </row>
    <row r="785" customFormat="false" ht="54" hidden="false" customHeight="true" outlineLevel="0" collapsed="false">
      <c r="A785" s="32" t="s">
        <v>10399</v>
      </c>
      <c r="B785" s="32" t="s">
        <v>3174</v>
      </c>
      <c r="C785" s="33" t="s">
        <v>1407</v>
      </c>
      <c r="D785" s="33" t="s">
        <v>50</v>
      </c>
      <c r="E785" s="33" t="s">
        <v>82</v>
      </c>
      <c r="F785" s="33" t="s">
        <v>3180</v>
      </c>
      <c r="G785" s="33" t="s">
        <v>9</v>
      </c>
      <c r="H785" s="33" t="n">
        <v>10</v>
      </c>
    </row>
    <row r="786" customFormat="false" ht="54" hidden="false" customHeight="true" outlineLevel="0" collapsed="false">
      <c r="A786" s="32" t="s">
        <v>10400</v>
      </c>
      <c r="B786" s="32" t="s">
        <v>3174</v>
      </c>
      <c r="C786" s="33" t="s">
        <v>1407</v>
      </c>
      <c r="D786" s="33" t="s">
        <v>50</v>
      </c>
      <c r="E786" s="33" t="s">
        <v>82</v>
      </c>
      <c r="F786" s="33" t="s">
        <v>3181</v>
      </c>
      <c r="G786" s="33" t="s">
        <v>9</v>
      </c>
      <c r="H786" s="33" t="n">
        <v>10</v>
      </c>
    </row>
    <row r="787" customFormat="false" ht="54" hidden="false" customHeight="true" outlineLevel="0" collapsed="false">
      <c r="A787" s="32" t="s">
        <v>10401</v>
      </c>
      <c r="B787" s="32" t="s">
        <v>3187</v>
      </c>
      <c r="C787" s="33" t="s">
        <v>98</v>
      </c>
      <c r="D787" s="33" t="s">
        <v>59</v>
      </c>
      <c r="E787" s="33" t="s">
        <v>82</v>
      </c>
      <c r="F787" s="33" t="s">
        <v>3191</v>
      </c>
      <c r="G787" s="33" t="s">
        <v>9</v>
      </c>
      <c r="H787" s="33" t="n">
        <v>10</v>
      </c>
    </row>
    <row r="788" customFormat="false" ht="54" hidden="false" customHeight="true" outlineLevel="0" collapsed="false">
      <c r="A788" s="32" t="s">
        <v>10402</v>
      </c>
      <c r="B788" s="32" t="s">
        <v>3193</v>
      </c>
      <c r="C788" s="33" t="s">
        <v>1407</v>
      </c>
      <c r="D788" s="33" t="s">
        <v>50</v>
      </c>
      <c r="E788" s="33" t="s">
        <v>82</v>
      </c>
      <c r="F788" s="33" t="s">
        <v>3197</v>
      </c>
      <c r="G788" s="33" t="s">
        <v>9</v>
      </c>
      <c r="H788" s="33" t="n">
        <v>10</v>
      </c>
    </row>
    <row r="789" customFormat="false" ht="54" hidden="false" customHeight="true" outlineLevel="0" collapsed="false">
      <c r="A789" s="32" t="s">
        <v>10403</v>
      </c>
      <c r="B789" s="32" t="s">
        <v>3208</v>
      </c>
      <c r="C789" s="33" t="s">
        <v>1407</v>
      </c>
      <c r="D789" s="33" t="s">
        <v>50</v>
      </c>
      <c r="E789" s="33" t="s">
        <v>82</v>
      </c>
      <c r="F789" s="33" t="s">
        <v>3214</v>
      </c>
      <c r="G789" s="33" t="s">
        <v>9</v>
      </c>
      <c r="H789" s="33" t="n">
        <v>10</v>
      </c>
    </row>
    <row r="790" customFormat="false" ht="54" hidden="false" customHeight="true" outlineLevel="0" collapsed="false">
      <c r="A790" s="32" t="s">
        <v>10404</v>
      </c>
      <c r="B790" s="32" t="s">
        <v>3218</v>
      </c>
      <c r="C790" s="33" t="s">
        <v>98</v>
      </c>
      <c r="D790" s="33" t="s">
        <v>59</v>
      </c>
      <c r="E790" s="33" t="s">
        <v>82</v>
      </c>
      <c r="F790" s="33" t="s">
        <v>3222</v>
      </c>
      <c r="G790" s="33" t="s">
        <v>9</v>
      </c>
      <c r="H790" s="33" t="n">
        <v>10</v>
      </c>
    </row>
    <row r="791" customFormat="false" ht="54" hidden="false" customHeight="true" outlineLevel="0" collapsed="false">
      <c r="A791" s="32" t="s">
        <v>10405</v>
      </c>
      <c r="B791" s="32" t="s">
        <v>3224</v>
      </c>
      <c r="C791" s="33" t="s">
        <v>1407</v>
      </c>
      <c r="D791" s="33" t="s">
        <v>50</v>
      </c>
      <c r="E791" s="33" t="s">
        <v>82</v>
      </c>
      <c r="F791" s="33" t="s">
        <v>3227</v>
      </c>
      <c r="G791" s="33" t="s">
        <v>9</v>
      </c>
      <c r="H791" s="33" t="n">
        <v>10</v>
      </c>
    </row>
    <row r="792" customFormat="false" ht="54" hidden="false" customHeight="true" outlineLevel="0" collapsed="false">
      <c r="A792" s="32" t="s">
        <v>10406</v>
      </c>
      <c r="B792" s="32" t="s">
        <v>3229</v>
      </c>
      <c r="C792" s="33" t="s">
        <v>2404</v>
      </c>
      <c r="D792" s="33" t="s">
        <v>51</v>
      </c>
      <c r="E792" s="33" t="s">
        <v>80</v>
      </c>
      <c r="F792" s="33" t="s">
        <v>3236</v>
      </c>
      <c r="G792" s="33" t="s">
        <v>9</v>
      </c>
      <c r="H792" s="33" t="n">
        <v>10</v>
      </c>
    </row>
    <row r="793" customFormat="false" ht="54" hidden="false" customHeight="true" outlineLevel="0" collapsed="false">
      <c r="A793" s="32" t="s">
        <v>10407</v>
      </c>
      <c r="B793" s="32" t="s">
        <v>3229</v>
      </c>
      <c r="C793" s="33" t="s">
        <v>2404</v>
      </c>
      <c r="D793" s="33" t="s">
        <v>51</v>
      </c>
      <c r="E793" s="33" t="s">
        <v>80</v>
      </c>
      <c r="F793" s="33" t="s">
        <v>3237</v>
      </c>
      <c r="G793" s="33" t="s">
        <v>9</v>
      </c>
      <c r="H793" s="33" t="n">
        <v>10</v>
      </c>
    </row>
    <row r="794" customFormat="false" ht="54" hidden="false" customHeight="true" outlineLevel="0" collapsed="false">
      <c r="A794" s="32" t="s">
        <v>10408</v>
      </c>
      <c r="B794" s="32" t="s">
        <v>3229</v>
      </c>
      <c r="C794" s="33" t="s">
        <v>2404</v>
      </c>
      <c r="D794" s="33" t="s">
        <v>51</v>
      </c>
      <c r="E794" s="33" t="s">
        <v>82</v>
      </c>
      <c r="F794" s="33" t="s">
        <v>3236</v>
      </c>
      <c r="G794" s="33" t="s">
        <v>9</v>
      </c>
      <c r="H794" s="33" t="n">
        <v>10</v>
      </c>
    </row>
    <row r="795" customFormat="false" ht="54" hidden="false" customHeight="true" outlineLevel="0" collapsed="false">
      <c r="A795" s="32" t="s">
        <v>10409</v>
      </c>
      <c r="B795" s="32" t="s">
        <v>3251</v>
      </c>
      <c r="C795" s="33" t="s">
        <v>98</v>
      </c>
      <c r="D795" s="33" t="s">
        <v>59</v>
      </c>
      <c r="E795" s="33" t="s">
        <v>81</v>
      </c>
      <c r="F795" s="33" t="s">
        <v>3259</v>
      </c>
      <c r="G795" s="33" t="s">
        <v>9</v>
      </c>
      <c r="H795" s="33" t="n">
        <v>10</v>
      </c>
    </row>
    <row r="796" customFormat="false" ht="54" hidden="false" customHeight="true" outlineLevel="0" collapsed="false">
      <c r="A796" s="32" t="s">
        <v>10410</v>
      </c>
      <c r="B796" s="32" t="s">
        <v>3251</v>
      </c>
      <c r="C796" s="33" t="s">
        <v>98</v>
      </c>
      <c r="D796" s="33" t="s">
        <v>59</v>
      </c>
      <c r="E796" s="33" t="s">
        <v>81</v>
      </c>
      <c r="F796" s="33" t="s">
        <v>3256</v>
      </c>
      <c r="G796" s="33" t="s">
        <v>9</v>
      </c>
      <c r="H796" s="33" t="n">
        <v>10</v>
      </c>
    </row>
    <row r="797" customFormat="false" ht="54" hidden="false" customHeight="true" outlineLevel="0" collapsed="false">
      <c r="A797" s="32" t="s">
        <v>10411</v>
      </c>
      <c r="B797" s="32" t="s">
        <v>3251</v>
      </c>
      <c r="C797" s="33" t="s">
        <v>98</v>
      </c>
      <c r="D797" s="33" t="s">
        <v>59</v>
      </c>
      <c r="E797" s="33" t="s">
        <v>81</v>
      </c>
      <c r="F797" s="33" t="s">
        <v>3257</v>
      </c>
      <c r="G797" s="33" t="s">
        <v>9</v>
      </c>
      <c r="H797" s="33" t="n">
        <v>10</v>
      </c>
    </row>
    <row r="798" customFormat="false" ht="54" hidden="false" customHeight="true" outlineLevel="0" collapsed="false">
      <c r="A798" s="32" t="s">
        <v>10412</v>
      </c>
      <c r="B798" s="32" t="s">
        <v>3251</v>
      </c>
      <c r="C798" s="33" t="s">
        <v>98</v>
      </c>
      <c r="D798" s="33" t="s">
        <v>59</v>
      </c>
      <c r="E798" s="33" t="s">
        <v>82</v>
      </c>
      <c r="F798" s="33" t="s">
        <v>3259</v>
      </c>
      <c r="G798" s="33" t="s">
        <v>9</v>
      </c>
      <c r="H798" s="33" t="n">
        <v>10</v>
      </c>
    </row>
    <row r="799" customFormat="false" ht="54" hidden="false" customHeight="true" outlineLevel="0" collapsed="false">
      <c r="A799" s="32" t="s">
        <v>10413</v>
      </c>
      <c r="B799" s="32" t="s">
        <v>3262</v>
      </c>
      <c r="C799" s="33" t="s">
        <v>1407</v>
      </c>
      <c r="D799" s="33" t="s">
        <v>50</v>
      </c>
      <c r="E799" s="33" t="s">
        <v>82</v>
      </c>
      <c r="F799" s="33" t="s">
        <v>3265</v>
      </c>
      <c r="G799" s="33" t="s">
        <v>9</v>
      </c>
      <c r="H799" s="33" t="n">
        <v>10</v>
      </c>
    </row>
    <row r="800" customFormat="false" ht="54" hidden="false" customHeight="true" outlineLevel="0" collapsed="false">
      <c r="A800" s="32" t="s">
        <v>10414</v>
      </c>
      <c r="B800" s="32" t="s">
        <v>3267</v>
      </c>
      <c r="C800" s="33" t="s">
        <v>1407</v>
      </c>
      <c r="D800" s="33" t="s">
        <v>50</v>
      </c>
      <c r="E800" s="33" t="s">
        <v>81</v>
      </c>
      <c r="F800" s="33" t="s">
        <v>3277</v>
      </c>
      <c r="G800" s="33" t="s">
        <v>9</v>
      </c>
      <c r="H800" s="33" t="n">
        <v>10</v>
      </c>
    </row>
    <row r="801" customFormat="false" ht="54" hidden="false" customHeight="true" outlineLevel="0" collapsed="false">
      <c r="A801" s="32" t="s">
        <v>10415</v>
      </c>
      <c r="B801" s="32" t="s">
        <v>3267</v>
      </c>
      <c r="C801" s="33" t="s">
        <v>1407</v>
      </c>
      <c r="D801" s="33" t="s">
        <v>50</v>
      </c>
      <c r="E801" s="33" t="s">
        <v>83</v>
      </c>
      <c r="F801" s="33" t="s">
        <v>10416</v>
      </c>
      <c r="G801" s="33" t="s">
        <v>9</v>
      </c>
      <c r="H801" s="33" t="n">
        <v>10</v>
      </c>
    </row>
    <row r="802" customFormat="false" ht="54" hidden="false" customHeight="true" outlineLevel="0" collapsed="false">
      <c r="A802" s="32" t="s">
        <v>10417</v>
      </c>
      <c r="B802" s="32" t="s">
        <v>3267</v>
      </c>
      <c r="C802" s="33" t="s">
        <v>1407</v>
      </c>
      <c r="D802" s="33" t="s">
        <v>50</v>
      </c>
      <c r="E802" s="33" t="s">
        <v>83</v>
      </c>
      <c r="F802" s="33" t="s">
        <v>3275</v>
      </c>
      <c r="G802" s="33" t="s">
        <v>9</v>
      </c>
      <c r="H802" s="33" t="n">
        <v>10</v>
      </c>
    </row>
    <row r="803" customFormat="false" ht="54" hidden="false" customHeight="true" outlineLevel="0" collapsed="false">
      <c r="A803" s="32" t="s">
        <v>10418</v>
      </c>
      <c r="B803" s="32" t="s">
        <v>3267</v>
      </c>
      <c r="C803" s="33" t="s">
        <v>1407</v>
      </c>
      <c r="D803" s="33" t="s">
        <v>50</v>
      </c>
      <c r="E803" s="33" t="s">
        <v>83</v>
      </c>
      <c r="F803" s="33" t="s">
        <v>3276</v>
      </c>
      <c r="G803" s="33" t="s">
        <v>9</v>
      </c>
      <c r="H803" s="33" t="n">
        <v>10</v>
      </c>
    </row>
    <row r="804" customFormat="false" ht="54" hidden="false" customHeight="true" outlineLevel="0" collapsed="false">
      <c r="A804" s="32" t="s">
        <v>10419</v>
      </c>
      <c r="B804" s="32" t="s">
        <v>3280</v>
      </c>
      <c r="C804" s="33" t="s">
        <v>1407</v>
      </c>
      <c r="D804" s="33" t="s">
        <v>50</v>
      </c>
      <c r="E804" s="33" t="s">
        <v>84</v>
      </c>
      <c r="F804" s="33" t="s">
        <v>3283</v>
      </c>
      <c r="G804" s="33" t="s">
        <v>9</v>
      </c>
      <c r="H804" s="33" t="n">
        <v>10</v>
      </c>
    </row>
    <row r="805" customFormat="false" ht="54" hidden="false" customHeight="true" outlineLevel="0" collapsed="false">
      <c r="A805" s="32" t="s">
        <v>10420</v>
      </c>
      <c r="B805" s="32" t="s">
        <v>3280</v>
      </c>
      <c r="C805" s="33" t="s">
        <v>1407</v>
      </c>
      <c r="D805" s="33" t="s">
        <v>50</v>
      </c>
      <c r="E805" s="33" t="s">
        <v>84</v>
      </c>
      <c r="F805" s="33" t="s">
        <v>3284</v>
      </c>
      <c r="G805" s="33" t="s">
        <v>9</v>
      </c>
      <c r="H805" s="33" t="n">
        <v>10</v>
      </c>
    </row>
    <row r="806" customFormat="false" ht="54" hidden="false" customHeight="true" outlineLevel="0" collapsed="false">
      <c r="A806" s="32" t="s">
        <v>10421</v>
      </c>
      <c r="B806" s="32" t="s">
        <v>3280</v>
      </c>
      <c r="C806" s="33" t="s">
        <v>1407</v>
      </c>
      <c r="D806" s="33" t="s">
        <v>50</v>
      </c>
      <c r="E806" s="33" t="s">
        <v>86</v>
      </c>
      <c r="F806" s="33" t="s">
        <v>3285</v>
      </c>
      <c r="G806" s="33" t="s">
        <v>9</v>
      </c>
      <c r="H806" s="33" t="n">
        <v>10</v>
      </c>
    </row>
    <row r="807" customFormat="false" ht="54" hidden="false" customHeight="true" outlineLevel="0" collapsed="false">
      <c r="A807" s="32" t="s">
        <v>10422</v>
      </c>
      <c r="B807" s="32" t="s">
        <v>3289</v>
      </c>
      <c r="C807" s="33" t="s">
        <v>98</v>
      </c>
      <c r="D807" s="33" t="s">
        <v>59</v>
      </c>
      <c r="E807" s="33" t="s">
        <v>80</v>
      </c>
      <c r="F807" s="33" t="s">
        <v>183</v>
      </c>
      <c r="G807" s="33" t="s">
        <v>12</v>
      </c>
      <c r="H807" s="33" t="n">
        <v>10</v>
      </c>
    </row>
    <row r="808" customFormat="false" ht="54" hidden="false" customHeight="true" outlineLevel="0" collapsed="false">
      <c r="A808" s="32" t="s">
        <v>10423</v>
      </c>
      <c r="B808" s="32" t="s">
        <v>3289</v>
      </c>
      <c r="C808" s="33" t="s">
        <v>98</v>
      </c>
      <c r="D808" s="33" t="s">
        <v>59</v>
      </c>
      <c r="E808" s="33" t="s">
        <v>82</v>
      </c>
      <c r="F808" s="33" t="s">
        <v>3294</v>
      </c>
      <c r="G808" s="33" t="s">
        <v>12</v>
      </c>
      <c r="H808" s="33" t="n">
        <v>10</v>
      </c>
    </row>
    <row r="809" customFormat="false" ht="54" hidden="false" customHeight="true" outlineLevel="0" collapsed="false">
      <c r="A809" s="32" t="s">
        <v>10424</v>
      </c>
      <c r="B809" s="32" t="s">
        <v>3289</v>
      </c>
      <c r="C809" s="33" t="s">
        <v>98</v>
      </c>
      <c r="D809" s="33" t="s">
        <v>59</v>
      </c>
      <c r="E809" s="33" t="s">
        <v>84</v>
      </c>
      <c r="F809" s="33" t="s">
        <v>183</v>
      </c>
      <c r="G809" s="33" t="s">
        <v>12</v>
      </c>
      <c r="H809" s="33" t="n">
        <v>10</v>
      </c>
    </row>
    <row r="810" customFormat="false" ht="54" hidden="false" customHeight="true" outlineLevel="0" collapsed="false">
      <c r="A810" s="32" t="s">
        <v>10425</v>
      </c>
      <c r="B810" s="32" t="s">
        <v>3298</v>
      </c>
      <c r="C810" s="33" t="s">
        <v>1407</v>
      </c>
      <c r="D810" s="33" t="s">
        <v>50</v>
      </c>
      <c r="E810" s="33" t="s">
        <v>80</v>
      </c>
      <c r="F810" s="33" t="s">
        <v>183</v>
      </c>
      <c r="G810" s="33" t="s">
        <v>12</v>
      </c>
      <c r="H810" s="33" t="n">
        <v>10</v>
      </c>
    </row>
    <row r="811" customFormat="false" ht="54" hidden="false" customHeight="true" outlineLevel="0" collapsed="false">
      <c r="A811" s="32" t="s">
        <v>10426</v>
      </c>
      <c r="B811" s="32" t="s">
        <v>3298</v>
      </c>
      <c r="C811" s="33" t="s">
        <v>1407</v>
      </c>
      <c r="D811" s="33" t="s">
        <v>50</v>
      </c>
      <c r="E811" s="33" t="s">
        <v>82</v>
      </c>
      <c r="F811" s="33" t="s">
        <v>3305</v>
      </c>
      <c r="G811" s="33" t="s">
        <v>12</v>
      </c>
      <c r="H811" s="33" t="n">
        <v>10</v>
      </c>
    </row>
    <row r="812" customFormat="false" ht="54" hidden="false" customHeight="true" outlineLevel="0" collapsed="false">
      <c r="A812" s="32" t="s">
        <v>10427</v>
      </c>
      <c r="B812" s="32" t="s">
        <v>3298</v>
      </c>
      <c r="C812" s="33" t="s">
        <v>1407</v>
      </c>
      <c r="D812" s="33" t="s">
        <v>50</v>
      </c>
      <c r="E812" s="33" t="s">
        <v>84</v>
      </c>
      <c r="F812" s="33" t="s">
        <v>183</v>
      </c>
      <c r="G812" s="33" t="s">
        <v>12</v>
      </c>
      <c r="H812" s="33" t="n">
        <v>10</v>
      </c>
    </row>
    <row r="813" customFormat="false" ht="54" hidden="false" customHeight="true" outlineLevel="0" collapsed="false">
      <c r="A813" s="32" t="s">
        <v>10428</v>
      </c>
      <c r="B813" s="32" t="s">
        <v>3307</v>
      </c>
      <c r="C813" s="33" t="s">
        <v>1805</v>
      </c>
      <c r="D813" s="33" t="s">
        <v>56</v>
      </c>
      <c r="E813" s="33" t="s">
        <v>80</v>
      </c>
      <c r="F813" s="33" t="s">
        <v>3312</v>
      </c>
      <c r="G813" s="33" t="s">
        <v>12</v>
      </c>
      <c r="H813" s="33" t="n">
        <v>10</v>
      </c>
    </row>
    <row r="814" customFormat="false" ht="54" hidden="false" customHeight="true" outlineLevel="0" collapsed="false">
      <c r="A814" s="32" t="s">
        <v>10429</v>
      </c>
      <c r="B814" s="32" t="s">
        <v>3307</v>
      </c>
      <c r="C814" s="33" t="s">
        <v>1805</v>
      </c>
      <c r="D814" s="33" t="s">
        <v>56</v>
      </c>
      <c r="E814" s="33" t="s">
        <v>80</v>
      </c>
      <c r="F814" s="33" t="s">
        <v>183</v>
      </c>
      <c r="G814" s="33" t="s">
        <v>12</v>
      </c>
      <c r="H814" s="33" t="n">
        <v>10</v>
      </c>
    </row>
    <row r="815" customFormat="false" ht="54" hidden="false" customHeight="true" outlineLevel="0" collapsed="false">
      <c r="A815" s="32" t="s">
        <v>10430</v>
      </c>
      <c r="B815" s="32" t="s">
        <v>3307</v>
      </c>
      <c r="C815" s="33" t="s">
        <v>1805</v>
      </c>
      <c r="D815" s="33" t="s">
        <v>56</v>
      </c>
      <c r="E815" s="33" t="s">
        <v>80</v>
      </c>
      <c r="F815" s="33" t="s">
        <v>3314</v>
      </c>
      <c r="G815" s="33" t="s">
        <v>12</v>
      </c>
      <c r="H815" s="33" t="n">
        <v>10</v>
      </c>
    </row>
    <row r="816" customFormat="false" ht="54" hidden="false" customHeight="true" outlineLevel="0" collapsed="false">
      <c r="A816" s="32" t="s">
        <v>10431</v>
      </c>
      <c r="B816" s="32" t="s">
        <v>3307</v>
      </c>
      <c r="C816" s="33" t="s">
        <v>1805</v>
      </c>
      <c r="D816" s="33" t="s">
        <v>56</v>
      </c>
      <c r="E816" s="33" t="s">
        <v>84</v>
      </c>
      <c r="F816" s="33" t="s">
        <v>183</v>
      </c>
      <c r="G816" s="33" t="s">
        <v>12</v>
      </c>
      <c r="H816" s="33" t="n">
        <v>10</v>
      </c>
    </row>
    <row r="817" customFormat="false" ht="54" hidden="false" customHeight="true" outlineLevel="0" collapsed="false">
      <c r="A817" s="32" t="s">
        <v>10432</v>
      </c>
      <c r="B817" s="32" t="s">
        <v>3317</v>
      </c>
      <c r="C817" s="33" t="s">
        <v>98</v>
      </c>
      <c r="D817" s="33" t="s">
        <v>59</v>
      </c>
      <c r="E817" s="33" t="s">
        <v>82</v>
      </c>
      <c r="F817" s="33" t="s">
        <v>3322</v>
      </c>
      <c r="G817" s="33" t="s">
        <v>9</v>
      </c>
      <c r="H817" s="33" t="n">
        <v>10</v>
      </c>
    </row>
    <row r="818" customFormat="false" ht="54" hidden="false" customHeight="true" outlineLevel="0" collapsed="false">
      <c r="A818" s="32" t="s">
        <v>10433</v>
      </c>
      <c r="B818" s="32" t="s">
        <v>3324</v>
      </c>
      <c r="C818" s="33" t="s">
        <v>1407</v>
      </c>
      <c r="D818" s="33" t="s">
        <v>50</v>
      </c>
      <c r="E818" s="33" t="s">
        <v>82</v>
      </c>
      <c r="F818" s="33" t="s">
        <v>3328</v>
      </c>
      <c r="G818" s="33" t="s">
        <v>9</v>
      </c>
      <c r="H818" s="33" t="n">
        <v>10</v>
      </c>
    </row>
    <row r="819" customFormat="false" ht="54" hidden="false" customHeight="true" outlineLevel="0" collapsed="false">
      <c r="A819" s="32" t="s">
        <v>10434</v>
      </c>
      <c r="B819" s="32" t="s">
        <v>3324</v>
      </c>
      <c r="C819" s="33" t="s">
        <v>1407</v>
      </c>
      <c r="D819" s="33" t="s">
        <v>50</v>
      </c>
      <c r="E819" s="33" t="s">
        <v>82</v>
      </c>
      <c r="F819" s="33" t="s">
        <v>3329</v>
      </c>
      <c r="G819" s="33" t="s">
        <v>9</v>
      </c>
      <c r="H819" s="33" t="n">
        <v>10</v>
      </c>
    </row>
    <row r="820" customFormat="false" ht="54" hidden="false" customHeight="true" outlineLevel="0" collapsed="false">
      <c r="A820" s="32" t="s">
        <v>10435</v>
      </c>
      <c r="B820" s="32" t="s">
        <v>3324</v>
      </c>
      <c r="C820" s="33" t="s">
        <v>1407</v>
      </c>
      <c r="D820" s="33" t="s">
        <v>50</v>
      </c>
      <c r="E820" s="33" t="s">
        <v>82</v>
      </c>
      <c r="F820" s="33" t="s">
        <v>3331</v>
      </c>
      <c r="G820" s="33" t="s">
        <v>9</v>
      </c>
      <c r="H820" s="33" t="n">
        <v>10</v>
      </c>
    </row>
    <row r="821" customFormat="false" ht="54" hidden="false" customHeight="true" outlineLevel="0" collapsed="false">
      <c r="A821" s="32" t="s">
        <v>10436</v>
      </c>
      <c r="B821" s="32" t="s">
        <v>3334</v>
      </c>
      <c r="C821" s="33" t="s">
        <v>1407</v>
      </c>
      <c r="D821" s="33" t="s">
        <v>50</v>
      </c>
      <c r="E821" s="33" t="s">
        <v>80</v>
      </c>
      <c r="F821" s="33" t="s">
        <v>3340</v>
      </c>
      <c r="G821" s="33" t="s">
        <v>9</v>
      </c>
      <c r="H821" s="33" t="n">
        <v>10</v>
      </c>
    </row>
    <row r="822" customFormat="false" ht="54" hidden="false" customHeight="true" outlineLevel="0" collapsed="false">
      <c r="A822" s="32" t="s">
        <v>10437</v>
      </c>
      <c r="B822" s="32" t="s">
        <v>3334</v>
      </c>
      <c r="C822" s="33" t="s">
        <v>1407</v>
      </c>
      <c r="D822" s="33" t="s">
        <v>50</v>
      </c>
      <c r="E822" s="33" t="s">
        <v>80</v>
      </c>
      <c r="F822" s="33" t="s">
        <v>3341</v>
      </c>
      <c r="G822" s="33" t="s">
        <v>9</v>
      </c>
      <c r="H822" s="33" t="n">
        <v>10</v>
      </c>
    </row>
    <row r="823" customFormat="false" ht="54" hidden="false" customHeight="true" outlineLevel="0" collapsed="false">
      <c r="A823" s="32" t="s">
        <v>10438</v>
      </c>
      <c r="B823" s="32" t="s">
        <v>3334</v>
      </c>
      <c r="C823" s="33" t="s">
        <v>1407</v>
      </c>
      <c r="D823" s="33" t="s">
        <v>50</v>
      </c>
      <c r="E823" s="33" t="s">
        <v>82</v>
      </c>
      <c r="F823" s="33" t="s">
        <v>3340</v>
      </c>
      <c r="G823" s="33" t="s">
        <v>9</v>
      </c>
      <c r="H823" s="33" t="n">
        <v>10</v>
      </c>
    </row>
    <row r="824" customFormat="false" ht="54" hidden="false" customHeight="true" outlineLevel="0" collapsed="false">
      <c r="A824" s="32" t="s">
        <v>10439</v>
      </c>
      <c r="B824" s="32" t="s">
        <v>3346</v>
      </c>
      <c r="C824" s="33" t="s">
        <v>98</v>
      </c>
      <c r="D824" s="33" t="s">
        <v>59</v>
      </c>
      <c r="E824" s="33" t="s">
        <v>82</v>
      </c>
      <c r="F824" s="33" t="s">
        <v>3350</v>
      </c>
      <c r="G824" s="33" t="s">
        <v>9</v>
      </c>
      <c r="H824" s="33" t="n">
        <v>10</v>
      </c>
    </row>
    <row r="825" customFormat="false" ht="54" hidden="false" customHeight="true" outlineLevel="0" collapsed="false">
      <c r="A825" s="32" t="s">
        <v>10440</v>
      </c>
      <c r="B825" s="32" t="s">
        <v>3352</v>
      </c>
      <c r="C825" s="33" t="s">
        <v>1407</v>
      </c>
      <c r="D825" s="33" t="s">
        <v>50</v>
      </c>
      <c r="E825" s="33" t="s">
        <v>82</v>
      </c>
      <c r="F825" s="33" t="s">
        <v>3354</v>
      </c>
      <c r="G825" s="33" t="s">
        <v>9</v>
      </c>
      <c r="H825" s="33" t="n">
        <v>10</v>
      </c>
    </row>
    <row r="826" customFormat="false" ht="54" hidden="false" customHeight="true" outlineLevel="0" collapsed="false">
      <c r="A826" s="32" t="s">
        <v>10441</v>
      </c>
      <c r="B826" s="32" t="s">
        <v>3355</v>
      </c>
      <c r="C826" s="33" t="s">
        <v>1407</v>
      </c>
      <c r="D826" s="33" t="s">
        <v>50</v>
      </c>
      <c r="E826" s="33" t="s">
        <v>82</v>
      </c>
      <c r="F826" s="33" t="s">
        <v>3359</v>
      </c>
      <c r="G826" s="33" t="s">
        <v>9</v>
      </c>
      <c r="H826" s="33" t="n">
        <v>10</v>
      </c>
    </row>
    <row r="827" customFormat="false" ht="54" hidden="false" customHeight="true" outlineLevel="0" collapsed="false">
      <c r="A827" s="32" t="s">
        <v>10442</v>
      </c>
      <c r="B827" s="32" t="s">
        <v>3370</v>
      </c>
      <c r="C827" s="33" t="s">
        <v>98</v>
      </c>
      <c r="D827" s="33" t="s">
        <v>59</v>
      </c>
      <c r="E827" s="33" t="s">
        <v>82</v>
      </c>
      <c r="F827" s="33" t="s">
        <v>3374</v>
      </c>
      <c r="G827" s="33" t="s">
        <v>9</v>
      </c>
      <c r="H827" s="33" t="n">
        <v>10</v>
      </c>
    </row>
    <row r="828" customFormat="false" ht="54" hidden="false" customHeight="true" outlineLevel="0" collapsed="false">
      <c r="A828" s="32" t="s">
        <v>10443</v>
      </c>
      <c r="B828" s="32" t="s">
        <v>3376</v>
      </c>
      <c r="C828" s="33" t="s">
        <v>1407</v>
      </c>
      <c r="D828" s="33" t="s">
        <v>50</v>
      </c>
      <c r="E828" s="33" t="s">
        <v>82</v>
      </c>
      <c r="F828" s="33" t="s">
        <v>3378</v>
      </c>
      <c r="G828" s="33" t="s">
        <v>9</v>
      </c>
      <c r="H828" s="33" t="n">
        <v>10</v>
      </c>
    </row>
    <row r="829" customFormat="false" ht="54" hidden="false" customHeight="true" outlineLevel="0" collapsed="false">
      <c r="A829" s="32" t="s">
        <v>10444</v>
      </c>
      <c r="B829" s="32" t="s">
        <v>3379</v>
      </c>
      <c r="C829" s="33" t="s">
        <v>2404</v>
      </c>
      <c r="D829" s="33" t="s">
        <v>51</v>
      </c>
      <c r="E829" s="33" t="s">
        <v>82</v>
      </c>
      <c r="F829" s="33" t="s">
        <v>3384</v>
      </c>
      <c r="G829" s="33" t="s">
        <v>9</v>
      </c>
      <c r="H829" s="33" t="n">
        <v>10</v>
      </c>
    </row>
    <row r="830" customFormat="false" ht="54" hidden="false" customHeight="true" outlineLevel="0" collapsed="false">
      <c r="A830" s="32" t="s">
        <v>10445</v>
      </c>
      <c r="B830" s="32" t="s">
        <v>3389</v>
      </c>
      <c r="C830" s="33" t="s">
        <v>98</v>
      </c>
      <c r="D830" s="33" t="s">
        <v>59</v>
      </c>
      <c r="E830" s="33" t="s">
        <v>82</v>
      </c>
      <c r="F830" s="33" t="s">
        <v>3394</v>
      </c>
      <c r="G830" s="33" t="s">
        <v>9</v>
      </c>
      <c r="H830" s="33" t="n">
        <v>10</v>
      </c>
    </row>
    <row r="831" customFormat="false" ht="54" hidden="false" customHeight="true" outlineLevel="0" collapsed="false">
      <c r="A831" s="32" t="s">
        <v>10446</v>
      </c>
      <c r="B831" s="32" t="s">
        <v>3396</v>
      </c>
      <c r="C831" s="33" t="s">
        <v>1407</v>
      </c>
      <c r="D831" s="33" t="s">
        <v>50</v>
      </c>
      <c r="E831" s="33" t="s">
        <v>82</v>
      </c>
      <c r="F831" s="33" t="s">
        <v>3061</v>
      </c>
      <c r="G831" s="33" t="s">
        <v>9</v>
      </c>
      <c r="H831" s="33" t="n">
        <v>10</v>
      </c>
    </row>
    <row r="832" customFormat="false" ht="54" hidden="false" customHeight="true" outlineLevel="0" collapsed="false">
      <c r="A832" s="32" t="s">
        <v>10447</v>
      </c>
      <c r="B832" s="32" t="s">
        <v>3396</v>
      </c>
      <c r="C832" s="33" t="s">
        <v>1407</v>
      </c>
      <c r="D832" s="33" t="s">
        <v>50</v>
      </c>
      <c r="E832" s="33" t="s">
        <v>82</v>
      </c>
      <c r="F832" s="33" t="s">
        <v>3400</v>
      </c>
      <c r="G832" s="33" t="s">
        <v>9</v>
      </c>
      <c r="H832" s="33" t="n">
        <v>10</v>
      </c>
    </row>
    <row r="833" customFormat="false" ht="54" hidden="false" customHeight="true" outlineLevel="0" collapsed="false">
      <c r="A833" s="32" t="s">
        <v>10448</v>
      </c>
      <c r="B833" s="32" t="s">
        <v>3410</v>
      </c>
      <c r="C833" s="33" t="s">
        <v>1407</v>
      </c>
      <c r="D833" s="33" t="s">
        <v>50</v>
      </c>
      <c r="E833" s="33" t="s">
        <v>82</v>
      </c>
      <c r="F833" s="33" t="s">
        <v>3061</v>
      </c>
      <c r="G833" s="33" t="s">
        <v>9</v>
      </c>
      <c r="H833" s="33" t="n">
        <v>10</v>
      </c>
    </row>
    <row r="834" customFormat="false" ht="54" hidden="false" customHeight="true" outlineLevel="0" collapsed="false">
      <c r="A834" s="32" t="s">
        <v>10449</v>
      </c>
      <c r="B834" s="32" t="s">
        <v>3414</v>
      </c>
      <c r="C834" s="33" t="s">
        <v>1407</v>
      </c>
      <c r="D834" s="33" t="s">
        <v>50</v>
      </c>
      <c r="E834" s="33" t="s">
        <v>82</v>
      </c>
      <c r="F834" s="33" t="s">
        <v>3416</v>
      </c>
      <c r="G834" s="33" t="s">
        <v>9</v>
      </c>
      <c r="H834" s="33" t="n">
        <v>10</v>
      </c>
    </row>
    <row r="835" customFormat="false" ht="54" hidden="false" customHeight="true" outlineLevel="0" collapsed="false">
      <c r="A835" s="32" t="s">
        <v>10450</v>
      </c>
      <c r="B835" s="32" t="s">
        <v>3417</v>
      </c>
      <c r="C835" s="33" t="s">
        <v>1407</v>
      </c>
      <c r="D835" s="33" t="s">
        <v>50</v>
      </c>
      <c r="E835" s="33" t="s">
        <v>84</v>
      </c>
      <c r="F835" s="33" t="s">
        <v>3419</v>
      </c>
      <c r="G835" s="33" t="s">
        <v>9</v>
      </c>
      <c r="H835" s="33" t="n">
        <v>10</v>
      </c>
    </row>
    <row r="836" customFormat="false" ht="54" hidden="false" customHeight="true" outlineLevel="0" collapsed="false">
      <c r="A836" s="32" t="s">
        <v>10451</v>
      </c>
      <c r="B836" s="32" t="s">
        <v>3417</v>
      </c>
      <c r="C836" s="33" t="s">
        <v>1407</v>
      </c>
      <c r="D836" s="33" t="s">
        <v>50</v>
      </c>
      <c r="E836" s="33" t="s">
        <v>86</v>
      </c>
      <c r="F836" s="33" t="s">
        <v>3420</v>
      </c>
      <c r="G836" s="33" t="s">
        <v>9</v>
      </c>
      <c r="H836" s="33" t="n">
        <v>10</v>
      </c>
    </row>
    <row r="837" customFormat="false" ht="54" hidden="false" customHeight="true" outlineLevel="0" collapsed="false">
      <c r="A837" s="32" t="s">
        <v>10452</v>
      </c>
      <c r="B837" s="32" t="s">
        <v>3421</v>
      </c>
      <c r="C837" s="33" t="s">
        <v>2404</v>
      </c>
      <c r="D837" s="33" t="s">
        <v>51</v>
      </c>
      <c r="E837" s="33" t="s">
        <v>80</v>
      </c>
      <c r="F837" s="33" t="s">
        <v>183</v>
      </c>
      <c r="G837" s="33" t="s">
        <v>12</v>
      </c>
      <c r="H837" s="33" t="n">
        <v>10</v>
      </c>
    </row>
    <row r="838" customFormat="false" ht="54" hidden="false" customHeight="true" outlineLevel="0" collapsed="false">
      <c r="A838" s="32" t="s">
        <v>10453</v>
      </c>
      <c r="B838" s="32" t="s">
        <v>3421</v>
      </c>
      <c r="C838" s="33" t="s">
        <v>2404</v>
      </c>
      <c r="D838" s="33" t="s">
        <v>51</v>
      </c>
      <c r="E838" s="33" t="s">
        <v>80</v>
      </c>
      <c r="F838" s="33" t="s">
        <v>10454</v>
      </c>
      <c r="G838" s="33" t="s">
        <v>12</v>
      </c>
      <c r="H838" s="33" t="n">
        <v>10</v>
      </c>
    </row>
    <row r="839" customFormat="false" ht="54" hidden="false" customHeight="true" outlineLevel="0" collapsed="false">
      <c r="A839" s="32" t="s">
        <v>10455</v>
      </c>
      <c r="B839" s="32" t="s">
        <v>3421</v>
      </c>
      <c r="C839" s="33" t="s">
        <v>2404</v>
      </c>
      <c r="D839" s="33" t="s">
        <v>51</v>
      </c>
      <c r="E839" s="33" t="s">
        <v>81</v>
      </c>
      <c r="F839" s="33" t="s">
        <v>3430</v>
      </c>
      <c r="G839" s="33" t="s">
        <v>12</v>
      </c>
      <c r="H839" s="33" t="n">
        <v>10</v>
      </c>
    </row>
    <row r="840" customFormat="false" ht="54" hidden="false" customHeight="true" outlineLevel="0" collapsed="false">
      <c r="A840" s="32" t="s">
        <v>10456</v>
      </c>
      <c r="B840" s="32" t="s">
        <v>3421</v>
      </c>
      <c r="C840" s="33" t="s">
        <v>2404</v>
      </c>
      <c r="D840" s="33" t="s">
        <v>51</v>
      </c>
      <c r="E840" s="33" t="s">
        <v>82</v>
      </c>
      <c r="F840" s="33" t="s">
        <v>3428</v>
      </c>
      <c r="G840" s="33" t="s">
        <v>12</v>
      </c>
      <c r="H840" s="33" t="n">
        <v>10</v>
      </c>
    </row>
    <row r="841" customFormat="false" ht="54" hidden="false" customHeight="true" outlineLevel="0" collapsed="false">
      <c r="A841" s="32" t="s">
        <v>10457</v>
      </c>
      <c r="B841" s="32" t="s">
        <v>3421</v>
      </c>
      <c r="C841" s="33" t="s">
        <v>2404</v>
      </c>
      <c r="D841" s="33" t="s">
        <v>51</v>
      </c>
      <c r="E841" s="33" t="s">
        <v>82</v>
      </c>
      <c r="F841" s="33" t="s">
        <v>10458</v>
      </c>
      <c r="G841" s="33" t="s">
        <v>12</v>
      </c>
      <c r="H841" s="33" t="n">
        <v>10</v>
      </c>
    </row>
    <row r="842" customFormat="false" ht="54" hidden="false" customHeight="true" outlineLevel="0" collapsed="false">
      <c r="A842" s="32" t="s">
        <v>10459</v>
      </c>
      <c r="B842" s="32" t="s">
        <v>3421</v>
      </c>
      <c r="C842" s="33" t="s">
        <v>2404</v>
      </c>
      <c r="D842" s="33" t="s">
        <v>51</v>
      </c>
      <c r="E842" s="33" t="s">
        <v>84</v>
      </c>
      <c r="F842" s="33" t="s">
        <v>183</v>
      </c>
      <c r="G842" s="33" t="s">
        <v>12</v>
      </c>
      <c r="H842" s="33" t="n">
        <v>10</v>
      </c>
    </row>
    <row r="843" customFormat="false" ht="54" hidden="false" customHeight="true" outlineLevel="0" collapsed="false">
      <c r="A843" s="32" t="s">
        <v>10460</v>
      </c>
      <c r="B843" s="32" t="s">
        <v>3421</v>
      </c>
      <c r="C843" s="33" t="s">
        <v>2404</v>
      </c>
      <c r="D843" s="33" t="s">
        <v>51</v>
      </c>
      <c r="E843" s="33" t="s">
        <v>84</v>
      </c>
      <c r="F843" s="33" t="s">
        <v>10454</v>
      </c>
      <c r="G843" s="33" t="s">
        <v>12</v>
      </c>
      <c r="H843" s="33" t="n">
        <v>10</v>
      </c>
    </row>
    <row r="844" customFormat="false" ht="54" hidden="false" customHeight="true" outlineLevel="0" collapsed="false">
      <c r="A844" s="32" t="s">
        <v>10461</v>
      </c>
      <c r="B844" s="32" t="s">
        <v>3436</v>
      </c>
      <c r="C844" s="33" t="s">
        <v>1407</v>
      </c>
      <c r="D844" s="33" t="s">
        <v>50</v>
      </c>
      <c r="E844" s="33" t="s">
        <v>80</v>
      </c>
      <c r="F844" s="33" t="s">
        <v>183</v>
      </c>
      <c r="G844" s="33" t="s">
        <v>12</v>
      </c>
      <c r="H844" s="33" t="n">
        <v>10</v>
      </c>
    </row>
    <row r="845" customFormat="false" ht="54" hidden="false" customHeight="true" outlineLevel="0" collapsed="false">
      <c r="A845" s="32" t="s">
        <v>10462</v>
      </c>
      <c r="B845" s="32" t="s">
        <v>3436</v>
      </c>
      <c r="C845" s="33" t="s">
        <v>1407</v>
      </c>
      <c r="D845" s="33" t="s">
        <v>50</v>
      </c>
      <c r="E845" s="33" t="s">
        <v>81</v>
      </c>
      <c r="F845" s="33" t="s">
        <v>3444</v>
      </c>
      <c r="G845" s="33" t="s">
        <v>12</v>
      </c>
      <c r="H845" s="33" t="n">
        <v>10</v>
      </c>
    </row>
    <row r="846" customFormat="false" ht="54" hidden="false" customHeight="true" outlineLevel="0" collapsed="false">
      <c r="A846" s="32" t="s">
        <v>10463</v>
      </c>
      <c r="B846" s="32" t="s">
        <v>3436</v>
      </c>
      <c r="C846" s="33" t="s">
        <v>1407</v>
      </c>
      <c r="D846" s="33" t="s">
        <v>50</v>
      </c>
      <c r="E846" s="33" t="s">
        <v>82</v>
      </c>
      <c r="F846" s="33" t="s">
        <v>3442</v>
      </c>
      <c r="G846" s="33" t="s">
        <v>12</v>
      </c>
      <c r="H846" s="33" t="n">
        <v>10</v>
      </c>
    </row>
    <row r="847" customFormat="false" ht="54" hidden="false" customHeight="true" outlineLevel="0" collapsed="false">
      <c r="A847" s="32" t="s">
        <v>10464</v>
      </c>
      <c r="B847" s="32" t="s">
        <v>3436</v>
      </c>
      <c r="C847" s="33" t="s">
        <v>1407</v>
      </c>
      <c r="D847" s="33" t="s">
        <v>50</v>
      </c>
      <c r="E847" s="33" t="s">
        <v>82</v>
      </c>
      <c r="F847" s="33" t="s">
        <v>10465</v>
      </c>
      <c r="G847" s="33" t="s">
        <v>12</v>
      </c>
      <c r="H847" s="33" t="n">
        <v>10</v>
      </c>
    </row>
    <row r="848" customFormat="false" ht="54" hidden="false" customHeight="true" outlineLevel="0" collapsed="false">
      <c r="A848" s="32" t="s">
        <v>10466</v>
      </c>
      <c r="B848" s="32" t="s">
        <v>3436</v>
      </c>
      <c r="C848" s="33" t="s">
        <v>1407</v>
      </c>
      <c r="D848" s="33" t="s">
        <v>50</v>
      </c>
      <c r="E848" s="33" t="s">
        <v>84</v>
      </c>
      <c r="F848" s="33" t="s">
        <v>183</v>
      </c>
      <c r="G848" s="33" t="s">
        <v>12</v>
      </c>
      <c r="H848" s="33" t="n">
        <v>10</v>
      </c>
    </row>
    <row r="849" customFormat="false" ht="54" hidden="false" customHeight="true" outlineLevel="0" collapsed="false">
      <c r="A849" s="32" t="s">
        <v>10467</v>
      </c>
      <c r="B849" s="32" t="s">
        <v>3447</v>
      </c>
      <c r="C849" s="33" t="s">
        <v>2404</v>
      </c>
      <c r="D849" s="33" t="s">
        <v>51</v>
      </c>
      <c r="E849" s="33" t="s">
        <v>80</v>
      </c>
      <c r="F849" s="33" t="s">
        <v>2140</v>
      </c>
      <c r="G849" s="33" t="s">
        <v>12</v>
      </c>
      <c r="H849" s="33" t="n">
        <v>10</v>
      </c>
    </row>
    <row r="850" customFormat="false" ht="54" hidden="false" customHeight="true" outlineLevel="0" collapsed="false">
      <c r="A850" s="32" t="s">
        <v>10468</v>
      </c>
      <c r="B850" s="32" t="s">
        <v>3447</v>
      </c>
      <c r="C850" s="33" t="s">
        <v>2404</v>
      </c>
      <c r="D850" s="33" t="s">
        <v>51</v>
      </c>
      <c r="E850" s="33" t="s">
        <v>80</v>
      </c>
      <c r="F850" s="33" t="s">
        <v>183</v>
      </c>
      <c r="G850" s="33" t="s">
        <v>12</v>
      </c>
      <c r="H850" s="33" t="n">
        <v>10</v>
      </c>
    </row>
    <row r="851" customFormat="false" ht="54" hidden="false" customHeight="true" outlineLevel="0" collapsed="false">
      <c r="A851" s="32" t="s">
        <v>10469</v>
      </c>
      <c r="B851" s="32" t="s">
        <v>3447</v>
      </c>
      <c r="C851" s="33" t="s">
        <v>2404</v>
      </c>
      <c r="D851" s="33" t="s">
        <v>51</v>
      </c>
      <c r="E851" s="33" t="s">
        <v>80</v>
      </c>
      <c r="F851" s="33" t="s">
        <v>10470</v>
      </c>
      <c r="G851" s="33" t="s">
        <v>12</v>
      </c>
      <c r="H851" s="33" t="n">
        <v>10</v>
      </c>
    </row>
    <row r="852" customFormat="false" ht="54" hidden="false" customHeight="true" outlineLevel="0" collapsed="false">
      <c r="A852" s="32" t="s">
        <v>10471</v>
      </c>
      <c r="B852" s="32" t="s">
        <v>3447</v>
      </c>
      <c r="C852" s="33" t="s">
        <v>2404</v>
      </c>
      <c r="D852" s="33" t="s">
        <v>51</v>
      </c>
      <c r="E852" s="33" t="s">
        <v>84</v>
      </c>
      <c r="F852" s="33" t="s">
        <v>183</v>
      </c>
      <c r="G852" s="33" t="s">
        <v>12</v>
      </c>
      <c r="H852" s="33" t="n">
        <v>10</v>
      </c>
    </row>
    <row r="853" customFormat="false" ht="54" hidden="false" customHeight="true" outlineLevel="0" collapsed="false">
      <c r="A853" s="32" t="s">
        <v>10472</v>
      </c>
      <c r="B853" s="32" t="s">
        <v>3458</v>
      </c>
      <c r="C853" s="33" t="s">
        <v>98</v>
      </c>
      <c r="D853" s="33" t="s">
        <v>59</v>
      </c>
      <c r="E853" s="33" t="s">
        <v>80</v>
      </c>
      <c r="F853" s="33" t="s">
        <v>10473</v>
      </c>
      <c r="G853" s="33" t="s">
        <v>9</v>
      </c>
      <c r="H853" s="33" t="n">
        <v>30</v>
      </c>
    </row>
    <row r="854" customFormat="false" ht="54" hidden="false" customHeight="true" outlineLevel="0" collapsed="false">
      <c r="A854" s="32" t="s">
        <v>10474</v>
      </c>
      <c r="B854" s="32" t="s">
        <v>3458</v>
      </c>
      <c r="C854" s="33" t="s">
        <v>98</v>
      </c>
      <c r="D854" s="33" t="s">
        <v>59</v>
      </c>
      <c r="E854" s="33" t="s">
        <v>80</v>
      </c>
      <c r="F854" s="33" t="s">
        <v>10475</v>
      </c>
      <c r="G854" s="33" t="s">
        <v>9</v>
      </c>
      <c r="H854" s="33" t="n">
        <v>30</v>
      </c>
    </row>
    <row r="855" customFormat="false" ht="54" hidden="false" customHeight="true" outlineLevel="0" collapsed="false">
      <c r="A855" s="32" t="s">
        <v>10476</v>
      </c>
      <c r="B855" s="32" t="s">
        <v>3458</v>
      </c>
      <c r="C855" s="33" t="s">
        <v>98</v>
      </c>
      <c r="D855" s="33" t="s">
        <v>59</v>
      </c>
      <c r="E855" s="33" t="s">
        <v>81</v>
      </c>
      <c r="F855" s="33" t="s">
        <v>3470</v>
      </c>
      <c r="G855" s="33" t="s">
        <v>9</v>
      </c>
      <c r="H855" s="33" t="n">
        <v>30</v>
      </c>
    </row>
    <row r="856" customFormat="false" ht="54" hidden="false" customHeight="true" outlineLevel="0" collapsed="false">
      <c r="A856" s="32" t="s">
        <v>10477</v>
      </c>
      <c r="B856" s="32" t="s">
        <v>3458</v>
      </c>
      <c r="C856" s="33" t="s">
        <v>98</v>
      </c>
      <c r="D856" s="33" t="s">
        <v>59</v>
      </c>
      <c r="E856" s="33" t="s">
        <v>81</v>
      </c>
      <c r="F856" s="33" t="s">
        <v>10478</v>
      </c>
      <c r="G856" s="33" t="s">
        <v>9</v>
      </c>
      <c r="H856" s="33" t="n">
        <v>30</v>
      </c>
    </row>
    <row r="857" customFormat="false" ht="54" hidden="false" customHeight="true" outlineLevel="0" collapsed="false">
      <c r="A857" s="32" t="s">
        <v>10479</v>
      </c>
      <c r="B857" s="32" t="s">
        <v>3458</v>
      </c>
      <c r="C857" s="33" t="s">
        <v>98</v>
      </c>
      <c r="D857" s="33" t="s">
        <v>59</v>
      </c>
      <c r="E857" s="33" t="s">
        <v>81</v>
      </c>
      <c r="F857" s="33" t="s">
        <v>10480</v>
      </c>
      <c r="G857" s="33" t="s">
        <v>9</v>
      </c>
      <c r="H857" s="33" t="n">
        <v>30</v>
      </c>
    </row>
    <row r="858" customFormat="false" ht="54" hidden="false" customHeight="true" outlineLevel="0" collapsed="false">
      <c r="A858" s="32" t="s">
        <v>10481</v>
      </c>
      <c r="B858" s="32" t="s">
        <v>3458</v>
      </c>
      <c r="C858" s="33" t="s">
        <v>98</v>
      </c>
      <c r="D858" s="33" t="s">
        <v>59</v>
      </c>
      <c r="E858" s="33" t="s">
        <v>81</v>
      </c>
      <c r="F858" s="33" t="s">
        <v>10482</v>
      </c>
      <c r="G858" s="33" t="s">
        <v>9</v>
      </c>
      <c r="H858" s="33" t="n">
        <v>30</v>
      </c>
    </row>
    <row r="859" customFormat="false" ht="54" hidden="false" customHeight="true" outlineLevel="0" collapsed="false">
      <c r="A859" s="32" t="s">
        <v>10483</v>
      </c>
      <c r="B859" s="32" t="s">
        <v>3458</v>
      </c>
      <c r="C859" s="33" t="s">
        <v>98</v>
      </c>
      <c r="D859" s="33" t="s">
        <v>59</v>
      </c>
      <c r="E859" s="33" t="s">
        <v>82</v>
      </c>
      <c r="F859" s="33" t="s">
        <v>10473</v>
      </c>
      <c r="G859" s="33" t="s">
        <v>9</v>
      </c>
      <c r="H859" s="33" t="n">
        <v>30</v>
      </c>
    </row>
    <row r="860" customFormat="false" ht="54" hidden="false" customHeight="true" outlineLevel="0" collapsed="false">
      <c r="A860" s="32" t="s">
        <v>10484</v>
      </c>
      <c r="B860" s="32" t="s">
        <v>3458</v>
      </c>
      <c r="C860" s="33" t="s">
        <v>98</v>
      </c>
      <c r="D860" s="33" t="s">
        <v>59</v>
      </c>
      <c r="E860" s="33" t="s">
        <v>82</v>
      </c>
      <c r="F860" s="33" t="s">
        <v>10475</v>
      </c>
      <c r="G860" s="33" t="s">
        <v>9</v>
      </c>
      <c r="H860" s="33" t="n">
        <v>30</v>
      </c>
    </row>
    <row r="861" customFormat="false" ht="54" hidden="false" customHeight="true" outlineLevel="0" collapsed="false">
      <c r="A861" s="32" t="s">
        <v>10485</v>
      </c>
      <c r="B861" s="32" t="s">
        <v>3458</v>
      </c>
      <c r="C861" s="33" t="s">
        <v>98</v>
      </c>
      <c r="D861" s="33" t="s">
        <v>59</v>
      </c>
      <c r="E861" s="33" t="s">
        <v>84</v>
      </c>
      <c r="F861" s="33" t="s">
        <v>10486</v>
      </c>
      <c r="G861" s="33" t="s">
        <v>9</v>
      </c>
      <c r="H861" s="33" t="n">
        <v>30</v>
      </c>
    </row>
    <row r="862" customFormat="false" ht="54" hidden="false" customHeight="true" outlineLevel="0" collapsed="false">
      <c r="A862" s="32" t="s">
        <v>10487</v>
      </c>
      <c r="B862" s="32" t="s">
        <v>3458</v>
      </c>
      <c r="C862" s="33" t="s">
        <v>98</v>
      </c>
      <c r="D862" s="33" t="s">
        <v>59</v>
      </c>
      <c r="E862" s="33" t="s">
        <v>84</v>
      </c>
      <c r="F862" s="33" t="s">
        <v>10478</v>
      </c>
      <c r="G862" s="33" t="s">
        <v>9</v>
      </c>
      <c r="H862" s="33" t="n">
        <v>30</v>
      </c>
    </row>
    <row r="863" customFormat="false" ht="54" hidden="false" customHeight="true" outlineLevel="0" collapsed="false">
      <c r="A863" s="32" t="s">
        <v>10488</v>
      </c>
      <c r="B863" s="32" t="s">
        <v>3458</v>
      </c>
      <c r="C863" s="33" t="s">
        <v>98</v>
      </c>
      <c r="D863" s="33" t="s">
        <v>59</v>
      </c>
      <c r="E863" s="33" t="s">
        <v>84</v>
      </c>
      <c r="F863" s="33" t="s">
        <v>10489</v>
      </c>
      <c r="G863" s="33" t="s">
        <v>9</v>
      </c>
      <c r="H863" s="33" t="n">
        <v>30</v>
      </c>
    </row>
    <row r="864" customFormat="false" ht="54" hidden="false" customHeight="true" outlineLevel="0" collapsed="false">
      <c r="A864" s="32" t="s">
        <v>10490</v>
      </c>
      <c r="B864" s="32" t="s">
        <v>3458</v>
      </c>
      <c r="C864" s="33" t="s">
        <v>98</v>
      </c>
      <c r="D864" s="33" t="s">
        <v>59</v>
      </c>
      <c r="E864" s="33" t="s">
        <v>84</v>
      </c>
      <c r="F864" s="33" t="s">
        <v>10482</v>
      </c>
      <c r="G864" s="33" t="s">
        <v>9</v>
      </c>
      <c r="H864" s="33" t="n">
        <v>30</v>
      </c>
    </row>
    <row r="865" customFormat="false" ht="54" hidden="false" customHeight="true" outlineLevel="0" collapsed="false">
      <c r="A865" s="32" t="s">
        <v>10491</v>
      </c>
      <c r="B865" s="32" t="s">
        <v>3458</v>
      </c>
      <c r="C865" s="33" t="s">
        <v>98</v>
      </c>
      <c r="D865" s="33" t="s">
        <v>59</v>
      </c>
      <c r="E865" s="33" t="s">
        <v>86</v>
      </c>
      <c r="F865" s="33" t="s">
        <v>3474</v>
      </c>
      <c r="G865" s="33" t="s">
        <v>9</v>
      </c>
      <c r="H865" s="33" t="n">
        <v>30</v>
      </c>
    </row>
    <row r="866" customFormat="false" ht="54" hidden="false" customHeight="true" outlineLevel="0" collapsed="false">
      <c r="A866" s="32" t="s">
        <v>10492</v>
      </c>
      <c r="B866" s="32" t="s">
        <v>3478</v>
      </c>
      <c r="C866" s="33" t="s">
        <v>98</v>
      </c>
      <c r="D866" s="33" t="s">
        <v>59</v>
      </c>
      <c r="E866" s="33" t="s">
        <v>81</v>
      </c>
      <c r="F866" s="33" t="s">
        <v>3487</v>
      </c>
      <c r="G866" s="33" t="s">
        <v>9</v>
      </c>
      <c r="H866" s="33" t="n">
        <v>30</v>
      </c>
    </row>
    <row r="867" customFormat="false" ht="54" hidden="false" customHeight="true" outlineLevel="0" collapsed="false">
      <c r="A867" s="32" t="s">
        <v>10493</v>
      </c>
      <c r="B867" s="32" t="s">
        <v>3478</v>
      </c>
      <c r="C867" s="33" t="s">
        <v>98</v>
      </c>
      <c r="D867" s="33" t="s">
        <v>59</v>
      </c>
      <c r="E867" s="33" t="s">
        <v>84</v>
      </c>
      <c r="F867" s="33" t="s">
        <v>10494</v>
      </c>
      <c r="G867" s="33" t="s">
        <v>9</v>
      </c>
      <c r="H867" s="33" t="n">
        <v>30</v>
      </c>
    </row>
    <row r="868" customFormat="false" ht="54" hidden="false" customHeight="true" outlineLevel="0" collapsed="false">
      <c r="A868" s="32" t="s">
        <v>10495</v>
      </c>
      <c r="B868" s="32" t="s">
        <v>3478</v>
      </c>
      <c r="C868" s="33" t="s">
        <v>98</v>
      </c>
      <c r="D868" s="33" t="s">
        <v>59</v>
      </c>
      <c r="E868" s="33" t="s">
        <v>84</v>
      </c>
      <c r="F868" s="33" t="s">
        <v>10496</v>
      </c>
      <c r="G868" s="33" t="s">
        <v>9</v>
      </c>
      <c r="H868" s="33" t="n">
        <v>30</v>
      </c>
    </row>
    <row r="869" customFormat="false" ht="54" hidden="false" customHeight="true" outlineLevel="0" collapsed="false">
      <c r="A869" s="32" t="s">
        <v>10497</v>
      </c>
      <c r="B869" s="32" t="s">
        <v>3491</v>
      </c>
      <c r="C869" s="33" t="s">
        <v>1407</v>
      </c>
      <c r="D869" s="33" t="s">
        <v>50</v>
      </c>
      <c r="E869" s="33" t="s">
        <v>81</v>
      </c>
      <c r="F869" s="33" t="s">
        <v>3499</v>
      </c>
      <c r="G869" s="33" t="s">
        <v>9</v>
      </c>
      <c r="H869" s="33" t="n">
        <v>30</v>
      </c>
    </row>
    <row r="870" customFormat="false" ht="54" hidden="false" customHeight="true" outlineLevel="0" collapsed="false">
      <c r="A870" s="32" t="s">
        <v>10498</v>
      </c>
      <c r="B870" s="32" t="s">
        <v>3491</v>
      </c>
      <c r="C870" s="33" t="s">
        <v>1407</v>
      </c>
      <c r="D870" s="33" t="s">
        <v>50</v>
      </c>
      <c r="E870" s="33" t="s">
        <v>84</v>
      </c>
      <c r="F870" s="33" t="s">
        <v>3500</v>
      </c>
      <c r="G870" s="33" t="s">
        <v>9</v>
      </c>
      <c r="H870" s="33" t="n">
        <v>30</v>
      </c>
    </row>
    <row r="871" customFormat="false" ht="54" hidden="false" customHeight="true" outlineLevel="0" collapsed="false">
      <c r="A871" s="32" t="s">
        <v>10499</v>
      </c>
      <c r="B871" s="32" t="s">
        <v>3503</v>
      </c>
      <c r="C871" s="33" t="s">
        <v>1407</v>
      </c>
      <c r="D871" s="33" t="s">
        <v>50</v>
      </c>
      <c r="E871" s="33" t="s">
        <v>80</v>
      </c>
      <c r="F871" s="33" t="s">
        <v>10500</v>
      </c>
      <c r="G871" s="33" t="s">
        <v>9</v>
      </c>
      <c r="H871" s="33" t="n">
        <v>30</v>
      </c>
    </row>
    <row r="872" customFormat="false" ht="54" hidden="false" customHeight="true" outlineLevel="0" collapsed="false">
      <c r="A872" s="32" t="s">
        <v>10501</v>
      </c>
      <c r="B872" s="32" t="s">
        <v>3503</v>
      </c>
      <c r="C872" s="33" t="s">
        <v>1407</v>
      </c>
      <c r="D872" s="33" t="s">
        <v>50</v>
      </c>
      <c r="E872" s="33" t="s">
        <v>80</v>
      </c>
      <c r="F872" s="33" t="s">
        <v>3513</v>
      </c>
      <c r="G872" s="33" t="s">
        <v>9</v>
      </c>
      <c r="H872" s="33" t="n">
        <v>30</v>
      </c>
    </row>
    <row r="873" customFormat="false" ht="54" hidden="false" customHeight="true" outlineLevel="0" collapsed="false">
      <c r="A873" s="32" t="s">
        <v>10502</v>
      </c>
      <c r="B873" s="32" t="s">
        <v>3503</v>
      </c>
      <c r="C873" s="33" t="s">
        <v>1407</v>
      </c>
      <c r="D873" s="33" t="s">
        <v>50</v>
      </c>
      <c r="E873" s="33" t="s">
        <v>80</v>
      </c>
      <c r="F873" s="33" t="s">
        <v>10503</v>
      </c>
      <c r="G873" s="33" t="s">
        <v>9</v>
      </c>
      <c r="H873" s="33" t="n">
        <v>30</v>
      </c>
    </row>
    <row r="874" customFormat="false" ht="54" hidden="false" customHeight="true" outlineLevel="0" collapsed="false">
      <c r="A874" s="32" t="s">
        <v>10504</v>
      </c>
      <c r="B874" s="32" t="s">
        <v>3503</v>
      </c>
      <c r="C874" s="33" t="s">
        <v>1407</v>
      </c>
      <c r="D874" s="33" t="s">
        <v>50</v>
      </c>
      <c r="E874" s="33" t="s">
        <v>81</v>
      </c>
      <c r="F874" s="33" t="s">
        <v>3513</v>
      </c>
      <c r="G874" s="33" t="s">
        <v>9</v>
      </c>
      <c r="H874" s="33" t="n">
        <v>30</v>
      </c>
    </row>
    <row r="875" customFormat="false" ht="54" hidden="false" customHeight="true" outlineLevel="0" collapsed="false">
      <c r="A875" s="32" t="s">
        <v>10505</v>
      </c>
      <c r="B875" s="32" t="s">
        <v>3503</v>
      </c>
      <c r="C875" s="33" t="s">
        <v>1407</v>
      </c>
      <c r="D875" s="33" t="s">
        <v>50</v>
      </c>
      <c r="E875" s="33" t="s">
        <v>81</v>
      </c>
      <c r="F875" s="33" t="s">
        <v>10503</v>
      </c>
      <c r="G875" s="33" t="s">
        <v>9</v>
      </c>
      <c r="H875" s="33" t="n">
        <v>30</v>
      </c>
    </row>
    <row r="876" customFormat="false" ht="54" hidden="false" customHeight="true" outlineLevel="0" collapsed="false">
      <c r="A876" s="32" t="s">
        <v>10506</v>
      </c>
      <c r="B876" s="32" t="s">
        <v>3503</v>
      </c>
      <c r="C876" s="33" t="s">
        <v>1407</v>
      </c>
      <c r="D876" s="33" t="s">
        <v>50</v>
      </c>
      <c r="E876" s="33" t="s">
        <v>83</v>
      </c>
      <c r="F876" s="33" t="s">
        <v>3513</v>
      </c>
      <c r="G876" s="33" t="s">
        <v>9</v>
      </c>
      <c r="H876" s="33" t="n">
        <v>30</v>
      </c>
    </row>
    <row r="877" customFormat="false" ht="54" hidden="false" customHeight="true" outlineLevel="0" collapsed="false">
      <c r="A877" s="32" t="s">
        <v>10507</v>
      </c>
      <c r="B877" s="32" t="s">
        <v>3503</v>
      </c>
      <c r="C877" s="33" t="s">
        <v>1407</v>
      </c>
      <c r="D877" s="33" t="s">
        <v>50</v>
      </c>
      <c r="E877" s="33" t="s">
        <v>83</v>
      </c>
      <c r="F877" s="33" t="s">
        <v>10503</v>
      </c>
      <c r="G877" s="33" t="s">
        <v>9</v>
      </c>
      <c r="H877" s="33" t="n">
        <v>30</v>
      </c>
    </row>
    <row r="878" customFormat="false" ht="54" hidden="false" customHeight="true" outlineLevel="0" collapsed="false">
      <c r="A878" s="32" t="s">
        <v>10508</v>
      </c>
      <c r="B878" s="32" t="s">
        <v>3503</v>
      </c>
      <c r="C878" s="33" t="s">
        <v>1407</v>
      </c>
      <c r="D878" s="33" t="s">
        <v>50</v>
      </c>
      <c r="E878" s="33" t="s">
        <v>84</v>
      </c>
      <c r="F878" s="33" t="s">
        <v>3513</v>
      </c>
      <c r="G878" s="33" t="s">
        <v>9</v>
      </c>
      <c r="H878" s="33" t="n">
        <v>30</v>
      </c>
    </row>
    <row r="879" customFormat="false" ht="54" hidden="false" customHeight="true" outlineLevel="0" collapsed="false">
      <c r="A879" s="32" t="s">
        <v>10509</v>
      </c>
      <c r="B879" s="32" t="s">
        <v>3503</v>
      </c>
      <c r="C879" s="33" t="s">
        <v>1407</v>
      </c>
      <c r="D879" s="33" t="s">
        <v>50</v>
      </c>
      <c r="E879" s="33" t="s">
        <v>85</v>
      </c>
      <c r="F879" s="33" t="s">
        <v>3507</v>
      </c>
      <c r="G879" s="33" t="s">
        <v>9</v>
      </c>
      <c r="H879" s="33" t="n">
        <v>30</v>
      </c>
    </row>
    <row r="880" customFormat="false" ht="54" hidden="false" customHeight="true" outlineLevel="0" collapsed="false">
      <c r="A880" s="32" t="s">
        <v>10510</v>
      </c>
      <c r="B880" s="32" t="s">
        <v>3503</v>
      </c>
      <c r="C880" s="33" t="s">
        <v>1407</v>
      </c>
      <c r="D880" s="33" t="s">
        <v>50</v>
      </c>
      <c r="E880" s="33" t="s">
        <v>85</v>
      </c>
      <c r="F880" s="33" t="s">
        <v>10511</v>
      </c>
      <c r="G880" s="33" t="s">
        <v>9</v>
      </c>
      <c r="H880" s="33" t="n">
        <v>30</v>
      </c>
    </row>
    <row r="881" customFormat="false" ht="54" hidden="false" customHeight="true" outlineLevel="0" collapsed="false">
      <c r="A881" s="32" t="s">
        <v>10512</v>
      </c>
      <c r="B881" s="32" t="s">
        <v>3517</v>
      </c>
      <c r="C881" s="33" t="s">
        <v>1407</v>
      </c>
      <c r="D881" s="33" t="s">
        <v>50</v>
      </c>
      <c r="E881" s="33" t="s">
        <v>80</v>
      </c>
      <c r="F881" s="33" t="s">
        <v>10513</v>
      </c>
      <c r="G881" s="33" t="s">
        <v>9</v>
      </c>
      <c r="H881" s="33" t="n">
        <v>30</v>
      </c>
    </row>
    <row r="882" customFormat="false" ht="54" hidden="false" customHeight="true" outlineLevel="0" collapsed="false">
      <c r="A882" s="32" t="s">
        <v>10514</v>
      </c>
      <c r="B882" s="32" t="s">
        <v>3517</v>
      </c>
      <c r="C882" s="33" t="s">
        <v>1407</v>
      </c>
      <c r="D882" s="33" t="s">
        <v>50</v>
      </c>
      <c r="E882" s="33" t="s">
        <v>80</v>
      </c>
      <c r="F882" s="33" t="s">
        <v>10515</v>
      </c>
      <c r="G882" s="33" t="s">
        <v>9</v>
      </c>
      <c r="H882" s="33" t="n">
        <v>30</v>
      </c>
    </row>
    <row r="883" customFormat="false" ht="54" hidden="false" customHeight="true" outlineLevel="0" collapsed="false">
      <c r="A883" s="32" t="s">
        <v>10516</v>
      </c>
      <c r="B883" s="32" t="s">
        <v>3517</v>
      </c>
      <c r="C883" s="33" t="s">
        <v>1407</v>
      </c>
      <c r="D883" s="33" t="s">
        <v>50</v>
      </c>
      <c r="E883" s="33" t="s">
        <v>80</v>
      </c>
      <c r="F883" s="33" t="s">
        <v>3529</v>
      </c>
      <c r="G883" s="33" t="s">
        <v>9</v>
      </c>
      <c r="H883" s="33" t="n">
        <v>30</v>
      </c>
    </row>
    <row r="884" customFormat="false" ht="54" hidden="false" customHeight="true" outlineLevel="0" collapsed="false">
      <c r="A884" s="32" t="s">
        <v>10517</v>
      </c>
      <c r="B884" s="32" t="s">
        <v>3517</v>
      </c>
      <c r="C884" s="33" t="s">
        <v>1407</v>
      </c>
      <c r="D884" s="33" t="s">
        <v>50</v>
      </c>
      <c r="E884" s="33" t="s">
        <v>80</v>
      </c>
      <c r="F884" s="33" t="s">
        <v>10518</v>
      </c>
      <c r="G884" s="33" t="s">
        <v>9</v>
      </c>
      <c r="H884" s="33" t="n">
        <v>30</v>
      </c>
    </row>
    <row r="885" customFormat="false" ht="54" hidden="false" customHeight="true" outlineLevel="0" collapsed="false">
      <c r="A885" s="32" t="s">
        <v>10519</v>
      </c>
      <c r="B885" s="32" t="s">
        <v>3517</v>
      </c>
      <c r="C885" s="33" t="s">
        <v>1407</v>
      </c>
      <c r="D885" s="33" t="s">
        <v>50</v>
      </c>
      <c r="E885" s="33" t="s">
        <v>81</v>
      </c>
      <c r="F885" s="33" t="s">
        <v>10513</v>
      </c>
      <c r="G885" s="33" t="s">
        <v>9</v>
      </c>
      <c r="H885" s="33" t="n">
        <v>30</v>
      </c>
    </row>
    <row r="886" customFormat="false" ht="54" hidden="false" customHeight="true" outlineLevel="0" collapsed="false">
      <c r="A886" s="32" t="s">
        <v>10520</v>
      </c>
      <c r="B886" s="32" t="s">
        <v>3517</v>
      </c>
      <c r="C886" s="33" t="s">
        <v>1407</v>
      </c>
      <c r="D886" s="33" t="s">
        <v>50</v>
      </c>
      <c r="E886" s="33" t="s">
        <v>81</v>
      </c>
      <c r="F886" s="33" t="s">
        <v>10515</v>
      </c>
      <c r="G886" s="33" t="s">
        <v>9</v>
      </c>
      <c r="H886" s="33" t="n">
        <v>30</v>
      </c>
    </row>
    <row r="887" customFormat="false" ht="54" hidden="false" customHeight="true" outlineLevel="0" collapsed="false">
      <c r="A887" s="32" t="s">
        <v>10521</v>
      </c>
      <c r="B887" s="32" t="s">
        <v>3517</v>
      </c>
      <c r="C887" s="33" t="s">
        <v>1407</v>
      </c>
      <c r="D887" s="33" t="s">
        <v>50</v>
      </c>
      <c r="E887" s="33" t="s">
        <v>81</v>
      </c>
      <c r="F887" s="33" t="s">
        <v>10522</v>
      </c>
      <c r="G887" s="33" t="s">
        <v>9</v>
      </c>
      <c r="H887" s="33" t="n">
        <v>30</v>
      </c>
    </row>
    <row r="888" customFormat="false" ht="54" hidden="false" customHeight="true" outlineLevel="0" collapsed="false">
      <c r="A888" s="32" t="s">
        <v>10523</v>
      </c>
      <c r="B888" s="32" t="s">
        <v>3517</v>
      </c>
      <c r="C888" s="33" t="s">
        <v>1407</v>
      </c>
      <c r="D888" s="33" t="s">
        <v>50</v>
      </c>
      <c r="E888" s="33" t="s">
        <v>81</v>
      </c>
      <c r="F888" s="33" t="s">
        <v>3529</v>
      </c>
      <c r="G888" s="33" t="s">
        <v>9</v>
      </c>
      <c r="H888" s="33" t="n">
        <v>30</v>
      </c>
    </row>
    <row r="889" customFormat="false" ht="54" hidden="false" customHeight="true" outlineLevel="0" collapsed="false">
      <c r="A889" s="32" t="s">
        <v>10524</v>
      </c>
      <c r="B889" s="32" t="s">
        <v>3517</v>
      </c>
      <c r="C889" s="33" t="s">
        <v>1407</v>
      </c>
      <c r="D889" s="33" t="s">
        <v>50</v>
      </c>
      <c r="E889" s="33" t="s">
        <v>81</v>
      </c>
      <c r="F889" s="33" t="s">
        <v>10518</v>
      </c>
      <c r="G889" s="33" t="s">
        <v>9</v>
      </c>
      <c r="H889" s="33" t="n">
        <v>30</v>
      </c>
    </row>
    <row r="890" customFormat="false" ht="54" hidden="false" customHeight="true" outlineLevel="0" collapsed="false">
      <c r="A890" s="32" t="s">
        <v>10525</v>
      </c>
      <c r="B890" s="32" t="s">
        <v>3517</v>
      </c>
      <c r="C890" s="33" t="s">
        <v>1407</v>
      </c>
      <c r="D890" s="33" t="s">
        <v>50</v>
      </c>
      <c r="E890" s="33" t="s">
        <v>83</v>
      </c>
      <c r="F890" s="33" t="s">
        <v>3525</v>
      </c>
      <c r="G890" s="33" t="s">
        <v>9</v>
      </c>
      <c r="H890" s="33" t="n">
        <v>30</v>
      </c>
    </row>
    <row r="891" customFormat="false" ht="54" hidden="false" customHeight="true" outlineLevel="0" collapsed="false">
      <c r="A891" s="32" t="s">
        <v>10526</v>
      </c>
      <c r="B891" s="32" t="s">
        <v>3517</v>
      </c>
      <c r="C891" s="33" t="s">
        <v>1407</v>
      </c>
      <c r="D891" s="33" t="s">
        <v>50</v>
      </c>
      <c r="E891" s="33" t="s">
        <v>83</v>
      </c>
      <c r="F891" s="33" t="s">
        <v>10518</v>
      </c>
      <c r="G891" s="33" t="s">
        <v>9</v>
      </c>
      <c r="H891" s="33" t="n">
        <v>30</v>
      </c>
    </row>
    <row r="892" customFormat="false" ht="54" hidden="false" customHeight="true" outlineLevel="0" collapsed="false">
      <c r="A892" s="32" t="s">
        <v>10527</v>
      </c>
      <c r="B892" s="32" t="s">
        <v>3517</v>
      </c>
      <c r="C892" s="33" t="s">
        <v>1407</v>
      </c>
      <c r="D892" s="33" t="s">
        <v>50</v>
      </c>
      <c r="E892" s="33" t="s">
        <v>84</v>
      </c>
      <c r="F892" s="33" t="s">
        <v>3529</v>
      </c>
      <c r="G892" s="33" t="s">
        <v>9</v>
      </c>
      <c r="H892" s="33" t="n">
        <v>30</v>
      </c>
    </row>
    <row r="893" customFormat="false" ht="54" hidden="false" customHeight="true" outlineLevel="0" collapsed="false">
      <c r="A893" s="32" t="s">
        <v>10528</v>
      </c>
      <c r="B893" s="32" t="s">
        <v>3532</v>
      </c>
      <c r="C893" s="33" t="s">
        <v>98</v>
      </c>
      <c r="D893" s="33" t="s">
        <v>59</v>
      </c>
      <c r="E893" s="33" t="s">
        <v>81</v>
      </c>
      <c r="F893" s="33" t="s">
        <v>10529</v>
      </c>
      <c r="G893" s="33" t="s">
        <v>9</v>
      </c>
      <c r="H893" s="33" t="n">
        <v>30</v>
      </c>
    </row>
    <row r="894" customFormat="false" ht="54" hidden="false" customHeight="true" outlineLevel="0" collapsed="false">
      <c r="A894" s="32" t="s">
        <v>10530</v>
      </c>
      <c r="B894" s="32" t="s">
        <v>3532</v>
      </c>
      <c r="C894" s="33" t="s">
        <v>98</v>
      </c>
      <c r="D894" s="33" t="s">
        <v>59</v>
      </c>
      <c r="E894" s="33" t="s">
        <v>81</v>
      </c>
      <c r="F894" s="33" t="s">
        <v>10531</v>
      </c>
      <c r="G894" s="33" t="s">
        <v>9</v>
      </c>
      <c r="H894" s="33" t="n">
        <v>30</v>
      </c>
    </row>
    <row r="895" customFormat="false" ht="54" hidden="false" customHeight="true" outlineLevel="0" collapsed="false">
      <c r="A895" s="32" t="s">
        <v>10532</v>
      </c>
      <c r="B895" s="32" t="s">
        <v>3532</v>
      </c>
      <c r="C895" s="33" t="s">
        <v>98</v>
      </c>
      <c r="D895" s="33" t="s">
        <v>59</v>
      </c>
      <c r="E895" s="33" t="s">
        <v>81</v>
      </c>
      <c r="F895" s="33" t="s">
        <v>10533</v>
      </c>
      <c r="G895" s="33" t="s">
        <v>9</v>
      </c>
      <c r="H895" s="33" t="n">
        <v>30</v>
      </c>
    </row>
    <row r="896" customFormat="false" ht="54" hidden="false" customHeight="true" outlineLevel="0" collapsed="false">
      <c r="A896" s="32" t="s">
        <v>10534</v>
      </c>
      <c r="B896" s="32" t="s">
        <v>3532</v>
      </c>
      <c r="C896" s="33" t="s">
        <v>98</v>
      </c>
      <c r="D896" s="33" t="s">
        <v>59</v>
      </c>
      <c r="E896" s="33" t="s">
        <v>81</v>
      </c>
      <c r="F896" s="33" t="s">
        <v>10535</v>
      </c>
      <c r="G896" s="33" t="s">
        <v>9</v>
      </c>
      <c r="H896" s="33" t="n">
        <v>30</v>
      </c>
    </row>
    <row r="897" customFormat="false" ht="54" hidden="false" customHeight="true" outlineLevel="0" collapsed="false">
      <c r="A897" s="32" t="s">
        <v>10536</v>
      </c>
      <c r="B897" s="32" t="s">
        <v>3532</v>
      </c>
      <c r="C897" s="33" t="s">
        <v>98</v>
      </c>
      <c r="D897" s="33" t="s">
        <v>59</v>
      </c>
      <c r="E897" s="33" t="s">
        <v>81</v>
      </c>
      <c r="F897" s="33" t="s">
        <v>10537</v>
      </c>
      <c r="G897" s="33" t="s">
        <v>9</v>
      </c>
      <c r="H897" s="33" t="n">
        <v>30</v>
      </c>
    </row>
    <row r="898" customFormat="false" ht="54" hidden="false" customHeight="true" outlineLevel="0" collapsed="false">
      <c r="A898" s="32" t="s">
        <v>10538</v>
      </c>
      <c r="B898" s="32" t="s">
        <v>3532</v>
      </c>
      <c r="C898" s="33" t="s">
        <v>98</v>
      </c>
      <c r="D898" s="33" t="s">
        <v>59</v>
      </c>
      <c r="E898" s="33" t="s">
        <v>84</v>
      </c>
      <c r="F898" s="33" t="s">
        <v>3535</v>
      </c>
      <c r="G898" s="33" t="s">
        <v>9</v>
      </c>
      <c r="H898" s="33" t="n">
        <v>30</v>
      </c>
    </row>
    <row r="899" customFormat="false" ht="54" hidden="false" customHeight="true" outlineLevel="0" collapsed="false">
      <c r="A899" s="32" t="s">
        <v>10539</v>
      </c>
      <c r="B899" s="32" t="s">
        <v>3532</v>
      </c>
      <c r="C899" s="33" t="s">
        <v>98</v>
      </c>
      <c r="D899" s="33" t="s">
        <v>59</v>
      </c>
      <c r="E899" s="33" t="s">
        <v>84</v>
      </c>
      <c r="F899" s="33" t="s">
        <v>10533</v>
      </c>
      <c r="G899" s="33" t="s">
        <v>9</v>
      </c>
      <c r="H899" s="33" t="n">
        <v>30</v>
      </c>
    </row>
    <row r="900" customFormat="false" ht="54" hidden="false" customHeight="true" outlineLevel="0" collapsed="false">
      <c r="A900" s="32" t="s">
        <v>10540</v>
      </c>
      <c r="B900" s="32" t="s">
        <v>3532</v>
      </c>
      <c r="C900" s="33" t="s">
        <v>98</v>
      </c>
      <c r="D900" s="33" t="s">
        <v>59</v>
      </c>
      <c r="E900" s="33" t="s">
        <v>84</v>
      </c>
      <c r="F900" s="33" t="s">
        <v>10537</v>
      </c>
      <c r="G900" s="33" t="s">
        <v>9</v>
      </c>
      <c r="H900" s="33" t="n">
        <v>30</v>
      </c>
    </row>
    <row r="901" customFormat="false" ht="54" hidden="false" customHeight="true" outlineLevel="0" collapsed="false">
      <c r="A901" s="32" t="s">
        <v>10541</v>
      </c>
      <c r="B901" s="32" t="s">
        <v>3545</v>
      </c>
      <c r="C901" s="33" t="s">
        <v>1407</v>
      </c>
      <c r="D901" s="33" t="s">
        <v>50</v>
      </c>
      <c r="E901" s="33" t="s">
        <v>80</v>
      </c>
      <c r="F901" s="33" t="s">
        <v>10542</v>
      </c>
      <c r="G901" s="33" t="s">
        <v>9</v>
      </c>
      <c r="H901" s="33" t="n">
        <v>30</v>
      </c>
    </row>
    <row r="902" customFormat="false" ht="54" hidden="false" customHeight="true" outlineLevel="0" collapsed="false">
      <c r="A902" s="32" t="s">
        <v>10543</v>
      </c>
      <c r="B902" s="32" t="s">
        <v>3545</v>
      </c>
      <c r="C902" s="33" t="s">
        <v>1407</v>
      </c>
      <c r="D902" s="33" t="s">
        <v>50</v>
      </c>
      <c r="E902" s="33" t="s">
        <v>80</v>
      </c>
      <c r="F902" s="33" t="s">
        <v>10544</v>
      </c>
      <c r="G902" s="33" t="s">
        <v>9</v>
      </c>
      <c r="H902" s="33" t="n">
        <v>30</v>
      </c>
    </row>
    <row r="903" customFormat="false" ht="54" hidden="false" customHeight="true" outlineLevel="0" collapsed="false">
      <c r="A903" s="32" t="s">
        <v>10545</v>
      </c>
      <c r="B903" s="32" t="s">
        <v>3545</v>
      </c>
      <c r="C903" s="33" t="s">
        <v>1407</v>
      </c>
      <c r="D903" s="33" t="s">
        <v>50</v>
      </c>
      <c r="E903" s="33" t="s">
        <v>80</v>
      </c>
      <c r="F903" s="33" t="s">
        <v>10546</v>
      </c>
      <c r="G903" s="33" t="s">
        <v>9</v>
      </c>
      <c r="H903" s="33" t="n">
        <v>30</v>
      </c>
    </row>
    <row r="904" customFormat="false" ht="54" hidden="false" customHeight="true" outlineLevel="0" collapsed="false">
      <c r="A904" s="32" t="s">
        <v>10547</v>
      </c>
      <c r="B904" s="32" t="s">
        <v>3545</v>
      </c>
      <c r="C904" s="33" t="s">
        <v>1407</v>
      </c>
      <c r="D904" s="33" t="s">
        <v>50</v>
      </c>
      <c r="E904" s="33" t="s">
        <v>80</v>
      </c>
      <c r="F904" s="33" t="s">
        <v>10548</v>
      </c>
      <c r="G904" s="33" t="s">
        <v>9</v>
      </c>
      <c r="H904" s="33" t="n">
        <v>30</v>
      </c>
    </row>
    <row r="905" customFormat="false" ht="54" hidden="false" customHeight="true" outlineLevel="0" collapsed="false">
      <c r="A905" s="32" t="s">
        <v>10549</v>
      </c>
      <c r="B905" s="32" t="s">
        <v>3545</v>
      </c>
      <c r="C905" s="33" t="s">
        <v>1407</v>
      </c>
      <c r="D905" s="33" t="s">
        <v>50</v>
      </c>
      <c r="E905" s="33" t="s">
        <v>80</v>
      </c>
      <c r="F905" s="33" t="s">
        <v>10550</v>
      </c>
      <c r="G905" s="33" t="s">
        <v>9</v>
      </c>
      <c r="H905" s="33" t="n">
        <v>30</v>
      </c>
    </row>
    <row r="906" customFormat="false" ht="54" hidden="false" customHeight="true" outlineLevel="0" collapsed="false">
      <c r="A906" s="32" t="s">
        <v>10551</v>
      </c>
      <c r="B906" s="32" t="s">
        <v>3545</v>
      </c>
      <c r="C906" s="33" t="s">
        <v>1407</v>
      </c>
      <c r="D906" s="33" t="s">
        <v>50</v>
      </c>
      <c r="E906" s="33" t="s">
        <v>83</v>
      </c>
      <c r="F906" s="33" t="s">
        <v>10546</v>
      </c>
      <c r="G906" s="33" t="s">
        <v>9</v>
      </c>
      <c r="H906" s="33" t="n">
        <v>30</v>
      </c>
    </row>
    <row r="907" customFormat="false" ht="54" hidden="false" customHeight="true" outlineLevel="0" collapsed="false">
      <c r="A907" s="32" t="s">
        <v>10552</v>
      </c>
      <c r="B907" s="32" t="s">
        <v>3545</v>
      </c>
      <c r="C907" s="33" t="s">
        <v>1407</v>
      </c>
      <c r="D907" s="33" t="s">
        <v>50</v>
      </c>
      <c r="E907" s="33" t="s">
        <v>83</v>
      </c>
      <c r="F907" s="33" t="s">
        <v>10550</v>
      </c>
      <c r="G907" s="33" t="s">
        <v>9</v>
      </c>
      <c r="H907" s="33" t="n">
        <v>30</v>
      </c>
    </row>
    <row r="908" customFormat="false" ht="54" hidden="false" customHeight="true" outlineLevel="0" collapsed="false">
      <c r="A908" s="32" t="s">
        <v>10553</v>
      </c>
      <c r="B908" s="32" t="s">
        <v>3545</v>
      </c>
      <c r="C908" s="33" t="s">
        <v>1407</v>
      </c>
      <c r="D908" s="33" t="s">
        <v>50</v>
      </c>
      <c r="E908" s="33" t="s">
        <v>83</v>
      </c>
      <c r="F908" s="33" t="s">
        <v>10554</v>
      </c>
      <c r="G908" s="33" t="s">
        <v>9</v>
      </c>
      <c r="H908" s="33" t="n">
        <v>30</v>
      </c>
    </row>
    <row r="909" customFormat="false" ht="54" hidden="false" customHeight="true" outlineLevel="0" collapsed="false">
      <c r="A909" s="32" t="s">
        <v>10555</v>
      </c>
      <c r="B909" s="32" t="s">
        <v>3545</v>
      </c>
      <c r="C909" s="33" t="s">
        <v>1407</v>
      </c>
      <c r="D909" s="33" t="s">
        <v>50</v>
      </c>
      <c r="E909" s="33" t="s">
        <v>84</v>
      </c>
      <c r="F909" s="33" t="s">
        <v>10556</v>
      </c>
      <c r="G909" s="33" t="s">
        <v>9</v>
      </c>
      <c r="H909" s="33" t="n">
        <v>30</v>
      </c>
    </row>
    <row r="910" customFormat="false" ht="54" hidden="false" customHeight="true" outlineLevel="0" collapsed="false">
      <c r="A910" s="32" t="s">
        <v>10557</v>
      </c>
      <c r="B910" s="32" t="s">
        <v>3545</v>
      </c>
      <c r="C910" s="33" t="s">
        <v>1407</v>
      </c>
      <c r="D910" s="33" t="s">
        <v>50</v>
      </c>
      <c r="E910" s="33" t="s">
        <v>84</v>
      </c>
      <c r="F910" s="33" t="s">
        <v>10544</v>
      </c>
      <c r="G910" s="33" t="s">
        <v>9</v>
      </c>
      <c r="H910" s="33" t="n">
        <v>30</v>
      </c>
    </row>
    <row r="911" customFormat="false" ht="54" hidden="false" customHeight="true" outlineLevel="0" collapsed="false">
      <c r="A911" s="32" t="s">
        <v>10558</v>
      </c>
      <c r="B911" s="32" t="s">
        <v>3545</v>
      </c>
      <c r="C911" s="33" t="s">
        <v>1407</v>
      </c>
      <c r="D911" s="33" t="s">
        <v>50</v>
      </c>
      <c r="E911" s="33" t="s">
        <v>84</v>
      </c>
      <c r="F911" s="33" t="s">
        <v>10546</v>
      </c>
      <c r="G911" s="33" t="s">
        <v>9</v>
      </c>
      <c r="H911" s="33" t="n">
        <v>30</v>
      </c>
    </row>
    <row r="912" customFormat="false" ht="54" hidden="false" customHeight="true" outlineLevel="0" collapsed="false">
      <c r="A912" s="32" t="s">
        <v>10559</v>
      </c>
      <c r="B912" s="32" t="s">
        <v>3545</v>
      </c>
      <c r="C912" s="33" t="s">
        <v>1407</v>
      </c>
      <c r="D912" s="33" t="s">
        <v>50</v>
      </c>
      <c r="E912" s="33" t="s">
        <v>84</v>
      </c>
      <c r="F912" s="33" t="s">
        <v>10550</v>
      </c>
      <c r="G912" s="33" t="s">
        <v>9</v>
      </c>
      <c r="H912" s="33" t="n">
        <v>30</v>
      </c>
    </row>
    <row r="913" customFormat="false" ht="54" hidden="false" customHeight="true" outlineLevel="0" collapsed="false">
      <c r="A913" s="32" t="s">
        <v>10560</v>
      </c>
      <c r="B913" s="32" t="s">
        <v>3545</v>
      </c>
      <c r="C913" s="33" t="s">
        <v>1407</v>
      </c>
      <c r="D913" s="33" t="s">
        <v>50</v>
      </c>
      <c r="E913" s="33" t="s">
        <v>84</v>
      </c>
      <c r="F913" s="33" t="s">
        <v>10554</v>
      </c>
      <c r="G913" s="33" t="s">
        <v>9</v>
      </c>
      <c r="H913" s="33" t="n">
        <v>30</v>
      </c>
    </row>
    <row r="914" customFormat="false" ht="54" hidden="false" customHeight="true" outlineLevel="0" collapsed="false">
      <c r="A914" s="32" t="s">
        <v>10561</v>
      </c>
      <c r="B914" s="32" t="s">
        <v>3559</v>
      </c>
      <c r="C914" s="33" t="s">
        <v>1407</v>
      </c>
      <c r="D914" s="33" t="s">
        <v>50</v>
      </c>
      <c r="E914" s="33" t="s">
        <v>81</v>
      </c>
      <c r="F914" s="33" t="s">
        <v>10562</v>
      </c>
      <c r="G914" s="33" t="s">
        <v>9</v>
      </c>
      <c r="H914" s="33" t="n">
        <v>30</v>
      </c>
    </row>
    <row r="915" customFormat="false" ht="54" hidden="false" customHeight="true" outlineLevel="0" collapsed="false">
      <c r="A915" s="32" t="s">
        <v>10563</v>
      </c>
      <c r="B915" s="32" t="s">
        <v>3559</v>
      </c>
      <c r="C915" s="33" t="s">
        <v>1407</v>
      </c>
      <c r="D915" s="33" t="s">
        <v>50</v>
      </c>
      <c r="E915" s="33" t="s">
        <v>81</v>
      </c>
      <c r="F915" s="33" t="s">
        <v>10564</v>
      </c>
      <c r="G915" s="33" t="s">
        <v>9</v>
      </c>
      <c r="H915" s="33" t="n">
        <v>30</v>
      </c>
    </row>
    <row r="916" customFormat="false" ht="54" hidden="false" customHeight="true" outlineLevel="0" collapsed="false">
      <c r="A916" s="32" t="s">
        <v>10565</v>
      </c>
      <c r="B916" s="32" t="s">
        <v>3559</v>
      </c>
      <c r="C916" s="33" t="s">
        <v>1407</v>
      </c>
      <c r="D916" s="33" t="s">
        <v>50</v>
      </c>
      <c r="E916" s="33" t="s">
        <v>81</v>
      </c>
      <c r="F916" s="33" t="s">
        <v>10566</v>
      </c>
      <c r="G916" s="33" t="s">
        <v>9</v>
      </c>
      <c r="H916" s="33" t="n">
        <v>30</v>
      </c>
    </row>
    <row r="917" customFormat="false" ht="54" hidden="false" customHeight="true" outlineLevel="0" collapsed="false">
      <c r="A917" s="32" t="s">
        <v>10567</v>
      </c>
      <c r="B917" s="32" t="s">
        <v>3559</v>
      </c>
      <c r="C917" s="33" t="s">
        <v>1407</v>
      </c>
      <c r="D917" s="33" t="s">
        <v>50</v>
      </c>
      <c r="E917" s="33" t="s">
        <v>81</v>
      </c>
      <c r="F917" s="33" t="s">
        <v>10568</v>
      </c>
      <c r="G917" s="33" t="s">
        <v>9</v>
      </c>
      <c r="H917" s="33" t="n">
        <v>30</v>
      </c>
    </row>
    <row r="918" customFormat="false" ht="54" hidden="false" customHeight="true" outlineLevel="0" collapsed="false">
      <c r="A918" s="32" t="s">
        <v>10569</v>
      </c>
      <c r="B918" s="32" t="s">
        <v>3559</v>
      </c>
      <c r="C918" s="33" t="s">
        <v>1407</v>
      </c>
      <c r="D918" s="33" t="s">
        <v>50</v>
      </c>
      <c r="E918" s="33" t="s">
        <v>81</v>
      </c>
      <c r="F918" s="33" t="s">
        <v>10570</v>
      </c>
      <c r="G918" s="33" t="s">
        <v>9</v>
      </c>
      <c r="H918" s="33" t="n">
        <v>30</v>
      </c>
    </row>
    <row r="919" customFormat="false" ht="54" hidden="false" customHeight="true" outlineLevel="0" collapsed="false">
      <c r="A919" s="32" t="s">
        <v>10571</v>
      </c>
      <c r="B919" s="32" t="s">
        <v>3559</v>
      </c>
      <c r="C919" s="33" t="s">
        <v>1407</v>
      </c>
      <c r="D919" s="33" t="s">
        <v>50</v>
      </c>
      <c r="E919" s="33" t="s">
        <v>84</v>
      </c>
      <c r="F919" s="33" t="s">
        <v>10564</v>
      </c>
      <c r="G919" s="33" t="s">
        <v>9</v>
      </c>
      <c r="H919" s="33" t="n">
        <v>30</v>
      </c>
    </row>
    <row r="920" customFormat="false" ht="54" hidden="false" customHeight="true" outlineLevel="0" collapsed="false">
      <c r="A920" s="32" t="s">
        <v>10572</v>
      </c>
      <c r="B920" s="32" t="s">
        <v>3559</v>
      </c>
      <c r="C920" s="33" t="s">
        <v>1407</v>
      </c>
      <c r="D920" s="33" t="s">
        <v>50</v>
      </c>
      <c r="E920" s="33" t="s">
        <v>84</v>
      </c>
      <c r="F920" s="33" t="s">
        <v>10570</v>
      </c>
      <c r="G920" s="33" t="s">
        <v>9</v>
      </c>
      <c r="H920" s="33" t="n">
        <v>30</v>
      </c>
    </row>
    <row r="921" customFormat="false" ht="54" hidden="false" customHeight="true" outlineLevel="0" collapsed="false">
      <c r="A921" s="32" t="s">
        <v>10573</v>
      </c>
      <c r="B921" s="32" t="s">
        <v>3559</v>
      </c>
      <c r="C921" s="33" t="s">
        <v>1407</v>
      </c>
      <c r="D921" s="33" t="s">
        <v>50</v>
      </c>
      <c r="E921" s="33" t="s">
        <v>84</v>
      </c>
      <c r="F921" s="33" t="s">
        <v>10533</v>
      </c>
      <c r="G921" s="33" t="s">
        <v>9</v>
      </c>
      <c r="H921" s="33" t="n">
        <v>30</v>
      </c>
    </row>
    <row r="922" customFormat="false" ht="54" hidden="false" customHeight="true" outlineLevel="0" collapsed="false">
      <c r="A922" s="32" t="s">
        <v>10574</v>
      </c>
      <c r="B922" s="32" t="s">
        <v>3559</v>
      </c>
      <c r="C922" s="33" t="s">
        <v>1407</v>
      </c>
      <c r="D922" s="33" t="s">
        <v>50</v>
      </c>
      <c r="E922" s="33" t="s">
        <v>84</v>
      </c>
      <c r="F922" s="33" t="s">
        <v>10575</v>
      </c>
      <c r="G922" s="33" t="s">
        <v>9</v>
      </c>
      <c r="H922" s="33" t="n">
        <v>30</v>
      </c>
    </row>
    <row r="923" customFormat="false" ht="54" hidden="false" customHeight="true" outlineLevel="0" collapsed="false">
      <c r="A923" s="32" t="s">
        <v>10576</v>
      </c>
      <c r="B923" s="32" t="s">
        <v>3559</v>
      </c>
      <c r="C923" s="33" t="s">
        <v>1407</v>
      </c>
      <c r="D923" s="33" t="s">
        <v>50</v>
      </c>
      <c r="E923" s="33" t="s">
        <v>84</v>
      </c>
      <c r="F923" s="33" t="s">
        <v>10577</v>
      </c>
      <c r="G923" s="33" t="s">
        <v>9</v>
      </c>
      <c r="H923" s="33" t="n">
        <v>30</v>
      </c>
    </row>
    <row r="924" customFormat="false" ht="54" hidden="false" customHeight="true" outlineLevel="0" collapsed="false">
      <c r="A924" s="32" t="s">
        <v>10578</v>
      </c>
      <c r="B924" s="32" t="s">
        <v>3570</v>
      </c>
      <c r="C924" s="33" t="s">
        <v>1407</v>
      </c>
      <c r="D924" s="33" t="s">
        <v>50</v>
      </c>
      <c r="E924" s="33" t="s">
        <v>80</v>
      </c>
      <c r="F924" s="33" t="s">
        <v>10579</v>
      </c>
      <c r="G924" s="33" t="s">
        <v>9</v>
      </c>
      <c r="H924" s="33" t="n">
        <v>30</v>
      </c>
    </row>
    <row r="925" customFormat="false" ht="54" hidden="false" customHeight="true" outlineLevel="0" collapsed="false">
      <c r="A925" s="32" t="s">
        <v>10580</v>
      </c>
      <c r="B925" s="32" t="s">
        <v>3570</v>
      </c>
      <c r="C925" s="33" t="s">
        <v>1407</v>
      </c>
      <c r="D925" s="33" t="s">
        <v>50</v>
      </c>
      <c r="E925" s="33" t="s">
        <v>80</v>
      </c>
      <c r="F925" s="33" t="s">
        <v>10581</v>
      </c>
      <c r="G925" s="33" t="s">
        <v>9</v>
      </c>
      <c r="H925" s="33" t="n">
        <v>30</v>
      </c>
    </row>
    <row r="926" customFormat="false" ht="54" hidden="false" customHeight="true" outlineLevel="0" collapsed="false">
      <c r="A926" s="32" t="s">
        <v>10582</v>
      </c>
      <c r="B926" s="32" t="s">
        <v>3570</v>
      </c>
      <c r="C926" s="33" t="s">
        <v>1407</v>
      </c>
      <c r="D926" s="33" t="s">
        <v>50</v>
      </c>
      <c r="E926" s="33" t="s">
        <v>80</v>
      </c>
      <c r="F926" s="33" t="s">
        <v>10583</v>
      </c>
      <c r="G926" s="33" t="s">
        <v>9</v>
      </c>
      <c r="H926" s="33" t="n">
        <v>30</v>
      </c>
    </row>
    <row r="927" customFormat="false" ht="54" hidden="false" customHeight="true" outlineLevel="0" collapsed="false">
      <c r="A927" s="32" t="s">
        <v>10584</v>
      </c>
      <c r="B927" s="32" t="s">
        <v>3570</v>
      </c>
      <c r="C927" s="33" t="s">
        <v>1407</v>
      </c>
      <c r="D927" s="33" t="s">
        <v>50</v>
      </c>
      <c r="E927" s="33" t="s">
        <v>80</v>
      </c>
      <c r="F927" s="33" t="s">
        <v>10585</v>
      </c>
      <c r="G927" s="33" t="s">
        <v>9</v>
      </c>
      <c r="H927" s="33" t="n">
        <v>30</v>
      </c>
    </row>
    <row r="928" customFormat="false" ht="54" hidden="false" customHeight="true" outlineLevel="0" collapsed="false">
      <c r="A928" s="32" t="s">
        <v>10586</v>
      </c>
      <c r="B928" s="32" t="s">
        <v>3570</v>
      </c>
      <c r="C928" s="33" t="s">
        <v>1407</v>
      </c>
      <c r="D928" s="33" t="s">
        <v>50</v>
      </c>
      <c r="E928" s="33" t="s">
        <v>81</v>
      </c>
      <c r="F928" s="33" t="s">
        <v>10587</v>
      </c>
      <c r="G928" s="33" t="s">
        <v>9</v>
      </c>
      <c r="H928" s="33" t="n">
        <v>30</v>
      </c>
    </row>
    <row r="929" customFormat="false" ht="54" hidden="false" customHeight="true" outlineLevel="0" collapsed="false">
      <c r="A929" s="32" t="s">
        <v>10588</v>
      </c>
      <c r="B929" s="32" t="s">
        <v>3570</v>
      </c>
      <c r="C929" s="33" t="s">
        <v>1407</v>
      </c>
      <c r="D929" s="33" t="s">
        <v>50</v>
      </c>
      <c r="E929" s="33" t="s">
        <v>81</v>
      </c>
      <c r="F929" s="33" t="s">
        <v>10589</v>
      </c>
      <c r="G929" s="33" t="s">
        <v>9</v>
      </c>
      <c r="H929" s="33" t="n">
        <v>30</v>
      </c>
    </row>
    <row r="930" customFormat="false" ht="54" hidden="false" customHeight="true" outlineLevel="0" collapsed="false">
      <c r="A930" s="32" t="s">
        <v>10590</v>
      </c>
      <c r="B930" s="32" t="s">
        <v>3570</v>
      </c>
      <c r="C930" s="33" t="s">
        <v>1407</v>
      </c>
      <c r="D930" s="33" t="s">
        <v>50</v>
      </c>
      <c r="E930" s="33" t="s">
        <v>84</v>
      </c>
      <c r="F930" s="33" t="s">
        <v>10591</v>
      </c>
      <c r="G930" s="33" t="s">
        <v>9</v>
      </c>
      <c r="H930" s="33" t="n">
        <v>30</v>
      </c>
    </row>
    <row r="931" customFormat="false" ht="54" hidden="false" customHeight="true" outlineLevel="0" collapsed="false">
      <c r="A931" s="32" t="s">
        <v>10592</v>
      </c>
      <c r="B931" s="32" t="s">
        <v>3570</v>
      </c>
      <c r="C931" s="33" t="s">
        <v>1407</v>
      </c>
      <c r="D931" s="33" t="s">
        <v>50</v>
      </c>
      <c r="E931" s="33" t="s">
        <v>84</v>
      </c>
      <c r="F931" s="33" t="s">
        <v>10587</v>
      </c>
      <c r="G931" s="33" t="s">
        <v>9</v>
      </c>
      <c r="H931" s="33" t="n">
        <v>30</v>
      </c>
    </row>
    <row r="932" customFormat="false" ht="54" hidden="false" customHeight="true" outlineLevel="0" collapsed="false">
      <c r="A932" s="32" t="s">
        <v>10593</v>
      </c>
      <c r="B932" s="32" t="s">
        <v>3570</v>
      </c>
      <c r="C932" s="33" t="s">
        <v>1407</v>
      </c>
      <c r="D932" s="33" t="s">
        <v>50</v>
      </c>
      <c r="E932" s="33" t="s">
        <v>84</v>
      </c>
      <c r="F932" s="33" t="s">
        <v>10579</v>
      </c>
      <c r="G932" s="33" t="s">
        <v>9</v>
      </c>
      <c r="H932" s="33" t="n">
        <v>30</v>
      </c>
    </row>
    <row r="933" customFormat="false" ht="54" hidden="false" customHeight="true" outlineLevel="0" collapsed="false">
      <c r="A933" s="32" t="s">
        <v>10594</v>
      </c>
      <c r="B933" s="32" t="s">
        <v>3570</v>
      </c>
      <c r="C933" s="33" t="s">
        <v>1407</v>
      </c>
      <c r="D933" s="33" t="s">
        <v>50</v>
      </c>
      <c r="E933" s="33" t="s">
        <v>84</v>
      </c>
      <c r="F933" s="33" t="s">
        <v>10589</v>
      </c>
      <c r="G933" s="33" t="s">
        <v>9</v>
      </c>
      <c r="H933" s="33" t="n">
        <v>30</v>
      </c>
    </row>
    <row r="934" customFormat="false" ht="54" hidden="false" customHeight="true" outlineLevel="0" collapsed="false">
      <c r="A934" s="32" t="s">
        <v>10595</v>
      </c>
      <c r="B934" s="32" t="s">
        <v>3570</v>
      </c>
      <c r="C934" s="33" t="s">
        <v>1407</v>
      </c>
      <c r="D934" s="33" t="s">
        <v>50</v>
      </c>
      <c r="E934" s="33" t="s">
        <v>84</v>
      </c>
      <c r="F934" s="33" t="s">
        <v>10581</v>
      </c>
      <c r="G934" s="33" t="s">
        <v>9</v>
      </c>
      <c r="H934" s="33" t="n">
        <v>30</v>
      </c>
    </row>
    <row r="935" customFormat="false" ht="54" hidden="false" customHeight="true" outlineLevel="0" collapsed="false">
      <c r="A935" s="32" t="s">
        <v>10596</v>
      </c>
      <c r="B935" s="32" t="s">
        <v>3570</v>
      </c>
      <c r="C935" s="33" t="s">
        <v>1407</v>
      </c>
      <c r="D935" s="33" t="s">
        <v>50</v>
      </c>
      <c r="E935" s="33" t="s">
        <v>84</v>
      </c>
      <c r="F935" s="33" t="s">
        <v>10597</v>
      </c>
      <c r="G935" s="33" t="s">
        <v>9</v>
      </c>
      <c r="H935" s="33" t="n">
        <v>30</v>
      </c>
    </row>
    <row r="936" customFormat="false" ht="54" hidden="false" customHeight="true" outlineLevel="0" collapsed="false">
      <c r="A936" s="32" t="s">
        <v>10598</v>
      </c>
      <c r="B936" s="32" t="s">
        <v>3583</v>
      </c>
      <c r="C936" s="33" t="s">
        <v>1407</v>
      </c>
      <c r="D936" s="33" t="s">
        <v>50</v>
      </c>
      <c r="E936" s="33" t="s">
        <v>81</v>
      </c>
      <c r="F936" s="33" t="s">
        <v>3591</v>
      </c>
      <c r="G936" s="33" t="s">
        <v>9</v>
      </c>
      <c r="H936" s="33" t="n">
        <v>30</v>
      </c>
    </row>
    <row r="937" customFormat="false" ht="54" hidden="false" customHeight="true" outlineLevel="0" collapsed="false">
      <c r="A937" s="32" t="s">
        <v>10599</v>
      </c>
      <c r="B937" s="32" t="s">
        <v>3583</v>
      </c>
      <c r="C937" s="33" t="s">
        <v>1407</v>
      </c>
      <c r="D937" s="33" t="s">
        <v>50</v>
      </c>
      <c r="E937" s="33" t="s">
        <v>82</v>
      </c>
      <c r="F937" s="33" t="s">
        <v>10600</v>
      </c>
      <c r="G937" s="33" t="s">
        <v>9</v>
      </c>
      <c r="H937" s="33" t="n">
        <v>30</v>
      </c>
    </row>
    <row r="938" customFormat="false" ht="54" hidden="false" customHeight="true" outlineLevel="0" collapsed="false">
      <c r="A938" s="32" t="s">
        <v>10601</v>
      </c>
      <c r="B938" s="32" t="s">
        <v>3583</v>
      </c>
      <c r="C938" s="33" t="s">
        <v>1407</v>
      </c>
      <c r="D938" s="33" t="s">
        <v>50</v>
      </c>
      <c r="E938" s="33" t="s">
        <v>82</v>
      </c>
      <c r="F938" s="33" t="s">
        <v>10602</v>
      </c>
      <c r="G938" s="33" t="s">
        <v>9</v>
      </c>
      <c r="H938" s="33" t="n">
        <v>30</v>
      </c>
    </row>
    <row r="939" customFormat="false" ht="54" hidden="false" customHeight="true" outlineLevel="0" collapsed="false">
      <c r="A939" s="32" t="s">
        <v>10603</v>
      </c>
      <c r="B939" s="32" t="s">
        <v>3583</v>
      </c>
      <c r="C939" s="33" t="s">
        <v>1407</v>
      </c>
      <c r="D939" s="33" t="s">
        <v>50</v>
      </c>
      <c r="E939" s="33" t="s">
        <v>82</v>
      </c>
      <c r="F939" s="33" t="s">
        <v>10604</v>
      </c>
      <c r="G939" s="33" t="s">
        <v>9</v>
      </c>
      <c r="H939" s="33" t="n">
        <v>30</v>
      </c>
    </row>
    <row r="940" customFormat="false" ht="54" hidden="false" customHeight="true" outlineLevel="0" collapsed="false">
      <c r="A940" s="32" t="s">
        <v>10605</v>
      </c>
      <c r="B940" s="32" t="s">
        <v>3583</v>
      </c>
      <c r="C940" s="33" t="s">
        <v>1407</v>
      </c>
      <c r="D940" s="33" t="s">
        <v>50</v>
      </c>
      <c r="E940" s="33" t="s">
        <v>82</v>
      </c>
      <c r="F940" s="33" t="s">
        <v>10606</v>
      </c>
      <c r="G940" s="33" t="s">
        <v>9</v>
      </c>
      <c r="H940" s="33" t="n">
        <v>30</v>
      </c>
    </row>
    <row r="941" customFormat="false" ht="54" hidden="false" customHeight="true" outlineLevel="0" collapsed="false">
      <c r="A941" s="32" t="s">
        <v>10607</v>
      </c>
      <c r="B941" s="32" t="s">
        <v>3583</v>
      </c>
      <c r="C941" s="33" t="s">
        <v>1407</v>
      </c>
      <c r="D941" s="33" t="s">
        <v>50</v>
      </c>
      <c r="E941" s="33" t="s">
        <v>82</v>
      </c>
      <c r="F941" s="33" t="s">
        <v>3591</v>
      </c>
      <c r="G941" s="33" t="s">
        <v>9</v>
      </c>
      <c r="H941" s="33" t="n">
        <v>30</v>
      </c>
    </row>
    <row r="942" customFormat="false" ht="54" hidden="false" customHeight="true" outlineLevel="0" collapsed="false">
      <c r="A942" s="32" t="s">
        <v>10608</v>
      </c>
      <c r="B942" s="32" t="s">
        <v>3583</v>
      </c>
      <c r="C942" s="33" t="s">
        <v>1407</v>
      </c>
      <c r="D942" s="33" t="s">
        <v>50</v>
      </c>
      <c r="E942" s="33" t="s">
        <v>82</v>
      </c>
      <c r="F942" s="33" t="s">
        <v>3593</v>
      </c>
      <c r="G942" s="33" t="s">
        <v>9</v>
      </c>
      <c r="H942" s="33" t="n">
        <v>30</v>
      </c>
    </row>
    <row r="943" customFormat="false" ht="54" hidden="false" customHeight="true" outlineLevel="0" collapsed="false">
      <c r="A943" s="32" t="s">
        <v>10609</v>
      </c>
      <c r="B943" s="32" t="s">
        <v>3583</v>
      </c>
      <c r="C943" s="33" t="s">
        <v>1407</v>
      </c>
      <c r="D943" s="33" t="s">
        <v>50</v>
      </c>
      <c r="E943" s="33" t="s">
        <v>82</v>
      </c>
      <c r="F943" s="33" t="s">
        <v>10610</v>
      </c>
      <c r="G943" s="33" t="s">
        <v>9</v>
      </c>
      <c r="H943" s="33" t="n">
        <v>30</v>
      </c>
    </row>
    <row r="944" customFormat="false" ht="54" hidden="false" customHeight="true" outlineLevel="0" collapsed="false">
      <c r="A944" s="32" t="s">
        <v>10611</v>
      </c>
      <c r="B944" s="32" t="s">
        <v>3583</v>
      </c>
      <c r="C944" s="33" t="s">
        <v>1407</v>
      </c>
      <c r="D944" s="33" t="s">
        <v>50</v>
      </c>
      <c r="E944" s="33" t="s">
        <v>84</v>
      </c>
      <c r="F944" s="33" t="s">
        <v>3593</v>
      </c>
      <c r="G944" s="33" t="s">
        <v>9</v>
      </c>
      <c r="H944" s="33" t="n">
        <v>30</v>
      </c>
    </row>
    <row r="945" customFormat="false" ht="54" hidden="false" customHeight="true" outlineLevel="0" collapsed="false">
      <c r="A945" s="32" t="s">
        <v>10612</v>
      </c>
      <c r="B945" s="32" t="s">
        <v>3596</v>
      </c>
      <c r="C945" s="33" t="s">
        <v>1407</v>
      </c>
      <c r="D945" s="33" t="s">
        <v>50</v>
      </c>
      <c r="E945" s="33" t="s">
        <v>83</v>
      </c>
      <c r="F945" s="33" t="s">
        <v>3606</v>
      </c>
      <c r="G945" s="33" t="s">
        <v>9</v>
      </c>
      <c r="H945" s="33" t="n">
        <v>30</v>
      </c>
    </row>
    <row r="946" customFormat="false" ht="54" hidden="false" customHeight="true" outlineLevel="0" collapsed="false">
      <c r="A946" s="32" t="s">
        <v>10613</v>
      </c>
      <c r="B946" s="32" t="s">
        <v>3596</v>
      </c>
      <c r="C946" s="33" t="s">
        <v>1407</v>
      </c>
      <c r="D946" s="33" t="s">
        <v>50</v>
      </c>
      <c r="E946" s="33" t="s">
        <v>83</v>
      </c>
      <c r="F946" s="33" t="s">
        <v>10614</v>
      </c>
      <c r="G946" s="33" t="s">
        <v>9</v>
      </c>
      <c r="H946" s="33" t="n">
        <v>30</v>
      </c>
    </row>
    <row r="947" customFormat="false" ht="54" hidden="false" customHeight="true" outlineLevel="0" collapsed="false">
      <c r="A947" s="32" t="s">
        <v>10615</v>
      </c>
      <c r="B947" s="32" t="s">
        <v>3596</v>
      </c>
      <c r="C947" s="33" t="s">
        <v>1407</v>
      </c>
      <c r="D947" s="33" t="s">
        <v>50</v>
      </c>
      <c r="E947" s="33" t="s">
        <v>84</v>
      </c>
      <c r="F947" s="33" t="s">
        <v>3606</v>
      </c>
      <c r="G947" s="33" t="s">
        <v>9</v>
      </c>
      <c r="H947" s="33" t="n">
        <v>30</v>
      </c>
    </row>
    <row r="948" customFormat="false" ht="54" hidden="false" customHeight="true" outlineLevel="0" collapsed="false">
      <c r="A948" s="32" t="s">
        <v>10616</v>
      </c>
      <c r="B948" s="32" t="s">
        <v>3609</v>
      </c>
      <c r="C948" s="33" t="s">
        <v>98</v>
      </c>
      <c r="D948" s="33" t="s">
        <v>59</v>
      </c>
      <c r="E948" s="33" t="s">
        <v>80</v>
      </c>
      <c r="F948" s="33" t="s">
        <v>10617</v>
      </c>
      <c r="G948" s="33" t="s">
        <v>9</v>
      </c>
      <c r="H948" s="33" t="n">
        <v>30</v>
      </c>
    </row>
    <row r="949" customFormat="false" ht="54" hidden="false" customHeight="true" outlineLevel="0" collapsed="false">
      <c r="A949" s="32" t="s">
        <v>10618</v>
      </c>
      <c r="B949" s="32" t="s">
        <v>3609</v>
      </c>
      <c r="C949" s="33" t="s">
        <v>98</v>
      </c>
      <c r="D949" s="33" t="s">
        <v>59</v>
      </c>
      <c r="E949" s="33" t="s">
        <v>80</v>
      </c>
      <c r="F949" s="33" t="s">
        <v>10619</v>
      </c>
      <c r="G949" s="33" t="s">
        <v>9</v>
      </c>
      <c r="H949" s="33" t="n">
        <v>30</v>
      </c>
    </row>
    <row r="950" customFormat="false" ht="54" hidden="false" customHeight="true" outlineLevel="0" collapsed="false">
      <c r="A950" s="32" t="s">
        <v>10620</v>
      </c>
      <c r="B950" s="32" t="s">
        <v>3609</v>
      </c>
      <c r="C950" s="33" t="s">
        <v>98</v>
      </c>
      <c r="D950" s="33" t="s">
        <v>59</v>
      </c>
      <c r="E950" s="33" t="s">
        <v>80</v>
      </c>
      <c r="F950" s="33" t="s">
        <v>10621</v>
      </c>
      <c r="G950" s="33" t="s">
        <v>9</v>
      </c>
      <c r="H950" s="33" t="n">
        <v>30</v>
      </c>
    </row>
    <row r="951" customFormat="false" ht="54" hidden="false" customHeight="true" outlineLevel="0" collapsed="false">
      <c r="A951" s="32" t="s">
        <v>10622</v>
      </c>
      <c r="B951" s="32" t="s">
        <v>3609</v>
      </c>
      <c r="C951" s="33" t="s">
        <v>98</v>
      </c>
      <c r="D951" s="33" t="s">
        <v>59</v>
      </c>
      <c r="E951" s="33" t="s">
        <v>81</v>
      </c>
      <c r="F951" s="33" t="s">
        <v>10617</v>
      </c>
      <c r="G951" s="33" t="s">
        <v>9</v>
      </c>
      <c r="H951" s="33" t="n">
        <v>30</v>
      </c>
    </row>
    <row r="952" customFormat="false" ht="54" hidden="false" customHeight="true" outlineLevel="0" collapsed="false">
      <c r="A952" s="32" t="s">
        <v>10623</v>
      </c>
      <c r="B952" s="32" t="s">
        <v>3609</v>
      </c>
      <c r="C952" s="33" t="s">
        <v>98</v>
      </c>
      <c r="D952" s="33" t="s">
        <v>59</v>
      </c>
      <c r="E952" s="33" t="s">
        <v>81</v>
      </c>
      <c r="F952" s="33" t="s">
        <v>10624</v>
      </c>
      <c r="G952" s="33" t="s">
        <v>9</v>
      </c>
      <c r="H952" s="33" t="n">
        <v>30</v>
      </c>
    </row>
    <row r="953" customFormat="false" ht="54" hidden="false" customHeight="true" outlineLevel="0" collapsed="false">
      <c r="A953" s="32" t="s">
        <v>10625</v>
      </c>
      <c r="B953" s="32" t="s">
        <v>3609</v>
      </c>
      <c r="C953" s="33" t="s">
        <v>98</v>
      </c>
      <c r="D953" s="33" t="s">
        <v>59</v>
      </c>
      <c r="E953" s="33" t="s">
        <v>83</v>
      </c>
      <c r="F953" s="33" t="s">
        <v>10626</v>
      </c>
      <c r="G953" s="33" t="s">
        <v>9</v>
      </c>
      <c r="H953" s="33" t="n">
        <v>30</v>
      </c>
    </row>
    <row r="954" customFormat="false" ht="54" hidden="false" customHeight="true" outlineLevel="0" collapsed="false">
      <c r="A954" s="32" t="s">
        <v>10627</v>
      </c>
      <c r="B954" s="32" t="s">
        <v>3609</v>
      </c>
      <c r="C954" s="33" t="s">
        <v>98</v>
      </c>
      <c r="D954" s="33" t="s">
        <v>59</v>
      </c>
      <c r="E954" s="33" t="s">
        <v>83</v>
      </c>
      <c r="F954" s="33" t="s">
        <v>10628</v>
      </c>
      <c r="G954" s="33" t="s">
        <v>9</v>
      </c>
      <c r="H954" s="33" t="n">
        <v>30</v>
      </c>
    </row>
    <row r="955" customFormat="false" ht="54" hidden="false" customHeight="true" outlineLevel="0" collapsed="false">
      <c r="A955" s="32" t="s">
        <v>10629</v>
      </c>
      <c r="B955" s="32" t="s">
        <v>3609</v>
      </c>
      <c r="C955" s="33" t="s">
        <v>98</v>
      </c>
      <c r="D955" s="33" t="s">
        <v>59</v>
      </c>
      <c r="E955" s="33" t="s">
        <v>84</v>
      </c>
      <c r="F955" s="33" t="s">
        <v>10617</v>
      </c>
      <c r="G955" s="33" t="s">
        <v>9</v>
      </c>
      <c r="H955" s="33" t="n">
        <v>30</v>
      </c>
    </row>
    <row r="956" customFormat="false" ht="54" hidden="false" customHeight="true" outlineLevel="0" collapsed="false">
      <c r="A956" s="32" t="s">
        <v>10630</v>
      </c>
      <c r="B956" s="32" t="s">
        <v>3609</v>
      </c>
      <c r="C956" s="33" t="s">
        <v>98</v>
      </c>
      <c r="D956" s="33" t="s">
        <v>59</v>
      </c>
      <c r="E956" s="33" t="s">
        <v>84</v>
      </c>
      <c r="F956" s="33" t="s">
        <v>10619</v>
      </c>
      <c r="G956" s="33" t="s">
        <v>9</v>
      </c>
      <c r="H956" s="33" t="n">
        <v>30</v>
      </c>
    </row>
    <row r="957" customFormat="false" ht="54" hidden="false" customHeight="true" outlineLevel="0" collapsed="false">
      <c r="A957" s="32" t="s">
        <v>10631</v>
      </c>
      <c r="B957" s="32" t="s">
        <v>3609</v>
      </c>
      <c r="C957" s="33" t="s">
        <v>98</v>
      </c>
      <c r="D957" s="33" t="s">
        <v>59</v>
      </c>
      <c r="E957" s="33" t="s">
        <v>84</v>
      </c>
      <c r="F957" s="33" t="s">
        <v>10621</v>
      </c>
      <c r="G957" s="33" t="s">
        <v>9</v>
      </c>
      <c r="H957" s="33" t="n">
        <v>30</v>
      </c>
    </row>
    <row r="958" customFormat="false" ht="54" hidden="false" customHeight="true" outlineLevel="0" collapsed="false">
      <c r="A958" s="32" t="s">
        <v>10632</v>
      </c>
      <c r="B958" s="32" t="s">
        <v>3623</v>
      </c>
      <c r="C958" s="33" t="s">
        <v>98</v>
      </c>
      <c r="D958" s="33" t="s">
        <v>59</v>
      </c>
      <c r="E958" s="33" t="s">
        <v>80</v>
      </c>
      <c r="F958" s="33" t="s">
        <v>3632</v>
      </c>
      <c r="G958" s="33" t="s">
        <v>9</v>
      </c>
      <c r="H958" s="33" t="n">
        <v>30</v>
      </c>
    </row>
    <row r="959" customFormat="false" ht="54" hidden="false" customHeight="true" outlineLevel="0" collapsed="false">
      <c r="A959" s="32" t="s">
        <v>10633</v>
      </c>
      <c r="B959" s="32" t="s">
        <v>3623</v>
      </c>
      <c r="C959" s="33" t="s">
        <v>98</v>
      </c>
      <c r="D959" s="33" t="s">
        <v>59</v>
      </c>
      <c r="E959" s="33" t="s">
        <v>81</v>
      </c>
      <c r="F959" s="33" t="s">
        <v>10634</v>
      </c>
      <c r="G959" s="33" t="s">
        <v>9</v>
      </c>
      <c r="H959" s="33" t="n">
        <v>30</v>
      </c>
    </row>
    <row r="960" customFormat="false" ht="54" hidden="false" customHeight="true" outlineLevel="0" collapsed="false">
      <c r="A960" s="32" t="s">
        <v>10635</v>
      </c>
      <c r="B960" s="32" t="s">
        <v>3623</v>
      </c>
      <c r="C960" s="33" t="s">
        <v>98</v>
      </c>
      <c r="D960" s="33" t="s">
        <v>59</v>
      </c>
      <c r="E960" s="33" t="s">
        <v>81</v>
      </c>
      <c r="F960" s="33" t="s">
        <v>10636</v>
      </c>
      <c r="G960" s="33" t="s">
        <v>9</v>
      </c>
      <c r="H960" s="33" t="n">
        <v>30</v>
      </c>
    </row>
    <row r="961" customFormat="false" ht="54" hidden="false" customHeight="true" outlineLevel="0" collapsed="false">
      <c r="A961" s="32" t="s">
        <v>10637</v>
      </c>
      <c r="B961" s="32" t="s">
        <v>3623</v>
      </c>
      <c r="C961" s="33" t="s">
        <v>98</v>
      </c>
      <c r="D961" s="33" t="s">
        <v>59</v>
      </c>
      <c r="E961" s="33" t="s">
        <v>81</v>
      </c>
      <c r="F961" s="33" t="s">
        <v>10480</v>
      </c>
      <c r="G961" s="33" t="s">
        <v>9</v>
      </c>
      <c r="H961" s="33" t="n">
        <v>30</v>
      </c>
    </row>
    <row r="962" customFormat="false" ht="54" hidden="false" customHeight="true" outlineLevel="0" collapsed="false">
      <c r="A962" s="32" t="s">
        <v>10638</v>
      </c>
      <c r="B962" s="32" t="s">
        <v>3623</v>
      </c>
      <c r="C962" s="33" t="s">
        <v>98</v>
      </c>
      <c r="D962" s="33" t="s">
        <v>59</v>
      </c>
      <c r="E962" s="33" t="s">
        <v>81</v>
      </c>
      <c r="F962" s="33" t="s">
        <v>10639</v>
      </c>
      <c r="G962" s="33" t="s">
        <v>9</v>
      </c>
      <c r="H962" s="33" t="n">
        <v>30</v>
      </c>
    </row>
    <row r="963" customFormat="false" ht="54" hidden="false" customHeight="true" outlineLevel="0" collapsed="false">
      <c r="A963" s="32" t="s">
        <v>10640</v>
      </c>
      <c r="B963" s="32" t="s">
        <v>3623</v>
      </c>
      <c r="C963" s="33" t="s">
        <v>98</v>
      </c>
      <c r="D963" s="33" t="s">
        <v>59</v>
      </c>
      <c r="E963" s="33" t="s">
        <v>81</v>
      </c>
      <c r="F963" s="33" t="s">
        <v>10641</v>
      </c>
      <c r="G963" s="33" t="s">
        <v>9</v>
      </c>
      <c r="H963" s="33" t="n">
        <v>30</v>
      </c>
    </row>
    <row r="964" customFormat="false" ht="54" hidden="false" customHeight="true" outlineLevel="0" collapsed="false">
      <c r="A964" s="32" t="s">
        <v>10642</v>
      </c>
      <c r="B964" s="32" t="s">
        <v>3623</v>
      </c>
      <c r="C964" s="33" t="s">
        <v>98</v>
      </c>
      <c r="D964" s="33" t="s">
        <v>59</v>
      </c>
      <c r="E964" s="33" t="s">
        <v>84</v>
      </c>
      <c r="F964" s="33" t="s">
        <v>3632</v>
      </c>
      <c r="G964" s="33" t="s">
        <v>9</v>
      </c>
      <c r="H964" s="33" t="n">
        <v>30</v>
      </c>
    </row>
    <row r="965" customFormat="false" ht="54" hidden="false" customHeight="true" outlineLevel="0" collapsed="false">
      <c r="A965" s="32" t="s">
        <v>10643</v>
      </c>
      <c r="B965" s="32" t="s">
        <v>3623</v>
      </c>
      <c r="C965" s="33" t="s">
        <v>98</v>
      </c>
      <c r="D965" s="33" t="s">
        <v>59</v>
      </c>
      <c r="E965" s="33" t="s">
        <v>84</v>
      </c>
      <c r="F965" s="33" t="s">
        <v>10639</v>
      </c>
      <c r="G965" s="33" t="s">
        <v>9</v>
      </c>
      <c r="H965" s="33" t="n">
        <v>30</v>
      </c>
    </row>
    <row r="966" customFormat="false" ht="54" hidden="false" customHeight="true" outlineLevel="0" collapsed="false">
      <c r="A966" s="32" t="s">
        <v>10644</v>
      </c>
      <c r="B966" s="32" t="s">
        <v>3637</v>
      </c>
      <c r="C966" s="33" t="s">
        <v>1407</v>
      </c>
      <c r="D966" s="33" t="s">
        <v>50</v>
      </c>
      <c r="E966" s="33" t="s">
        <v>83</v>
      </c>
      <c r="F966" s="33" t="s">
        <v>3645</v>
      </c>
      <c r="G966" s="33" t="s">
        <v>9</v>
      </c>
      <c r="H966" s="33" t="n">
        <v>30</v>
      </c>
    </row>
    <row r="967" customFormat="false" ht="54" hidden="false" customHeight="true" outlineLevel="0" collapsed="false">
      <c r="A967" s="32" t="s">
        <v>10645</v>
      </c>
      <c r="B967" s="32" t="s">
        <v>3637</v>
      </c>
      <c r="C967" s="33" t="s">
        <v>1407</v>
      </c>
      <c r="D967" s="33" t="s">
        <v>50</v>
      </c>
      <c r="E967" s="33" t="s">
        <v>84</v>
      </c>
      <c r="F967" s="33" t="s">
        <v>3646</v>
      </c>
      <c r="G967" s="33" t="s">
        <v>9</v>
      </c>
      <c r="H967" s="33" t="n">
        <v>30</v>
      </c>
    </row>
    <row r="968" customFormat="false" ht="54" hidden="false" customHeight="true" outlineLevel="0" collapsed="false">
      <c r="A968" s="32" t="s">
        <v>10646</v>
      </c>
      <c r="B968" s="32" t="s">
        <v>3649</v>
      </c>
      <c r="C968" s="33" t="s">
        <v>1407</v>
      </c>
      <c r="D968" s="33" t="s">
        <v>50</v>
      </c>
      <c r="E968" s="33" t="s">
        <v>81</v>
      </c>
      <c r="F968" s="33" t="s">
        <v>10647</v>
      </c>
      <c r="G968" s="33" t="s">
        <v>9</v>
      </c>
      <c r="H968" s="33" t="n">
        <v>30</v>
      </c>
    </row>
    <row r="969" customFormat="false" ht="54" hidden="false" customHeight="true" outlineLevel="0" collapsed="false">
      <c r="A969" s="32" t="s">
        <v>10648</v>
      </c>
      <c r="B969" s="32" t="s">
        <v>3649</v>
      </c>
      <c r="C969" s="33" t="s">
        <v>1407</v>
      </c>
      <c r="D969" s="33" t="s">
        <v>50</v>
      </c>
      <c r="E969" s="33" t="s">
        <v>81</v>
      </c>
      <c r="F969" s="33" t="s">
        <v>10649</v>
      </c>
      <c r="G969" s="33" t="s">
        <v>9</v>
      </c>
      <c r="H969" s="33" t="n">
        <v>30</v>
      </c>
    </row>
    <row r="970" customFormat="false" ht="54" hidden="false" customHeight="true" outlineLevel="0" collapsed="false">
      <c r="A970" s="32" t="s">
        <v>10650</v>
      </c>
      <c r="B970" s="32" t="s">
        <v>3649</v>
      </c>
      <c r="C970" s="33" t="s">
        <v>1407</v>
      </c>
      <c r="D970" s="33" t="s">
        <v>50</v>
      </c>
      <c r="E970" s="33" t="s">
        <v>81</v>
      </c>
      <c r="F970" s="33" t="s">
        <v>10651</v>
      </c>
      <c r="G970" s="33" t="s">
        <v>9</v>
      </c>
      <c r="H970" s="33" t="n">
        <v>30</v>
      </c>
    </row>
    <row r="971" customFormat="false" ht="54" hidden="false" customHeight="true" outlineLevel="0" collapsed="false">
      <c r="A971" s="32" t="s">
        <v>10652</v>
      </c>
      <c r="B971" s="32" t="s">
        <v>3649</v>
      </c>
      <c r="C971" s="33" t="s">
        <v>1407</v>
      </c>
      <c r="D971" s="33" t="s">
        <v>50</v>
      </c>
      <c r="E971" s="33" t="s">
        <v>81</v>
      </c>
      <c r="F971" s="33" t="s">
        <v>10636</v>
      </c>
      <c r="G971" s="33" t="s">
        <v>9</v>
      </c>
      <c r="H971" s="33" t="n">
        <v>30</v>
      </c>
    </row>
    <row r="972" customFormat="false" ht="54" hidden="false" customHeight="true" outlineLevel="0" collapsed="false">
      <c r="A972" s="32" t="s">
        <v>10653</v>
      </c>
      <c r="B972" s="32" t="s">
        <v>3649</v>
      </c>
      <c r="C972" s="33" t="s">
        <v>1407</v>
      </c>
      <c r="D972" s="33" t="s">
        <v>50</v>
      </c>
      <c r="E972" s="33" t="s">
        <v>81</v>
      </c>
      <c r="F972" s="33" t="s">
        <v>10480</v>
      </c>
      <c r="G972" s="33" t="s">
        <v>9</v>
      </c>
      <c r="H972" s="33" t="n">
        <v>30</v>
      </c>
    </row>
    <row r="973" customFormat="false" ht="54" hidden="false" customHeight="true" outlineLevel="0" collapsed="false">
      <c r="A973" s="32" t="s">
        <v>10654</v>
      </c>
      <c r="B973" s="32" t="s">
        <v>3649</v>
      </c>
      <c r="C973" s="33" t="s">
        <v>1407</v>
      </c>
      <c r="D973" s="33" t="s">
        <v>50</v>
      </c>
      <c r="E973" s="33" t="s">
        <v>84</v>
      </c>
      <c r="F973" s="33" t="s">
        <v>3659</v>
      </c>
      <c r="G973" s="33" t="s">
        <v>9</v>
      </c>
      <c r="H973" s="33" t="n">
        <v>30</v>
      </c>
    </row>
    <row r="974" customFormat="false" ht="54" hidden="false" customHeight="true" outlineLevel="0" collapsed="false">
      <c r="A974" s="32" t="s">
        <v>10655</v>
      </c>
      <c r="B974" s="32" t="s">
        <v>3649</v>
      </c>
      <c r="C974" s="33" t="s">
        <v>1407</v>
      </c>
      <c r="D974" s="33" t="s">
        <v>50</v>
      </c>
      <c r="E974" s="33" t="s">
        <v>86</v>
      </c>
      <c r="F974" s="33" t="s">
        <v>3659</v>
      </c>
      <c r="G974" s="33" t="s">
        <v>9</v>
      </c>
      <c r="H974" s="33" t="n">
        <v>30</v>
      </c>
    </row>
    <row r="975" customFormat="false" ht="54" hidden="false" customHeight="true" outlineLevel="0" collapsed="false">
      <c r="A975" s="32" t="s">
        <v>10656</v>
      </c>
      <c r="B975" s="32" t="s">
        <v>3649</v>
      </c>
      <c r="C975" s="33" t="s">
        <v>1407</v>
      </c>
      <c r="D975" s="33" t="s">
        <v>50</v>
      </c>
      <c r="E975" s="33" t="s">
        <v>86</v>
      </c>
      <c r="F975" s="33" t="s">
        <v>10657</v>
      </c>
      <c r="G975" s="33" t="s">
        <v>9</v>
      </c>
      <c r="H975" s="33" t="n">
        <v>30</v>
      </c>
    </row>
    <row r="976" customFormat="false" ht="54" hidden="false" customHeight="true" outlineLevel="0" collapsed="false">
      <c r="A976" s="32" t="s">
        <v>10658</v>
      </c>
      <c r="B976" s="32" t="s">
        <v>3664</v>
      </c>
      <c r="C976" s="33" t="s">
        <v>1407</v>
      </c>
      <c r="D976" s="33" t="s">
        <v>50</v>
      </c>
      <c r="E976" s="33" t="s">
        <v>80</v>
      </c>
      <c r="F976" s="33" t="s">
        <v>10659</v>
      </c>
      <c r="G976" s="33" t="s">
        <v>9</v>
      </c>
      <c r="H976" s="33" t="n">
        <v>30</v>
      </c>
    </row>
    <row r="977" customFormat="false" ht="54" hidden="false" customHeight="true" outlineLevel="0" collapsed="false">
      <c r="A977" s="32" t="s">
        <v>10660</v>
      </c>
      <c r="B977" s="32" t="s">
        <v>3664</v>
      </c>
      <c r="C977" s="33" t="s">
        <v>1407</v>
      </c>
      <c r="D977" s="33" t="s">
        <v>50</v>
      </c>
      <c r="E977" s="33" t="s">
        <v>80</v>
      </c>
      <c r="F977" s="33" t="s">
        <v>10661</v>
      </c>
      <c r="G977" s="33" t="s">
        <v>9</v>
      </c>
      <c r="H977" s="33" t="n">
        <v>30</v>
      </c>
    </row>
    <row r="978" customFormat="false" ht="54" hidden="false" customHeight="true" outlineLevel="0" collapsed="false">
      <c r="A978" s="32" t="s">
        <v>10662</v>
      </c>
      <c r="B978" s="32" t="s">
        <v>3664</v>
      </c>
      <c r="C978" s="33" t="s">
        <v>1407</v>
      </c>
      <c r="D978" s="33" t="s">
        <v>50</v>
      </c>
      <c r="E978" s="33" t="s">
        <v>80</v>
      </c>
      <c r="F978" s="33" t="s">
        <v>10663</v>
      </c>
      <c r="G978" s="33" t="s">
        <v>9</v>
      </c>
      <c r="H978" s="33" t="n">
        <v>30</v>
      </c>
    </row>
    <row r="979" customFormat="false" ht="54" hidden="false" customHeight="true" outlineLevel="0" collapsed="false">
      <c r="A979" s="32" t="s">
        <v>10664</v>
      </c>
      <c r="B979" s="32" t="s">
        <v>3664</v>
      </c>
      <c r="C979" s="33" t="s">
        <v>1407</v>
      </c>
      <c r="D979" s="33" t="s">
        <v>50</v>
      </c>
      <c r="E979" s="33" t="s">
        <v>80</v>
      </c>
      <c r="F979" s="33" t="s">
        <v>10665</v>
      </c>
      <c r="G979" s="33" t="s">
        <v>9</v>
      </c>
      <c r="H979" s="33" t="n">
        <v>30</v>
      </c>
    </row>
    <row r="980" customFormat="false" ht="54" hidden="false" customHeight="true" outlineLevel="0" collapsed="false">
      <c r="A980" s="32" t="s">
        <v>10666</v>
      </c>
      <c r="B980" s="32" t="s">
        <v>3664</v>
      </c>
      <c r="C980" s="33" t="s">
        <v>1407</v>
      </c>
      <c r="D980" s="33" t="s">
        <v>50</v>
      </c>
      <c r="E980" s="33" t="s">
        <v>80</v>
      </c>
      <c r="F980" s="33" t="s">
        <v>10667</v>
      </c>
      <c r="G980" s="33" t="s">
        <v>9</v>
      </c>
      <c r="H980" s="33" t="n">
        <v>30</v>
      </c>
    </row>
    <row r="981" customFormat="false" ht="54" hidden="false" customHeight="true" outlineLevel="0" collapsed="false">
      <c r="A981" s="32" t="s">
        <v>10668</v>
      </c>
      <c r="B981" s="32" t="s">
        <v>3664</v>
      </c>
      <c r="C981" s="33" t="s">
        <v>1407</v>
      </c>
      <c r="D981" s="33" t="s">
        <v>50</v>
      </c>
      <c r="E981" s="33" t="s">
        <v>81</v>
      </c>
      <c r="F981" s="33" t="s">
        <v>10659</v>
      </c>
      <c r="G981" s="33" t="s">
        <v>9</v>
      </c>
      <c r="H981" s="33" t="n">
        <v>30</v>
      </c>
    </row>
    <row r="982" customFormat="false" ht="54" hidden="false" customHeight="true" outlineLevel="0" collapsed="false">
      <c r="A982" s="32" t="s">
        <v>10669</v>
      </c>
      <c r="B982" s="32" t="s">
        <v>3664</v>
      </c>
      <c r="C982" s="33" t="s">
        <v>1407</v>
      </c>
      <c r="D982" s="33" t="s">
        <v>50</v>
      </c>
      <c r="E982" s="33" t="s">
        <v>81</v>
      </c>
      <c r="F982" s="33" t="s">
        <v>10663</v>
      </c>
      <c r="G982" s="33" t="s">
        <v>9</v>
      </c>
      <c r="H982" s="33" t="n">
        <v>30</v>
      </c>
    </row>
    <row r="983" customFormat="false" ht="54" hidden="false" customHeight="true" outlineLevel="0" collapsed="false">
      <c r="A983" s="32" t="s">
        <v>10670</v>
      </c>
      <c r="B983" s="32" t="s">
        <v>3664</v>
      </c>
      <c r="C983" s="33" t="s">
        <v>1407</v>
      </c>
      <c r="D983" s="33" t="s">
        <v>50</v>
      </c>
      <c r="E983" s="33" t="s">
        <v>81</v>
      </c>
      <c r="F983" s="33" t="s">
        <v>10665</v>
      </c>
      <c r="G983" s="33" t="s">
        <v>9</v>
      </c>
      <c r="H983" s="33" t="n">
        <v>30</v>
      </c>
    </row>
    <row r="984" customFormat="false" ht="54" hidden="false" customHeight="true" outlineLevel="0" collapsed="false">
      <c r="A984" s="32" t="s">
        <v>10671</v>
      </c>
      <c r="B984" s="32" t="s">
        <v>3664</v>
      </c>
      <c r="C984" s="33" t="s">
        <v>1407</v>
      </c>
      <c r="D984" s="33" t="s">
        <v>50</v>
      </c>
      <c r="E984" s="33" t="s">
        <v>81</v>
      </c>
      <c r="F984" s="33" t="s">
        <v>10667</v>
      </c>
      <c r="G984" s="33" t="s">
        <v>9</v>
      </c>
      <c r="H984" s="33" t="n">
        <v>30</v>
      </c>
    </row>
    <row r="985" customFormat="false" ht="54" hidden="false" customHeight="true" outlineLevel="0" collapsed="false">
      <c r="A985" s="32" t="s">
        <v>10672</v>
      </c>
      <c r="B985" s="32" t="s">
        <v>3664</v>
      </c>
      <c r="C985" s="33" t="s">
        <v>1407</v>
      </c>
      <c r="D985" s="33" t="s">
        <v>50</v>
      </c>
      <c r="E985" s="33" t="s">
        <v>81</v>
      </c>
      <c r="F985" s="33" t="s">
        <v>10673</v>
      </c>
      <c r="G985" s="33" t="s">
        <v>9</v>
      </c>
      <c r="H985" s="33" t="n">
        <v>30</v>
      </c>
    </row>
    <row r="986" customFormat="false" ht="54" hidden="false" customHeight="true" outlineLevel="0" collapsed="false">
      <c r="A986" s="32" t="s">
        <v>10674</v>
      </c>
      <c r="B986" s="32" t="s">
        <v>3664</v>
      </c>
      <c r="C986" s="33" t="s">
        <v>1407</v>
      </c>
      <c r="D986" s="33" t="s">
        <v>50</v>
      </c>
      <c r="E986" s="33" t="s">
        <v>82</v>
      </c>
      <c r="F986" s="33" t="s">
        <v>10661</v>
      </c>
      <c r="G986" s="33" t="s">
        <v>9</v>
      </c>
      <c r="H986" s="33" t="n">
        <v>30</v>
      </c>
    </row>
    <row r="987" customFormat="false" ht="54" hidden="false" customHeight="true" outlineLevel="0" collapsed="false">
      <c r="A987" s="32" t="s">
        <v>10675</v>
      </c>
      <c r="B987" s="32" t="s">
        <v>3664</v>
      </c>
      <c r="C987" s="33" t="s">
        <v>1407</v>
      </c>
      <c r="D987" s="33" t="s">
        <v>50</v>
      </c>
      <c r="E987" s="33" t="s">
        <v>82</v>
      </c>
      <c r="F987" s="33" t="s">
        <v>10665</v>
      </c>
      <c r="G987" s="33" t="s">
        <v>9</v>
      </c>
      <c r="H987" s="33" t="n">
        <v>30</v>
      </c>
    </row>
    <row r="988" customFormat="false" ht="54" hidden="false" customHeight="true" outlineLevel="0" collapsed="false">
      <c r="A988" s="32" t="s">
        <v>10676</v>
      </c>
      <c r="B988" s="32" t="s">
        <v>3664</v>
      </c>
      <c r="C988" s="33" t="s">
        <v>1407</v>
      </c>
      <c r="D988" s="33" t="s">
        <v>50</v>
      </c>
      <c r="E988" s="33" t="s">
        <v>82</v>
      </c>
      <c r="F988" s="33" t="s">
        <v>10667</v>
      </c>
      <c r="G988" s="33" t="s">
        <v>9</v>
      </c>
      <c r="H988" s="33" t="n">
        <v>30</v>
      </c>
    </row>
    <row r="989" customFormat="false" ht="54" hidden="false" customHeight="true" outlineLevel="0" collapsed="false">
      <c r="A989" s="32" t="s">
        <v>10677</v>
      </c>
      <c r="B989" s="32" t="s">
        <v>3664</v>
      </c>
      <c r="C989" s="33" t="s">
        <v>1407</v>
      </c>
      <c r="D989" s="33" t="s">
        <v>50</v>
      </c>
      <c r="E989" s="33" t="s">
        <v>82</v>
      </c>
      <c r="F989" s="33" t="s">
        <v>10673</v>
      </c>
      <c r="G989" s="33" t="s">
        <v>9</v>
      </c>
      <c r="H989" s="33" t="n">
        <v>30</v>
      </c>
    </row>
    <row r="990" customFormat="false" ht="54" hidden="false" customHeight="true" outlineLevel="0" collapsed="false">
      <c r="A990" s="32" t="s">
        <v>10678</v>
      </c>
      <c r="B990" s="32" t="s">
        <v>3664</v>
      </c>
      <c r="C990" s="33" t="s">
        <v>1407</v>
      </c>
      <c r="D990" s="33" t="s">
        <v>50</v>
      </c>
      <c r="E990" s="33" t="s">
        <v>84</v>
      </c>
      <c r="F990" s="33" t="s">
        <v>10661</v>
      </c>
      <c r="G990" s="33" t="s">
        <v>9</v>
      </c>
      <c r="H990" s="33" t="n">
        <v>30</v>
      </c>
    </row>
    <row r="991" customFormat="false" ht="54" hidden="false" customHeight="true" outlineLevel="0" collapsed="false">
      <c r="A991" s="32" t="s">
        <v>10679</v>
      </c>
      <c r="B991" s="32" t="s">
        <v>3664</v>
      </c>
      <c r="C991" s="33" t="s">
        <v>1407</v>
      </c>
      <c r="D991" s="33" t="s">
        <v>50</v>
      </c>
      <c r="E991" s="33" t="s">
        <v>84</v>
      </c>
      <c r="F991" s="33" t="s">
        <v>10667</v>
      </c>
      <c r="G991" s="33" t="s">
        <v>9</v>
      </c>
      <c r="H991" s="33" t="n">
        <v>30</v>
      </c>
    </row>
    <row r="992" customFormat="false" ht="54" hidden="false" customHeight="true" outlineLevel="0" collapsed="false">
      <c r="A992" s="32" t="s">
        <v>10680</v>
      </c>
      <c r="B992" s="32" t="s">
        <v>3664</v>
      </c>
      <c r="C992" s="33" t="s">
        <v>1407</v>
      </c>
      <c r="D992" s="33" t="s">
        <v>50</v>
      </c>
      <c r="E992" s="33" t="s">
        <v>84</v>
      </c>
      <c r="F992" s="33" t="s">
        <v>10673</v>
      </c>
      <c r="G992" s="33" t="s">
        <v>9</v>
      </c>
      <c r="H992" s="33" t="n">
        <v>30</v>
      </c>
    </row>
    <row r="993" customFormat="false" ht="54" hidden="false" customHeight="true" outlineLevel="0" collapsed="false">
      <c r="A993" s="32" t="s">
        <v>10681</v>
      </c>
      <c r="B993" s="32" t="s">
        <v>3678</v>
      </c>
      <c r="C993" s="33" t="s">
        <v>98</v>
      </c>
      <c r="D993" s="33" t="s">
        <v>59</v>
      </c>
      <c r="E993" s="33" t="s">
        <v>80</v>
      </c>
      <c r="F993" s="33" t="s">
        <v>10682</v>
      </c>
      <c r="G993" s="33" t="s">
        <v>9</v>
      </c>
      <c r="H993" s="33" t="n">
        <v>30</v>
      </c>
    </row>
    <row r="994" customFormat="false" ht="54" hidden="false" customHeight="true" outlineLevel="0" collapsed="false">
      <c r="A994" s="32" t="s">
        <v>10683</v>
      </c>
      <c r="B994" s="32" t="s">
        <v>3678</v>
      </c>
      <c r="C994" s="33" t="s">
        <v>98</v>
      </c>
      <c r="D994" s="33" t="s">
        <v>59</v>
      </c>
      <c r="E994" s="33" t="s">
        <v>80</v>
      </c>
      <c r="F994" s="33" t="s">
        <v>10684</v>
      </c>
      <c r="G994" s="33" t="s">
        <v>9</v>
      </c>
      <c r="H994" s="33" t="n">
        <v>30</v>
      </c>
    </row>
    <row r="995" customFormat="false" ht="54" hidden="false" customHeight="true" outlineLevel="0" collapsed="false">
      <c r="A995" s="32" t="s">
        <v>10685</v>
      </c>
      <c r="B995" s="32" t="s">
        <v>3678</v>
      </c>
      <c r="C995" s="33" t="s">
        <v>98</v>
      </c>
      <c r="D995" s="33" t="s">
        <v>59</v>
      </c>
      <c r="E995" s="33" t="s">
        <v>80</v>
      </c>
      <c r="F995" s="33" t="s">
        <v>10686</v>
      </c>
      <c r="G995" s="33" t="s">
        <v>9</v>
      </c>
      <c r="H995" s="33" t="n">
        <v>30</v>
      </c>
    </row>
    <row r="996" customFormat="false" ht="54" hidden="false" customHeight="true" outlineLevel="0" collapsed="false">
      <c r="A996" s="32" t="s">
        <v>10687</v>
      </c>
      <c r="B996" s="32" t="s">
        <v>3678</v>
      </c>
      <c r="C996" s="33" t="s">
        <v>98</v>
      </c>
      <c r="D996" s="33" t="s">
        <v>59</v>
      </c>
      <c r="E996" s="33" t="s">
        <v>80</v>
      </c>
      <c r="F996" s="33" t="s">
        <v>10688</v>
      </c>
      <c r="G996" s="33" t="s">
        <v>9</v>
      </c>
      <c r="H996" s="33" t="n">
        <v>30</v>
      </c>
    </row>
    <row r="997" customFormat="false" ht="54" hidden="false" customHeight="true" outlineLevel="0" collapsed="false">
      <c r="A997" s="32" t="s">
        <v>10689</v>
      </c>
      <c r="B997" s="32" t="s">
        <v>3678</v>
      </c>
      <c r="C997" s="33" t="s">
        <v>98</v>
      </c>
      <c r="D997" s="33" t="s">
        <v>59</v>
      </c>
      <c r="E997" s="33" t="s">
        <v>80</v>
      </c>
      <c r="F997" s="33" t="s">
        <v>3751</v>
      </c>
      <c r="G997" s="33" t="s">
        <v>9</v>
      </c>
      <c r="H997" s="33" t="n">
        <v>30</v>
      </c>
    </row>
    <row r="998" customFormat="false" ht="54" hidden="false" customHeight="true" outlineLevel="0" collapsed="false">
      <c r="A998" s="32" t="s">
        <v>10690</v>
      </c>
      <c r="B998" s="32" t="s">
        <v>3678</v>
      </c>
      <c r="C998" s="33" t="s">
        <v>98</v>
      </c>
      <c r="D998" s="33" t="s">
        <v>59</v>
      </c>
      <c r="E998" s="33" t="s">
        <v>81</v>
      </c>
      <c r="F998" s="33" t="s">
        <v>10691</v>
      </c>
      <c r="G998" s="33" t="s">
        <v>9</v>
      </c>
      <c r="H998" s="33" t="n">
        <v>30</v>
      </c>
    </row>
    <row r="999" customFormat="false" ht="54" hidden="false" customHeight="true" outlineLevel="0" collapsed="false">
      <c r="A999" s="32" t="s">
        <v>10692</v>
      </c>
      <c r="B999" s="32" t="s">
        <v>3678</v>
      </c>
      <c r="C999" s="33" t="s">
        <v>98</v>
      </c>
      <c r="D999" s="33" t="s">
        <v>59</v>
      </c>
      <c r="E999" s="33" t="s">
        <v>81</v>
      </c>
      <c r="F999" s="33" t="s">
        <v>10693</v>
      </c>
      <c r="G999" s="33" t="s">
        <v>9</v>
      </c>
      <c r="H999" s="33" t="n">
        <v>30</v>
      </c>
    </row>
    <row r="1000" customFormat="false" ht="54" hidden="false" customHeight="true" outlineLevel="0" collapsed="false">
      <c r="A1000" s="32" t="s">
        <v>10694</v>
      </c>
      <c r="B1000" s="32" t="s">
        <v>3678</v>
      </c>
      <c r="C1000" s="33" t="s">
        <v>98</v>
      </c>
      <c r="D1000" s="33" t="s">
        <v>59</v>
      </c>
      <c r="E1000" s="33" t="s">
        <v>81</v>
      </c>
      <c r="F1000" s="33" t="s">
        <v>10684</v>
      </c>
      <c r="G1000" s="33" t="s">
        <v>9</v>
      </c>
      <c r="H1000" s="33" t="n">
        <v>30</v>
      </c>
    </row>
    <row r="1001" customFormat="false" ht="54" hidden="false" customHeight="true" outlineLevel="0" collapsed="false">
      <c r="A1001" s="32" t="s">
        <v>10695</v>
      </c>
      <c r="B1001" s="32" t="s">
        <v>3678</v>
      </c>
      <c r="C1001" s="33" t="s">
        <v>98</v>
      </c>
      <c r="D1001" s="33" t="s">
        <v>59</v>
      </c>
      <c r="E1001" s="33" t="s">
        <v>81</v>
      </c>
      <c r="F1001" s="33" t="s">
        <v>10696</v>
      </c>
      <c r="G1001" s="33" t="s">
        <v>9</v>
      </c>
      <c r="H1001" s="33" t="n">
        <v>30</v>
      </c>
    </row>
    <row r="1002" customFormat="false" ht="54" hidden="false" customHeight="true" outlineLevel="0" collapsed="false">
      <c r="A1002" s="32" t="s">
        <v>10697</v>
      </c>
      <c r="B1002" s="32" t="s">
        <v>3678</v>
      </c>
      <c r="C1002" s="33" t="s">
        <v>98</v>
      </c>
      <c r="D1002" s="33" t="s">
        <v>59</v>
      </c>
      <c r="E1002" s="33" t="s">
        <v>81</v>
      </c>
      <c r="F1002" s="33" t="s">
        <v>10686</v>
      </c>
      <c r="G1002" s="33" t="s">
        <v>9</v>
      </c>
      <c r="H1002" s="33" t="n">
        <v>30</v>
      </c>
    </row>
    <row r="1003" customFormat="false" ht="54" hidden="false" customHeight="true" outlineLevel="0" collapsed="false">
      <c r="A1003" s="32" t="s">
        <v>10698</v>
      </c>
      <c r="B1003" s="32" t="s">
        <v>3678</v>
      </c>
      <c r="C1003" s="33" t="s">
        <v>98</v>
      </c>
      <c r="D1003" s="33" t="s">
        <v>59</v>
      </c>
      <c r="E1003" s="33" t="s">
        <v>82</v>
      </c>
      <c r="F1003" s="33" t="s">
        <v>10691</v>
      </c>
      <c r="G1003" s="33" t="s">
        <v>9</v>
      </c>
      <c r="H1003" s="33" t="n">
        <v>30</v>
      </c>
    </row>
    <row r="1004" customFormat="false" ht="54" hidden="false" customHeight="true" outlineLevel="0" collapsed="false">
      <c r="A1004" s="32" t="s">
        <v>10699</v>
      </c>
      <c r="B1004" s="32" t="s">
        <v>3678</v>
      </c>
      <c r="C1004" s="33" t="s">
        <v>98</v>
      </c>
      <c r="D1004" s="33" t="s">
        <v>59</v>
      </c>
      <c r="E1004" s="33" t="s">
        <v>82</v>
      </c>
      <c r="F1004" s="33" t="s">
        <v>10693</v>
      </c>
      <c r="G1004" s="33" t="s">
        <v>9</v>
      </c>
      <c r="H1004" s="33" t="n">
        <v>30</v>
      </c>
    </row>
    <row r="1005" customFormat="false" ht="54" hidden="false" customHeight="true" outlineLevel="0" collapsed="false">
      <c r="A1005" s="32" t="s">
        <v>10700</v>
      </c>
      <c r="B1005" s="32" t="s">
        <v>3678</v>
      </c>
      <c r="C1005" s="33" t="s">
        <v>98</v>
      </c>
      <c r="D1005" s="33" t="s">
        <v>59</v>
      </c>
      <c r="E1005" s="33" t="s">
        <v>82</v>
      </c>
      <c r="F1005" s="33" t="s">
        <v>10686</v>
      </c>
      <c r="G1005" s="33" t="s">
        <v>9</v>
      </c>
      <c r="H1005" s="33" t="n">
        <v>30</v>
      </c>
    </row>
    <row r="1006" customFormat="false" ht="54" hidden="false" customHeight="true" outlineLevel="0" collapsed="false">
      <c r="A1006" s="32" t="s">
        <v>10701</v>
      </c>
      <c r="B1006" s="32" t="s">
        <v>3678</v>
      </c>
      <c r="C1006" s="33" t="s">
        <v>98</v>
      </c>
      <c r="D1006" s="33" t="s">
        <v>59</v>
      </c>
      <c r="E1006" s="33" t="s">
        <v>82</v>
      </c>
      <c r="F1006" s="33" t="s">
        <v>10688</v>
      </c>
      <c r="G1006" s="33" t="s">
        <v>9</v>
      </c>
      <c r="H1006" s="33" t="n">
        <v>30</v>
      </c>
    </row>
    <row r="1007" customFormat="false" ht="54" hidden="false" customHeight="true" outlineLevel="0" collapsed="false">
      <c r="A1007" s="32" t="s">
        <v>10702</v>
      </c>
      <c r="B1007" s="32" t="s">
        <v>3678</v>
      </c>
      <c r="C1007" s="33" t="s">
        <v>98</v>
      </c>
      <c r="D1007" s="33" t="s">
        <v>59</v>
      </c>
      <c r="E1007" s="33" t="s">
        <v>84</v>
      </c>
      <c r="F1007" s="33" t="s">
        <v>10703</v>
      </c>
      <c r="G1007" s="33" t="s">
        <v>9</v>
      </c>
      <c r="H1007" s="33" t="n">
        <v>30</v>
      </c>
    </row>
    <row r="1008" customFormat="false" ht="54" hidden="false" customHeight="true" outlineLevel="0" collapsed="false">
      <c r="A1008" s="32" t="s">
        <v>10704</v>
      </c>
      <c r="B1008" s="32" t="s">
        <v>3678</v>
      </c>
      <c r="C1008" s="33" t="s">
        <v>98</v>
      </c>
      <c r="D1008" s="33" t="s">
        <v>59</v>
      </c>
      <c r="E1008" s="33" t="s">
        <v>84</v>
      </c>
      <c r="F1008" s="33" t="s">
        <v>10705</v>
      </c>
      <c r="G1008" s="33" t="s">
        <v>9</v>
      </c>
      <c r="H1008" s="33" t="n">
        <v>30</v>
      </c>
    </row>
    <row r="1009" customFormat="false" ht="54" hidden="false" customHeight="true" outlineLevel="0" collapsed="false">
      <c r="A1009" s="32" t="s">
        <v>10706</v>
      </c>
      <c r="B1009" s="32" t="s">
        <v>3678</v>
      </c>
      <c r="C1009" s="33" t="s">
        <v>98</v>
      </c>
      <c r="D1009" s="33" t="s">
        <v>59</v>
      </c>
      <c r="E1009" s="33" t="s">
        <v>84</v>
      </c>
      <c r="F1009" s="33" t="s">
        <v>10707</v>
      </c>
      <c r="G1009" s="33" t="s">
        <v>9</v>
      </c>
      <c r="H1009" s="33" t="n">
        <v>30</v>
      </c>
    </row>
    <row r="1010" customFormat="false" ht="54" hidden="false" customHeight="true" outlineLevel="0" collapsed="false">
      <c r="A1010" s="32" t="s">
        <v>10708</v>
      </c>
      <c r="B1010" s="32" t="s">
        <v>3678</v>
      </c>
      <c r="C1010" s="33" t="s">
        <v>98</v>
      </c>
      <c r="D1010" s="33" t="s">
        <v>59</v>
      </c>
      <c r="E1010" s="33" t="s">
        <v>84</v>
      </c>
      <c r="F1010" s="33" t="s">
        <v>10682</v>
      </c>
      <c r="G1010" s="33" t="s">
        <v>9</v>
      </c>
      <c r="H1010" s="33" t="n">
        <v>30</v>
      </c>
    </row>
    <row r="1011" customFormat="false" ht="54" hidden="false" customHeight="true" outlineLevel="0" collapsed="false">
      <c r="A1011" s="32" t="s">
        <v>10709</v>
      </c>
      <c r="B1011" s="32" t="s">
        <v>3678</v>
      </c>
      <c r="C1011" s="33" t="s">
        <v>98</v>
      </c>
      <c r="D1011" s="33" t="s">
        <v>59</v>
      </c>
      <c r="E1011" s="33" t="s">
        <v>84</v>
      </c>
      <c r="F1011" s="33" t="s">
        <v>10684</v>
      </c>
      <c r="G1011" s="33" t="s">
        <v>9</v>
      </c>
      <c r="H1011" s="33" t="n">
        <v>30</v>
      </c>
    </row>
    <row r="1012" customFormat="false" ht="54" hidden="false" customHeight="true" outlineLevel="0" collapsed="false">
      <c r="A1012" s="32" t="s">
        <v>10710</v>
      </c>
      <c r="B1012" s="32" t="s">
        <v>3678</v>
      </c>
      <c r="C1012" s="33" t="s">
        <v>98</v>
      </c>
      <c r="D1012" s="33" t="s">
        <v>59</v>
      </c>
      <c r="E1012" s="33" t="s">
        <v>84</v>
      </c>
      <c r="F1012" s="33" t="s">
        <v>10686</v>
      </c>
      <c r="G1012" s="33" t="s">
        <v>9</v>
      </c>
      <c r="H1012" s="33" t="n">
        <v>30</v>
      </c>
    </row>
    <row r="1013" customFormat="false" ht="54" hidden="false" customHeight="true" outlineLevel="0" collapsed="false">
      <c r="A1013" s="32" t="s">
        <v>10711</v>
      </c>
      <c r="B1013" s="32" t="s">
        <v>3693</v>
      </c>
      <c r="C1013" s="33" t="s">
        <v>1407</v>
      </c>
      <c r="D1013" s="33" t="s">
        <v>50</v>
      </c>
      <c r="E1013" s="33" t="s">
        <v>83</v>
      </c>
      <c r="F1013" s="33" t="s">
        <v>3697</v>
      </c>
      <c r="G1013" s="33" t="s">
        <v>9</v>
      </c>
      <c r="H1013" s="33" t="n">
        <v>30</v>
      </c>
    </row>
    <row r="1014" customFormat="false" ht="54" hidden="false" customHeight="true" outlineLevel="0" collapsed="false">
      <c r="A1014" s="32" t="s">
        <v>10712</v>
      </c>
      <c r="B1014" s="32" t="s">
        <v>3693</v>
      </c>
      <c r="C1014" s="33" t="s">
        <v>1407</v>
      </c>
      <c r="D1014" s="33" t="s">
        <v>50</v>
      </c>
      <c r="E1014" s="33" t="s">
        <v>83</v>
      </c>
      <c r="F1014" s="33" t="s">
        <v>3700</v>
      </c>
      <c r="G1014" s="33" t="s">
        <v>9</v>
      </c>
      <c r="H1014" s="33" t="n">
        <v>30</v>
      </c>
    </row>
    <row r="1015" customFormat="false" ht="54" hidden="false" customHeight="true" outlineLevel="0" collapsed="false">
      <c r="A1015" s="32" t="s">
        <v>10713</v>
      </c>
      <c r="B1015" s="32" t="s">
        <v>3693</v>
      </c>
      <c r="C1015" s="33" t="s">
        <v>1407</v>
      </c>
      <c r="D1015" s="33" t="s">
        <v>50</v>
      </c>
      <c r="E1015" s="33" t="s">
        <v>83</v>
      </c>
      <c r="F1015" s="33" t="s">
        <v>10714</v>
      </c>
      <c r="G1015" s="33" t="s">
        <v>9</v>
      </c>
      <c r="H1015" s="33" t="n">
        <v>30</v>
      </c>
    </row>
    <row r="1016" customFormat="false" ht="54" hidden="false" customHeight="true" outlineLevel="0" collapsed="false">
      <c r="A1016" s="32" t="s">
        <v>10715</v>
      </c>
      <c r="B1016" s="32" t="s">
        <v>3693</v>
      </c>
      <c r="C1016" s="33" t="s">
        <v>1407</v>
      </c>
      <c r="D1016" s="33" t="s">
        <v>50</v>
      </c>
      <c r="E1016" s="33" t="s">
        <v>84</v>
      </c>
      <c r="F1016" s="33" t="s">
        <v>3700</v>
      </c>
      <c r="G1016" s="33" t="s">
        <v>9</v>
      </c>
      <c r="H1016" s="33" t="n">
        <v>30</v>
      </c>
    </row>
    <row r="1017" customFormat="false" ht="54" hidden="false" customHeight="true" outlineLevel="0" collapsed="false">
      <c r="A1017" s="32" t="s">
        <v>10716</v>
      </c>
      <c r="B1017" s="32" t="s">
        <v>3703</v>
      </c>
      <c r="C1017" s="33" t="s">
        <v>1407</v>
      </c>
      <c r="D1017" s="33" t="s">
        <v>50</v>
      </c>
      <c r="E1017" s="33" t="s">
        <v>80</v>
      </c>
      <c r="F1017" s="33" t="s">
        <v>10717</v>
      </c>
      <c r="G1017" s="33" t="s">
        <v>9</v>
      </c>
      <c r="H1017" s="33" t="n">
        <v>30</v>
      </c>
    </row>
    <row r="1018" customFormat="false" ht="54" hidden="false" customHeight="true" outlineLevel="0" collapsed="false">
      <c r="A1018" s="32" t="s">
        <v>10718</v>
      </c>
      <c r="B1018" s="32" t="s">
        <v>3703</v>
      </c>
      <c r="C1018" s="33" t="s">
        <v>1407</v>
      </c>
      <c r="D1018" s="33" t="s">
        <v>50</v>
      </c>
      <c r="E1018" s="33" t="s">
        <v>80</v>
      </c>
      <c r="F1018" s="33" t="s">
        <v>10719</v>
      </c>
      <c r="G1018" s="33" t="s">
        <v>9</v>
      </c>
      <c r="H1018" s="33" t="n">
        <v>30</v>
      </c>
    </row>
    <row r="1019" customFormat="false" ht="54" hidden="false" customHeight="true" outlineLevel="0" collapsed="false">
      <c r="A1019" s="32" t="s">
        <v>10720</v>
      </c>
      <c r="B1019" s="32" t="s">
        <v>3703</v>
      </c>
      <c r="C1019" s="33" t="s">
        <v>1407</v>
      </c>
      <c r="D1019" s="33" t="s">
        <v>50</v>
      </c>
      <c r="E1019" s="33" t="s">
        <v>80</v>
      </c>
      <c r="F1019" s="33" t="s">
        <v>10721</v>
      </c>
      <c r="G1019" s="33" t="s">
        <v>9</v>
      </c>
      <c r="H1019" s="33" t="n">
        <v>30</v>
      </c>
    </row>
    <row r="1020" customFormat="false" ht="54" hidden="false" customHeight="true" outlineLevel="0" collapsed="false">
      <c r="A1020" s="32" t="s">
        <v>10722</v>
      </c>
      <c r="B1020" s="32" t="s">
        <v>3703</v>
      </c>
      <c r="C1020" s="33" t="s">
        <v>1407</v>
      </c>
      <c r="D1020" s="33" t="s">
        <v>50</v>
      </c>
      <c r="E1020" s="33" t="s">
        <v>81</v>
      </c>
      <c r="F1020" s="33" t="s">
        <v>10723</v>
      </c>
      <c r="G1020" s="33" t="s">
        <v>9</v>
      </c>
      <c r="H1020" s="33" t="n">
        <v>30</v>
      </c>
    </row>
    <row r="1021" customFormat="false" ht="54" hidden="false" customHeight="true" outlineLevel="0" collapsed="false">
      <c r="A1021" s="32" t="s">
        <v>10724</v>
      </c>
      <c r="B1021" s="32" t="s">
        <v>3703</v>
      </c>
      <c r="C1021" s="33" t="s">
        <v>1407</v>
      </c>
      <c r="D1021" s="33" t="s">
        <v>50</v>
      </c>
      <c r="E1021" s="33" t="s">
        <v>81</v>
      </c>
      <c r="F1021" s="33" t="s">
        <v>10725</v>
      </c>
      <c r="G1021" s="33" t="s">
        <v>9</v>
      </c>
      <c r="H1021" s="33" t="n">
        <v>30</v>
      </c>
    </row>
    <row r="1022" customFormat="false" ht="54" hidden="false" customHeight="true" outlineLevel="0" collapsed="false">
      <c r="A1022" s="32" t="s">
        <v>10726</v>
      </c>
      <c r="B1022" s="32" t="s">
        <v>3703</v>
      </c>
      <c r="C1022" s="33" t="s">
        <v>1407</v>
      </c>
      <c r="D1022" s="33" t="s">
        <v>50</v>
      </c>
      <c r="E1022" s="33" t="s">
        <v>81</v>
      </c>
      <c r="F1022" s="33" t="s">
        <v>10727</v>
      </c>
      <c r="G1022" s="33" t="s">
        <v>9</v>
      </c>
      <c r="H1022" s="33" t="n">
        <v>30</v>
      </c>
    </row>
    <row r="1023" customFormat="false" ht="54" hidden="false" customHeight="true" outlineLevel="0" collapsed="false">
      <c r="A1023" s="32" t="s">
        <v>10728</v>
      </c>
      <c r="B1023" s="32" t="s">
        <v>3703</v>
      </c>
      <c r="C1023" s="33" t="s">
        <v>1407</v>
      </c>
      <c r="D1023" s="33" t="s">
        <v>50</v>
      </c>
      <c r="E1023" s="33" t="s">
        <v>81</v>
      </c>
      <c r="F1023" s="33" t="s">
        <v>10717</v>
      </c>
      <c r="G1023" s="33" t="s">
        <v>9</v>
      </c>
      <c r="H1023" s="33" t="n">
        <v>30</v>
      </c>
    </row>
    <row r="1024" customFormat="false" ht="54" hidden="false" customHeight="true" outlineLevel="0" collapsed="false">
      <c r="A1024" s="32" t="s">
        <v>10729</v>
      </c>
      <c r="B1024" s="32" t="s">
        <v>3703</v>
      </c>
      <c r="C1024" s="33" t="s">
        <v>1407</v>
      </c>
      <c r="D1024" s="33" t="s">
        <v>50</v>
      </c>
      <c r="E1024" s="33" t="s">
        <v>81</v>
      </c>
      <c r="F1024" s="33" t="s">
        <v>10480</v>
      </c>
      <c r="G1024" s="33" t="s">
        <v>9</v>
      </c>
      <c r="H1024" s="33" t="n">
        <v>30</v>
      </c>
    </row>
    <row r="1025" customFormat="false" ht="54" hidden="false" customHeight="true" outlineLevel="0" collapsed="false">
      <c r="A1025" s="32" t="s">
        <v>10730</v>
      </c>
      <c r="B1025" s="32" t="s">
        <v>3703</v>
      </c>
      <c r="C1025" s="33" t="s">
        <v>1407</v>
      </c>
      <c r="D1025" s="33" t="s">
        <v>50</v>
      </c>
      <c r="E1025" s="33" t="s">
        <v>84</v>
      </c>
      <c r="F1025" s="33" t="s">
        <v>10727</v>
      </c>
      <c r="G1025" s="33" t="s">
        <v>9</v>
      </c>
      <c r="H1025" s="33" t="n">
        <v>30</v>
      </c>
    </row>
    <row r="1026" customFormat="false" ht="54" hidden="false" customHeight="true" outlineLevel="0" collapsed="false">
      <c r="A1026" s="32" t="s">
        <v>10731</v>
      </c>
      <c r="B1026" s="32" t="s">
        <v>3703</v>
      </c>
      <c r="C1026" s="33" t="s">
        <v>1407</v>
      </c>
      <c r="D1026" s="33" t="s">
        <v>50</v>
      </c>
      <c r="E1026" s="33" t="s">
        <v>84</v>
      </c>
      <c r="F1026" s="33" t="s">
        <v>10719</v>
      </c>
      <c r="G1026" s="33" t="s">
        <v>9</v>
      </c>
      <c r="H1026" s="33" t="n">
        <v>30</v>
      </c>
    </row>
    <row r="1027" customFormat="false" ht="54" hidden="false" customHeight="true" outlineLevel="0" collapsed="false">
      <c r="A1027" s="32" t="s">
        <v>10732</v>
      </c>
      <c r="B1027" s="32" t="s">
        <v>3703</v>
      </c>
      <c r="C1027" s="33" t="s">
        <v>1407</v>
      </c>
      <c r="D1027" s="33" t="s">
        <v>50</v>
      </c>
      <c r="E1027" s="33" t="s">
        <v>84</v>
      </c>
      <c r="F1027" s="33" t="s">
        <v>10733</v>
      </c>
      <c r="G1027" s="33" t="s">
        <v>9</v>
      </c>
      <c r="H1027" s="33" t="n">
        <v>30</v>
      </c>
    </row>
    <row r="1028" customFormat="false" ht="54" hidden="false" customHeight="true" outlineLevel="0" collapsed="false">
      <c r="A1028" s="32" t="s">
        <v>10734</v>
      </c>
      <c r="B1028" s="32" t="s">
        <v>3716</v>
      </c>
      <c r="C1028" s="33" t="s">
        <v>98</v>
      </c>
      <c r="D1028" s="33" t="s">
        <v>59</v>
      </c>
      <c r="E1028" s="33" t="s">
        <v>80</v>
      </c>
      <c r="F1028" s="33" t="s">
        <v>10735</v>
      </c>
      <c r="G1028" s="33" t="s">
        <v>9</v>
      </c>
      <c r="H1028" s="33" t="n">
        <v>30</v>
      </c>
    </row>
    <row r="1029" customFormat="false" ht="54" hidden="false" customHeight="true" outlineLevel="0" collapsed="false">
      <c r="A1029" s="32" t="s">
        <v>10736</v>
      </c>
      <c r="B1029" s="32" t="s">
        <v>3716</v>
      </c>
      <c r="C1029" s="33" t="s">
        <v>98</v>
      </c>
      <c r="D1029" s="33" t="s">
        <v>59</v>
      </c>
      <c r="E1029" s="33" t="s">
        <v>80</v>
      </c>
      <c r="F1029" s="33" t="s">
        <v>10737</v>
      </c>
      <c r="G1029" s="33" t="s">
        <v>9</v>
      </c>
      <c r="H1029" s="33" t="n">
        <v>30</v>
      </c>
    </row>
    <row r="1030" customFormat="false" ht="54" hidden="false" customHeight="true" outlineLevel="0" collapsed="false">
      <c r="A1030" s="32" t="s">
        <v>10738</v>
      </c>
      <c r="B1030" s="32" t="s">
        <v>3716</v>
      </c>
      <c r="C1030" s="33" t="s">
        <v>98</v>
      </c>
      <c r="D1030" s="33" t="s">
        <v>59</v>
      </c>
      <c r="E1030" s="33" t="s">
        <v>80</v>
      </c>
      <c r="F1030" s="33" t="s">
        <v>10739</v>
      </c>
      <c r="G1030" s="33" t="s">
        <v>9</v>
      </c>
      <c r="H1030" s="33" t="n">
        <v>30</v>
      </c>
    </row>
    <row r="1031" customFormat="false" ht="54" hidden="false" customHeight="true" outlineLevel="0" collapsed="false">
      <c r="A1031" s="32" t="s">
        <v>10740</v>
      </c>
      <c r="B1031" s="32" t="s">
        <v>3716</v>
      </c>
      <c r="C1031" s="33" t="s">
        <v>98</v>
      </c>
      <c r="D1031" s="33" t="s">
        <v>59</v>
      </c>
      <c r="E1031" s="33" t="s">
        <v>80</v>
      </c>
      <c r="F1031" s="33" t="s">
        <v>10741</v>
      </c>
      <c r="G1031" s="33" t="s">
        <v>9</v>
      </c>
      <c r="H1031" s="33" t="n">
        <v>30</v>
      </c>
    </row>
    <row r="1032" customFormat="false" ht="54" hidden="false" customHeight="true" outlineLevel="0" collapsed="false">
      <c r="A1032" s="32" t="s">
        <v>10742</v>
      </c>
      <c r="B1032" s="32" t="s">
        <v>3716</v>
      </c>
      <c r="C1032" s="33" t="s">
        <v>98</v>
      </c>
      <c r="D1032" s="33" t="s">
        <v>59</v>
      </c>
      <c r="E1032" s="33" t="s">
        <v>80</v>
      </c>
      <c r="F1032" s="33" t="s">
        <v>10743</v>
      </c>
      <c r="G1032" s="33" t="s">
        <v>9</v>
      </c>
      <c r="H1032" s="33" t="n">
        <v>30</v>
      </c>
    </row>
    <row r="1033" customFormat="false" ht="54" hidden="false" customHeight="true" outlineLevel="0" collapsed="false">
      <c r="A1033" s="32" t="s">
        <v>10744</v>
      </c>
      <c r="B1033" s="32" t="s">
        <v>3716</v>
      </c>
      <c r="C1033" s="33" t="s">
        <v>98</v>
      </c>
      <c r="D1033" s="33" t="s">
        <v>59</v>
      </c>
      <c r="E1033" s="33" t="s">
        <v>81</v>
      </c>
      <c r="F1033" s="33" t="s">
        <v>10745</v>
      </c>
      <c r="G1033" s="33" t="s">
        <v>9</v>
      </c>
      <c r="H1033" s="33" t="n">
        <v>30</v>
      </c>
    </row>
    <row r="1034" customFormat="false" ht="54" hidden="false" customHeight="true" outlineLevel="0" collapsed="false">
      <c r="A1034" s="32" t="s">
        <v>10746</v>
      </c>
      <c r="B1034" s="32" t="s">
        <v>3716</v>
      </c>
      <c r="C1034" s="33" t="s">
        <v>98</v>
      </c>
      <c r="D1034" s="33" t="s">
        <v>59</v>
      </c>
      <c r="E1034" s="33" t="s">
        <v>81</v>
      </c>
      <c r="F1034" s="33" t="s">
        <v>10741</v>
      </c>
      <c r="G1034" s="33" t="s">
        <v>9</v>
      </c>
      <c r="H1034" s="33" t="n">
        <v>30</v>
      </c>
    </row>
    <row r="1035" customFormat="false" ht="54" hidden="false" customHeight="true" outlineLevel="0" collapsed="false">
      <c r="A1035" s="32" t="s">
        <v>10747</v>
      </c>
      <c r="B1035" s="32" t="s">
        <v>3716</v>
      </c>
      <c r="C1035" s="33" t="s">
        <v>98</v>
      </c>
      <c r="D1035" s="33" t="s">
        <v>59</v>
      </c>
      <c r="E1035" s="33" t="s">
        <v>81</v>
      </c>
      <c r="F1035" s="33" t="s">
        <v>10748</v>
      </c>
      <c r="G1035" s="33" t="s">
        <v>9</v>
      </c>
      <c r="H1035" s="33" t="n">
        <v>30</v>
      </c>
    </row>
    <row r="1036" customFormat="false" ht="54" hidden="false" customHeight="true" outlineLevel="0" collapsed="false">
      <c r="A1036" s="32" t="s">
        <v>10749</v>
      </c>
      <c r="B1036" s="32" t="s">
        <v>3716</v>
      </c>
      <c r="C1036" s="33" t="s">
        <v>98</v>
      </c>
      <c r="D1036" s="33" t="s">
        <v>59</v>
      </c>
      <c r="E1036" s="33" t="s">
        <v>81</v>
      </c>
      <c r="F1036" s="33" t="s">
        <v>10750</v>
      </c>
      <c r="G1036" s="33" t="s">
        <v>9</v>
      </c>
      <c r="H1036" s="33" t="n">
        <v>30</v>
      </c>
    </row>
    <row r="1037" customFormat="false" ht="54" hidden="false" customHeight="true" outlineLevel="0" collapsed="false">
      <c r="A1037" s="32" t="s">
        <v>10751</v>
      </c>
      <c r="B1037" s="32" t="s">
        <v>3716</v>
      </c>
      <c r="C1037" s="33" t="s">
        <v>98</v>
      </c>
      <c r="D1037" s="33" t="s">
        <v>59</v>
      </c>
      <c r="E1037" s="33" t="s">
        <v>84</v>
      </c>
      <c r="F1037" s="33" t="s">
        <v>10735</v>
      </c>
      <c r="G1037" s="33" t="s">
        <v>9</v>
      </c>
      <c r="H1037" s="33" t="n">
        <v>30</v>
      </c>
    </row>
    <row r="1038" customFormat="false" ht="54" hidden="false" customHeight="true" outlineLevel="0" collapsed="false">
      <c r="A1038" s="32" t="s">
        <v>10752</v>
      </c>
      <c r="B1038" s="32" t="s">
        <v>3716</v>
      </c>
      <c r="C1038" s="33" t="s">
        <v>98</v>
      </c>
      <c r="D1038" s="33" t="s">
        <v>59</v>
      </c>
      <c r="E1038" s="33" t="s">
        <v>84</v>
      </c>
      <c r="F1038" s="33" t="s">
        <v>10737</v>
      </c>
      <c r="G1038" s="33" t="s">
        <v>9</v>
      </c>
      <c r="H1038" s="33" t="n">
        <v>30</v>
      </c>
    </row>
    <row r="1039" customFormat="false" ht="54" hidden="false" customHeight="true" outlineLevel="0" collapsed="false">
      <c r="A1039" s="32" t="s">
        <v>10753</v>
      </c>
      <c r="B1039" s="32" t="s">
        <v>3716</v>
      </c>
      <c r="C1039" s="33" t="s">
        <v>98</v>
      </c>
      <c r="D1039" s="33" t="s">
        <v>59</v>
      </c>
      <c r="E1039" s="33" t="s">
        <v>84</v>
      </c>
      <c r="F1039" s="33" t="s">
        <v>10739</v>
      </c>
      <c r="G1039" s="33" t="s">
        <v>9</v>
      </c>
      <c r="H1039" s="33" t="n">
        <v>30</v>
      </c>
    </row>
    <row r="1040" customFormat="false" ht="54" hidden="false" customHeight="true" outlineLevel="0" collapsed="false">
      <c r="A1040" s="32" t="s">
        <v>10754</v>
      </c>
      <c r="B1040" s="32" t="s">
        <v>3716</v>
      </c>
      <c r="C1040" s="33" t="s">
        <v>98</v>
      </c>
      <c r="D1040" s="33" t="s">
        <v>59</v>
      </c>
      <c r="E1040" s="33" t="s">
        <v>84</v>
      </c>
      <c r="F1040" s="33" t="s">
        <v>10743</v>
      </c>
      <c r="G1040" s="33" t="s">
        <v>9</v>
      </c>
      <c r="H1040" s="33" t="n">
        <v>30</v>
      </c>
    </row>
    <row r="1041" customFormat="false" ht="54" hidden="false" customHeight="true" outlineLevel="0" collapsed="false">
      <c r="A1041" s="32" t="s">
        <v>10755</v>
      </c>
      <c r="B1041" s="32" t="s">
        <v>3716</v>
      </c>
      <c r="C1041" s="33" t="s">
        <v>98</v>
      </c>
      <c r="D1041" s="33" t="s">
        <v>59</v>
      </c>
      <c r="E1041" s="33" t="s">
        <v>84</v>
      </c>
      <c r="F1041" s="33" t="s">
        <v>10750</v>
      </c>
      <c r="G1041" s="33" t="s">
        <v>9</v>
      </c>
      <c r="H1041" s="33" t="n">
        <v>30</v>
      </c>
    </row>
    <row r="1042" customFormat="false" ht="54" hidden="false" customHeight="true" outlineLevel="0" collapsed="false">
      <c r="A1042" s="32" t="s">
        <v>10756</v>
      </c>
      <c r="B1042" s="32" t="s">
        <v>3716</v>
      </c>
      <c r="C1042" s="33" t="s">
        <v>98</v>
      </c>
      <c r="D1042" s="33" t="s">
        <v>59</v>
      </c>
      <c r="E1042" s="33" t="s">
        <v>84</v>
      </c>
      <c r="F1042" s="33" t="s">
        <v>10757</v>
      </c>
      <c r="G1042" s="33" t="s">
        <v>9</v>
      </c>
      <c r="H1042" s="33" t="n">
        <v>30</v>
      </c>
    </row>
    <row r="1043" customFormat="false" ht="54" hidden="false" customHeight="true" outlineLevel="0" collapsed="false">
      <c r="A1043" s="32" t="s">
        <v>10758</v>
      </c>
      <c r="B1043" s="32" t="s">
        <v>3729</v>
      </c>
      <c r="C1043" s="33" t="s">
        <v>1407</v>
      </c>
      <c r="D1043" s="33" t="s">
        <v>50</v>
      </c>
      <c r="E1043" s="33" t="s">
        <v>80</v>
      </c>
      <c r="F1043" s="33" t="s">
        <v>10759</v>
      </c>
      <c r="G1043" s="33" t="s">
        <v>9</v>
      </c>
      <c r="H1043" s="33" t="n">
        <v>30</v>
      </c>
    </row>
    <row r="1044" customFormat="false" ht="54" hidden="false" customHeight="true" outlineLevel="0" collapsed="false">
      <c r="A1044" s="32" t="s">
        <v>10760</v>
      </c>
      <c r="B1044" s="32" t="s">
        <v>3729</v>
      </c>
      <c r="C1044" s="33" t="s">
        <v>1407</v>
      </c>
      <c r="D1044" s="33" t="s">
        <v>50</v>
      </c>
      <c r="E1044" s="33" t="s">
        <v>80</v>
      </c>
      <c r="F1044" s="33" t="s">
        <v>3751</v>
      </c>
      <c r="G1044" s="33" t="s">
        <v>9</v>
      </c>
      <c r="H1044" s="33" t="n">
        <v>30</v>
      </c>
    </row>
    <row r="1045" customFormat="false" ht="54" hidden="false" customHeight="true" outlineLevel="0" collapsed="false">
      <c r="A1045" s="32" t="s">
        <v>10761</v>
      </c>
      <c r="B1045" s="32" t="s">
        <v>3729</v>
      </c>
      <c r="C1045" s="33" t="s">
        <v>1407</v>
      </c>
      <c r="D1045" s="33" t="s">
        <v>50</v>
      </c>
      <c r="E1045" s="33" t="s">
        <v>80</v>
      </c>
      <c r="F1045" s="33" t="s">
        <v>10762</v>
      </c>
      <c r="G1045" s="33" t="s">
        <v>9</v>
      </c>
      <c r="H1045" s="33" t="n">
        <v>30</v>
      </c>
    </row>
    <row r="1046" customFormat="false" ht="54" hidden="false" customHeight="true" outlineLevel="0" collapsed="false">
      <c r="A1046" s="32" t="s">
        <v>10763</v>
      </c>
      <c r="B1046" s="32" t="s">
        <v>3729</v>
      </c>
      <c r="C1046" s="33" t="s">
        <v>1407</v>
      </c>
      <c r="D1046" s="33" t="s">
        <v>50</v>
      </c>
      <c r="E1046" s="33" t="s">
        <v>81</v>
      </c>
      <c r="F1046" s="33" t="s">
        <v>10764</v>
      </c>
      <c r="G1046" s="33" t="s">
        <v>9</v>
      </c>
      <c r="H1046" s="33" t="n">
        <v>30</v>
      </c>
    </row>
    <row r="1047" customFormat="false" ht="54" hidden="false" customHeight="true" outlineLevel="0" collapsed="false">
      <c r="A1047" s="32" t="s">
        <v>10765</v>
      </c>
      <c r="B1047" s="32" t="s">
        <v>3729</v>
      </c>
      <c r="C1047" s="33" t="s">
        <v>1407</v>
      </c>
      <c r="D1047" s="33" t="s">
        <v>50</v>
      </c>
      <c r="E1047" s="33" t="s">
        <v>81</v>
      </c>
      <c r="F1047" s="33" t="s">
        <v>10766</v>
      </c>
      <c r="G1047" s="33" t="s">
        <v>9</v>
      </c>
      <c r="H1047" s="33" t="n">
        <v>30</v>
      </c>
    </row>
    <row r="1048" customFormat="false" ht="54" hidden="false" customHeight="true" outlineLevel="0" collapsed="false">
      <c r="A1048" s="32" t="s">
        <v>10767</v>
      </c>
      <c r="B1048" s="32" t="s">
        <v>3729</v>
      </c>
      <c r="C1048" s="33" t="s">
        <v>1407</v>
      </c>
      <c r="D1048" s="33" t="s">
        <v>50</v>
      </c>
      <c r="E1048" s="33" t="s">
        <v>81</v>
      </c>
      <c r="F1048" s="33" t="s">
        <v>10768</v>
      </c>
      <c r="G1048" s="33" t="s">
        <v>9</v>
      </c>
      <c r="H1048" s="33" t="n">
        <v>30</v>
      </c>
    </row>
    <row r="1049" customFormat="false" ht="54" hidden="false" customHeight="true" outlineLevel="0" collapsed="false">
      <c r="A1049" s="32" t="s">
        <v>10769</v>
      </c>
      <c r="B1049" s="32" t="s">
        <v>3729</v>
      </c>
      <c r="C1049" s="33" t="s">
        <v>1407</v>
      </c>
      <c r="D1049" s="33" t="s">
        <v>50</v>
      </c>
      <c r="E1049" s="33" t="s">
        <v>81</v>
      </c>
      <c r="F1049" s="33" t="s">
        <v>10770</v>
      </c>
      <c r="G1049" s="33" t="s">
        <v>9</v>
      </c>
      <c r="H1049" s="33" t="n">
        <v>30</v>
      </c>
    </row>
    <row r="1050" customFormat="false" ht="54" hidden="false" customHeight="true" outlineLevel="0" collapsed="false">
      <c r="A1050" s="32" t="s">
        <v>10771</v>
      </c>
      <c r="B1050" s="32" t="s">
        <v>3729</v>
      </c>
      <c r="C1050" s="33" t="s">
        <v>1407</v>
      </c>
      <c r="D1050" s="33" t="s">
        <v>50</v>
      </c>
      <c r="E1050" s="33" t="s">
        <v>81</v>
      </c>
      <c r="F1050" s="33" t="s">
        <v>10772</v>
      </c>
      <c r="G1050" s="33" t="s">
        <v>9</v>
      </c>
      <c r="H1050" s="33" t="n">
        <v>30</v>
      </c>
    </row>
    <row r="1051" customFormat="false" ht="54" hidden="false" customHeight="true" outlineLevel="0" collapsed="false">
      <c r="A1051" s="32" t="s">
        <v>10773</v>
      </c>
      <c r="B1051" s="32" t="s">
        <v>3729</v>
      </c>
      <c r="C1051" s="33" t="s">
        <v>1407</v>
      </c>
      <c r="D1051" s="33" t="s">
        <v>50</v>
      </c>
      <c r="E1051" s="33" t="s">
        <v>84</v>
      </c>
      <c r="F1051" s="33" t="s">
        <v>10759</v>
      </c>
      <c r="G1051" s="33" t="s">
        <v>9</v>
      </c>
      <c r="H1051" s="33" t="n">
        <v>30</v>
      </c>
    </row>
    <row r="1052" customFormat="false" ht="54" hidden="false" customHeight="true" outlineLevel="0" collapsed="false">
      <c r="A1052" s="32" t="s">
        <v>10774</v>
      </c>
      <c r="B1052" s="32" t="s">
        <v>3729</v>
      </c>
      <c r="C1052" s="33" t="s">
        <v>1407</v>
      </c>
      <c r="D1052" s="33" t="s">
        <v>50</v>
      </c>
      <c r="E1052" s="33" t="s">
        <v>84</v>
      </c>
      <c r="F1052" s="33" t="s">
        <v>3751</v>
      </c>
      <c r="G1052" s="33" t="s">
        <v>9</v>
      </c>
      <c r="H1052" s="33" t="n">
        <v>30</v>
      </c>
    </row>
    <row r="1053" customFormat="false" ht="54" hidden="false" customHeight="true" outlineLevel="0" collapsed="false">
      <c r="A1053" s="32" t="s">
        <v>10775</v>
      </c>
      <c r="B1053" s="32" t="s">
        <v>3729</v>
      </c>
      <c r="C1053" s="33" t="s">
        <v>1407</v>
      </c>
      <c r="D1053" s="33" t="s">
        <v>50</v>
      </c>
      <c r="E1053" s="33" t="s">
        <v>84</v>
      </c>
      <c r="F1053" s="33" t="s">
        <v>10762</v>
      </c>
      <c r="G1053" s="33" t="s">
        <v>9</v>
      </c>
      <c r="H1053" s="33" t="n">
        <v>30</v>
      </c>
    </row>
    <row r="1054" customFormat="false" ht="54" hidden="false" customHeight="true" outlineLevel="0" collapsed="false">
      <c r="A1054" s="32" t="s">
        <v>10776</v>
      </c>
      <c r="B1054" s="32" t="s">
        <v>3743</v>
      </c>
      <c r="C1054" s="33" t="s">
        <v>1407</v>
      </c>
      <c r="D1054" s="33" t="s">
        <v>50</v>
      </c>
      <c r="E1054" s="33" t="s">
        <v>80</v>
      </c>
      <c r="F1054" s="33" t="s">
        <v>10777</v>
      </c>
      <c r="G1054" s="33" t="s">
        <v>9</v>
      </c>
      <c r="H1054" s="33" t="n">
        <v>30</v>
      </c>
    </row>
    <row r="1055" customFormat="false" ht="54" hidden="false" customHeight="true" outlineLevel="0" collapsed="false">
      <c r="A1055" s="32" t="s">
        <v>10778</v>
      </c>
      <c r="B1055" s="32" t="s">
        <v>3743</v>
      </c>
      <c r="C1055" s="33" t="s">
        <v>1407</v>
      </c>
      <c r="D1055" s="33" t="s">
        <v>50</v>
      </c>
      <c r="E1055" s="33" t="s">
        <v>80</v>
      </c>
      <c r="F1055" s="33" t="s">
        <v>10779</v>
      </c>
      <c r="G1055" s="33" t="s">
        <v>9</v>
      </c>
      <c r="H1055" s="33" t="n">
        <v>30</v>
      </c>
    </row>
    <row r="1056" customFormat="false" ht="54" hidden="false" customHeight="true" outlineLevel="0" collapsed="false">
      <c r="A1056" s="32" t="s">
        <v>10780</v>
      </c>
      <c r="B1056" s="32" t="s">
        <v>3743</v>
      </c>
      <c r="C1056" s="33" t="s">
        <v>1407</v>
      </c>
      <c r="D1056" s="33" t="s">
        <v>50</v>
      </c>
      <c r="E1056" s="33" t="s">
        <v>80</v>
      </c>
      <c r="F1056" s="33" t="s">
        <v>10781</v>
      </c>
      <c r="G1056" s="33" t="s">
        <v>9</v>
      </c>
      <c r="H1056" s="33" t="n">
        <v>30</v>
      </c>
    </row>
    <row r="1057" customFormat="false" ht="54" hidden="false" customHeight="true" outlineLevel="0" collapsed="false">
      <c r="A1057" s="32" t="s">
        <v>10782</v>
      </c>
      <c r="B1057" s="32" t="s">
        <v>3743</v>
      </c>
      <c r="C1057" s="33" t="s">
        <v>1407</v>
      </c>
      <c r="D1057" s="33" t="s">
        <v>50</v>
      </c>
      <c r="E1057" s="33" t="s">
        <v>80</v>
      </c>
      <c r="F1057" s="33" t="s">
        <v>10783</v>
      </c>
      <c r="G1057" s="33" t="s">
        <v>9</v>
      </c>
      <c r="H1057" s="33" t="n">
        <v>30</v>
      </c>
    </row>
    <row r="1058" customFormat="false" ht="54" hidden="false" customHeight="true" outlineLevel="0" collapsed="false">
      <c r="A1058" s="32" t="s">
        <v>10784</v>
      </c>
      <c r="B1058" s="32" t="s">
        <v>3743</v>
      </c>
      <c r="C1058" s="33" t="s">
        <v>1407</v>
      </c>
      <c r="D1058" s="33" t="s">
        <v>50</v>
      </c>
      <c r="E1058" s="33" t="s">
        <v>80</v>
      </c>
      <c r="F1058" s="33" t="s">
        <v>10785</v>
      </c>
      <c r="G1058" s="33" t="s">
        <v>9</v>
      </c>
      <c r="H1058" s="33" t="n">
        <v>30</v>
      </c>
    </row>
    <row r="1059" customFormat="false" ht="54" hidden="false" customHeight="true" outlineLevel="0" collapsed="false">
      <c r="A1059" s="32" t="s">
        <v>10786</v>
      </c>
      <c r="B1059" s="32" t="s">
        <v>3743</v>
      </c>
      <c r="C1059" s="33" t="s">
        <v>1407</v>
      </c>
      <c r="D1059" s="33" t="s">
        <v>50</v>
      </c>
      <c r="E1059" s="33" t="s">
        <v>81</v>
      </c>
      <c r="F1059" s="33" t="s">
        <v>10787</v>
      </c>
      <c r="G1059" s="33" t="s">
        <v>9</v>
      </c>
      <c r="H1059" s="33" t="n">
        <v>30</v>
      </c>
    </row>
    <row r="1060" customFormat="false" ht="54" hidden="false" customHeight="true" outlineLevel="0" collapsed="false">
      <c r="A1060" s="32" t="s">
        <v>10788</v>
      </c>
      <c r="B1060" s="32" t="s">
        <v>3743</v>
      </c>
      <c r="C1060" s="33" t="s">
        <v>1407</v>
      </c>
      <c r="D1060" s="33" t="s">
        <v>50</v>
      </c>
      <c r="E1060" s="33" t="s">
        <v>81</v>
      </c>
      <c r="F1060" s="33" t="s">
        <v>10789</v>
      </c>
      <c r="G1060" s="33" t="s">
        <v>9</v>
      </c>
      <c r="H1060" s="33" t="n">
        <v>30</v>
      </c>
    </row>
    <row r="1061" customFormat="false" ht="54" hidden="false" customHeight="true" outlineLevel="0" collapsed="false">
      <c r="A1061" s="32" t="s">
        <v>10790</v>
      </c>
      <c r="B1061" s="32" t="s">
        <v>3743</v>
      </c>
      <c r="C1061" s="33" t="s">
        <v>1407</v>
      </c>
      <c r="D1061" s="33" t="s">
        <v>50</v>
      </c>
      <c r="E1061" s="33" t="s">
        <v>81</v>
      </c>
      <c r="F1061" s="33" t="s">
        <v>10791</v>
      </c>
      <c r="G1061" s="33" t="s">
        <v>9</v>
      </c>
      <c r="H1061" s="33" t="n">
        <v>30</v>
      </c>
    </row>
    <row r="1062" customFormat="false" ht="54" hidden="false" customHeight="true" outlineLevel="0" collapsed="false">
      <c r="A1062" s="32" t="s">
        <v>10792</v>
      </c>
      <c r="B1062" s="32" t="s">
        <v>3743</v>
      </c>
      <c r="C1062" s="33" t="s">
        <v>1407</v>
      </c>
      <c r="D1062" s="33" t="s">
        <v>50</v>
      </c>
      <c r="E1062" s="33" t="s">
        <v>81</v>
      </c>
      <c r="F1062" s="33" t="s">
        <v>10781</v>
      </c>
      <c r="G1062" s="33" t="s">
        <v>9</v>
      </c>
      <c r="H1062" s="33" t="n">
        <v>30</v>
      </c>
    </row>
    <row r="1063" customFormat="false" ht="54" hidden="false" customHeight="true" outlineLevel="0" collapsed="false">
      <c r="A1063" s="32" t="s">
        <v>10793</v>
      </c>
      <c r="B1063" s="32" t="s">
        <v>3743</v>
      </c>
      <c r="C1063" s="33" t="s">
        <v>1407</v>
      </c>
      <c r="D1063" s="33" t="s">
        <v>50</v>
      </c>
      <c r="E1063" s="33" t="s">
        <v>81</v>
      </c>
      <c r="F1063" s="33" t="s">
        <v>10783</v>
      </c>
      <c r="G1063" s="33" t="s">
        <v>9</v>
      </c>
      <c r="H1063" s="33" t="n">
        <v>30</v>
      </c>
    </row>
    <row r="1064" customFormat="false" ht="54" hidden="false" customHeight="true" outlineLevel="0" collapsed="false">
      <c r="A1064" s="32" t="s">
        <v>10794</v>
      </c>
      <c r="B1064" s="32" t="s">
        <v>3743</v>
      </c>
      <c r="C1064" s="33" t="s">
        <v>1407</v>
      </c>
      <c r="D1064" s="33" t="s">
        <v>50</v>
      </c>
      <c r="E1064" s="33" t="s">
        <v>84</v>
      </c>
      <c r="F1064" s="33" t="s">
        <v>10795</v>
      </c>
      <c r="G1064" s="33" t="s">
        <v>9</v>
      </c>
      <c r="H1064" s="33" t="n">
        <v>30</v>
      </c>
    </row>
    <row r="1065" customFormat="false" ht="54" hidden="false" customHeight="true" outlineLevel="0" collapsed="false">
      <c r="A1065" s="32" t="s">
        <v>10796</v>
      </c>
      <c r="B1065" s="32" t="s">
        <v>3743</v>
      </c>
      <c r="C1065" s="33" t="s">
        <v>1407</v>
      </c>
      <c r="D1065" s="33" t="s">
        <v>50</v>
      </c>
      <c r="E1065" s="33" t="s">
        <v>84</v>
      </c>
      <c r="F1065" s="33" t="s">
        <v>3751</v>
      </c>
      <c r="G1065" s="33" t="s">
        <v>9</v>
      </c>
      <c r="H1065" s="33" t="n">
        <v>30</v>
      </c>
    </row>
    <row r="1066" customFormat="false" ht="54" hidden="false" customHeight="true" outlineLevel="0" collapsed="false">
      <c r="A1066" s="32" t="s">
        <v>10797</v>
      </c>
      <c r="B1066" s="32" t="s">
        <v>3743</v>
      </c>
      <c r="C1066" s="33" t="s">
        <v>1407</v>
      </c>
      <c r="D1066" s="33" t="s">
        <v>50</v>
      </c>
      <c r="E1066" s="33" t="s">
        <v>84</v>
      </c>
      <c r="F1066" s="33" t="s">
        <v>10798</v>
      </c>
      <c r="G1066" s="33" t="s">
        <v>9</v>
      </c>
      <c r="H1066" s="33" t="n">
        <v>30</v>
      </c>
    </row>
    <row r="1067" customFormat="false" ht="54" hidden="false" customHeight="true" outlineLevel="0" collapsed="false">
      <c r="A1067" s="32" t="s">
        <v>10799</v>
      </c>
      <c r="B1067" s="32" t="s">
        <v>3743</v>
      </c>
      <c r="C1067" s="33" t="s">
        <v>1407</v>
      </c>
      <c r="D1067" s="33" t="s">
        <v>50</v>
      </c>
      <c r="E1067" s="33" t="s">
        <v>86</v>
      </c>
      <c r="F1067" s="33" t="s">
        <v>10800</v>
      </c>
      <c r="G1067" s="33" t="s">
        <v>9</v>
      </c>
      <c r="H1067" s="33" t="n">
        <v>30</v>
      </c>
    </row>
    <row r="1068" customFormat="false" ht="54" hidden="false" customHeight="true" outlineLevel="0" collapsed="false">
      <c r="A1068" s="32" t="s">
        <v>10801</v>
      </c>
      <c r="B1068" s="32" t="s">
        <v>3743</v>
      </c>
      <c r="C1068" s="33" t="s">
        <v>1407</v>
      </c>
      <c r="D1068" s="33" t="s">
        <v>50</v>
      </c>
      <c r="E1068" s="33" t="s">
        <v>86</v>
      </c>
      <c r="F1068" s="33" t="s">
        <v>10802</v>
      </c>
      <c r="G1068" s="33" t="s">
        <v>9</v>
      </c>
      <c r="H1068" s="33" t="n">
        <v>30</v>
      </c>
    </row>
    <row r="1069" customFormat="false" ht="54" hidden="false" customHeight="true" outlineLevel="0" collapsed="false">
      <c r="A1069" s="32" t="s">
        <v>10803</v>
      </c>
      <c r="B1069" s="32" t="s">
        <v>3758</v>
      </c>
      <c r="C1069" s="33" t="s">
        <v>1714</v>
      </c>
      <c r="D1069" s="33" t="s">
        <v>54</v>
      </c>
      <c r="E1069" s="33" t="s">
        <v>80</v>
      </c>
      <c r="F1069" s="33" t="s">
        <v>10804</v>
      </c>
      <c r="G1069" s="33" t="s">
        <v>9</v>
      </c>
      <c r="H1069" s="33" t="n">
        <v>30</v>
      </c>
    </row>
    <row r="1070" customFormat="false" ht="54" hidden="false" customHeight="true" outlineLevel="0" collapsed="false">
      <c r="A1070" s="32" t="s">
        <v>10805</v>
      </c>
      <c r="B1070" s="32" t="s">
        <v>3758</v>
      </c>
      <c r="C1070" s="33" t="s">
        <v>1714</v>
      </c>
      <c r="D1070" s="33" t="s">
        <v>54</v>
      </c>
      <c r="E1070" s="33" t="s">
        <v>80</v>
      </c>
      <c r="F1070" s="33" t="s">
        <v>10806</v>
      </c>
      <c r="G1070" s="33" t="s">
        <v>9</v>
      </c>
      <c r="H1070" s="33" t="n">
        <v>30</v>
      </c>
    </row>
    <row r="1071" customFormat="false" ht="54" hidden="false" customHeight="true" outlineLevel="0" collapsed="false">
      <c r="A1071" s="32" t="s">
        <v>10807</v>
      </c>
      <c r="B1071" s="32" t="s">
        <v>3758</v>
      </c>
      <c r="C1071" s="33" t="s">
        <v>1714</v>
      </c>
      <c r="D1071" s="33" t="s">
        <v>54</v>
      </c>
      <c r="E1071" s="33" t="s">
        <v>80</v>
      </c>
      <c r="F1071" s="33" t="s">
        <v>3768</v>
      </c>
      <c r="G1071" s="33" t="s">
        <v>9</v>
      </c>
      <c r="H1071" s="33" t="n">
        <v>30</v>
      </c>
    </row>
    <row r="1072" customFormat="false" ht="54" hidden="false" customHeight="true" outlineLevel="0" collapsed="false">
      <c r="A1072" s="32" t="s">
        <v>10808</v>
      </c>
      <c r="B1072" s="32" t="s">
        <v>3758</v>
      </c>
      <c r="C1072" s="33" t="s">
        <v>1714</v>
      </c>
      <c r="D1072" s="33" t="s">
        <v>54</v>
      </c>
      <c r="E1072" s="33" t="s">
        <v>80</v>
      </c>
      <c r="F1072" s="33" t="s">
        <v>10809</v>
      </c>
      <c r="G1072" s="33" t="s">
        <v>9</v>
      </c>
      <c r="H1072" s="33" t="n">
        <v>30</v>
      </c>
    </row>
    <row r="1073" customFormat="false" ht="54" hidden="false" customHeight="true" outlineLevel="0" collapsed="false">
      <c r="A1073" s="32" t="s">
        <v>10810</v>
      </c>
      <c r="B1073" s="32" t="s">
        <v>3758</v>
      </c>
      <c r="C1073" s="33" t="s">
        <v>1714</v>
      </c>
      <c r="D1073" s="33" t="s">
        <v>54</v>
      </c>
      <c r="E1073" s="33" t="s">
        <v>80</v>
      </c>
      <c r="F1073" s="33" t="s">
        <v>10811</v>
      </c>
      <c r="G1073" s="33" t="s">
        <v>9</v>
      </c>
      <c r="H1073" s="33" t="n">
        <v>30</v>
      </c>
    </row>
    <row r="1074" customFormat="false" ht="54" hidden="false" customHeight="true" outlineLevel="0" collapsed="false">
      <c r="A1074" s="32" t="s">
        <v>10812</v>
      </c>
      <c r="B1074" s="32" t="s">
        <v>3758</v>
      </c>
      <c r="C1074" s="33" t="s">
        <v>1714</v>
      </c>
      <c r="D1074" s="33" t="s">
        <v>54</v>
      </c>
      <c r="E1074" s="33" t="s">
        <v>81</v>
      </c>
      <c r="F1074" s="33" t="s">
        <v>3768</v>
      </c>
      <c r="G1074" s="33" t="s">
        <v>9</v>
      </c>
      <c r="H1074" s="33" t="n">
        <v>30</v>
      </c>
    </row>
    <row r="1075" customFormat="false" ht="54" hidden="false" customHeight="true" outlineLevel="0" collapsed="false">
      <c r="A1075" s="32" t="s">
        <v>10813</v>
      </c>
      <c r="B1075" s="32" t="s">
        <v>3758</v>
      </c>
      <c r="C1075" s="33" t="s">
        <v>1714</v>
      </c>
      <c r="D1075" s="33" t="s">
        <v>54</v>
      </c>
      <c r="E1075" s="33" t="s">
        <v>82</v>
      </c>
      <c r="F1075" s="33" t="s">
        <v>10804</v>
      </c>
      <c r="G1075" s="33" t="s">
        <v>9</v>
      </c>
      <c r="H1075" s="33" t="n">
        <v>30</v>
      </c>
    </row>
    <row r="1076" customFormat="false" ht="54" hidden="false" customHeight="true" outlineLevel="0" collapsed="false">
      <c r="A1076" s="32" t="s">
        <v>10814</v>
      </c>
      <c r="B1076" s="32" t="s">
        <v>3758</v>
      </c>
      <c r="C1076" s="33" t="s">
        <v>1714</v>
      </c>
      <c r="D1076" s="33" t="s">
        <v>54</v>
      </c>
      <c r="E1076" s="33" t="s">
        <v>82</v>
      </c>
      <c r="F1076" s="33" t="s">
        <v>10815</v>
      </c>
      <c r="G1076" s="33" t="s">
        <v>9</v>
      </c>
      <c r="H1076" s="33" t="n">
        <v>30</v>
      </c>
    </row>
    <row r="1077" customFormat="false" ht="54" hidden="false" customHeight="true" outlineLevel="0" collapsed="false">
      <c r="A1077" s="32" t="s">
        <v>10816</v>
      </c>
      <c r="B1077" s="32" t="s">
        <v>3758</v>
      </c>
      <c r="C1077" s="33" t="s">
        <v>1714</v>
      </c>
      <c r="D1077" s="33" t="s">
        <v>54</v>
      </c>
      <c r="E1077" s="33" t="s">
        <v>82</v>
      </c>
      <c r="F1077" s="33" t="s">
        <v>3768</v>
      </c>
      <c r="G1077" s="33" t="s">
        <v>9</v>
      </c>
      <c r="H1077" s="33" t="n">
        <v>30</v>
      </c>
    </row>
    <row r="1078" customFormat="false" ht="54" hidden="false" customHeight="true" outlineLevel="0" collapsed="false">
      <c r="A1078" s="32" t="s">
        <v>10817</v>
      </c>
      <c r="B1078" s="32" t="s">
        <v>3758</v>
      </c>
      <c r="C1078" s="33" t="s">
        <v>1714</v>
      </c>
      <c r="D1078" s="33" t="s">
        <v>54</v>
      </c>
      <c r="E1078" s="33" t="s">
        <v>82</v>
      </c>
      <c r="F1078" s="33" t="s">
        <v>10809</v>
      </c>
      <c r="G1078" s="33" t="s">
        <v>9</v>
      </c>
      <c r="H1078" s="33" t="n">
        <v>30</v>
      </c>
    </row>
    <row r="1079" customFormat="false" ht="54" hidden="false" customHeight="true" outlineLevel="0" collapsed="false">
      <c r="A1079" s="32" t="s">
        <v>10818</v>
      </c>
      <c r="B1079" s="32" t="s">
        <v>3758</v>
      </c>
      <c r="C1079" s="33" t="s">
        <v>1714</v>
      </c>
      <c r="D1079" s="33" t="s">
        <v>54</v>
      </c>
      <c r="E1079" s="33" t="s">
        <v>82</v>
      </c>
      <c r="F1079" s="33" t="s">
        <v>10811</v>
      </c>
      <c r="G1079" s="33" t="s">
        <v>9</v>
      </c>
      <c r="H1079" s="33" t="n">
        <v>30</v>
      </c>
    </row>
    <row r="1080" customFormat="false" ht="54" hidden="false" customHeight="true" outlineLevel="0" collapsed="false">
      <c r="A1080" s="32" t="s">
        <v>10819</v>
      </c>
      <c r="B1080" s="32" t="s">
        <v>3758</v>
      </c>
      <c r="C1080" s="33" t="s">
        <v>1714</v>
      </c>
      <c r="D1080" s="33" t="s">
        <v>54</v>
      </c>
      <c r="E1080" s="33" t="s">
        <v>82</v>
      </c>
      <c r="F1080" s="33" t="s">
        <v>10820</v>
      </c>
      <c r="G1080" s="33" t="s">
        <v>9</v>
      </c>
      <c r="H1080" s="33" t="n">
        <v>30</v>
      </c>
    </row>
    <row r="1081" customFormat="false" ht="54" hidden="false" customHeight="true" outlineLevel="0" collapsed="false">
      <c r="A1081" s="32" t="s">
        <v>10821</v>
      </c>
      <c r="B1081" s="32" t="s">
        <v>3758</v>
      </c>
      <c r="C1081" s="33" t="s">
        <v>1714</v>
      </c>
      <c r="D1081" s="33" t="s">
        <v>54</v>
      </c>
      <c r="E1081" s="33" t="s">
        <v>83</v>
      </c>
      <c r="F1081" s="33" t="s">
        <v>3770</v>
      </c>
      <c r="G1081" s="33" t="s">
        <v>9</v>
      </c>
      <c r="H1081" s="33" t="n">
        <v>30</v>
      </c>
    </row>
    <row r="1082" customFormat="false" ht="54" hidden="false" customHeight="true" outlineLevel="0" collapsed="false">
      <c r="A1082" s="32" t="s">
        <v>10822</v>
      </c>
      <c r="B1082" s="32" t="s">
        <v>3758</v>
      </c>
      <c r="C1082" s="33" t="s">
        <v>1714</v>
      </c>
      <c r="D1082" s="33" t="s">
        <v>54</v>
      </c>
      <c r="E1082" s="33" t="s">
        <v>84</v>
      </c>
      <c r="F1082" s="33" t="s">
        <v>10815</v>
      </c>
      <c r="G1082" s="33" t="s">
        <v>9</v>
      </c>
      <c r="H1082" s="33" t="n">
        <v>30</v>
      </c>
    </row>
    <row r="1083" customFormat="false" ht="54" hidden="false" customHeight="true" outlineLevel="0" collapsed="false">
      <c r="A1083" s="32" t="s">
        <v>10823</v>
      </c>
      <c r="B1083" s="32" t="s">
        <v>3758</v>
      </c>
      <c r="C1083" s="33" t="s">
        <v>1714</v>
      </c>
      <c r="D1083" s="33" t="s">
        <v>54</v>
      </c>
      <c r="E1083" s="33" t="s">
        <v>84</v>
      </c>
      <c r="F1083" s="33" t="s">
        <v>10809</v>
      </c>
      <c r="G1083" s="33" t="s">
        <v>9</v>
      </c>
      <c r="H1083" s="33" t="n">
        <v>30</v>
      </c>
    </row>
    <row r="1084" customFormat="false" ht="54" hidden="false" customHeight="true" outlineLevel="0" collapsed="false">
      <c r="A1084" s="32" t="s">
        <v>10824</v>
      </c>
      <c r="B1084" s="32" t="s">
        <v>3758</v>
      </c>
      <c r="C1084" s="33" t="s">
        <v>1714</v>
      </c>
      <c r="D1084" s="33" t="s">
        <v>54</v>
      </c>
      <c r="E1084" s="33" t="s">
        <v>84</v>
      </c>
      <c r="F1084" s="33" t="s">
        <v>10811</v>
      </c>
      <c r="G1084" s="33" t="s">
        <v>9</v>
      </c>
      <c r="H1084" s="33" t="n">
        <v>30</v>
      </c>
    </row>
    <row r="1085" customFormat="false" ht="54" hidden="false" customHeight="true" outlineLevel="0" collapsed="false">
      <c r="A1085" s="32" t="s">
        <v>10825</v>
      </c>
      <c r="B1085" s="32" t="s">
        <v>3758</v>
      </c>
      <c r="C1085" s="33" t="s">
        <v>1714</v>
      </c>
      <c r="D1085" s="33" t="s">
        <v>54</v>
      </c>
      <c r="E1085" s="33" t="s">
        <v>84</v>
      </c>
      <c r="F1085" s="33" t="s">
        <v>10820</v>
      </c>
      <c r="G1085" s="33" t="s">
        <v>9</v>
      </c>
      <c r="H1085" s="33" t="n">
        <v>30</v>
      </c>
    </row>
    <row r="1086" customFormat="false" ht="54" hidden="false" customHeight="true" outlineLevel="0" collapsed="false">
      <c r="A1086" s="32" t="s">
        <v>10826</v>
      </c>
      <c r="B1086" s="32" t="s">
        <v>3758</v>
      </c>
      <c r="C1086" s="33" t="s">
        <v>1714</v>
      </c>
      <c r="D1086" s="33" t="s">
        <v>54</v>
      </c>
      <c r="E1086" s="33" t="s">
        <v>84</v>
      </c>
      <c r="F1086" s="33" t="s">
        <v>3751</v>
      </c>
      <c r="G1086" s="33" t="s">
        <v>9</v>
      </c>
      <c r="H1086" s="33" t="n">
        <v>30</v>
      </c>
    </row>
    <row r="1087" customFormat="false" ht="54" hidden="false" customHeight="true" outlineLevel="0" collapsed="false">
      <c r="A1087" s="32" t="s">
        <v>10827</v>
      </c>
      <c r="B1087" s="32" t="s">
        <v>3774</v>
      </c>
      <c r="C1087" s="33" t="s">
        <v>1714</v>
      </c>
      <c r="D1087" s="33" t="s">
        <v>54</v>
      </c>
      <c r="E1087" s="33" t="s">
        <v>80</v>
      </c>
      <c r="F1087" s="33" t="s">
        <v>3782</v>
      </c>
      <c r="G1087" s="33" t="s">
        <v>9</v>
      </c>
      <c r="H1087" s="33" t="n">
        <v>30</v>
      </c>
    </row>
    <row r="1088" customFormat="false" ht="54" hidden="false" customHeight="true" outlineLevel="0" collapsed="false">
      <c r="A1088" s="32" t="s">
        <v>10828</v>
      </c>
      <c r="B1088" s="32" t="s">
        <v>3774</v>
      </c>
      <c r="C1088" s="33" t="s">
        <v>1714</v>
      </c>
      <c r="D1088" s="33" t="s">
        <v>54</v>
      </c>
      <c r="E1088" s="33" t="s">
        <v>80</v>
      </c>
      <c r="F1088" s="33" t="s">
        <v>10829</v>
      </c>
      <c r="G1088" s="33" t="s">
        <v>9</v>
      </c>
      <c r="H1088" s="33" t="n">
        <v>30</v>
      </c>
    </row>
    <row r="1089" customFormat="false" ht="54" hidden="false" customHeight="true" outlineLevel="0" collapsed="false">
      <c r="A1089" s="32" t="s">
        <v>10830</v>
      </c>
      <c r="B1089" s="32" t="s">
        <v>3774</v>
      </c>
      <c r="C1089" s="33" t="s">
        <v>1714</v>
      </c>
      <c r="D1089" s="33" t="s">
        <v>54</v>
      </c>
      <c r="E1089" s="33" t="s">
        <v>80</v>
      </c>
      <c r="F1089" s="33" t="s">
        <v>3786</v>
      </c>
      <c r="G1089" s="33" t="s">
        <v>9</v>
      </c>
      <c r="H1089" s="33" t="n">
        <v>30</v>
      </c>
    </row>
    <row r="1090" customFormat="false" ht="54" hidden="false" customHeight="true" outlineLevel="0" collapsed="false">
      <c r="A1090" s="32" t="s">
        <v>10831</v>
      </c>
      <c r="B1090" s="32" t="s">
        <v>3774</v>
      </c>
      <c r="C1090" s="33" t="s">
        <v>1714</v>
      </c>
      <c r="D1090" s="33" t="s">
        <v>54</v>
      </c>
      <c r="E1090" s="33" t="s">
        <v>80</v>
      </c>
      <c r="F1090" s="33" t="s">
        <v>10832</v>
      </c>
      <c r="G1090" s="33" t="s">
        <v>9</v>
      </c>
      <c r="H1090" s="33" t="n">
        <v>30</v>
      </c>
    </row>
    <row r="1091" customFormat="false" ht="54" hidden="false" customHeight="true" outlineLevel="0" collapsed="false">
      <c r="A1091" s="32" t="s">
        <v>10833</v>
      </c>
      <c r="B1091" s="32" t="s">
        <v>3774</v>
      </c>
      <c r="C1091" s="33" t="s">
        <v>1714</v>
      </c>
      <c r="D1091" s="33" t="s">
        <v>54</v>
      </c>
      <c r="E1091" s="33" t="s">
        <v>81</v>
      </c>
      <c r="F1091" s="33" t="s">
        <v>10834</v>
      </c>
      <c r="G1091" s="33" t="s">
        <v>9</v>
      </c>
      <c r="H1091" s="33" t="n">
        <v>30</v>
      </c>
    </row>
    <row r="1092" customFormat="false" ht="54" hidden="false" customHeight="true" outlineLevel="0" collapsed="false">
      <c r="A1092" s="32" t="s">
        <v>10835</v>
      </c>
      <c r="B1092" s="32" t="s">
        <v>3774</v>
      </c>
      <c r="C1092" s="33" t="s">
        <v>1714</v>
      </c>
      <c r="D1092" s="33" t="s">
        <v>54</v>
      </c>
      <c r="E1092" s="33" t="s">
        <v>81</v>
      </c>
      <c r="F1092" s="33" t="s">
        <v>10836</v>
      </c>
      <c r="G1092" s="33" t="s">
        <v>9</v>
      </c>
      <c r="H1092" s="33" t="n">
        <v>30</v>
      </c>
    </row>
    <row r="1093" customFormat="false" ht="54" hidden="false" customHeight="true" outlineLevel="0" collapsed="false">
      <c r="A1093" s="32" t="s">
        <v>10837</v>
      </c>
      <c r="B1093" s="32" t="s">
        <v>3774</v>
      </c>
      <c r="C1093" s="33" t="s">
        <v>1714</v>
      </c>
      <c r="D1093" s="33" t="s">
        <v>54</v>
      </c>
      <c r="E1093" s="33" t="s">
        <v>81</v>
      </c>
      <c r="F1093" s="33" t="s">
        <v>3782</v>
      </c>
      <c r="G1093" s="33" t="s">
        <v>9</v>
      </c>
      <c r="H1093" s="33" t="n">
        <v>30</v>
      </c>
    </row>
    <row r="1094" customFormat="false" ht="54" hidden="false" customHeight="true" outlineLevel="0" collapsed="false">
      <c r="A1094" s="32" t="s">
        <v>10838</v>
      </c>
      <c r="B1094" s="32" t="s">
        <v>3774</v>
      </c>
      <c r="C1094" s="33" t="s">
        <v>1714</v>
      </c>
      <c r="D1094" s="33" t="s">
        <v>54</v>
      </c>
      <c r="E1094" s="33" t="s">
        <v>81</v>
      </c>
      <c r="F1094" s="33" t="s">
        <v>10829</v>
      </c>
      <c r="G1094" s="33" t="s">
        <v>9</v>
      </c>
      <c r="H1094" s="33" t="n">
        <v>30</v>
      </c>
    </row>
    <row r="1095" customFormat="false" ht="54" hidden="false" customHeight="true" outlineLevel="0" collapsed="false">
      <c r="A1095" s="32" t="s">
        <v>10839</v>
      </c>
      <c r="B1095" s="32" t="s">
        <v>3774</v>
      </c>
      <c r="C1095" s="33" t="s">
        <v>1714</v>
      </c>
      <c r="D1095" s="33" t="s">
        <v>54</v>
      </c>
      <c r="E1095" s="33" t="s">
        <v>81</v>
      </c>
      <c r="F1095" s="33" t="s">
        <v>10840</v>
      </c>
      <c r="G1095" s="33" t="s">
        <v>9</v>
      </c>
      <c r="H1095" s="33" t="n">
        <v>30</v>
      </c>
    </row>
    <row r="1096" customFormat="false" ht="54" hidden="false" customHeight="true" outlineLevel="0" collapsed="false">
      <c r="A1096" s="32" t="s">
        <v>10841</v>
      </c>
      <c r="B1096" s="32" t="s">
        <v>3774</v>
      </c>
      <c r="C1096" s="33" t="s">
        <v>1714</v>
      </c>
      <c r="D1096" s="33" t="s">
        <v>54</v>
      </c>
      <c r="E1096" s="33" t="s">
        <v>83</v>
      </c>
      <c r="F1096" s="33" t="s">
        <v>3782</v>
      </c>
      <c r="G1096" s="33" t="s">
        <v>9</v>
      </c>
      <c r="H1096" s="33" t="n">
        <v>30</v>
      </c>
    </row>
    <row r="1097" customFormat="false" ht="54" hidden="false" customHeight="true" outlineLevel="0" collapsed="false">
      <c r="A1097" s="32" t="s">
        <v>10842</v>
      </c>
      <c r="B1097" s="32" t="s">
        <v>3774</v>
      </c>
      <c r="C1097" s="33" t="s">
        <v>1714</v>
      </c>
      <c r="D1097" s="33" t="s">
        <v>54</v>
      </c>
      <c r="E1097" s="33" t="s">
        <v>83</v>
      </c>
      <c r="F1097" s="33" t="s">
        <v>3786</v>
      </c>
      <c r="G1097" s="33" t="s">
        <v>9</v>
      </c>
      <c r="H1097" s="33" t="n">
        <v>30</v>
      </c>
    </row>
    <row r="1098" customFormat="false" ht="54" hidden="false" customHeight="true" outlineLevel="0" collapsed="false">
      <c r="A1098" s="32" t="s">
        <v>10843</v>
      </c>
      <c r="B1098" s="32" t="s">
        <v>3774</v>
      </c>
      <c r="C1098" s="33" t="s">
        <v>1714</v>
      </c>
      <c r="D1098" s="33" t="s">
        <v>54</v>
      </c>
      <c r="E1098" s="33" t="s">
        <v>83</v>
      </c>
      <c r="F1098" s="33" t="s">
        <v>10832</v>
      </c>
      <c r="G1098" s="33" t="s">
        <v>9</v>
      </c>
      <c r="H1098" s="33" t="n">
        <v>30</v>
      </c>
    </row>
    <row r="1099" customFormat="false" ht="54" hidden="false" customHeight="true" outlineLevel="0" collapsed="false">
      <c r="A1099" s="32" t="s">
        <v>10844</v>
      </c>
      <c r="B1099" s="32" t="s">
        <v>3774</v>
      </c>
      <c r="C1099" s="33" t="s">
        <v>1714</v>
      </c>
      <c r="D1099" s="33" t="s">
        <v>54</v>
      </c>
      <c r="E1099" s="33" t="s">
        <v>84</v>
      </c>
      <c r="F1099" s="33" t="s">
        <v>3786</v>
      </c>
      <c r="G1099" s="33" t="s">
        <v>9</v>
      </c>
      <c r="H1099" s="33" t="n">
        <v>30</v>
      </c>
    </row>
    <row r="1100" customFormat="false" ht="54" hidden="false" customHeight="true" outlineLevel="0" collapsed="false">
      <c r="A1100" s="32" t="s">
        <v>10845</v>
      </c>
      <c r="B1100" s="32" t="s">
        <v>3789</v>
      </c>
      <c r="C1100" s="33" t="s">
        <v>98</v>
      </c>
      <c r="D1100" s="33" t="s">
        <v>59</v>
      </c>
      <c r="E1100" s="33" t="s">
        <v>80</v>
      </c>
      <c r="F1100" s="33" t="s">
        <v>10846</v>
      </c>
      <c r="G1100" s="33" t="s">
        <v>9</v>
      </c>
      <c r="H1100" s="33" t="n">
        <v>30</v>
      </c>
    </row>
    <row r="1101" customFormat="false" ht="54" hidden="false" customHeight="true" outlineLevel="0" collapsed="false">
      <c r="A1101" s="32" t="s">
        <v>10847</v>
      </c>
      <c r="B1101" s="32" t="s">
        <v>3789</v>
      </c>
      <c r="C1101" s="33" t="s">
        <v>98</v>
      </c>
      <c r="D1101" s="33" t="s">
        <v>59</v>
      </c>
      <c r="E1101" s="33" t="s">
        <v>80</v>
      </c>
      <c r="F1101" s="33" t="s">
        <v>3751</v>
      </c>
      <c r="G1101" s="33" t="s">
        <v>9</v>
      </c>
      <c r="H1101" s="33" t="n">
        <v>30</v>
      </c>
    </row>
    <row r="1102" customFormat="false" ht="54" hidden="false" customHeight="true" outlineLevel="0" collapsed="false">
      <c r="A1102" s="32" t="s">
        <v>10848</v>
      </c>
      <c r="B1102" s="32" t="s">
        <v>3789</v>
      </c>
      <c r="C1102" s="33" t="s">
        <v>98</v>
      </c>
      <c r="D1102" s="33" t="s">
        <v>59</v>
      </c>
      <c r="E1102" s="33" t="s">
        <v>81</v>
      </c>
      <c r="F1102" s="33" t="s">
        <v>3798</v>
      </c>
      <c r="G1102" s="33" t="s">
        <v>9</v>
      </c>
      <c r="H1102" s="33" t="n">
        <v>30</v>
      </c>
    </row>
    <row r="1103" customFormat="false" ht="54" hidden="false" customHeight="true" outlineLevel="0" collapsed="false">
      <c r="A1103" s="32" t="s">
        <v>10849</v>
      </c>
      <c r="B1103" s="32" t="s">
        <v>3789</v>
      </c>
      <c r="C1103" s="33" t="s">
        <v>98</v>
      </c>
      <c r="D1103" s="33" t="s">
        <v>59</v>
      </c>
      <c r="E1103" s="33" t="s">
        <v>82</v>
      </c>
      <c r="F1103" s="33" t="s">
        <v>10850</v>
      </c>
      <c r="G1103" s="33" t="s">
        <v>9</v>
      </c>
      <c r="H1103" s="33" t="n">
        <v>30</v>
      </c>
    </row>
    <row r="1104" customFormat="false" ht="54" hidden="false" customHeight="true" outlineLevel="0" collapsed="false">
      <c r="A1104" s="32" t="s">
        <v>10851</v>
      </c>
      <c r="B1104" s="32" t="s">
        <v>3789</v>
      </c>
      <c r="C1104" s="33" t="s">
        <v>98</v>
      </c>
      <c r="D1104" s="33" t="s">
        <v>59</v>
      </c>
      <c r="E1104" s="33" t="s">
        <v>82</v>
      </c>
      <c r="F1104" s="33" t="s">
        <v>10852</v>
      </c>
      <c r="G1104" s="33" t="s">
        <v>9</v>
      </c>
      <c r="H1104" s="33" t="n">
        <v>30</v>
      </c>
    </row>
    <row r="1105" customFormat="false" ht="54" hidden="false" customHeight="true" outlineLevel="0" collapsed="false">
      <c r="A1105" s="32" t="s">
        <v>10853</v>
      </c>
      <c r="B1105" s="32" t="s">
        <v>3789</v>
      </c>
      <c r="C1105" s="33" t="s">
        <v>98</v>
      </c>
      <c r="D1105" s="33" t="s">
        <v>59</v>
      </c>
      <c r="E1105" s="33" t="s">
        <v>82</v>
      </c>
      <c r="F1105" s="33" t="s">
        <v>3798</v>
      </c>
      <c r="G1105" s="33" t="s">
        <v>9</v>
      </c>
      <c r="H1105" s="33" t="n">
        <v>30</v>
      </c>
    </row>
    <row r="1106" customFormat="false" ht="54" hidden="false" customHeight="true" outlineLevel="0" collapsed="false">
      <c r="A1106" s="32" t="s">
        <v>10854</v>
      </c>
      <c r="B1106" s="32" t="s">
        <v>3789</v>
      </c>
      <c r="C1106" s="33" t="s">
        <v>98</v>
      </c>
      <c r="D1106" s="33" t="s">
        <v>59</v>
      </c>
      <c r="E1106" s="33" t="s">
        <v>82</v>
      </c>
      <c r="F1106" s="33" t="s">
        <v>10846</v>
      </c>
      <c r="G1106" s="33" t="s">
        <v>9</v>
      </c>
      <c r="H1106" s="33" t="n">
        <v>30</v>
      </c>
    </row>
    <row r="1107" customFormat="false" ht="54" hidden="false" customHeight="true" outlineLevel="0" collapsed="false">
      <c r="A1107" s="32" t="s">
        <v>10855</v>
      </c>
      <c r="B1107" s="32" t="s">
        <v>3789</v>
      </c>
      <c r="C1107" s="33" t="s">
        <v>98</v>
      </c>
      <c r="D1107" s="33" t="s">
        <v>59</v>
      </c>
      <c r="E1107" s="33" t="s">
        <v>82</v>
      </c>
      <c r="F1107" s="33" t="s">
        <v>10856</v>
      </c>
      <c r="G1107" s="33" t="s">
        <v>9</v>
      </c>
      <c r="H1107" s="33" t="n">
        <v>30</v>
      </c>
    </row>
    <row r="1108" customFormat="false" ht="54" hidden="false" customHeight="true" outlineLevel="0" collapsed="false">
      <c r="A1108" s="32" t="s">
        <v>10857</v>
      </c>
      <c r="B1108" s="32" t="s">
        <v>3789</v>
      </c>
      <c r="C1108" s="33" t="s">
        <v>98</v>
      </c>
      <c r="D1108" s="33" t="s">
        <v>59</v>
      </c>
      <c r="E1108" s="33" t="s">
        <v>84</v>
      </c>
      <c r="F1108" s="33" t="s">
        <v>10858</v>
      </c>
      <c r="G1108" s="33" t="s">
        <v>9</v>
      </c>
      <c r="H1108" s="33" t="n">
        <v>30</v>
      </c>
    </row>
    <row r="1109" customFormat="false" ht="54" hidden="false" customHeight="true" outlineLevel="0" collapsed="false">
      <c r="A1109" s="32" t="s">
        <v>10859</v>
      </c>
      <c r="B1109" s="32" t="s">
        <v>3789</v>
      </c>
      <c r="C1109" s="33" t="s">
        <v>98</v>
      </c>
      <c r="D1109" s="33" t="s">
        <v>59</v>
      </c>
      <c r="E1109" s="33" t="s">
        <v>84</v>
      </c>
      <c r="F1109" s="33" t="s">
        <v>10860</v>
      </c>
      <c r="G1109" s="33" t="s">
        <v>9</v>
      </c>
      <c r="H1109" s="33" t="n">
        <v>30</v>
      </c>
    </row>
    <row r="1110" customFormat="false" ht="54" hidden="false" customHeight="true" outlineLevel="0" collapsed="false">
      <c r="A1110" s="32" t="s">
        <v>10861</v>
      </c>
      <c r="B1110" s="32" t="s">
        <v>3789</v>
      </c>
      <c r="C1110" s="33" t="s">
        <v>98</v>
      </c>
      <c r="D1110" s="33" t="s">
        <v>59</v>
      </c>
      <c r="E1110" s="33" t="s">
        <v>84</v>
      </c>
      <c r="F1110" s="33" t="s">
        <v>10862</v>
      </c>
      <c r="G1110" s="33" t="s">
        <v>9</v>
      </c>
      <c r="H1110" s="33" t="n">
        <v>30</v>
      </c>
    </row>
    <row r="1111" customFormat="false" ht="54" hidden="false" customHeight="true" outlineLevel="0" collapsed="false">
      <c r="A1111" s="32" t="s">
        <v>10863</v>
      </c>
      <c r="B1111" s="32" t="s">
        <v>3789</v>
      </c>
      <c r="C1111" s="33" t="s">
        <v>98</v>
      </c>
      <c r="D1111" s="33" t="s">
        <v>59</v>
      </c>
      <c r="E1111" s="33" t="s">
        <v>84</v>
      </c>
      <c r="F1111" s="33" t="s">
        <v>10850</v>
      </c>
      <c r="G1111" s="33" t="s">
        <v>9</v>
      </c>
      <c r="H1111" s="33" t="n">
        <v>30</v>
      </c>
    </row>
    <row r="1112" customFormat="false" ht="54" hidden="false" customHeight="true" outlineLevel="0" collapsed="false">
      <c r="A1112" s="32" t="s">
        <v>10864</v>
      </c>
      <c r="B1112" s="32" t="s">
        <v>3789</v>
      </c>
      <c r="C1112" s="33" t="s">
        <v>98</v>
      </c>
      <c r="D1112" s="33" t="s">
        <v>59</v>
      </c>
      <c r="E1112" s="33" t="s">
        <v>84</v>
      </c>
      <c r="F1112" s="33" t="s">
        <v>10865</v>
      </c>
      <c r="G1112" s="33" t="s">
        <v>9</v>
      </c>
      <c r="H1112" s="33" t="n">
        <v>30</v>
      </c>
    </row>
    <row r="1113" customFormat="false" ht="54" hidden="false" customHeight="true" outlineLevel="0" collapsed="false">
      <c r="A1113" s="32" t="s">
        <v>10866</v>
      </c>
      <c r="B1113" s="32" t="s">
        <v>3789</v>
      </c>
      <c r="C1113" s="33" t="s">
        <v>98</v>
      </c>
      <c r="D1113" s="33" t="s">
        <v>59</v>
      </c>
      <c r="E1113" s="33" t="s">
        <v>84</v>
      </c>
      <c r="F1113" s="33" t="s">
        <v>10867</v>
      </c>
      <c r="G1113" s="33" t="s">
        <v>9</v>
      </c>
      <c r="H1113" s="33" t="n">
        <v>30</v>
      </c>
    </row>
    <row r="1114" customFormat="false" ht="54" hidden="false" customHeight="true" outlineLevel="0" collapsed="false">
      <c r="A1114" s="32" t="s">
        <v>10868</v>
      </c>
      <c r="B1114" s="32" t="s">
        <v>3789</v>
      </c>
      <c r="C1114" s="33" t="s">
        <v>98</v>
      </c>
      <c r="D1114" s="33" t="s">
        <v>59</v>
      </c>
      <c r="E1114" s="33" t="s">
        <v>85</v>
      </c>
      <c r="F1114" s="33" t="s">
        <v>10869</v>
      </c>
      <c r="G1114" s="33" t="s">
        <v>9</v>
      </c>
      <c r="H1114" s="33" t="n">
        <v>30</v>
      </c>
    </row>
    <row r="1115" customFormat="false" ht="54" hidden="false" customHeight="true" outlineLevel="0" collapsed="false">
      <c r="A1115" s="32" t="s">
        <v>10870</v>
      </c>
      <c r="B1115" s="32" t="s">
        <v>3789</v>
      </c>
      <c r="C1115" s="33" t="s">
        <v>98</v>
      </c>
      <c r="D1115" s="33" t="s">
        <v>59</v>
      </c>
      <c r="E1115" s="33" t="s">
        <v>85</v>
      </c>
      <c r="F1115" s="33" t="s">
        <v>10871</v>
      </c>
      <c r="G1115" s="33" t="s">
        <v>9</v>
      </c>
      <c r="H1115" s="33" t="n">
        <v>30</v>
      </c>
    </row>
    <row r="1116" customFormat="false" ht="54" hidden="false" customHeight="true" outlineLevel="0" collapsed="false">
      <c r="A1116" s="32" t="s">
        <v>10872</v>
      </c>
      <c r="B1116" s="32" t="s">
        <v>3789</v>
      </c>
      <c r="C1116" s="33" t="s">
        <v>98</v>
      </c>
      <c r="D1116" s="33" t="s">
        <v>59</v>
      </c>
      <c r="E1116" s="33" t="s">
        <v>85</v>
      </c>
      <c r="F1116" s="33" t="s">
        <v>10867</v>
      </c>
      <c r="G1116" s="33" t="s">
        <v>9</v>
      </c>
      <c r="H1116" s="33" t="n">
        <v>30</v>
      </c>
    </row>
    <row r="1117" customFormat="false" ht="54" hidden="false" customHeight="true" outlineLevel="0" collapsed="false">
      <c r="A1117" s="32" t="s">
        <v>10873</v>
      </c>
      <c r="B1117" s="32" t="s">
        <v>3789</v>
      </c>
      <c r="C1117" s="33" t="s">
        <v>98</v>
      </c>
      <c r="D1117" s="33" t="s">
        <v>59</v>
      </c>
      <c r="E1117" s="33" t="s">
        <v>85</v>
      </c>
      <c r="F1117" s="33" t="s">
        <v>10874</v>
      </c>
      <c r="G1117" s="33" t="s">
        <v>9</v>
      </c>
      <c r="H1117" s="33" t="n">
        <v>30</v>
      </c>
    </row>
    <row r="1118" customFormat="false" ht="54" hidden="false" customHeight="true" outlineLevel="0" collapsed="false">
      <c r="A1118" s="32" t="s">
        <v>10875</v>
      </c>
      <c r="B1118" s="32" t="s">
        <v>3789</v>
      </c>
      <c r="C1118" s="33" t="s">
        <v>98</v>
      </c>
      <c r="D1118" s="33" t="s">
        <v>59</v>
      </c>
      <c r="E1118" s="33" t="s">
        <v>85</v>
      </c>
      <c r="F1118" s="33" t="s">
        <v>10876</v>
      </c>
      <c r="G1118" s="33" t="s">
        <v>9</v>
      </c>
      <c r="H1118" s="33" t="n">
        <v>30</v>
      </c>
    </row>
    <row r="1119" customFormat="false" ht="54" hidden="false" customHeight="true" outlineLevel="0" collapsed="false">
      <c r="A1119" s="32" t="s">
        <v>10877</v>
      </c>
      <c r="B1119" s="32" t="s">
        <v>3804</v>
      </c>
      <c r="C1119" s="33" t="s">
        <v>1407</v>
      </c>
      <c r="D1119" s="33" t="s">
        <v>50</v>
      </c>
      <c r="E1119" s="33" t="s">
        <v>80</v>
      </c>
      <c r="F1119" s="33" t="s">
        <v>10878</v>
      </c>
      <c r="G1119" s="33" t="s">
        <v>9</v>
      </c>
      <c r="H1119" s="33" t="n">
        <v>30</v>
      </c>
    </row>
    <row r="1120" customFormat="false" ht="54" hidden="false" customHeight="true" outlineLevel="0" collapsed="false">
      <c r="A1120" s="32" t="s">
        <v>10879</v>
      </c>
      <c r="B1120" s="32" t="s">
        <v>3804</v>
      </c>
      <c r="C1120" s="33" t="s">
        <v>1407</v>
      </c>
      <c r="D1120" s="33" t="s">
        <v>50</v>
      </c>
      <c r="E1120" s="33" t="s">
        <v>80</v>
      </c>
      <c r="F1120" s="33" t="s">
        <v>10880</v>
      </c>
      <c r="G1120" s="33" t="s">
        <v>9</v>
      </c>
      <c r="H1120" s="33" t="n">
        <v>30</v>
      </c>
    </row>
    <row r="1121" customFormat="false" ht="54" hidden="false" customHeight="true" outlineLevel="0" collapsed="false">
      <c r="A1121" s="32" t="s">
        <v>10881</v>
      </c>
      <c r="B1121" s="32" t="s">
        <v>3804</v>
      </c>
      <c r="C1121" s="33" t="s">
        <v>1407</v>
      </c>
      <c r="D1121" s="33" t="s">
        <v>50</v>
      </c>
      <c r="E1121" s="33" t="s">
        <v>80</v>
      </c>
      <c r="F1121" s="33" t="s">
        <v>3813</v>
      </c>
      <c r="G1121" s="33" t="s">
        <v>9</v>
      </c>
      <c r="H1121" s="33" t="n">
        <v>30</v>
      </c>
    </row>
    <row r="1122" customFormat="false" ht="54" hidden="false" customHeight="true" outlineLevel="0" collapsed="false">
      <c r="A1122" s="32" t="s">
        <v>10882</v>
      </c>
      <c r="B1122" s="32" t="s">
        <v>3804</v>
      </c>
      <c r="C1122" s="33" t="s">
        <v>1407</v>
      </c>
      <c r="D1122" s="33" t="s">
        <v>50</v>
      </c>
      <c r="E1122" s="33" t="s">
        <v>80</v>
      </c>
      <c r="F1122" s="33" t="s">
        <v>3815</v>
      </c>
      <c r="G1122" s="33" t="s">
        <v>9</v>
      </c>
      <c r="H1122" s="33" t="n">
        <v>30</v>
      </c>
    </row>
    <row r="1123" customFormat="false" ht="54" hidden="false" customHeight="true" outlineLevel="0" collapsed="false">
      <c r="A1123" s="32" t="s">
        <v>10883</v>
      </c>
      <c r="B1123" s="32" t="s">
        <v>3804</v>
      </c>
      <c r="C1123" s="33" t="s">
        <v>1407</v>
      </c>
      <c r="D1123" s="33" t="s">
        <v>50</v>
      </c>
      <c r="E1123" s="33" t="s">
        <v>80</v>
      </c>
      <c r="F1123" s="33" t="s">
        <v>10884</v>
      </c>
      <c r="G1123" s="33" t="s">
        <v>9</v>
      </c>
      <c r="H1123" s="33" t="n">
        <v>30</v>
      </c>
    </row>
    <row r="1124" customFormat="false" ht="54" hidden="false" customHeight="true" outlineLevel="0" collapsed="false">
      <c r="A1124" s="32" t="s">
        <v>10885</v>
      </c>
      <c r="B1124" s="32" t="s">
        <v>3804</v>
      </c>
      <c r="C1124" s="33" t="s">
        <v>1407</v>
      </c>
      <c r="D1124" s="33" t="s">
        <v>50</v>
      </c>
      <c r="E1124" s="33" t="s">
        <v>81</v>
      </c>
      <c r="F1124" s="33" t="s">
        <v>3813</v>
      </c>
      <c r="G1124" s="33" t="s">
        <v>9</v>
      </c>
      <c r="H1124" s="33" t="n">
        <v>30</v>
      </c>
    </row>
    <row r="1125" customFormat="false" ht="54" hidden="false" customHeight="true" outlineLevel="0" collapsed="false">
      <c r="A1125" s="32" t="s">
        <v>10886</v>
      </c>
      <c r="B1125" s="32" t="s">
        <v>3804</v>
      </c>
      <c r="C1125" s="33" t="s">
        <v>1407</v>
      </c>
      <c r="D1125" s="33" t="s">
        <v>50</v>
      </c>
      <c r="E1125" s="33" t="s">
        <v>82</v>
      </c>
      <c r="F1125" s="33" t="s">
        <v>10878</v>
      </c>
      <c r="G1125" s="33" t="s">
        <v>9</v>
      </c>
      <c r="H1125" s="33" t="n">
        <v>30</v>
      </c>
    </row>
    <row r="1126" customFormat="false" ht="54" hidden="false" customHeight="true" outlineLevel="0" collapsed="false">
      <c r="A1126" s="32" t="s">
        <v>10887</v>
      </c>
      <c r="B1126" s="32" t="s">
        <v>3804</v>
      </c>
      <c r="C1126" s="33" t="s">
        <v>1407</v>
      </c>
      <c r="D1126" s="33" t="s">
        <v>50</v>
      </c>
      <c r="E1126" s="33" t="s">
        <v>82</v>
      </c>
      <c r="F1126" s="33" t="s">
        <v>3813</v>
      </c>
      <c r="G1126" s="33" t="s">
        <v>9</v>
      </c>
      <c r="H1126" s="33" t="n">
        <v>30</v>
      </c>
    </row>
    <row r="1127" customFormat="false" ht="54" hidden="false" customHeight="true" outlineLevel="0" collapsed="false">
      <c r="A1127" s="32" t="s">
        <v>10888</v>
      </c>
      <c r="B1127" s="32" t="s">
        <v>3804</v>
      </c>
      <c r="C1127" s="33" t="s">
        <v>1407</v>
      </c>
      <c r="D1127" s="33" t="s">
        <v>50</v>
      </c>
      <c r="E1127" s="33" t="s">
        <v>82</v>
      </c>
      <c r="F1127" s="33" t="s">
        <v>3815</v>
      </c>
      <c r="G1127" s="33" t="s">
        <v>9</v>
      </c>
      <c r="H1127" s="33" t="n">
        <v>30</v>
      </c>
    </row>
    <row r="1128" customFormat="false" ht="54" hidden="false" customHeight="true" outlineLevel="0" collapsed="false">
      <c r="A1128" s="32" t="s">
        <v>10889</v>
      </c>
      <c r="B1128" s="32" t="s">
        <v>3804</v>
      </c>
      <c r="C1128" s="33" t="s">
        <v>1407</v>
      </c>
      <c r="D1128" s="33" t="s">
        <v>50</v>
      </c>
      <c r="E1128" s="33" t="s">
        <v>82</v>
      </c>
      <c r="F1128" s="33" t="s">
        <v>10884</v>
      </c>
      <c r="G1128" s="33" t="s">
        <v>9</v>
      </c>
      <c r="H1128" s="33" t="n">
        <v>30</v>
      </c>
    </row>
    <row r="1129" customFormat="false" ht="54" hidden="false" customHeight="true" outlineLevel="0" collapsed="false">
      <c r="A1129" s="32" t="s">
        <v>10890</v>
      </c>
      <c r="B1129" s="32" t="s">
        <v>3804</v>
      </c>
      <c r="C1129" s="33" t="s">
        <v>1407</v>
      </c>
      <c r="D1129" s="33" t="s">
        <v>50</v>
      </c>
      <c r="E1129" s="33" t="s">
        <v>84</v>
      </c>
      <c r="F1129" s="33" t="s">
        <v>3815</v>
      </c>
      <c r="G1129" s="33" t="s">
        <v>9</v>
      </c>
      <c r="H1129" s="33" t="n">
        <v>30</v>
      </c>
    </row>
    <row r="1130" customFormat="false" ht="54" hidden="false" customHeight="true" outlineLevel="0" collapsed="false">
      <c r="A1130" s="32" t="s">
        <v>10891</v>
      </c>
      <c r="B1130" s="32" t="s">
        <v>3818</v>
      </c>
      <c r="C1130" s="33" t="s">
        <v>1407</v>
      </c>
      <c r="D1130" s="33" t="s">
        <v>50</v>
      </c>
      <c r="E1130" s="33" t="s">
        <v>80</v>
      </c>
      <c r="F1130" s="33" t="s">
        <v>10892</v>
      </c>
      <c r="G1130" s="33" t="s">
        <v>9</v>
      </c>
      <c r="H1130" s="33" t="n">
        <v>30</v>
      </c>
    </row>
    <row r="1131" customFormat="false" ht="54" hidden="false" customHeight="true" outlineLevel="0" collapsed="false">
      <c r="A1131" s="32" t="s">
        <v>10893</v>
      </c>
      <c r="B1131" s="32" t="s">
        <v>3818</v>
      </c>
      <c r="C1131" s="33" t="s">
        <v>1407</v>
      </c>
      <c r="D1131" s="33" t="s">
        <v>50</v>
      </c>
      <c r="E1131" s="33" t="s">
        <v>80</v>
      </c>
      <c r="F1131" s="33" t="s">
        <v>10880</v>
      </c>
      <c r="G1131" s="33" t="s">
        <v>9</v>
      </c>
      <c r="H1131" s="33" t="n">
        <v>30</v>
      </c>
    </row>
    <row r="1132" customFormat="false" ht="54" hidden="false" customHeight="true" outlineLevel="0" collapsed="false">
      <c r="A1132" s="32" t="s">
        <v>10894</v>
      </c>
      <c r="B1132" s="32" t="s">
        <v>3818</v>
      </c>
      <c r="C1132" s="33" t="s">
        <v>1407</v>
      </c>
      <c r="D1132" s="33" t="s">
        <v>50</v>
      </c>
      <c r="E1132" s="33" t="s">
        <v>80</v>
      </c>
      <c r="F1132" s="33" t="s">
        <v>3827</v>
      </c>
      <c r="G1132" s="33" t="s">
        <v>9</v>
      </c>
      <c r="H1132" s="33" t="n">
        <v>30</v>
      </c>
    </row>
    <row r="1133" customFormat="false" ht="54" hidden="false" customHeight="true" outlineLevel="0" collapsed="false">
      <c r="A1133" s="32" t="s">
        <v>10895</v>
      </c>
      <c r="B1133" s="32" t="s">
        <v>3818</v>
      </c>
      <c r="C1133" s="33" t="s">
        <v>1407</v>
      </c>
      <c r="D1133" s="33" t="s">
        <v>50</v>
      </c>
      <c r="E1133" s="33" t="s">
        <v>80</v>
      </c>
      <c r="F1133" s="33" t="s">
        <v>10896</v>
      </c>
      <c r="G1133" s="33" t="s">
        <v>9</v>
      </c>
      <c r="H1133" s="33" t="n">
        <v>30</v>
      </c>
    </row>
    <row r="1134" customFormat="false" ht="54" hidden="false" customHeight="true" outlineLevel="0" collapsed="false">
      <c r="A1134" s="32" t="s">
        <v>10897</v>
      </c>
      <c r="B1134" s="32" t="s">
        <v>3818</v>
      </c>
      <c r="C1134" s="33" t="s">
        <v>1407</v>
      </c>
      <c r="D1134" s="33" t="s">
        <v>50</v>
      </c>
      <c r="E1134" s="33" t="s">
        <v>80</v>
      </c>
      <c r="F1134" s="33" t="s">
        <v>10898</v>
      </c>
      <c r="G1134" s="33" t="s">
        <v>9</v>
      </c>
      <c r="H1134" s="33" t="n">
        <v>30</v>
      </c>
    </row>
    <row r="1135" customFormat="false" ht="54" hidden="false" customHeight="true" outlineLevel="0" collapsed="false">
      <c r="A1135" s="32" t="s">
        <v>10899</v>
      </c>
      <c r="B1135" s="32" t="s">
        <v>3818</v>
      </c>
      <c r="C1135" s="33" t="s">
        <v>1407</v>
      </c>
      <c r="D1135" s="33" t="s">
        <v>50</v>
      </c>
      <c r="E1135" s="33" t="s">
        <v>81</v>
      </c>
      <c r="F1135" s="33" t="s">
        <v>3827</v>
      </c>
      <c r="G1135" s="33" t="s">
        <v>9</v>
      </c>
      <c r="H1135" s="33" t="n">
        <v>30</v>
      </c>
    </row>
    <row r="1136" customFormat="false" ht="54" hidden="false" customHeight="true" outlineLevel="0" collapsed="false">
      <c r="A1136" s="32" t="s">
        <v>10900</v>
      </c>
      <c r="B1136" s="32" t="s">
        <v>3818</v>
      </c>
      <c r="C1136" s="33" t="s">
        <v>1407</v>
      </c>
      <c r="D1136" s="33" t="s">
        <v>50</v>
      </c>
      <c r="E1136" s="33" t="s">
        <v>82</v>
      </c>
      <c r="F1136" s="33" t="s">
        <v>10892</v>
      </c>
      <c r="G1136" s="33" t="s">
        <v>9</v>
      </c>
      <c r="H1136" s="33" t="n">
        <v>30</v>
      </c>
    </row>
    <row r="1137" customFormat="false" ht="54" hidden="false" customHeight="true" outlineLevel="0" collapsed="false">
      <c r="A1137" s="32" t="s">
        <v>10901</v>
      </c>
      <c r="B1137" s="32" t="s">
        <v>3818</v>
      </c>
      <c r="C1137" s="33" t="s">
        <v>1407</v>
      </c>
      <c r="D1137" s="33" t="s">
        <v>50</v>
      </c>
      <c r="E1137" s="33" t="s">
        <v>82</v>
      </c>
      <c r="F1137" s="33" t="s">
        <v>3827</v>
      </c>
      <c r="G1137" s="33" t="s">
        <v>9</v>
      </c>
      <c r="H1137" s="33" t="n">
        <v>30</v>
      </c>
    </row>
    <row r="1138" customFormat="false" ht="54" hidden="false" customHeight="true" outlineLevel="0" collapsed="false">
      <c r="A1138" s="32" t="s">
        <v>10902</v>
      </c>
      <c r="B1138" s="32" t="s">
        <v>3818</v>
      </c>
      <c r="C1138" s="33" t="s">
        <v>1407</v>
      </c>
      <c r="D1138" s="33" t="s">
        <v>50</v>
      </c>
      <c r="E1138" s="33" t="s">
        <v>82</v>
      </c>
      <c r="F1138" s="33" t="s">
        <v>10896</v>
      </c>
      <c r="G1138" s="33" t="s">
        <v>9</v>
      </c>
      <c r="H1138" s="33" t="n">
        <v>30</v>
      </c>
    </row>
    <row r="1139" customFormat="false" ht="54" hidden="false" customHeight="true" outlineLevel="0" collapsed="false">
      <c r="A1139" s="32" t="s">
        <v>10903</v>
      </c>
      <c r="B1139" s="32" t="s">
        <v>3818</v>
      </c>
      <c r="C1139" s="33" t="s">
        <v>1407</v>
      </c>
      <c r="D1139" s="33" t="s">
        <v>50</v>
      </c>
      <c r="E1139" s="33" t="s">
        <v>82</v>
      </c>
      <c r="F1139" s="33" t="s">
        <v>10898</v>
      </c>
      <c r="G1139" s="33" t="s">
        <v>9</v>
      </c>
      <c r="H1139" s="33" t="n">
        <v>30</v>
      </c>
    </row>
    <row r="1140" customFormat="false" ht="54" hidden="false" customHeight="true" outlineLevel="0" collapsed="false">
      <c r="A1140" s="32" t="s">
        <v>10904</v>
      </c>
      <c r="B1140" s="32" t="s">
        <v>3818</v>
      </c>
      <c r="C1140" s="33" t="s">
        <v>1407</v>
      </c>
      <c r="D1140" s="33" t="s">
        <v>50</v>
      </c>
      <c r="E1140" s="33" t="s">
        <v>83</v>
      </c>
      <c r="F1140" s="33" t="s">
        <v>3821</v>
      </c>
      <c r="G1140" s="33" t="s">
        <v>9</v>
      </c>
      <c r="H1140" s="33" t="n">
        <v>30</v>
      </c>
    </row>
    <row r="1141" customFormat="false" ht="54" hidden="false" customHeight="true" outlineLevel="0" collapsed="false">
      <c r="A1141" s="32" t="s">
        <v>10905</v>
      </c>
      <c r="B1141" s="32" t="s">
        <v>3818</v>
      </c>
      <c r="C1141" s="33" t="s">
        <v>1407</v>
      </c>
      <c r="D1141" s="33" t="s">
        <v>50</v>
      </c>
      <c r="E1141" s="33" t="s">
        <v>84</v>
      </c>
      <c r="F1141" s="33" t="s">
        <v>3821</v>
      </c>
      <c r="G1141" s="33" t="s">
        <v>9</v>
      </c>
      <c r="H1141" s="33" t="n">
        <v>30</v>
      </c>
    </row>
    <row r="1142" customFormat="false" ht="54" hidden="false" customHeight="true" outlineLevel="0" collapsed="false">
      <c r="A1142" s="32" t="s">
        <v>10906</v>
      </c>
      <c r="B1142" s="32" t="s">
        <v>3818</v>
      </c>
      <c r="C1142" s="33" t="s">
        <v>1407</v>
      </c>
      <c r="D1142" s="33" t="s">
        <v>50</v>
      </c>
      <c r="E1142" s="33" t="s">
        <v>84</v>
      </c>
      <c r="F1142" s="33" t="s">
        <v>10892</v>
      </c>
      <c r="G1142" s="33" t="s">
        <v>9</v>
      </c>
      <c r="H1142" s="33" t="n">
        <v>30</v>
      </c>
    </row>
    <row r="1143" customFormat="false" ht="54" hidden="false" customHeight="true" outlineLevel="0" collapsed="false">
      <c r="A1143" s="32" t="s">
        <v>10907</v>
      </c>
      <c r="B1143" s="32" t="s">
        <v>3818</v>
      </c>
      <c r="C1143" s="33" t="s">
        <v>1407</v>
      </c>
      <c r="D1143" s="33" t="s">
        <v>50</v>
      </c>
      <c r="E1143" s="33" t="s">
        <v>84</v>
      </c>
      <c r="F1143" s="33" t="s">
        <v>3827</v>
      </c>
      <c r="G1143" s="33" t="s">
        <v>9</v>
      </c>
      <c r="H1143" s="33" t="n">
        <v>30</v>
      </c>
    </row>
    <row r="1144" customFormat="false" ht="54" hidden="false" customHeight="true" outlineLevel="0" collapsed="false">
      <c r="A1144" s="32" t="s">
        <v>10908</v>
      </c>
      <c r="B1144" s="32" t="s">
        <v>3818</v>
      </c>
      <c r="C1144" s="33" t="s">
        <v>1407</v>
      </c>
      <c r="D1144" s="33" t="s">
        <v>50</v>
      </c>
      <c r="E1144" s="33" t="s">
        <v>84</v>
      </c>
      <c r="F1144" s="33" t="s">
        <v>10896</v>
      </c>
      <c r="G1144" s="33" t="s">
        <v>9</v>
      </c>
      <c r="H1144" s="33" t="n">
        <v>30</v>
      </c>
    </row>
    <row r="1145" customFormat="false" ht="54" hidden="false" customHeight="true" outlineLevel="0" collapsed="false">
      <c r="A1145" s="32" t="s">
        <v>10909</v>
      </c>
      <c r="B1145" s="32" t="s">
        <v>3818</v>
      </c>
      <c r="C1145" s="33" t="s">
        <v>1407</v>
      </c>
      <c r="D1145" s="33" t="s">
        <v>50</v>
      </c>
      <c r="E1145" s="33" t="s">
        <v>84</v>
      </c>
      <c r="F1145" s="33" t="s">
        <v>10898</v>
      </c>
      <c r="G1145" s="33" t="s">
        <v>9</v>
      </c>
      <c r="H1145" s="33" t="n">
        <v>30</v>
      </c>
    </row>
    <row r="1146" customFormat="false" ht="54" hidden="false" customHeight="true" outlineLevel="0" collapsed="false">
      <c r="A1146" s="32" t="s">
        <v>10910</v>
      </c>
      <c r="B1146" s="32" t="s">
        <v>3818</v>
      </c>
      <c r="C1146" s="33" t="s">
        <v>1407</v>
      </c>
      <c r="D1146" s="33" t="s">
        <v>50</v>
      </c>
      <c r="E1146" s="33" t="s">
        <v>84</v>
      </c>
      <c r="F1146" s="33" t="s">
        <v>10911</v>
      </c>
      <c r="G1146" s="33" t="s">
        <v>9</v>
      </c>
      <c r="H1146" s="33" t="n">
        <v>30</v>
      </c>
    </row>
    <row r="1147" customFormat="false" ht="54" hidden="false" customHeight="true" outlineLevel="0" collapsed="false">
      <c r="A1147" s="32" t="s">
        <v>10912</v>
      </c>
      <c r="B1147" s="32" t="s">
        <v>3818</v>
      </c>
      <c r="C1147" s="33" t="s">
        <v>1407</v>
      </c>
      <c r="D1147" s="33" t="s">
        <v>50</v>
      </c>
      <c r="E1147" s="33" t="s">
        <v>85</v>
      </c>
      <c r="F1147" s="33" t="s">
        <v>10896</v>
      </c>
      <c r="G1147" s="33" t="s">
        <v>9</v>
      </c>
      <c r="H1147" s="33" t="n">
        <v>30</v>
      </c>
    </row>
    <row r="1148" customFormat="false" ht="54" hidden="false" customHeight="true" outlineLevel="0" collapsed="false">
      <c r="A1148" s="32" t="s">
        <v>10913</v>
      </c>
      <c r="B1148" s="32" t="s">
        <v>3818</v>
      </c>
      <c r="C1148" s="33" t="s">
        <v>1407</v>
      </c>
      <c r="D1148" s="33" t="s">
        <v>50</v>
      </c>
      <c r="E1148" s="33" t="s">
        <v>85</v>
      </c>
      <c r="F1148" s="33" t="s">
        <v>10911</v>
      </c>
      <c r="G1148" s="33" t="s">
        <v>9</v>
      </c>
      <c r="H1148" s="33" t="n">
        <v>30</v>
      </c>
    </row>
    <row r="1149" customFormat="false" ht="54" hidden="false" customHeight="true" outlineLevel="0" collapsed="false">
      <c r="A1149" s="32" t="s">
        <v>10914</v>
      </c>
      <c r="B1149" s="32" t="s">
        <v>3833</v>
      </c>
      <c r="C1149" s="33" t="s">
        <v>1407</v>
      </c>
      <c r="D1149" s="33" t="s">
        <v>50</v>
      </c>
      <c r="E1149" s="33" t="s">
        <v>80</v>
      </c>
      <c r="F1149" s="33" t="s">
        <v>10915</v>
      </c>
      <c r="G1149" s="33" t="s">
        <v>9</v>
      </c>
      <c r="H1149" s="33" t="n">
        <v>30</v>
      </c>
    </row>
    <row r="1150" customFormat="false" ht="54" hidden="false" customHeight="true" outlineLevel="0" collapsed="false">
      <c r="A1150" s="32" t="s">
        <v>10916</v>
      </c>
      <c r="B1150" s="32" t="s">
        <v>3833</v>
      </c>
      <c r="C1150" s="33" t="s">
        <v>1407</v>
      </c>
      <c r="D1150" s="33" t="s">
        <v>50</v>
      </c>
      <c r="E1150" s="33" t="s">
        <v>80</v>
      </c>
      <c r="F1150" s="33" t="s">
        <v>10917</v>
      </c>
      <c r="G1150" s="33" t="s">
        <v>9</v>
      </c>
      <c r="H1150" s="33" t="n">
        <v>30</v>
      </c>
    </row>
    <row r="1151" customFormat="false" ht="54" hidden="false" customHeight="true" outlineLevel="0" collapsed="false">
      <c r="A1151" s="32" t="s">
        <v>10918</v>
      </c>
      <c r="B1151" s="32" t="s">
        <v>3833</v>
      </c>
      <c r="C1151" s="33" t="s">
        <v>1407</v>
      </c>
      <c r="D1151" s="33" t="s">
        <v>50</v>
      </c>
      <c r="E1151" s="33" t="s">
        <v>80</v>
      </c>
      <c r="F1151" s="33" t="s">
        <v>3841</v>
      </c>
      <c r="G1151" s="33" t="s">
        <v>9</v>
      </c>
      <c r="H1151" s="33" t="n">
        <v>30</v>
      </c>
    </row>
    <row r="1152" customFormat="false" ht="54" hidden="false" customHeight="true" outlineLevel="0" collapsed="false">
      <c r="A1152" s="32" t="s">
        <v>10919</v>
      </c>
      <c r="B1152" s="32" t="s">
        <v>3833</v>
      </c>
      <c r="C1152" s="33" t="s">
        <v>1407</v>
      </c>
      <c r="D1152" s="33" t="s">
        <v>50</v>
      </c>
      <c r="E1152" s="33" t="s">
        <v>80</v>
      </c>
      <c r="F1152" s="33" t="s">
        <v>10920</v>
      </c>
      <c r="G1152" s="33" t="s">
        <v>9</v>
      </c>
      <c r="H1152" s="33" t="n">
        <v>30</v>
      </c>
    </row>
    <row r="1153" customFormat="false" ht="54" hidden="false" customHeight="true" outlineLevel="0" collapsed="false">
      <c r="A1153" s="32" t="s">
        <v>10921</v>
      </c>
      <c r="B1153" s="32" t="s">
        <v>3833</v>
      </c>
      <c r="C1153" s="33" t="s">
        <v>1407</v>
      </c>
      <c r="D1153" s="33" t="s">
        <v>50</v>
      </c>
      <c r="E1153" s="33" t="s">
        <v>80</v>
      </c>
      <c r="F1153" s="33" t="s">
        <v>10922</v>
      </c>
      <c r="G1153" s="33" t="s">
        <v>9</v>
      </c>
      <c r="H1153" s="33" t="n">
        <v>30</v>
      </c>
    </row>
    <row r="1154" customFormat="false" ht="54" hidden="false" customHeight="true" outlineLevel="0" collapsed="false">
      <c r="A1154" s="32" t="s">
        <v>10923</v>
      </c>
      <c r="B1154" s="32" t="s">
        <v>3833</v>
      </c>
      <c r="C1154" s="33" t="s">
        <v>1407</v>
      </c>
      <c r="D1154" s="33" t="s">
        <v>50</v>
      </c>
      <c r="E1154" s="33" t="s">
        <v>81</v>
      </c>
      <c r="F1154" s="33" t="s">
        <v>3841</v>
      </c>
      <c r="G1154" s="33" t="s">
        <v>9</v>
      </c>
      <c r="H1154" s="33" t="n">
        <v>30</v>
      </c>
    </row>
    <row r="1155" customFormat="false" ht="54" hidden="false" customHeight="true" outlineLevel="0" collapsed="false">
      <c r="A1155" s="32" t="s">
        <v>10924</v>
      </c>
      <c r="B1155" s="32" t="s">
        <v>3833</v>
      </c>
      <c r="C1155" s="33" t="s">
        <v>1407</v>
      </c>
      <c r="D1155" s="33" t="s">
        <v>50</v>
      </c>
      <c r="E1155" s="33" t="s">
        <v>82</v>
      </c>
      <c r="F1155" s="33" t="s">
        <v>10925</v>
      </c>
      <c r="G1155" s="33" t="s">
        <v>9</v>
      </c>
      <c r="H1155" s="33" t="n">
        <v>30</v>
      </c>
    </row>
    <row r="1156" customFormat="false" ht="54" hidden="false" customHeight="true" outlineLevel="0" collapsed="false">
      <c r="A1156" s="32" t="s">
        <v>10926</v>
      </c>
      <c r="B1156" s="32" t="s">
        <v>3833</v>
      </c>
      <c r="C1156" s="33" t="s">
        <v>1407</v>
      </c>
      <c r="D1156" s="33" t="s">
        <v>50</v>
      </c>
      <c r="E1156" s="33" t="s">
        <v>82</v>
      </c>
      <c r="F1156" s="33" t="s">
        <v>10917</v>
      </c>
      <c r="G1156" s="33" t="s">
        <v>9</v>
      </c>
      <c r="H1156" s="33" t="n">
        <v>30</v>
      </c>
    </row>
    <row r="1157" customFormat="false" ht="54" hidden="false" customHeight="true" outlineLevel="0" collapsed="false">
      <c r="A1157" s="32" t="s">
        <v>10927</v>
      </c>
      <c r="B1157" s="32" t="s">
        <v>3833</v>
      </c>
      <c r="C1157" s="33" t="s">
        <v>1407</v>
      </c>
      <c r="D1157" s="33" t="s">
        <v>50</v>
      </c>
      <c r="E1157" s="33" t="s">
        <v>82</v>
      </c>
      <c r="F1157" s="33" t="s">
        <v>3841</v>
      </c>
      <c r="G1157" s="33" t="s">
        <v>9</v>
      </c>
      <c r="H1157" s="33" t="n">
        <v>30</v>
      </c>
    </row>
    <row r="1158" customFormat="false" ht="54" hidden="false" customHeight="true" outlineLevel="0" collapsed="false">
      <c r="A1158" s="32" t="s">
        <v>10928</v>
      </c>
      <c r="B1158" s="32" t="s">
        <v>3833</v>
      </c>
      <c r="C1158" s="33" t="s">
        <v>1407</v>
      </c>
      <c r="D1158" s="33" t="s">
        <v>50</v>
      </c>
      <c r="E1158" s="33" t="s">
        <v>82</v>
      </c>
      <c r="F1158" s="33" t="s">
        <v>10920</v>
      </c>
      <c r="G1158" s="33" t="s">
        <v>9</v>
      </c>
      <c r="H1158" s="33" t="n">
        <v>30</v>
      </c>
    </row>
    <row r="1159" customFormat="false" ht="54" hidden="false" customHeight="true" outlineLevel="0" collapsed="false">
      <c r="A1159" s="32" t="s">
        <v>10929</v>
      </c>
      <c r="B1159" s="32" t="s">
        <v>3833</v>
      </c>
      <c r="C1159" s="33" t="s">
        <v>1407</v>
      </c>
      <c r="D1159" s="33" t="s">
        <v>50</v>
      </c>
      <c r="E1159" s="33" t="s">
        <v>82</v>
      </c>
      <c r="F1159" s="33" t="s">
        <v>10922</v>
      </c>
      <c r="G1159" s="33" t="s">
        <v>9</v>
      </c>
      <c r="H1159" s="33" t="n">
        <v>30</v>
      </c>
    </row>
    <row r="1160" customFormat="false" ht="54" hidden="false" customHeight="true" outlineLevel="0" collapsed="false">
      <c r="A1160" s="32" t="s">
        <v>10930</v>
      </c>
      <c r="B1160" s="32" t="s">
        <v>3833</v>
      </c>
      <c r="C1160" s="33" t="s">
        <v>1407</v>
      </c>
      <c r="D1160" s="33" t="s">
        <v>50</v>
      </c>
      <c r="E1160" s="33" t="s">
        <v>82</v>
      </c>
      <c r="F1160" s="33" t="s">
        <v>10931</v>
      </c>
      <c r="G1160" s="33" t="s">
        <v>9</v>
      </c>
      <c r="H1160" s="33" t="n">
        <v>30</v>
      </c>
    </row>
    <row r="1161" customFormat="false" ht="54" hidden="false" customHeight="true" outlineLevel="0" collapsed="false">
      <c r="A1161" s="32" t="s">
        <v>10932</v>
      </c>
      <c r="B1161" s="32" t="s">
        <v>3833</v>
      </c>
      <c r="C1161" s="33" t="s">
        <v>1407</v>
      </c>
      <c r="D1161" s="33" t="s">
        <v>50</v>
      </c>
      <c r="E1161" s="33" t="s">
        <v>84</v>
      </c>
      <c r="F1161" s="33" t="s">
        <v>10915</v>
      </c>
      <c r="G1161" s="33" t="s">
        <v>9</v>
      </c>
      <c r="H1161" s="33" t="n">
        <v>30</v>
      </c>
    </row>
    <row r="1162" customFormat="false" ht="54" hidden="false" customHeight="true" outlineLevel="0" collapsed="false">
      <c r="A1162" s="32" t="s">
        <v>10933</v>
      </c>
      <c r="B1162" s="32" t="s">
        <v>3833</v>
      </c>
      <c r="C1162" s="33" t="s">
        <v>1407</v>
      </c>
      <c r="D1162" s="33" t="s">
        <v>50</v>
      </c>
      <c r="E1162" s="33" t="s">
        <v>84</v>
      </c>
      <c r="F1162" s="33" t="s">
        <v>10917</v>
      </c>
      <c r="G1162" s="33" t="s">
        <v>9</v>
      </c>
      <c r="H1162" s="33" t="n">
        <v>30</v>
      </c>
    </row>
    <row r="1163" customFormat="false" ht="54" hidden="false" customHeight="true" outlineLevel="0" collapsed="false">
      <c r="A1163" s="32" t="s">
        <v>10934</v>
      </c>
      <c r="B1163" s="32" t="s">
        <v>3833</v>
      </c>
      <c r="C1163" s="33" t="s">
        <v>1407</v>
      </c>
      <c r="D1163" s="33" t="s">
        <v>50</v>
      </c>
      <c r="E1163" s="33" t="s">
        <v>84</v>
      </c>
      <c r="F1163" s="33" t="s">
        <v>10935</v>
      </c>
      <c r="G1163" s="33" t="s">
        <v>9</v>
      </c>
      <c r="H1163" s="33" t="n">
        <v>30</v>
      </c>
    </row>
    <row r="1164" customFormat="false" ht="54" hidden="false" customHeight="true" outlineLevel="0" collapsed="false">
      <c r="A1164" s="32" t="s">
        <v>10936</v>
      </c>
      <c r="B1164" s="32" t="s">
        <v>3833</v>
      </c>
      <c r="C1164" s="33" t="s">
        <v>1407</v>
      </c>
      <c r="D1164" s="33" t="s">
        <v>50</v>
      </c>
      <c r="E1164" s="33" t="s">
        <v>84</v>
      </c>
      <c r="F1164" s="33" t="s">
        <v>3841</v>
      </c>
      <c r="G1164" s="33" t="s">
        <v>9</v>
      </c>
      <c r="H1164" s="33" t="n">
        <v>30</v>
      </c>
    </row>
    <row r="1165" customFormat="false" ht="54" hidden="false" customHeight="true" outlineLevel="0" collapsed="false">
      <c r="A1165" s="32" t="s">
        <v>10937</v>
      </c>
      <c r="B1165" s="32" t="s">
        <v>3833</v>
      </c>
      <c r="C1165" s="33" t="s">
        <v>1407</v>
      </c>
      <c r="D1165" s="33" t="s">
        <v>50</v>
      </c>
      <c r="E1165" s="33" t="s">
        <v>84</v>
      </c>
      <c r="F1165" s="33" t="s">
        <v>10920</v>
      </c>
      <c r="G1165" s="33" t="s">
        <v>9</v>
      </c>
      <c r="H1165" s="33" t="n">
        <v>30</v>
      </c>
    </row>
    <row r="1166" customFormat="false" ht="54" hidden="false" customHeight="true" outlineLevel="0" collapsed="false">
      <c r="A1166" s="32" t="s">
        <v>10938</v>
      </c>
      <c r="B1166" s="32" t="s">
        <v>3833</v>
      </c>
      <c r="C1166" s="33" t="s">
        <v>1407</v>
      </c>
      <c r="D1166" s="33" t="s">
        <v>50</v>
      </c>
      <c r="E1166" s="33" t="s">
        <v>84</v>
      </c>
      <c r="F1166" s="33" t="s">
        <v>10922</v>
      </c>
      <c r="G1166" s="33" t="s">
        <v>9</v>
      </c>
      <c r="H1166" s="33" t="n">
        <v>30</v>
      </c>
    </row>
    <row r="1167" customFormat="false" ht="54" hidden="false" customHeight="true" outlineLevel="0" collapsed="false">
      <c r="A1167" s="32" t="s">
        <v>10939</v>
      </c>
      <c r="B1167" s="32" t="s">
        <v>3846</v>
      </c>
      <c r="C1167" s="33" t="s">
        <v>1407</v>
      </c>
      <c r="D1167" s="33" t="s">
        <v>50</v>
      </c>
      <c r="E1167" s="33" t="s">
        <v>80</v>
      </c>
      <c r="F1167" s="33" t="s">
        <v>10940</v>
      </c>
      <c r="G1167" s="33" t="s">
        <v>9</v>
      </c>
      <c r="H1167" s="33" t="n">
        <v>30</v>
      </c>
    </row>
    <row r="1168" customFormat="false" ht="54" hidden="false" customHeight="true" outlineLevel="0" collapsed="false">
      <c r="A1168" s="32" t="s">
        <v>10941</v>
      </c>
      <c r="B1168" s="32" t="s">
        <v>3846</v>
      </c>
      <c r="C1168" s="33" t="s">
        <v>1407</v>
      </c>
      <c r="D1168" s="33" t="s">
        <v>50</v>
      </c>
      <c r="E1168" s="33" t="s">
        <v>80</v>
      </c>
      <c r="F1168" s="33" t="s">
        <v>10942</v>
      </c>
      <c r="G1168" s="33" t="s">
        <v>9</v>
      </c>
      <c r="H1168" s="33" t="n">
        <v>30</v>
      </c>
    </row>
    <row r="1169" customFormat="false" ht="54" hidden="false" customHeight="true" outlineLevel="0" collapsed="false">
      <c r="A1169" s="32" t="s">
        <v>10943</v>
      </c>
      <c r="B1169" s="32" t="s">
        <v>3846</v>
      </c>
      <c r="C1169" s="33" t="s">
        <v>1407</v>
      </c>
      <c r="D1169" s="33" t="s">
        <v>50</v>
      </c>
      <c r="E1169" s="33" t="s">
        <v>80</v>
      </c>
      <c r="F1169" s="33" t="s">
        <v>10944</v>
      </c>
      <c r="G1169" s="33" t="s">
        <v>9</v>
      </c>
      <c r="H1169" s="33" t="n">
        <v>30</v>
      </c>
    </row>
    <row r="1170" customFormat="false" ht="54" hidden="false" customHeight="true" outlineLevel="0" collapsed="false">
      <c r="A1170" s="32" t="s">
        <v>10945</v>
      </c>
      <c r="B1170" s="32" t="s">
        <v>3846</v>
      </c>
      <c r="C1170" s="33" t="s">
        <v>1407</v>
      </c>
      <c r="D1170" s="33" t="s">
        <v>50</v>
      </c>
      <c r="E1170" s="33" t="s">
        <v>80</v>
      </c>
      <c r="F1170" s="33" t="s">
        <v>10946</v>
      </c>
      <c r="G1170" s="33" t="s">
        <v>9</v>
      </c>
      <c r="H1170" s="33" t="n">
        <v>30</v>
      </c>
    </row>
    <row r="1171" customFormat="false" ht="54" hidden="false" customHeight="true" outlineLevel="0" collapsed="false">
      <c r="A1171" s="32" t="s">
        <v>10947</v>
      </c>
      <c r="B1171" s="32" t="s">
        <v>3846</v>
      </c>
      <c r="C1171" s="33" t="s">
        <v>1407</v>
      </c>
      <c r="D1171" s="33" t="s">
        <v>50</v>
      </c>
      <c r="E1171" s="33" t="s">
        <v>80</v>
      </c>
      <c r="F1171" s="33" t="s">
        <v>10948</v>
      </c>
      <c r="G1171" s="33" t="s">
        <v>9</v>
      </c>
      <c r="H1171" s="33" t="n">
        <v>30</v>
      </c>
    </row>
    <row r="1172" customFormat="false" ht="54" hidden="false" customHeight="true" outlineLevel="0" collapsed="false">
      <c r="A1172" s="32" t="s">
        <v>10949</v>
      </c>
      <c r="B1172" s="32" t="s">
        <v>3846</v>
      </c>
      <c r="C1172" s="33" t="s">
        <v>1407</v>
      </c>
      <c r="D1172" s="33" t="s">
        <v>50</v>
      </c>
      <c r="E1172" s="33" t="s">
        <v>81</v>
      </c>
      <c r="F1172" s="33" t="s">
        <v>3856</v>
      </c>
      <c r="G1172" s="33" t="s">
        <v>9</v>
      </c>
      <c r="H1172" s="33" t="n">
        <v>30</v>
      </c>
    </row>
    <row r="1173" customFormat="false" ht="54" hidden="false" customHeight="true" outlineLevel="0" collapsed="false">
      <c r="A1173" s="32" t="s">
        <v>10950</v>
      </c>
      <c r="B1173" s="32" t="s">
        <v>3846</v>
      </c>
      <c r="C1173" s="33" t="s">
        <v>1407</v>
      </c>
      <c r="D1173" s="33" t="s">
        <v>50</v>
      </c>
      <c r="E1173" s="33" t="s">
        <v>83</v>
      </c>
      <c r="F1173" s="33" t="s">
        <v>10951</v>
      </c>
      <c r="G1173" s="33" t="s">
        <v>9</v>
      </c>
      <c r="H1173" s="33" t="n">
        <v>30</v>
      </c>
    </row>
    <row r="1174" customFormat="false" ht="54" hidden="false" customHeight="true" outlineLevel="0" collapsed="false">
      <c r="A1174" s="32" t="s">
        <v>10952</v>
      </c>
      <c r="B1174" s="32" t="s">
        <v>3846</v>
      </c>
      <c r="C1174" s="33" t="s">
        <v>1407</v>
      </c>
      <c r="D1174" s="33" t="s">
        <v>50</v>
      </c>
      <c r="E1174" s="33" t="s">
        <v>83</v>
      </c>
      <c r="F1174" s="33" t="s">
        <v>10944</v>
      </c>
      <c r="G1174" s="33" t="s">
        <v>9</v>
      </c>
      <c r="H1174" s="33" t="n">
        <v>30</v>
      </c>
    </row>
    <row r="1175" customFormat="false" ht="54" hidden="false" customHeight="true" outlineLevel="0" collapsed="false">
      <c r="A1175" s="32" t="s">
        <v>10953</v>
      </c>
      <c r="B1175" s="32" t="s">
        <v>3846</v>
      </c>
      <c r="C1175" s="33" t="s">
        <v>1407</v>
      </c>
      <c r="D1175" s="33" t="s">
        <v>50</v>
      </c>
      <c r="E1175" s="33" t="s">
        <v>83</v>
      </c>
      <c r="F1175" s="33" t="s">
        <v>10948</v>
      </c>
      <c r="G1175" s="33" t="s">
        <v>9</v>
      </c>
      <c r="H1175" s="33" t="n">
        <v>30</v>
      </c>
    </row>
    <row r="1176" customFormat="false" ht="54" hidden="false" customHeight="true" outlineLevel="0" collapsed="false">
      <c r="A1176" s="32" t="s">
        <v>10954</v>
      </c>
      <c r="B1176" s="32" t="s">
        <v>3846</v>
      </c>
      <c r="C1176" s="33" t="s">
        <v>1407</v>
      </c>
      <c r="D1176" s="33" t="s">
        <v>50</v>
      </c>
      <c r="E1176" s="33" t="s">
        <v>83</v>
      </c>
      <c r="F1176" s="33" t="s">
        <v>10955</v>
      </c>
      <c r="G1176" s="33" t="s">
        <v>9</v>
      </c>
      <c r="H1176" s="33" t="n">
        <v>30</v>
      </c>
    </row>
    <row r="1177" customFormat="false" ht="54" hidden="false" customHeight="true" outlineLevel="0" collapsed="false">
      <c r="A1177" s="32" t="s">
        <v>10956</v>
      </c>
      <c r="B1177" s="32" t="s">
        <v>3846</v>
      </c>
      <c r="C1177" s="33" t="s">
        <v>1407</v>
      </c>
      <c r="D1177" s="33" t="s">
        <v>50</v>
      </c>
      <c r="E1177" s="33" t="s">
        <v>83</v>
      </c>
      <c r="F1177" s="33" t="s">
        <v>10957</v>
      </c>
      <c r="G1177" s="33" t="s">
        <v>9</v>
      </c>
      <c r="H1177" s="33" t="n">
        <v>30</v>
      </c>
    </row>
    <row r="1178" customFormat="false" ht="54" hidden="false" customHeight="true" outlineLevel="0" collapsed="false">
      <c r="A1178" s="32" t="s">
        <v>10958</v>
      </c>
      <c r="B1178" s="32" t="s">
        <v>3846</v>
      </c>
      <c r="C1178" s="33" t="s">
        <v>1407</v>
      </c>
      <c r="D1178" s="33" t="s">
        <v>50</v>
      </c>
      <c r="E1178" s="33" t="s">
        <v>84</v>
      </c>
      <c r="F1178" s="33" t="s">
        <v>10959</v>
      </c>
      <c r="G1178" s="33" t="s">
        <v>9</v>
      </c>
      <c r="H1178" s="33" t="n">
        <v>30</v>
      </c>
    </row>
    <row r="1179" customFormat="false" ht="54" hidden="false" customHeight="true" outlineLevel="0" collapsed="false">
      <c r="A1179" s="32" t="s">
        <v>10960</v>
      </c>
      <c r="B1179" s="32" t="s">
        <v>3846</v>
      </c>
      <c r="C1179" s="33" t="s">
        <v>1407</v>
      </c>
      <c r="D1179" s="33" t="s">
        <v>50</v>
      </c>
      <c r="E1179" s="33" t="s">
        <v>84</v>
      </c>
      <c r="F1179" s="33" t="s">
        <v>10942</v>
      </c>
      <c r="G1179" s="33" t="s">
        <v>9</v>
      </c>
      <c r="H1179" s="33" t="n">
        <v>30</v>
      </c>
    </row>
    <row r="1180" customFormat="false" ht="54" hidden="false" customHeight="true" outlineLevel="0" collapsed="false">
      <c r="A1180" s="32" t="s">
        <v>10961</v>
      </c>
      <c r="B1180" s="32" t="s">
        <v>3846</v>
      </c>
      <c r="C1180" s="33" t="s">
        <v>1407</v>
      </c>
      <c r="D1180" s="33" t="s">
        <v>50</v>
      </c>
      <c r="E1180" s="33" t="s">
        <v>84</v>
      </c>
      <c r="F1180" s="33" t="s">
        <v>10962</v>
      </c>
      <c r="G1180" s="33" t="s">
        <v>9</v>
      </c>
      <c r="H1180" s="33" t="n">
        <v>30</v>
      </c>
    </row>
    <row r="1181" customFormat="false" ht="54" hidden="false" customHeight="true" outlineLevel="0" collapsed="false">
      <c r="A1181" s="32" t="s">
        <v>10963</v>
      </c>
      <c r="B1181" s="32" t="s">
        <v>3846</v>
      </c>
      <c r="C1181" s="33" t="s">
        <v>1407</v>
      </c>
      <c r="D1181" s="33" t="s">
        <v>50</v>
      </c>
      <c r="E1181" s="33" t="s">
        <v>84</v>
      </c>
      <c r="F1181" s="33" t="s">
        <v>10964</v>
      </c>
      <c r="G1181" s="33" t="s">
        <v>9</v>
      </c>
      <c r="H1181" s="33" t="n">
        <v>30</v>
      </c>
    </row>
    <row r="1182" customFormat="false" ht="54" hidden="false" customHeight="true" outlineLevel="0" collapsed="false">
      <c r="A1182" s="32" t="s">
        <v>10965</v>
      </c>
      <c r="B1182" s="32" t="s">
        <v>3846</v>
      </c>
      <c r="C1182" s="33" t="s">
        <v>1407</v>
      </c>
      <c r="D1182" s="33" t="s">
        <v>50</v>
      </c>
      <c r="E1182" s="33" t="s">
        <v>84</v>
      </c>
      <c r="F1182" s="33" t="s">
        <v>10948</v>
      </c>
      <c r="G1182" s="33" t="s">
        <v>9</v>
      </c>
      <c r="H1182" s="33" t="n">
        <v>30</v>
      </c>
    </row>
    <row r="1183" customFormat="false" ht="54" hidden="false" customHeight="true" outlineLevel="0" collapsed="false">
      <c r="A1183" s="32" t="s">
        <v>10966</v>
      </c>
      <c r="B1183" s="32" t="s">
        <v>3846</v>
      </c>
      <c r="C1183" s="33" t="s">
        <v>1407</v>
      </c>
      <c r="D1183" s="33" t="s">
        <v>50</v>
      </c>
      <c r="E1183" s="33" t="s">
        <v>84</v>
      </c>
      <c r="F1183" s="33" t="s">
        <v>3856</v>
      </c>
      <c r="G1183" s="33" t="s">
        <v>9</v>
      </c>
      <c r="H1183" s="33" t="n">
        <v>30</v>
      </c>
    </row>
    <row r="1184" customFormat="false" ht="54" hidden="false" customHeight="true" outlineLevel="0" collapsed="false">
      <c r="A1184" s="32" t="s">
        <v>10967</v>
      </c>
      <c r="B1184" s="32" t="s">
        <v>3861</v>
      </c>
      <c r="C1184" s="33" t="s">
        <v>98</v>
      </c>
      <c r="D1184" s="33" t="s">
        <v>59</v>
      </c>
      <c r="E1184" s="33" t="s">
        <v>80</v>
      </c>
      <c r="F1184" s="33" t="s">
        <v>10968</v>
      </c>
      <c r="G1184" s="33" t="s">
        <v>9</v>
      </c>
      <c r="H1184" s="33" t="n">
        <v>30</v>
      </c>
    </row>
    <row r="1185" customFormat="false" ht="54" hidden="false" customHeight="true" outlineLevel="0" collapsed="false">
      <c r="A1185" s="32" t="s">
        <v>10969</v>
      </c>
      <c r="B1185" s="32" t="s">
        <v>3861</v>
      </c>
      <c r="C1185" s="33" t="s">
        <v>98</v>
      </c>
      <c r="D1185" s="33" t="s">
        <v>59</v>
      </c>
      <c r="E1185" s="33" t="s">
        <v>80</v>
      </c>
      <c r="F1185" s="33" t="s">
        <v>10970</v>
      </c>
      <c r="G1185" s="33" t="s">
        <v>9</v>
      </c>
      <c r="H1185" s="33" t="n">
        <v>30</v>
      </c>
    </row>
    <row r="1186" customFormat="false" ht="54" hidden="false" customHeight="true" outlineLevel="0" collapsed="false">
      <c r="A1186" s="32" t="s">
        <v>10971</v>
      </c>
      <c r="B1186" s="32" t="s">
        <v>3861</v>
      </c>
      <c r="C1186" s="33" t="s">
        <v>98</v>
      </c>
      <c r="D1186" s="33" t="s">
        <v>59</v>
      </c>
      <c r="E1186" s="33" t="s">
        <v>80</v>
      </c>
      <c r="F1186" s="33" t="s">
        <v>10515</v>
      </c>
      <c r="G1186" s="33" t="s">
        <v>9</v>
      </c>
      <c r="H1186" s="33" t="n">
        <v>30</v>
      </c>
    </row>
    <row r="1187" customFormat="false" ht="54" hidden="false" customHeight="true" outlineLevel="0" collapsed="false">
      <c r="A1187" s="32" t="s">
        <v>10972</v>
      </c>
      <c r="B1187" s="32" t="s">
        <v>3861</v>
      </c>
      <c r="C1187" s="33" t="s">
        <v>98</v>
      </c>
      <c r="D1187" s="33" t="s">
        <v>59</v>
      </c>
      <c r="E1187" s="33" t="s">
        <v>80</v>
      </c>
      <c r="F1187" s="33" t="s">
        <v>10973</v>
      </c>
      <c r="G1187" s="33" t="s">
        <v>9</v>
      </c>
      <c r="H1187" s="33" t="n">
        <v>30</v>
      </c>
    </row>
    <row r="1188" customFormat="false" ht="54" hidden="false" customHeight="true" outlineLevel="0" collapsed="false">
      <c r="A1188" s="32" t="s">
        <v>10974</v>
      </c>
      <c r="B1188" s="32" t="s">
        <v>3861</v>
      </c>
      <c r="C1188" s="33" t="s">
        <v>98</v>
      </c>
      <c r="D1188" s="33" t="s">
        <v>59</v>
      </c>
      <c r="E1188" s="33" t="s">
        <v>80</v>
      </c>
      <c r="F1188" s="33" t="s">
        <v>10975</v>
      </c>
      <c r="G1188" s="33" t="s">
        <v>9</v>
      </c>
      <c r="H1188" s="33" t="n">
        <v>30</v>
      </c>
    </row>
    <row r="1189" customFormat="false" ht="54" hidden="false" customHeight="true" outlineLevel="0" collapsed="false">
      <c r="A1189" s="32" t="s">
        <v>10976</v>
      </c>
      <c r="B1189" s="32" t="s">
        <v>3861</v>
      </c>
      <c r="C1189" s="33" t="s">
        <v>98</v>
      </c>
      <c r="D1189" s="33" t="s">
        <v>59</v>
      </c>
      <c r="E1189" s="33" t="s">
        <v>81</v>
      </c>
      <c r="F1189" s="33" t="s">
        <v>10977</v>
      </c>
      <c r="G1189" s="33" t="s">
        <v>9</v>
      </c>
      <c r="H1189" s="33" t="n">
        <v>30</v>
      </c>
    </row>
    <row r="1190" customFormat="false" ht="54" hidden="false" customHeight="true" outlineLevel="0" collapsed="false">
      <c r="A1190" s="32" t="s">
        <v>10978</v>
      </c>
      <c r="B1190" s="32" t="s">
        <v>3861</v>
      </c>
      <c r="C1190" s="33" t="s">
        <v>98</v>
      </c>
      <c r="D1190" s="33" t="s">
        <v>59</v>
      </c>
      <c r="E1190" s="33" t="s">
        <v>81</v>
      </c>
      <c r="F1190" s="33" t="s">
        <v>10979</v>
      </c>
      <c r="G1190" s="33" t="s">
        <v>9</v>
      </c>
      <c r="H1190" s="33" t="n">
        <v>30</v>
      </c>
    </row>
    <row r="1191" customFormat="false" ht="54" hidden="false" customHeight="true" outlineLevel="0" collapsed="false">
      <c r="A1191" s="32" t="s">
        <v>10980</v>
      </c>
      <c r="B1191" s="32" t="s">
        <v>3861</v>
      </c>
      <c r="C1191" s="33" t="s">
        <v>98</v>
      </c>
      <c r="D1191" s="33" t="s">
        <v>59</v>
      </c>
      <c r="E1191" s="33" t="s">
        <v>81</v>
      </c>
      <c r="F1191" s="33" t="s">
        <v>10981</v>
      </c>
      <c r="G1191" s="33" t="s">
        <v>9</v>
      </c>
      <c r="H1191" s="33" t="n">
        <v>30</v>
      </c>
    </row>
    <row r="1192" customFormat="false" ht="54" hidden="false" customHeight="true" outlineLevel="0" collapsed="false">
      <c r="A1192" s="32" t="s">
        <v>10982</v>
      </c>
      <c r="B1192" s="32" t="s">
        <v>3861</v>
      </c>
      <c r="C1192" s="33" t="s">
        <v>98</v>
      </c>
      <c r="D1192" s="33" t="s">
        <v>59</v>
      </c>
      <c r="E1192" s="33" t="s">
        <v>81</v>
      </c>
      <c r="F1192" s="33" t="s">
        <v>10968</v>
      </c>
      <c r="G1192" s="33" t="s">
        <v>9</v>
      </c>
      <c r="H1192" s="33" t="n">
        <v>30</v>
      </c>
    </row>
    <row r="1193" customFormat="false" ht="54" hidden="false" customHeight="true" outlineLevel="0" collapsed="false">
      <c r="A1193" s="32" t="s">
        <v>10983</v>
      </c>
      <c r="B1193" s="32" t="s">
        <v>3861</v>
      </c>
      <c r="C1193" s="33" t="s">
        <v>98</v>
      </c>
      <c r="D1193" s="33" t="s">
        <v>59</v>
      </c>
      <c r="E1193" s="33" t="s">
        <v>81</v>
      </c>
      <c r="F1193" s="33" t="s">
        <v>10515</v>
      </c>
      <c r="G1193" s="33" t="s">
        <v>9</v>
      </c>
      <c r="H1193" s="33" t="n">
        <v>30</v>
      </c>
    </row>
    <row r="1194" customFormat="false" ht="54" hidden="false" customHeight="true" outlineLevel="0" collapsed="false">
      <c r="A1194" s="32" t="s">
        <v>10984</v>
      </c>
      <c r="B1194" s="32" t="s">
        <v>3861</v>
      </c>
      <c r="C1194" s="33" t="s">
        <v>98</v>
      </c>
      <c r="D1194" s="33" t="s">
        <v>59</v>
      </c>
      <c r="E1194" s="33" t="s">
        <v>84</v>
      </c>
      <c r="F1194" s="33" t="s">
        <v>10979</v>
      </c>
      <c r="G1194" s="33" t="s">
        <v>9</v>
      </c>
      <c r="H1194" s="33" t="n">
        <v>30</v>
      </c>
    </row>
    <row r="1195" customFormat="false" ht="54" hidden="false" customHeight="true" outlineLevel="0" collapsed="false">
      <c r="A1195" s="32" t="s">
        <v>10985</v>
      </c>
      <c r="B1195" s="32" t="s">
        <v>3861</v>
      </c>
      <c r="C1195" s="33" t="s">
        <v>98</v>
      </c>
      <c r="D1195" s="33" t="s">
        <v>59</v>
      </c>
      <c r="E1195" s="33" t="s">
        <v>84</v>
      </c>
      <c r="F1195" s="33" t="s">
        <v>10968</v>
      </c>
      <c r="G1195" s="33" t="s">
        <v>9</v>
      </c>
      <c r="H1195" s="33" t="n">
        <v>30</v>
      </c>
    </row>
    <row r="1196" customFormat="false" ht="54" hidden="false" customHeight="true" outlineLevel="0" collapsed="false">
      <c r="A1196" s="32" t="s">
        <v>10986</v>
      </c>
      <c r="B1196" s="32" t="s">
        <v>3861</v>
      </c>
      <c r="C1196" s="33" t="s">
        <v>98</v>
      </c>
      <c r="D1196" s="33" t="s">
        <v>59</v>
      </c>
      <c r="E1196" s="33" t="s">
        <v>84</v>
      </c>
      <c r="F1196" s="33" t="s">
        <v>10973</v>
      </c>
      <c r="G1196" s="33" t="s">
        <v>9</v>
      </c>
      <c r="H1196" s="33" t="n">
        <v>30</v>
      </c>
    </row>
    <row r="1197" customFormat="false" ht="54" hidden="false" customHeight="true" outlineLevel="0" collapsed="false">
      <c r="A1197" s="32" t="s">
        <v>10987</v>
      </c>
      <c r="B1197" s="32" t="s">
        <v>3861</v>
      </c>
      <c r="C1197" s="33" t="s">
        <v>98</v>
      </c>
      <c r="D1197" s="33" t="s">
        <v>59</v>
      </c>
      <c r="E1197" s="33" t="s">
        <v>84</v>
      </c>
      <c r="F1197" s="33" t="s">
        <v>10975</v>
      </c>
      <c r="G1197" s="33" t="s">
        <v>9</v>
      </c>
      <c r="H1197" s="33" t="n">
        <v>30</v>
      </c>
    </row>
    <row r="1198" customFormat="false" ht="54" hidden="false" customHeight="true" outlineLevel="0" collapsed="false">
      <c r="A1198" s="32" t="s">
        <v>10988</v>
      </c>
      <c r="B1198" s="32" t="s">
        <v>3874</v>
      </c>
      <c r="C1198" s="33" t="s">
        <v>1407</v>
      </c>
      <c r="D1198" s="33" t="s">
        <v>50</v>
      </c>
      <c r="E1198" s="33" t="s">
        <v>84</v>
      </c>
      <c r="F1198" s="33" t="s">
        <v>3882</v>
      </c>
      <c r="G1198" s="33" t="s">
        <v>9</v>
      </c>
      <c r="H1198" s="33" t="n">
        <v>30</v>
      </c>
    </row>
    <row r="1199" customFormat="false" ht="54" hidden="false" customHeight="true" outlineLevel="0" collapsed="false">
      <c r="A1199" s="32" t="s">
        <v>10989</v>
      </c>
      <c r="B1199" s="32" t="s">
        <v>3885</v>
      </c>
      <c r="C1199" s="33" t="s">
        <v>1407</v>
      </c>
      <c r="D1199" s="33" t="s">
        <v>50</v>
      </c>
      <c r="E1199" s="33" t="s">
        <v>80</v>
      </c>
      <c r="F1199" s="33" t="s">
        <v>10990</v>
      </c>
      <c r="G1199" s="33" t="s">
        <v>9</v>
      </c>
      <c r="H1199" s="33" t="n">
        <v>30</v>
      </c>
    </row>
    <row r="1200" customFormat="false" ht="54" hidden="false" customHeight="true" outlineLevel="0" collapsed="false">
      <c r="A1200" s="32" t="s">
        <v>10991</v>
      </c>
      <c r="B1200" s="32" t="s">
        <v>3885</v>
      </c>
      <c r="C1200" s="33" t="s">
        <v>1407</v>
      </c>
      <c r="D1200" s="33" t="s">
        <v>50</v>
      </c>
      <c r="E1200" s="33" t="s">
        <v>80</v>
      </c>
      <c r="F1200" s="33" t="s">
        <v>10992</v>
      </c>
      <c r="G1200" s="33" t="s">
        <v>9</v>
      </c>
      <c r="H1200" s="33" t="n">
        <v>30</v>
      </c>
    </row>
    <row r="1201" customFormat="false" ht="54" hidden="false" customHeight="true" outlineLevel="0" collapsed="false">
      <c r="A1201" s="32" t="s">
        <v>10993</v>
      </c>
      <c r="B1201" s="32" t="s">
        <v>3885</v>
      </c>
      <c r="C1201" s="33" t="s">
        <v>1407</v>
      </c>
      <c r="D1201" s="33" t="s">
        <v>50</v>
      </c>
      <c r="E1201" s="33" t="s">
        <v>81</v>
      </c>
      <c r="F1201" s="33" t="s">
        <v>3888</v>
      </c>
      <c r="G1201" s="33" t="s">
        <v>9</v>
      </c>
      <c r="H1201" s="33" t="n">
        <v>30</v>
      </c>
    </row>
    <row r="1202" customFormat="false" ht="54" hidden="false" customHeight="true" outlineLevel="0" collapsed="false">
      <c r="A1202" s="32" t="s">
        <v>10994</v>
      </c>
      <c r="B1202" s="32" t="s">
        <v>3885</v>
      </c>
      <c r="C1202" s="33" t="s">
        <v>1407</v>
      </c>
      <c r="D1202" s="33" t="s">
        <v>50</v>
      </c>
      <c r="E1202" s="33" t="s">
        <v>81</v>
      </c>
      <c r="F1202" s="33" t="s">
        <v>3889</v>
      </c>
      <c r="G1202" s="33" t="s">
        <v>9</v>
      </c>
      <c r="H1202" s="33" t="n">
        <v>30</v>
      </c>
    </row>
    <row r="1203" customFormat="false" ht="54" hidden="false" customHeight="true" outlineLevel="0" collapsed="false">
      <c r="A1203" s="32" t="s">
        <v>10995</v>
      </c>
      <c r="B1203" s="32" t="s">
        <v>3885</v>
      </c>
      <c r="C1203" s="33" t="s">
        <v>1407</v>
      </c>
      <c r="D1203" s="33" t="s">
        <v>50</v>
      </c>
      <c r="E1203" s="33" t="s">
        <v>81</v>
      </c>
      <c r="F1203" s="33" t="s">
        <v>10996</v>
      </c>
      <c r="G1203" s="33" t="s">
        <v>9</v>
      </c>
      <c r="H1203" s="33" t="n">
        <v>30</v>
      </c>
    </row>
    <row r="1204" customFormat="false" ht="54" hidden="false" customHeight="true" outlineLevel="0" collapsed="false">
      <c r="A1204" s="32" t="s">
        <v>10997</v>
      </c>
      <c r="B1204" s="32" t="s">
        <v>3885</v>
      </c>
      <c r="C1204" s="33" t="s">
        <v>1407</v>
      </c>
      <c r="D1204" s="33" t="s">
        <v>50</v>
      </c>
      <c r="E1204" s="33" t="s">
        <v>81</v>
      </c>
      <c r="F1204" s="33" t="s">
        <v>10480</v>
      </c>
      <c r="G1204" s="33" t="s">
        <v>9</v>
      </c>
      <c r="H1204" s="33" t="n">
        <v>30</v>
      </c>
    </row>
    <row r="1205" customFormat="false" ht="54" hidden="false" customHeight="true" outlineLevel="0" collapsed="false">
      <c r="A1205" s="32" t="s">
        <v>10998</v>
      </c>
      <c r="B1205" s="32" t="s">
        <v>3885</v>
      </c>
      <c r="C1205" s="33" t="s">
        <v>1407</v>
      </c>
      <c r="D1205" s="33" t="s">
        <v>50</v>
      </c>
      <c r="E1205" s="33" t="s">
        <v>81</v>
      </c>
      <c r="F1205" s="33" t="s">
        <v>10990</v>
      </c>
      <c r="G1205" s="33" t="s">
        <v>9</v>
      </c>
      <c r="H1205" s="33" t="n">
        <v>30</v>
      </c>
    </row>
    <row r="1206" customFormat="false" ht="54" hidden="false" customHeight="true" outlineLevel="0" collapsed="false">
      <c r="A1206" s="32" t="s">
        <v>10999</v>
      </c>
      <c r="B1206" s="32" t="s">
        <v>3885</v>
      </c>
      <c r="C1206" s="33" t="s">
        <v>1407</v>
      </c>
      <c r="D1206" s="33" t="s">
        <v>50</v>
      </c>
      <c r="E1206" s="33" t="s">
        <v>84</v>
      </c>
      <c r="F1206" s="33" t="s">
        <v>10990</v>
      </c>
      <c r="G1206" s="33" t="s">
        <v>9</v>
      </c>
      <c r="H1206" s="33" t="n">
        <v>30</v>
      </c>
    </row>
    <row r="1207" customFormat="false" ht="54" hidden="false" customHeight="true" outlineLevel="0" collapsed="false">
      <c r="A1207" s="32" t="s">
        <v>11000</v>
      </c>
      <c r="B1207" s="32" t="s">
        <v>3885</v>
      </c>
      <c r="C1207" s="33" t="s">
        <v>1407</v>
      </c>
      <c r="D1207" s="33" t="s">
        <v>50</v>
      </c>
      <c r="E1207" s="33" t="s">
        <v>84</v>
      </c>
      <c r="F1207" s="33" t="s">
        <v>10992</v>
      </c>
      <c r="G1207" s="33" t="s">
        <v>9</v>
      </c>
      <c r="H1207" s="33" t="n">
        <v>30</v>
      </c>
    </row>
    <row r="1208" customFormat="false" ht="54" hidden="false" customHeight="true" outlineLevel="0" collapsed="false">
      <c r="A1208" s="32" t="s">
        <v>11001</v>
      </c>
      <c r="B1208" s="32" t="s">
        <v>3898</v>
      </c>
      <c r="C1208" s="33" t="s">
        <v>1407</v>
      </c>
      <c r="D1208" s="33" t="s">
        <v>50</v>
      </c>
      <c r="E1208" s="33" t="s">
        <v>80</v>
      </c>
      <c r="F1208" s="33" t="s">
        <v>11002</v>
      </c>
      <c r="G1208" s="33" t="s">
        <v>9</v>
      </c>
      <c r="H1208" s="33" t="n">
        <v>30</v>
      </c>
    </row>
    <row r="1209" customFormat="false" ht="54" hidden="false" customHeight="true" outlineLevel="0" collapsed="false">
      <c r="A1209" s="32" t="s">
        <v>11003</v>
      </c>
      <c r="B1209" s="32" t="s">
        <v>3898</v>
      </c>
      <c r="C1209" s="33" t="s">
        <v>1407</v>
      </c>
      <c r="D1209" s="33" t="s">
        <v>50</v>
      </c>
      <c r="E1209" s="33" t="s">
        <v>80</v>
      </c>
      <c r="F1209" s="33" t="s">
        <v>11004</v>
      </c>
      <c r="G1209" s="33" t="s">
        <v>9</v>
      </c>
      <c r="H1209" s="33" t="n">
        <v>30</v>
      </c>
    </row>
    <row r="1210" customFormat="false" ht="54" hidden="false" customHeight="true" outlineLevel="0" collapsed="false">
      <c r="A1210" s="32" t="s">
        <v>11005</v>
      </c>
      <c r="B1210" s="32" t="s">
        <v>3898</v>
      </c>
      <c r="C1210" s="33" t="s">
        <v>1407</v>
      </c>
      <c r="D1210" s="33" t="s">
        <v>50</v>
      </c>
      <c r="E1210" s="33" t="s">
        <v>80</v>
      </c>
      <c r="F1210" s="33" t="s">
        <v>11006</v>
      </c>
      <c r="G1210" s="33" t="s">
        <v>9</v>
      </c>
      <c r="H1210" s="33" t="n">
        <v>30</v>
      </c>
    </row>
    <row r="1211" customFormat="false" ht="54" hidden="false" customHeight="true" outlineLevel="0" collapsed="false">
      <c r="A1211" s="32" t="s">
        <v>11007</v>
      </c>
      <c r="B1211" s="32" t="s">
        <v>3898</v>
      </c>
      <c r="C1211" s="33" t="s">
        <v>1407</v>
      </c>
      <c r="D1211" s="33" t="s">
        <v>50</v>
      </c>
      <c r="E1211" s="33" t="s">
        <v>80</v>
      </c>
      <c r="F1211" s="33" t="s">
        <v>3908</v>
      </c>
      <c r="G1211" s="33" t="s">
        <v>9</v>
      </c>
      <c r="H1211" s="33" t="n">
        <v>30</v>
      </c>
    </row>
    <row r="1212" customFormat="false" ht="54" hidden="false" customHeight="true" outlineLevel="0" collapsed="false">
      <c r="A1212" s="32" t="s">
        <v>11008</v>
      </c>
      <c r="B1212" s="32" t="s">
        <v>3898</v>
      </c>
      <c r="C1212" s="33" t="s">
        <v>1407</v>
      </c>
      <c r="D1212" s="33" t="s">
        <v>50</v>
      </c>
      <c r="E1212" s="33" t="s">
        <v>80</v>
      </c>
      <c r="F1212" s="33" t="s">
        <v>11009</v>
      </c>
      <c r="G1212" s="33" t="s">
        <v>9</v>
      </c>
      <c r="H1212" s="33" t="n">
        <v>30</v>
      </c>
    </row>
    <row r="1213" customFormat="false" ht="54" hidden="false" customHeight="true" outlineLevel="0" collapsed="false">
      <c r="A1213" s="32" t="s">
        <v>11010</v>
      </c>
      <c r="B1213" s="32" t="s">
        <v>3898</v>
      </c>
      <c r="C1213" s="33" t="s">
        <v>1407</v>
      </c>
      <c r="D1213" s="33" t="s">
        <v>50</v>
      </c>
      <c r="E1213" s="33" t="s">
        <v>81</v>
      </c>
      <c r="F1213" s="33" t="s">
        <v>11002</v>
      </c>
      <c r="G1213" s="33" t="s">
        <v>9</v>
      </c>
      <c r="H1213" s="33" t="n">
        <v>30</v>
      </c>
    </row>
    <row r="1214" customFormat="false" ht="54" hidden="false" customHeight="true" outlineLevel="0" collapsed="false">
      <c r="A1214" s="32" t="s">
        <v>11011</v>
      </c>
      <c r="B1214" s="32" t="s">
        <v>3898</v>
      </c>
      <c r="C1214" s="33" t="s">
        <v>1407</v>
      </c>
      <c r="D1214" s="33" t="s">
        <v>50</v>
      </c>
      <c r="E1214" s="33" t="s">
        <v>81</v>
      </c>
      <c r="F1214" s="33" t="s">
        <v>11006</v>
      </c>
      <c r="G1214" s="33" t="s">
        <v>9</v>
      </c>
      <c r="H1214" s="33" t="n">
        <v>30</v>
      </c>
    </row>
    <row r="1215" customFormat="false" ht="54" hidden="false" customHeight="true" outlineLevel="0" collapsed="false">
      <c r="A1215" s="32" t="s">
        <v>11012</v>
      </c>
      <c r="B1215" s="32" t="s">
        <v>3898</v>
      </c>
      <c r="C1215" s="33" t="s">
        <v>1407</v>
      </c>
      <c r="D1215" s="33" t="s">
        <v>50</v>
      </c>
      <c r="E1215" s="33" t="s">
        <v>81</v>
      </c>
      <c r="F1215" s="33" t="s">
        <v>3908</v>
      </c>
      <c r="G1215" s="33" t="s">
        <v>9</v>
      </c>
      <c r="H1215" s="33" t="n">
        <v>30</v>
      </c>
    </row>
    <row r="1216" customFormat="false" ht="54" hidden="false" customHeight="true" outlineLevel="0" collapsed="false">
      <c r="A1216" s="32" t="s">
        <v>11013</v>
      </c>
      <c r="B1216" s="32" t="s">
        <v>3898</v>
      </c>
      <c r="C1216" s="33" t="s">
        <v>1407</v>
      </c>
      <c r="D1216" s="33" t="s">
        <v>50</v>
      </c>
      <c r="E1216" s="33" t="s">
        <v>81</v>
      </c>
      <c r="F1216" s="33" t="s">
        <v>11009</v>
      </c>
      <c r="G1216" s="33" t="s">
        <v>9</v>
      </c>
      <c r="H1216" s="33" t="n">
        <v>30</v>
      </c>
    </row>
    <row r="1217" customFormat="false" ht="54" hidden="false" customHeight="true" outlineLevel="0" collapsed="false">
      <c r="A1217" s="32" t="s">
        <v>11014</v>
      </c>
      <c r="B1217" s="32" t="s">
        <v>3898</v>
      </c>
      <c r="C1217" s="33" t="s">
        <v>1407</v>
      </c>
      <c r="D1217" s="33" t="s">
        <v>50</v>
      </c>
      <c r="E1217" s="33" t="s">
        <v>84</v>
      </c>
      <c r="F1217" s="33" t="s">
        <v>3908</v>
      </c>
      <c r="G1217" s="33" t="s">
        <v>9</v>
      </c>
      <c r="H1217" s="33" t="n">
        <v>30</v>
      </c>
    </row>
    <row r="1218" customFormat="false" ht="54" hidden="false" customHeight="true" outlineLevel="0" collapsed="false">
      <c r="A1218" s="32" t="s">
        <v>11015</v>
      </c>
      <c r="B1218" s="32" t="s">
        <v>3911</v>
      </c>
      <c r="C1218" s="33" t="s">
        <v>1407</v>
      </c>
      <c r="D1218" s="33" t="s">
        <v>50</v>
      </c>
      <c r="E1218" s="33" t="s">
        <v>80</v>
      </c>
      <c r="F1218" s="33" t="s">
        <v>11016</v>
      </c>
      <c r="G1218" s="33" t="s">
        <v>9</v>
      </c>
      <c r="H1218" s="33" t="n">
        <v>30</v>
      </c>
    </row>
    <row r="1219" customFormat="false" ht="54" hidden="false" customHeight="true" outlineLevel="0" collapsed="false">
      <c r="A1219" s="32" t="s">
        <v>11017</v>
      </c>
      <c r="B1219" s="32" t="s">
        <v>3911</v>
      </c>
      <c r="C1219" s="33" t="s">
        <v>1407</v>
      </c>
      <c r="D1219" s="33" t="s">
        <v>50</v>
      </c>
      <c r="E1219" s="33" t="s">
        <v>80</v>
      </c>
      <c r="F1219" s="33" t="s">
        <v>3751</v>
      </c>
      <c r="G1219" s="33" t="s">
        <v>9</v>
      </c>
      <c r="H1219" s="33" t="n">
        <v>30</v>
      </c>
    </row>
    <row r="1220" customFormat="false" ht="54" hidden="false" customHeight="true" outlineLevel="0" collapsed="false">
      <c r="A1220" s="32" t="s">
        <v>11018</v>
      </c>
      <c r="B1220" s="32" t="s">
        <v>3911</v>
      </c>
      <c r="C1220" s="33" t="s">
        <v>1407</v>
      </c>
      <c r="D1220" s="33" t="s">
        <v>50</v>
      </c>
      <c r="E1220" s="33" t="s">
        <v>80</v>
      </c>
      <c r="F1220" s="33" t="s">
        <v>11019</v>
      </c>
      <c r="G1220" s="33" t="s">
        <v>9</v>
      </c>
      <c r="H1220" s="33" t="n">
        <v>30</v>
      </c>
    </row>
    <row r="1221" customFormat="false" ht="54" hidden="false" customHeight="true" outlineLevel="0" collapsed="false">
      <c r="A1221" s="32" t="s">
        <v>11020</v>
      </c>
      <c r="B1221" s="32" t="s">
        <v>3911</v>
      </c>
      <c r="C1221" s="33" t="s">
        <v>1407</v>
      </c>
      <c r="D1221" s="33" t="s">
        <v>50</v>
      </c>
      <c r="E1221" s="33" t="s">
        <v>81</v>
      </c>
      <c r="F1221" s="33" t="s">
        <v>3487</v>
      </c>
      <c r="G1221" s="33" t="s">
        <v>9</v>
      </c>
      <c r="H1221" s="33" t="n">
        <v>30</v>
      </c>
    </row>
    <row r="1222" customFormat="false" ht="54" hidden="false" customHeight="true" outlineLevel="0" collapsed="false">
      <c r="A1222" s="32" t="s">
        <v>11021</v>
      </c>
      <c r="B1222" s="32" t="s">
        <v>3911</v>
      </c>
      <c r="C1222" s="33" t="s">
        <v>1407</v>
      </c>
      <c r="D1222" s="33" t="s">
        <v>50</v>
      </c>
      <c r="E1222" s="33" t="s">
        <v>83</v>
      </c>
      <c r="F1222" s="33" t="s">
        <v>11016</v>
      </c>
      <c r="G1222" s="33" t="s">
        <v>9</v>
      </c>
      <c r="H1222" s="33" t="n">
        <v>30</v>
      </c>
    </row>
    <row r="1223" customFormat="false" ht="54" hidden="false" customHeight="true" outlineLevel="0" collapsed="false">
      <c r="A1223" s="32" t="s">
        <v>11022</v>
      </c>
      <c r="B1223" s="32" t="s">
        <v>3911</v>
      </c>
      <c r="C1223" s="33" t="s">
        <v>1407</v>
      </c>
      <c r="D1223" s="33" t="s">
        <v>50</v>
      </c>
      <c r="E1223" s="33" t="s">
        <v>83</v>
      </c>
      <c r="F1223" s="33" t="s">
        <v>11023</v>
      </c>
      <c r="G1223" s="33" t="s">
        <v>9</v>
      </c>
      <c r="H1223" s="33" t="n">
        <v>30</v>
      </c>
    </row>
    <row r="1224" customFormat="false" ht="54" hidden="false" customHeight="true" outlineLevel="0" collapsed="false">
      <c r="A1224" s="32" t="s">
        <v>11024</v>
      </c>
      <c r="B1224" s="32" t="s">
        <v>3911</v>
      </c>
      <c r="C1224" s="33" t="s">
        <v>1407</v>
      </c>
      <c r="D1224" s="33" t="s">
        <v>50</v>
      </c>
      <c r="E1224" s="33" t="s">
        <v>84</v>
      </c>
      <c r="F1224" s="33" t="s">
        <v>11016</v>
      </c>
      <c r="G1224" s="33" t="s">
        <v>9</v>
      </c>
      <c r="H1224" s="33" t="n">
        <v>30</v>
      </c>
    </row>
    <row r="1225" customFormat="false" ht="54" hidden="false" customHeight="true" outlineLevel="0" collapsed="false">
      <c r="A1225" s="32" t="s">
        <v>11025</v>
      </c>
      <c r="B1225" s="32" t="s">
        <v>3911</v>
      </c>
      <c r="C1225" s="33" t="s">
        <v>1407</v>
      </c>
      <c r="D1225" s="33" t="s">
        <v>50</v>
      </c>
      <c r="E1225" s="33" t="s">
        <v>84</v>
      </c>
      <c r="F1225" s="33" t="s">
        <v>3751</v>
      </c>
      <c r="G1225" s="33" t="s">
        <v>9</v>
      </c>
      <c r="H1225" s="33" t="n">
        <v>30</v>
      </c>
    </row>
    <row r="1226" customFormat="false" ht="54" hidden="false" customHeight="true" outlineLevel="0" collapsed="false">
      <c r="A1226" s="32" t="s">
        <v>11026</v>
      </c>
      <c r="B1226" s="32" t="s">
        <v>3911</v>
      </c>
      <c r="C1226" s="33" t="s">
        <v>1407</v>
      </c>
      <c r="D1226" s="33" t="s">
        <v>50</v>
      </c>
      <c r="E1226" s="33" t="s">
        <v>84</v>
      </c>
      <c r="F1226" s="33" t="s">
        <v>11019</v>
      </c>
      <c r="G1226" s="33" t="s">
        <v>9</v>
      </c>
      <c r="H1226" s="33" t="n">
        <v>30</v>
      </c>
    </row>
    <row r="1227" customFormat="false" ht="54" hidden="false" customHeight="true" outlineLevel="0" collapsed="false">
      <c r="A1227" s="32" t="s">
        <v>11027</v>
      </c>
      <c r="B1227" s="32" t="s">
        <v>3923</v>
      </c>
      <c r="C1227" s="33" t="s">
        <v>1407</v>
      </c>
      <c r="D1227" s="33" t="s">
        <v>50</v>
      </c>
      <c r="E1227" s="33" t="s">
        <v>80</v>
      </c>
      <c r="F1227" s="33" t="s">
        <v>11028</v>
      </c>
      <c r="G1227" s="33" t="s">
        <v>9</v>
      </c>
      <c r="H1227" s="33" t="n">
        <v>30</v>
      </c>
    </row>
    <row r="1228" customFormat="false" ht="54" hidden="false" customHeight="true" outlineLevel="0" collapsed="false">
      <c r="A1228" s="32" t="s">
        <v>11029</v>
      </c>
      <c r="B1228" s="32" t="s">
        <v>3923</v>
      </c>
      <c r="C1228" s="33" t="s">
        <v>1407</v>
      </c>
      <c r="D1228" s="33" t="s">
        <v>50</v>
      </c>
      <c r="E1228" s="33" t="s">
        <v>80</v>
      </c>
      <c r="F1228" s="33" t="s">
        <v>3927</v>
      </c>
      <c r="G1228" s="33" t="s">
        <v>9</v>
      </c>
      <c r="H1228" s="33" t="n">
        <v>30</v>
      </c>
    </row>
    <row r="1229" customFormat="false" ht="54" hidden="false" customHeight="true" outlineLevel="0" collapsed="false">
      <c r="A1229" s="32" t="s">
        <v>11030</v>
      </c>
      <c r="B1229" s="32" t="s">
        <v>3923</v>
      </c>
      <c r="C1229" s="33" t="s">
        <v>1407</v>
      </c>
      <c r="D1229" s="33" t="s">
        <v>50</v>
      </c>
      <c r="E1229" s="33" t="s">
        <v>80</v>
      </c>
      <c r="F1229" s="33" t="s">
        <v>3932</v>
      </c>
      <c r="G1229" s="33" t="s">
        <v>9</v>
      </c>
      <c r="H1229" s="33" t="n">
        <v>30</v>
      </c>
    </row>
    <row r="1230" customFormat="false" ht="54" hidden="false" customHeight="true" outlineLevel="0" collapsed="false">
      <c r="A1230" s="32" t="s">
        <v>11031</v>
      </c>
      <c r="B1230" s="32" t="s">
        <v>3923</v>
      </c>
      <c r="C1230" s="33" t="s">
        <v>1407</v>
      </c>
      <c r="D1230" s="33" t="s">
        <v>50</v>
      </c>
      <c r="E1230" s="33" t="s">
        <v>80</v>
      </c>
      <c r="F1230" s="33" t="s">
        <v>11032</v>
      </c>
      <c r="G1230" s="33" t="s">
        <v>9</v>
      </c>
      <c r="H1230" s="33" t="n">
        <v>30</v>
      </c>
    </row>
    <row r="1231" customFormat="false" ht="54" hidden="false" customHeight="true" outlineLevel="0" collapsed="false">
      <c r="A1231" s="32" t="s">
        <v>11033</v>
      </c>
      <c r="B1231" s="32" t="s">
        <v>3923</v>
      </c>
      <c r="C1231" s="33" t="s">
        <v>1407</v>
      </c>
      <c r="D1231" s="33" t="s">
        <v>50</v>
      </c>
      <c r="E1231" s="33" t="s">
        <v>80</v>
      </c>
      <c r="F1231" s="33" t="s">
        <v>11034</v>
      </c>
      <c r="G1231" s="33" t="s">
        <v>9</v>
      </c>
      <c r="H1231" s="33" t="n">
        <v>30</v>
      </c>
    </row>
    <row r="1232" customFormat="false" ht="54" hidden="false" customHeight="true" outlineLevel="0" collapsed="false">
      <c r="A1232" s="32" t="s">
        <v>11035</v>
      </c>
      <c r="B1232" s="32" t="s">
        <v>3923</v>
      </c>
      <c r="C1232" s="33" t="s">
        <v>1407</v>
      </c>
      <c r="D1232" s="33" t="s">
        <v>50</v>
      </c>
      <c r="E1232" s="33" t="s">
        <v>81</v>
      </c>
      <c r="F1232" s="33" t="s">
        <v>3932</v>
      </c>
      <c r="G1232" s="33" t="s">
        <v>9</v>
      </c>
      <c r="H1232" s="33" t="n">
        <v>30</v>
      </c>
    </row>
    <row r="1233" customFormat="false" ht="54" hidden="false" customHeight="true" outlineLevel="0" collapsed="false">
      <c r="A1233" s="32" t="s">
        <v>11036</v>
      </c>
      <c r="B1233" s="32" t="s">
        <v>3923</v>
      </c>
      <c r="C1233" s="33" t="s">
        <v>1407</v>
      </c>
      <c r="D1233" s="33" t="s">
        <v>50</v>
      </c>
      <c r="E1233" s="33" t="s">
        <v>83</v>
      </c>
      <c r="F1233" s="33" t="s">
        <v>3927</v>
      </c>
      <c r="G1233" s="33" t="s">
        <v>9</v>
      </c>
      <c r="H1233" s="33" t="n">
        <v>30</v>
      </c>
    </row>
    <row r="1234" customFormat="false" ht="54" hidden="false" customHeight="true" outlineLevel="0" collapsed="false">
      <c r="A1234" s="32" t="s">
        <v>11037</v>
      </c>
      <c r="B1234" s="32" t="s">
        <v>3923</v>
      </c>
      <c r="C1234" s="33" t="s">
        <v>1407</v>
      </c>
      <c r="D1234" s="33" t="s">
        <v>50</v>
      </c>
      <c r="E1234" s="33" t="s">
        <v>83</v>
      </c>
      <c r="F1234" s="33" t="s">
        <v>11032</v>
      </c>
      <c r="G1234" s="33" t="s">
        <v>9</v>
      </c>
      <c r="H1234" s="33" t="n">
        <v>30</v>
      </c>
    </row>
    <row r="1235" customFormat="false" ht="54" hidden="false" customHeight="true" outlineLevel="0" collapsed="false">
      <c r="A1235" s="32" t="s">
        <v>11038</v>
      </c>
      <c r="B1235" s="32" t="s">
        <v>3923</v>
      </c>
      <c r="C1235" s="33" t="s">
        <v>1407</v>
      </c>
      <c r="D1235" s="33" t="s">
        <v>50</v>
      </c>
      <c r="E1235" s="33" t="s">
        <v>83</v>
      </c>
      <c r="F1235" s="33" t="s">
        <v>11034</v>
      </c>
      <c r="G1235" s="33" t="s">
        <v>9</v>
      </c>
      <c r="H1235" s="33" t="n">
        <v>30</v>
      </c>
    </row>
    <row r="1236" customFormat="false" ht="54" hidden="false" customHeight="true" outlineLevel="0" collapsed="false">
      <c r="A1236" s="32" t="s">
        <v>11039</v>
      </c>
      <c r="B1236" s="32" t="s">
        <v>3923</v>
      </c>
      <c r="C1236" s="33" t="s">
        <v>1407</v>
      </c>
      <c r="D1236" s="33" t="s">
        <v>50</v>
      </c>
      <c r="E1236" s="33" t="s">
        <v>84</v>
      </c>
      <c r="F1236" s="33" t="s">
        <v>11028</v>
      </c>
      <c r="G1236" s="33" t="s">
        <v>9</v>
      </c>
      <c r="H1236" s="33" t="n">
        <v>30</v>
      </c>
    </row>
    <row r="1237" customFormat="false" ht="54" hidden="false" customHeight="true" outlineLevel="0" collapsed="false">
      <c r="A1237" s="32" t="s">
        <v>11040</v>
      </c>
      <c r="B1237" s="32" t="s">
        <v>3923</v>
      </c>
      <c r="C1237" s="33" t="s">
        <v>1407</v>
      </c>
      <c r="D1237" s="33" t="s">
        <v>50</v>
      </c>
      <c r="E1237" s="33" t="s">
        <v>84</v>
      </c>
      <c r="F1237" s="33" t="s">
        <v>3927</v>
      </c>
      <c r="G1237" s="33" t="s">
        <v>9</v>
      </c>
      <c r="H1237" s="33" t="n">
        <v>30</v>
      </c>
    </row>
    <row r="1238" customFormat="false" ht="54" hidden="false" customHeight="true" outlineLevel="0" collapsed="false">
      <c r="A1238" s="32" t="s">
        <v>11041</v>
      </c>
      <c r="B1238" s="32" t="s">
        <v>3923</v>
      </c>
      <c r="C1238" s="33" t="s">
        <v>1407</v>
      </c>
      <c r="D1238" s="33" t="s">
        <v>50</v>
      </c>
      <c r="E1238" s="33" t="s">
        <v>84</v>
      </c>
      <c r="F1238" s="33" t="s">
        <v>3932</v>
      </c>
      <c r="G1238" s="33" t="s">
        <v>9</v>
      </c>
      <c r="H1238" s="33" t="n">
        <v>30</v>
      </c>
    </row>
    <row r="1239" customFormat="false" ht="54" hidden="false" customHeight="true" outlineLevel="0" collapsed="false">
      <c r="A1239" s="32" t="s">
        <v>11042</v>
      </c>
      <c r="B1239" s="32" t="s">
        <v>3923</v>
      </c>
      <c r="C1239" s="33" t="s">
        <v>1407</v>
      </c>
      <c r="D1239" s="33" t="s">
        <v>50</v>
      </c>
      <c r="E1239" s="33" t="s">
        <v>84</v>
      </c>
      <c r="F1239" s="33" t="s">
        <v>11032</v>
      </c>
      <c r="G1239" s="33" t="s">
        <v>9</v>
      </c>
      <c r="H1239" s="33" t="n">
        <v>30</v>
      </c>
    </row>
    <row r="1240" customFormat="false" ht="54" hidden="false" customHeight="true" outlineLevel="0" collapsed="false">
      <c r="A1240" s="32" t="s">
        <v>11043</v>
      </c>
      <c r="B1240" s="32" t="s">
        <v>3923</v>
      </c>
      <c r="C1240" s="33" t="s">
        <v>1407</v>
      </c>
      <c r="D1240" s="33" t="s">
        <v>50</v>
      </c>
      <c r="E1240" s="33" t="s">
        <v>84</v>
      </c>
      <c r="F1240" s="33" t="s">
        <v>11034</v>
      </c>
      <c r="G1240" s="33" t="s">
        <v>9</v>
      </c>
      <c r="H1240" s="33" t="n">
        <v>30</v>
      </c>
    </row>
    <row r="1241" customFormat="false" ht="54" hidden="false" customHeight="true" outlineLevel="0" collapsed="false">
      <c r="A1241" s="32" t="s">
        <v>11044</v>
      </c>
      <c r="B1241" s="32" t="s">
        <v>3923</v>
      </c>
      <c r="C1241" s="33" t="s">
        <v>1407</v>
      </c>
      <c r="D1241" s="33" t="s">
        <v>50</v>
      </c>
      <c r="E1241" s="33" t="s">
        <v>84</v>
      </c>
      <c r="F1241" s="33" t="s">
        <v>11045</v>
      </c>
      <c r="G1241" s="33" t="s">
        <v>9</v>
      </c>
      <c r="H1241" s="33" t="n">
        <v>30</v>
      </c>
    </row>
    <row r="1242" customFormat="false" ht="54" hidden="false" customHeight="true" outlineLevel="0" collapsed="false">
      <c r="A1242" s="32" t="s">
        <v>11046</v>
      </c>
      <c r="B1242" s="32" t="s">
        <v>3937</v>
      </c>
      <c r="C1242" s="33" t="s">
        <v>1407</v>
      </c>
      <c r="D1242" s="33" t="s">
        <v>50</v>
      </c>
      <c r="E1242" s="33" t="s">
        <v>84</v>
      </c>
      <c r="F1242" s="33" t="s">
        <v>11047</v>
      </c>
      <c r="G1242" s="33" t="s">
        <v>9</v>
      </c>
      <c r="H1242" s="33" t="n">
        <v>30</v>
      </c>
    </row>
    <row r="1243" customFormat="false" ht="54" hidden="false" customHeight="true" outlineLevel="0" collapsed="false">
      <c r="A1243" s="32" t="s">
        <v>11048</v>
      </c>
      <c r="B1243" s="32" t="s">
        <v>3937</v>
      </c>
      <c r="C1243" s="33" t="s">
        <v>1407</v>
      </c>
      <c r="D1243" s="33" t="s">
        <v>50</v>
      </c>
      <c r="E1243" s="33" t="s">
        <v>84</v>
      </c>
      <c r="F1243" s="33" t="s">
        <v>11049</v>
      </c>
      <c r="G1243" s="33" t="s">
        <v>9</v>
      </c>
      <c r="H1243" s="33" t="n">
        <v>30</v>
      </c>
    </row>
    <row r="1244" customFormat="false" ht="54" hidden="false" customHeight="true" outlineLevel="0" collapsed="false">
      <c r="A1244" s="32" t="s">
        <v>11050</v>
      </c>
      <c r="B1244" s="32" t="s">
        <v>3949</v>
      </c>
      <c r="C1244" s="33" t="s">
        <v>1407</v>
      </c>
      <c r="D1244" s="33" t="s">
        <v>50</v>
      </c>
      <c r="E1244" s="33" t="s">
        <v>80</v>
      </c>
      <c r="F1244" s="33" t="s">
        <v>10500</v>
      </c>
      <c r="G1244" s="33" t="s">
        <v>9</v>
      </c>
      <c r="H1244" s="33" t="n">
        <v>30</v>
      </c>
    </row>
    <row r="1245" customFormat="false" ht="54" hidden="false" customHeight="true" outlineLevel="0" collapsed="false">
      <c r="A1245" s="32" t="s">
        <v>11051</v>
      </c>
      <c r="B1245" s="32" t="s">
        <v>3949</v>
      </c>
      <c r="C1245" s="33" t="s">
        <v>1407</v>
      </c>
      <c r="D1245" s="33" t="s">
        <v>50</v>
      </c>
      <c r="E1245" s="33" t="s">
        <v>80</v>
      </c>
      <c r="F1245" s="33" t="s">
        <v>3958</v>
      </c>
      <c r="G1245" s="33" t="s">
        <v>9</v>
      </c>
      <c r="H1245" s="33" t="n">
        <v>30</v>
      </c>
    </row>
    <row r="1246" customFormat="false" ht="54" hidden="false" customHeight="true" outlineLevel="0" collapsed="false">
      <c r="A1246" s="32" t="s">
        <v>11052</v>
      </c>
      <c r="B1246" s="32" t="s">
        <v>3949</v>
      </c>
      <c r="C1246" s="33" t="s">
        <v>1407</v>
      </c>
      <c r="D1246" s="33" t="s">
        <v>50</v>
      </c>
      <c r="E1246" s="33" t="s">
        <v>80</v>
      </c>
      <c r="F1246" s="33" t="s">
        <v>11053</v>
      </c>
      <c r="G1246" s="33" t="s">
        <v>9</v>
      </c>
      <c r="H1246" s="33" t="n">
        <v>30</v>
      </c>
    </row>
    <row r="1247" customFormat="false" ht="54" hidden="false" customHeight="true" outlineLevel="0" collapsed="false">
      <c r="A1247" s="32" t="s">
        <v>11054</v>
      </c>
      <c r="B1247" s="32" t="s">
        <v>3949</v>
      </c>
      <c r="C1247" s="33" t="s">
        <v>1407</v>
      </c>
      <c r="D1247" s="33" t="s">
        <v>50</v>
      </c>
      <c r="E1247" s="33" t="s">
        <v>84</v>
      </c>
      <c r="F1247" s="33" t="s">
        <v>3958</v>
      </c>
      <c r="G1247" s="33" t="s">
        <v>9</v>
      </c>
      <c r="H1247" s="33" t="n">
        <v>30</v>
      </c>
    </row>
    <row r="1248" customFormat="false" ht="54" hidden="false" customHeight="true" outlineLevel="0" collapsed="false">
      <c r="A1248" s="32" t="s">
        <v>11055</v>
      </c>
      <c r="B1248" s="32" t="s">
        <v>3971</v>
      </c>
      <c r="C1248" s="33" t="s">
        <v>1407</v>
      </c>
      <c r="D1248" s="33" t="s">
        <v>50</v>
      </c>
      <c r="E1248" s="33" t="s">
        <v>80</v>
      </c>
      <c r="F1248" s="33" t="s">
        <v>3975</v>
      </c>
      <c r="G1248" s="33" t="s">
        <v>9</v>
      </c>
      <c r="H1248" s="33" t="n">
        <v>30</v>
      </c>
    </row>
    <row r="1249" customFormat="false" ht="54" hidden="false" customHeight="true" outlineLevel="0" collapsed="false">
      <c r="A1249" s="32" t="s">
        <v>11056</v>
      </c>
      <c r="B1249" s="32" t="s">
        <v>3971</v>
      </c>
      <c r="C1249" s="33" t="s">
        <v>1407</v>
      </c>
      <c r="D1249" s="33" t="s">
        <v>50</v>
      </c>
      <c r="E1249" s="33" t="s">
        <v>80</v>
      </c>
      <c r="F1249" s="33" t="s">
        <v>11057</v>
      </c>
      <c r="G1249" s="33" t="s">
        <v>9</v>
      </c>
      <c r="H1249" s="33" t="n">
        <v>30</v>
      </c>
    </row>
    <row r="1250" customFormat="false" ht="54" hidden="false" customHeight="true" outlineLevel="0" collapsed="false">
      <c r="A1250" s="32" t="s">
        <v>11058</v>
      </c>
      <c r="B1250" s="32" t="s">
        <v>3971</v>
      </c>
      <c r="C1250" s="33" t="s">
        <v>1407</v>
      </c>
      <c r="D1250" s="33" t="s">
        <v>50</v>
      </c>
      <c r="E1250" s="33" t="s">
        <v>80</v>
      </c>
      <c r="F1250" s="33" t="s">
        <v>3981</v>
      </c>
      <c r="G1250" s="33" t="s">
        <v>9</v>
      </c>
      <c r="H1250" s="33" t="n">
        <v>30</v>
      </c>
    </row>
    <row r="1251" customFormat="false" ht="54" hidden="false" customHeight="true" outlineLevel="0" collapsed="false">
      <c r="A1251" s="32" t="s">
        <v>11059</v>
      </c>
      <c r="B1251" s="32" t="s">
        <v>3971</v>
      </c>
      <c r="C1251" s="33" t="s">
        <v>1407</v>
      </c>
      <c r="D1251" s="33" t="s">
        <v>50</v>
      </c>
      <c r="E1251" s="33" t="s">
        <v>80</v>
      </c>
      <c r="F1251" s="33" t="s">
        <v>11060</v>
      </c>
      <c r="G1251" s="33" t="s">
        <v>9</v>
      </c>
      <c r="H1251" s="33" t="n">
        <v>30</v>
      </c>
    </row>
    <row r="1252" customFormat="false" ht="54" hidden="false" customHeight="true" outlineLevel="0" collapsed="false">
      <c r="A1252" s="32" t="s">
        <v>11061</v>
      </c>
      <c r="B1252" s="32" t="s">
        <v>3971</v>
      </c>
      <c r="C1252" s="33" t="s">
        <v>1407</v>
      </c>
      <c r="D1252" s="33" t="s">
        <v>50</v>
      </c>
      <c r="E1252" s="33" t="s">
        <v>81</v>
      </c>
      <c r="F1252" s="33" t="s">
        <v>3980</v>
      </c>
      <c r="G1252" s="33" t="s">
        <v>9</v>
      </c>
      <c r="H1252" s="33" t="n">
        <v>30</v>
      </c>
    </row>
    <row r="1253" customFormat="false" ht="54" hidden="false" customHeight="true" outlineLevel="0" collapsed="false">
      <c r="A1253" s="32" t="s">
        <v>11062</v>
      </c>
      <c r="B1253" s="32" t="s">
        <v>3971</v>
      </c>
      <c r="C1253" s="33" t="s">
        <v>1407</v>
      </c>
      <c r="D1253" s="33" t="s">
        <v>50</v>
      </c>
      <c r="E1253" s="33" t="s">
        <v>84</v>
      </c>
      <c r="F1253" s="33" t="s">
        <v>3981</v>
      </c>
      <c r="G1253" s="33" t="s">
        <v>9</v>
      </c>
      <c r="H1253" s="33" t="n">
        <v>30</v>
      </c>
    </row>
    <row r="1254" customFormat="false" ht="54" hidden="false" customHeight="true" outlineLevel="0" collapsed="false">
      <c r="A1254" s="32" t="s">
        <v>11063</v>
      </c>
      <c r="B1254" s="32" t="s">
        <v>3984</v>
      </c>
      <c r="C1254" s="33" t="s">
        <v>1407</v>
      </c>
      <c r="D1254" s="33" t="s">
        <v>50</v>
      </c>
      <c r="E1254" s="33" t="s">
        <v>80</v>
      </c>
      <c r="F1254" s="33" t="s">
        <v>11064</v>
      </c>
      <c r="G1254" s="33" t="s">
        <v>9</v>
      </c>
      <c r="H1254" s="33" t="n">
        <v>30</v>
      </c>
    </row>
    <row r="1255" customFormat="false" ht="54" hidden="false" customHeight="true" outlineLevel="0" collapsed="false">
      <c r="A1255" s="32" t="s">
        <v>11065</v>
      </c>
      <c r="B1255" s="32" t="s">
        <v>3984</v>
      </c>
      <c r="C1255" s="33" t="s">
        <v>1407</v>
      </c>
      <c r="D1255" s="33" t="s">
        <v>50</v>
      </c>
      <c r="E1255" s="33" t="s">
        <v>80</v>
      </c>
      <c r="F1255" s="33" t="s">
        <v>11066</v>
      </c>
      <c r="G1255" s="33" t="s">
        <v>9</v>
      </c>
      <c r="H1255" s="33" t="n">
        <v>30</v>
      </c>
    </row>
    <row r="1256" customFormat="false" ht="54" hidden="false" customHeight="true" outlineLevel="0" collapsed="false">
      <c r="A1256" s="32" t="s">
        <v>11067</v>
      </c>
      <c r="B1256" s="32" t="s">
        <v>3984</v>
      </c>
      <c r="C1256" s="33" t="s">
        <v>1407</v>
      </c>
      <c r="D1256" s="33" t="s">
        <v>50</v>
      </c>
      <c r="E1256" s="33" t="s">
        <v>80</v>
      </c>
      <c r="F1256" s="33" t="s">
        <v>11068</v>
      </c>
      <c r="G1256" s="33" t="s">
        <v>9</v>
      </c>
      <c r="H1256" s="33" t="n">
        <v>30</v>
      </c>
    </row>
    <row r="1257" customFormat="false" ht="54" hidden="false" customHeight="true" outlineLevel="0" collapsed="false">
      <c r="A1257" s="32" t="s">
        <v>11069</v>
      </c>
      <c r="B1257" s="32" t="s">
        <v>3984</v>
      </c>
      <c r="C1257" s="33" t="s">
        <v>1407</v>
      </c>
      <c r="D1257" s="33" t="s">
        <v>50</v>
      </c>
      <c r="E1257" s="33" t="s">
        <v>80</v>
      </c>
      <c r="F1257" s="33" t="s">
        <v>11070</v>
      </c>
      <c r="G1257" s="33" t="s">
        <v>9</v>
      </c>
      <c r="H1257" s="33" t="n">
        <v>30</v>
      </c>
    </row>
    <row r="1258" customFormat="false" ht="54" hidden="false" customHeight="true" outlineLevel="0" collapsed="false">
      <c r="A1258" s="32" t="s">
        <v>11071</v>
      </c>
      <c r="B1258" s="32" t="s">
        <v>3984</v>
      </c>
      <c r="C1258" s="33" t="s">
        <v>1407</v>
      </c>
      <c r="D1258" s="33" t="s">
        <v>50</v>
      </c>
      <c r="E1258" s="33" t="s">
        <v>80</v>
      </c>
      <c r="F1258" s="33" t="s">
        <v>11072</v>
      </c>
      <c r="G1258" s="33" t="s">
        <v>9</v>
      </c>
      <c r="H1258" s="33" t="n">
        <v>30</v>
      </c>
    </row>
    <row r="1259" customFormat="false" ht="54" hidden="false" customHeight="true" outlineLevel="0" collapsed="false">
      <c r="A1259" s="32" t="s">
        <v>11073</v>
      </c>
      <c r="B1259" s="32" t="s">
        <v>3984</v>
      </c>
      <c r="C1259" s="33" t="s">
        <v>1407</v>
      </c>
      <c r="D1259" s="33" t="s">
        <v>50</v>
      </c>
      <c r="E1259" s="33" t="s">
        <v>81</v>
      </c>
      <c r="F1259" s="33" t="s">
        <v>3993</v>
      </c>
      <c r="G1259" s="33" t="s">
        <v>9</v>
      </c>
      <c r="H1259" s="33" t="n">
        <v>30</v>
      </c>
    </row>
    <row r="1260" customFormat="false" ht="54" hidden="false" customHeight="true" outlineLevel="0" collapsed="false">
      <c r="A1260" s="32" t="s">
        <v>11074</v>
      </c>
      <c r="B1260" s="32" t="s">
        <v>3984</v>
      </c>
      <c r="C1260" s="33" t="s">
        <v>1407</v>
      </c>
      <c r="D1260" s="33" t="s">
        <v>50</v>
      </c>
      <c r="E1260" s="33" t="s">
        <v>82</v>
      </c>
      <c r="F1260" s="33" t="s">
        <v>11064</v>
      </c>
      <c r="G1260" s="33" t="s">
        <v>9</v>
      </c>
      <c r="H1260" s="33" t="n">
        <v>30</v>
      </c>
    </row>
    <row r="1261" customFormat="false" ht="54" hidden="false" customHeight="true" outlineLevel="0" collapsed="false">
      <c r="A1261" s="32" t="s">
        <v>11075</v>
      </c>
      <c r="B1261" s="32" t="s">
        <v>3984</v>
      </c>
      <c r="C1261" s="33" t="s">
        <v>1407</v>
      </c>
      <c r="D1261" s="33" t="s">
        <v>50</v>
      </c>
      <c r="E1261" s="33" t="s">
        <v>82</v>
      </c>
      <c r="F1261" s="33" t="s">
        <v>11076</v>
      </c>
      <c r="G1261" s="33" t="s">
        <v>9</v>
      </c>
      <c r="H1261" s="33" t="n">
        <v>30</v>
      </c>
    </row>
    <row r="1262" customFormat="false" ht="54" hidden="false" customHeight="true" outlineLevel="0" collapsed="false">
      <c r="A1262" s="32" t="s">
        <v>11077</v>
      </c>
      <c r="B1262" s="32" t="s">
        <v>3984</v>
      </c>
      <c r="C1262" s="33" t="s">
        <v>1407</v>
      </c>
      <c r="D1262" s="33" t="s">
        <v>50</v>
      </c>
      <c r="E1262" s="33" t="s">
        <v>82</v>
      </c>
      <c r="F1262" s="33" t="s">
        <v>11078</v>
      </c>
      <c r="G1262" s="33" t="s">
        <v>9</v>
      </c>
      <c r="H1262" s="33" t="n">
        <v>30</v>
      </c>
    </row>
    <row r="1263" customFormat="false" ht="54" hidden="false" customHeight="true" outlineLevel="0" collapsed="false">
      <c r="A1263" s="32" t="s">
        <v>11079</v>
      </c>
      <c r="B1263" s="32" t="s">
        <v>3984</v>
      </c>
      <c r="C1263" s="33" t="s">
        <v>1407</v>
      </c>
      <c r="D1263" s="33" t="s">
        <v>50</v>
      </c>
      <c r="E1263" s="33" t="s">
        <v>82</v>
      </c>
      <c r="F1263" s="33" t="s">
        <v>11080</v>
      </c>
      <c r="G1263" s="33" t="s">
        <v>9</v>
      </c>
      <c r="H1263" s="33" t="n">
        <v>30</v>
      </c>
    </row>
    <row r="1264" customFormat="false" ht="54" hidden="false" customHeight="true" outlineLevel="0" collapsed="false">
      <c r="A1264" s="32" t="s">
        <v>11081</v>
      </c>
      <c r="B1264" s="32" t="s">
        <v>3984</v>
      </c>
      <c r="C1264" s="33" t="s">
        <v>1407</v>
      </c>
      <c r="D1264" s="33" t="s">
        <v>50</v>
      </c>
      <c r="E1264" s="33" t="s">
        <v>82</v>
      </c>
      <c r="F1264" s="33" t="s">
        <v>11082</v>
      </c>
      <c r="G1264" s="33" t="s">
        <v>9</v>
      </c>
      <c r="H1264" s="33" t="n">
        <v>30</v>
      </c>
    </row>
    <row r="1265" customFormat="false" ht="54" hidden="false" customHeight="true" outlineLevel="0" collapsed="false">
      <c r="A1265" s="32" t="s">
        <v>11083</v>
      </c>
      <c r="B1265" s="32" t="s">
        <v>3984</v>
      </c>
      <c r="C1265" s="33" t="s">
        <v>1407</v>
      </c>
      <c r="D1265" s="33" t="s">
        <v>50</v>
      </c>
      <c r="E1265" s="33" t="s">
        <v>82</v>
      </c>
      <c r="F1265" s="33" t="s">
        <v>3993</v>
      </c>
      <c r="G1265" s="33" t="s">
        <v>9</v>
      </c>
      <c r="H1265" s="33" t="n">
        <v>30</v>
      </c>
    </row>
    <row r="1266" customFormat="false" ht="54" hidden="false" customHeight="true" outlineLevel="0" collapsed="false">
      <c r="A1266" s="32" t="s">
        <v>11084</v>
      </c>
      <c r="B1266" s="32" t="s">
        <v>3984</v>
      </c>
      <c r="C1266" s="33" t="s">
        <v>1407</v>
      </c>
      <c r="D1266" s="33" t="s">
        <v>50</v>
      </c>
      <c r="E1266" s="33" t="s">
        <v>82</v>
      </c>
      <c r="F1266" s="33" t="s">
        <v>11070</v>
      </c>
      <c r="G1266" s="33" t="s">
        <v>9</v>
      </c>
      <c r="H1266" s="33" t="n">
        <v>30</v>
      </c>
    </row>
    <row r="1267" customFormat="false" ht="54" hidden="false" customHeight="true" outlineLevel="0" collapsed="false">
      <c r="A1267" s="32" t="s">
        <v>11085</v>
      </c>
      <c r="B1267" s="32" t="s">
        <v>3984</v>
      </c>
      <c r="C1267" s="33" t="s">
        <v>1407</v>
      </c>
      <c r="D1267" s="33" t="s">
        <v>50</v>
      </c>
      <c r="E1267" s="33" t="s">
        <v>82</v>
      </c>
      <c r="F1267" s="33" t="s">
        <v>11072</v>
      </c>
      <c r="G1267" s="33" t="s">
        <v>9</v>
      </c>
      <c r="H1267" s="33" t="n">
        <v>30</v>
      </c>
    </row>
    <row r="1268" customFormat="false" ht="54" hidden="false" customHeight="true" outlineLevel="0" collapsed="false">
      <c r="A1268" s="32" t="s">
        <v>11086</v>
      </c>
      <c r="B1268" s="32" t="s">
        <v>3984</v>
      </c>
      <c r="C1268" s="33" t="s">
        <v>1407</v>
      </c>
      <c r="D1268" s="33" t="s">
        <v>50</v>
      </c>
      <c r="E1268" s="33" t="s">
        <v>84</v>
      </c>
      <c r="F1268" s="33" t="s">
        <v>11064</v>
      </c>
      <c r="G1268" s="33" t="s">
        <v>9</v>
      </c>
      <c r="H1268" s="33" t="n">
        <v>30</v>
      </c>
    </row>
    <row r="1269" customFormat="false" ht="54" hidden="false" customHeight="true" outlineLevel="0" collapsed="false">
      <c r="A1269" s="32" t="s">
        <v>11087</v>
      </c>
      <c r="B1269" s="32" t="s">
        <v>3984</v>
      </c>
      <c r="C1269" s="33" t="s">
        <v>1407</v>
      </c>
      <c r="D1269" s="33" t="s">
        <v>50</v>
      </c>
      <c r="E1269" s="33" t="s">
        <v>84</v>
      </c>
      <c r="F1269" s="33" t="s">
        <v>11066</v>
      </c>
      <c r="G1269" s="33" t="s">
        <v>9</v>
      </c>
      <c r="H1269" s="33" t="n">
        <v>30</v>
      </c>
    </row>
    <row r="1270" customFormat="false" ht="54" hidden="false" customHeight="true" outlineLevel="0" collapsed="false">
      <c r="A1270" s="32" t="s">
        <v>11088</v>
      </c>
      <c r="B1270" s="32" t="s">
        <v>3984</v>
      </c>
      <c r="C1270" s="33" t="s">
        <v>1407</v>
      </c>
      <c r="D1270" s="33" t="s">
        <v>50</v>
      </c>
      <c r="E1270" s="33" t="s">
        <v>84</v>
      </c>
      <c r="F1270" s="33" t="s">
        <v>11070</v>
      </c>
      <c r="G1270" s="33" t="s">
        <v>9</v>
      </c>
      <c r="H1270" s="33" t="n">
        <v>30</v>
      </c>
    </row>
    <row r="1271" customFormat="false" ht="54" hidden="false" customHeight="true" outlineLevel="0" collapsed="false">
      <c r="A1271" s="32" t="s">
        <v>11089</v>
      </c>
      <c r="B1271" s="32" t="s">
        <v>3984</v>
      </c>
      <c r="C1271" s="33" t="s">
        <v>1407</v>
      </c>
      <c r="D1271" s="33" t="s">
        <v>50</v>
      </c>
      <c r="E1271" s="33" t="s">
        <v>84</v>
      </c>
      <c r="F1271" s="33" t="s">
        <v>11072</v>
      </c>
      <c r="G1271" s="33" t="s">
        <v>9</v>
      </c>
      <c r="H1271" s="33" t="n">
        <v>30</v>
      </c>
    </row>
    <row r="1272" customFormat="false" ht="54" hidden="false" customHeight="true" outlineLevel="0" collapsed="false">
      <c r="A1272" s="32" t="s">
        <v>11090</v>
      </c>
      <c r="B1272" s="32" t="s">
        <v>3984</v>
      </c>
      <c r="C1272" s="33" t="s">
        <v>1407</v>
      </c>
      <c r="D1272" s="33" t="s">
        <v>50</v>
      </c>
      <c r="E1272" s="33" t="s">
        <v>84</v>
      </c>
      <c r="F1272" s="33" t="s">
        <v>3751</v>
      </c>
      <c r="G1272" s="33" t="s">
        <v>9</v>
      </c>
      <c r="H1272" s="33" t="n">
        <v>30</v>
      </c>
    </row>
    <row r="1273" customFormat="false" ht="54" hidden="false" customHeight="true" outlineLevel="0" collapsed="false">
      <c r="A1273" s="32" t="s">
        <v>11091</v>
      </c>
      <c r="B1273" s="32" t="s">
        <v>3998</v>
      </c>
      <c r="C1273" s="33" t="s">
        <v>1407</v>
      </c>
      <c r="D1273" s="33" t="s">
        <v>50</v>
      </c>
      <c r="E1273" s="33" t="s">
        <v>81</v>
      </c>
      <c r="F1273" s="33" t="s">
        <v>4007</v>
      </c>
      <c r="G1273" s="33" t="s">
        <v>9</v>
      </c>
      <c r="H1273" s="33" t="n">
        <v>30</v>
      </c>
    </row>
    <row r="1274" customFormat="false" ht="54" hidden="false" customHeight="true" outlineLevel="0" collapsed="false">
      <c r="A1274" s="32" t="s">
        <v>11092</v>
      </c>
      <c r="B1274" s="32" t="s">
        <v>3998</v>
      </c>
      <c r="C1274" s="33" t="s">
        <v>1407</v>
      </c>
      <c r="D1274" s="33" t="s">
        <v>50</v>
      </c>
      <c r="E1274" s="33" t="s">
        <v>82</v>
      </c>
      <c r="F1274" s="33" t="s">
        <v>11093</v>
      </c>
      <c r="G1274" s="33" t="s">
        <v>9</v>
      </c>
      <c r="H1274" s="33" t="n">
        <v>30</v>
      </c>
    </row>
    <row r="1275" customFormat="false" ht="54" hidden="false" customHeight="true" outlineLevel="0" collapsed="false">
      <c r="A1275" s="32" t="s">
        <v>11094</v>
      </c>
      <c r="B1275" s="32" t="s">
        <v>3998</v>
      </c>
      <c r="C1275" s="33" t="s">
        <v>1407</v>
      </c>
      <c r="D1275" s="33" t="s">
        <v>50</v>
      </c>
      <c r="E1275" s="33" t="s">
        <v>82</v>
      </c>
      <c r="F1275" s="33" t="s">
        <v>4007</v>
      </c>
      <c r="G1275" s="33" t="s">
        <v>9</v>
      </c>
      <c r="H1275" s="33" t="n">
        <v>30</v>
      </c>
    </row>
    <row r="1276" customFormat="false" ht="54" hidden="false" customHeight="true" outlineLevel="0" collapsed="false">
      <c r="A1276" s="32" t="s">
        <v>11095</v>
      </c>
      <c r="B1276" s="32" t="s">
        <v>3998</v>
      </c>
      <c r="C1276" s="33" t="s">
        <v>1407</v>
      </c>
      <c r="D1276" s="33" t="s">
        <v>50</v>
      </c>
      <c r="E1276" s="33" t="s">
        <v>82</v>
      </c>
      <c r="F1276" s="33" t="s">
        <v>4010</v>
      </c>
      <c r="G1276" s="33" t="s">
        <v>9</v>
      </c>
      <c r="H1276" s="33" t="n">
        <v>30</v>
      </c>
    </row>
    <row r="1277" customFormat="false" ht="54" hidden="false" customHeight="true" outlineLevel="0" collapsed="false">
      <c r="A1277" s="32" t="s">
        <v>11096</v>
      </c>
      <c r="B1277" s="32" t="s">
        <v>3998</v>
      </c>
      <c r="C1277" s="33" t="s">
        <v>1407</v>
      </c>
      <c r="D1277" s="33" t="s">
        <v>50</v>
      </c>
      <c r="E1277" s="33" t="s">
        <v>82</v>
      </c>
      <c r="F1277" s="33" t="s">
        <v>11097</v>
      </c>
      <c r="G1277" s="33" t="s">
        <v>9</v>
      </c>
      <c r="H1277" s="33" t="n">
        <v>30</v>
      </c>
    </row>
    <row r="1278" customFormat="false" ht="54" hidden="false" customHeight="true" outlineLevel="0" collapsed="false">
      <c r="A1278" s="32" t="s">
        <v>11098</v>
      </c>
      <c r="B1278" s="32" t="s">
        <v>3998</v>
      </c>
      <c r="C1278" s="33" t="s">
        <v>1407</v>
      </c>
      <c r="D1278" s="33" t="s">
        <v>50</v>
      </c>
      <c r="E1278" s="33" t="s">
        <v>83</v>
      </c>
      <c r="F1278" s="33" t="s">
        <v>11099</v>
      </c>
      <c r="G1278" s="33" t="s">
        <v>9</v>
      </c>
      <c r="H1278" s="33" t="n">
        <v>30</v>
      </c>
    </row>
    <row r="1279" customFormat="false" ht="54" hidden="false" customHeight="true" outlineLevel="0" collapsed="false">
      <c r="A1279" s="32" t="s">
        <v>11100</v>
      </c>
      <c r="B1279" s="32" t="s">
        <v>3998</v>
      </c>
      <c r="C1279" s="33" t="s">
        <v>1407</v>
      </c>
      <c r="D1279" s="33" t="s">
        <v>50</v>
      </c>
      <c r="E1279" s="33" t="s">
        <v>83</v>
      </c>
      <c r="F1279" s="33" t="s">
        <v>4010</v>
      </c>
      <c r="G1279" s="33" t="s">
        <v>9</v>
      </c>
      <c r="H1279" s="33" t="n">
        <v>30</v>
      </c>
    </row>
    <row r="1280" customFormat="false" ht="54" hidden="false" customHeight="true" outlineLevel="0" collapsed="false">
      <c r="A1280" s="32" t="s">
        <v>11101</v>
      </c>
      <c r="B1280" s="32" t="s">
        <v>3998</v>
      </c>
      <c r="C1280" s="33" t="s">
        <v>1407</v>
      </c>
      <c r="D1280" s="33" t="s">
        <v>50</v>
      </c>
      <c r="E1280" s="33" t="s">
        <v>83</v>
      </c>
      <c r="F1280" s="33" t="s">
        <v>11097</v>
      </c>
      <c r="G1280" s="33" t="s">
        <v>9</v>
      </c>
      <c r="H1280" s="33" t="n">
        <v>30</v>
      </c>
    </row>
    <row r="1281" customFormat="false" ht="54" hidden="false" customHeight="true" outlineLevel="0" collapsed="false">
      <c r="A1281" s="32" t="s">
        <v>11102</v>
      </c>
      <c r="B1281" s="32" t="s">
        <v>3998</v>
      </c>
      <c r="C1281" s="33" t="s">
        <v>1407</v>
      </c>
      <c r="D1281" s="33" t="s">
        <v>50</v>
      </c>
      <c r="E1281" s="33" t="s">
        <v>84</v>
      </c>
      <c r="F1281" s="33" t="s">
        <v>4010</v>
      </c>
      <c r="G1281" s="33" t="s">
        <v>9</v>
      </c>
      <c r="H1281" s="33" t="n">
        <v>30</v>
      </c>
    </row>
    <row r="1282" customFormat="false" ht="54" hidden="false" customHeight="true" outlineLevel="0" collapsed="false">
      <c r="A1282" s="32" t="s">
        <v>11103</v>
      </c>
      <c r="B1282" s="32" t="s">
        <v>4013</v>
      </c>
      <c r="C1282" s="33" t="s">
        <v>1407</v>
      </c>
      <c r="D1282" s="33" t="s">
        <v>50</v>
      </c>
      <c r="E1282" s="33" t="s">
        <v>80</v>
      </c>
      <c r="F1282" s="33" t="s">
        <v>11104</v>
      </c>
      <c r="G1282" s="33" t="s">
        <v>9</v>
      </c>
      <c r="H1282" s="33" t="n">
        <v>30</v>
      </c>
    </row>
    <row r="1283" customFormat="false" ht="54" hidden="false" customHeight="true" outlineLevel="0" collapsed="false">
      <c r="A1283" s="32" t="s">
        <v>11105</v>
      </c>
      <c r="B1283" s="32" t="s">
        <v>4013</v>
      </c>
      <c r="C1283" s="33" t="s">
        <v>1407</v>
      </c>
      <c r="D1283" s="33" t="s">
        <v>50</v>
      </c>
      <c r="E1283" s="33" t="s">
        <v>80</v>
      </c>
      <c r="F1283" s="33" t="s">
        <v>11106</v>
      </c>
      <c r="G1283" s="33" t="s">
        <v>9</v>
      </c>
      <c r="H1283" s="33" t="n">
        <v>30</v>
      </c>
    </row>
    <row r="1284" customFormat="false" ht="54" hidden="false" customHeight="true" outlineLevel="0" collapsed="false">
      <c r="A1284" s="32" t="s">
        <v>11107</v>
      </c>
      <c r="B1284" s="32" t="s">
        <v>4013</v>
      </c>
      <c r="C1284" s="33" t="s">
        <v>1407</v>
      </c>
      <c r="D1284" s="33" t="s">
        <v>50</v>
      </c>
      <c r="E1284" s="33" t="s">
        <v>80</v>
      </c>
      <c r="F1284" s="33" t="s">
        <v>11108</v>
      </c>
      <c r="G1284" s="33" t="s">
        <v>9</v>
      </c>
      <c r="H1284" s="33" t="n">
        <v>30</v>
      </c>
    </row>
    <row r="1285" customFormat="false" ht="54" hidden="false" customHeight="true" outlineLevel="0" collapsed="false">
      <c r="A1285" s="32" t="s">
        <v>11109</v>
      </c>
      <c r="B1285" s="32" t="s">
        <v>4013</v>
      </c>
      <c r="C1285" s="33" t="s">
        <v>1407</v>
      </c>
      <c r="D1285" s="33" t="s">
        <v>50</v>
      </c>
      <c r="E1285" s="33" t="s">
        <v>80</v>
      </c>
      <c r="F1285" s="33" t="s">
        <v>11110</v>
      </c>
      <c r="G1285" s="33" t="s">
        <v>9</v>
      </c>
      <c r="H1285" s="33" t="n">
        <v>30</v>
      </c>
    </row>
    <row r="1286" customFormat="false" ht="54" hidden="false" customHeight="true" outlineLevel="0" collapsed="false">
      <c r="A1286" s="32" t="s">
        <v>11111</v>
      </c>
      <c r="B1286" s="32" t="s">
        <v>4013</v>
      </c>
      <c r="C1286" s="33" t="s">
        <v>1407</v>
      </c>
      <c r="D1286" s="33" t="s">
        <v>50</v>
      </c>
      <c r="E1286" s="33" t="s">
        <v>80</v>
      </c>
      <c r="F1286" s="33" t="s">
        <v>11112</v>
      </c>
      <c r="G1286" s="33" t="s">
        <v>9</v>
      </c>
      <c r="H1286" s="33" t="n">
        <v>30</v>
      </c>
    </row>
    <row r="1287" customFormat="false" ht="54" hidden="false" customHeight="true" outlineLevel="0" collapsed="false">
      <c r="A1287" s="32" t="s">
        <v>11113</v>
      </c>
      <c r="B1287" s="32" t="s">
        <v>4013</v>
      </c>
      <c r="C1287" s="33" t="s">
        <v>1407</v>
      </c>
      <c r="D1287" s="33" t="s">
        <v>50</v>
      </c>
      <c r="E1287" s="33" t="s">
        <v>84</v>
      </c>
      <c r="F1287" s="33" t="s">
        <v>11114</v>
      </c>
      <c r="G1287" s="33" t="s">
        <v>9</v>
      </c>
      <c r="H1287" s="33" t="n">
        <v>30</v>
      </c>
    </row>
    <row r="1288" customFormat="false" ht="54" hidden="false" customHeight="true" outlineLevel="0" collapsed="false">
      <c r="A1288" s="32" t="s">
        <v>11115</v>
      </c>
      <c r="B1288" s="32" t="s">
        <v>4013</v>
      </c>
      <c r="C1288" s="33" t="s">
        <v>1407</v>
      </c>
      <c r="D1288" s="33" t="s">
        <v>50</v>
      </c>
      <c r="E1288" s="33" t="s">
        <v>84</v>
      </c>
      <c r="F1288" s="33" t="s">
        <v>11108</v>
      </c>
      <c r="G1288" s="33" t="s">
        <v>9</v>
      </c>
      <c r="H1288" s="33" t="n">
        <v>30</v>
      </c>
    </row>
    <row r="1289" customFormat="false" ht="54" hidden="false" customHeight="true" outlineLevel="0" collapsed="false">
      <c r="A1289" s="32" t="s">
        <v>11116</v>
      </c>
      <c r="B1289" s="32" t="s">
        <v>4013</v>
      </c>
      <c r="C1289" s="33" t="s">
        <v>1407</v>
      </c>
      <c r="D1289" s="33" t="s">
        <v>50</v>
      </c>
      <c r="E1289" s="33" t="s">
        <v>84</v>
      </c>
      <c r="F1289" s="33" t="s">
        <v>11110</v>
      </c>
      <c r="G1289" s="33" t="s">
        <v>9</v>
      </c>
      <c r="H1289" s="33" t="n">
        <v>30</v>
      </c>
    </row>
    <row r="1290" customFormat="false" ht="54" hidden="false" customHeight="true" outlineLevel="0" collapsed="false">
      <c r="A1290" s="32" t="s">
        <v>11117</v>
      </c>
      <c r="B1290" s="32" t="s">
        <v>4013</v>
      </c>
      <c r="C1290" s="33" t="s">
        <v>1407</v>
      </c>
      <c r="D1290" s="33" t="s">
        <v>50</v>
      </c>
      <c r="E1290" s="33" t="s">
        <v>84</v>
      </c>
      <c r="F1290" s="33" t="s">
        <v>3751</v>
      </c>
      <c r="G1290" s="33" t="s">
        <v>9</v>
      </c>
      <c r="H1290" s="33" t="n">
        <v>30</v>
      </c>
    </row>
    <row r="1291" customFormat="false" ht="54" hidden="false" customHeight="true" outlineLevel="0" collapsed="false">
      <c r="A1291" s="32" t="s">
        <v>11118</v>
      </c>
      <c r="B1291" s="32" t="s">
        <v>4013</v>
      </c>
      <c r="C1291" s="33" t="s">
        <v>1407</v>
      </c>
      <c r="D1291" s="33" t="s">
        <v>50</v>
      </c>
      <c r="E1291" s="33" t="s">
        <v>84</v>
      </c>
      <c r="F1291" s="33" t="s">
        <v>11119</v>
      </c>
      <c r="G1291" s="33" t="s">
        <v>9</v>
      </c>
      <c r="H1291" s="33" t="n">
        <v>30</v>
      </c>
    </row>
    <row r="1292" customFormat="false" ht="54" hidden="false" customHeight="true" outlineLevel="0" collapsed="false">
      <c r="A1292" s="32" t="s">
        <v>11120</v>
      </c>
      <c r="B1292" s="32" t="s">
        <v>4026</v>
      </c>
      <c r="C1292" s="33" t="s">
        <v>1407</v>
      </c>
      <c r="D1292" s="33" t="s">
        <v>50</v>
      </c>
      <c r="E1292" s="33" t="s">
        <v>84</v>
      </c>
      <c r="F1292" s="33" t="s">
        <v>4030</v>
      </c>
      <c r="G1292" s="33" t="s">
        <v>9</v>
      </c>
      <c r="H1292" s="33" t="n">
        <v>30</v>
      </c>
    </row>
    <row r="1293" customFormat="false" ht="54" hidden="false" customHeight="true" outlineLevel="0" collapsed="false">
      <c r="A1293" s="32" t="s">
        <v>11121</v>
      </c>
      <c r="B1293" s="32" t="s">
        <v>4026</v>
      </c>
      <c r="C1293" s="33" t="s">
        <v>1407</v>
      </c>
      <c r="D1293" s="33" t="s">
        <v>50</v>
      </c>
      <c r="E1293" s="33" t="s">
        <v>84</v>
      </c>
      <c r="F1293" s="33" t="s">
        <v>11122</v>
      </c>
      <c r="G1293" s="33" t="s">
        <v>9</v>
      </c>
      <c r="H1293" s="33" t="n">
        <v>30</v>
      </c>
    </row>
    <row r="1294" customFormat="false" ht="54" hidden="false" customHeight="true" outlineLevel="0" collapsed="false">
      <c r="A1294" s="32" t="s">
        <v>11123</v>
      </c>
      <c r="B1294" s="32" t="s">
        <v>4026</v>
      </c>
      <c r="C1294" s="33" t="s">
        <v>1407</v>
      </c>
      <c r="D1294" s="33" t="s">
        <v>50</v>
      </c>
      <c r="E1294" s="33" t="s">
        <v>84</v>
      </c>
      <c r="F1294" s="33" t="s">
        <v>11124</v>
      </c>
      <c r="G1294" s="33" t="s">
        <v>9</v>
      </c>
      <c r="H1294" s="33" t="n">
        <v>30</v>
      </c>
    </row>
    <row r="1295" customFormat="false" ht="54" hidden="false" customHeight="true" outlineLevel="0" collapsed="false">
      <c r="A1295" s="32" t="s">
        <v>11125</v>
      </c>
      <c r="B1295" s="32" t="s">
        <v>4026</v>
      </c>
      <c r="C1295" s="33" t="s">
        <v>1407</v>
      </c>
      <c r="D1295" s="33" t="s">
        <v>50</v>
      </c>
      <c r="E1295" s="33" t="s">
        <v>84</v>
      </c>
      <c r="F1295" s="33" t="s">
        <v>11126</v>
      </c>
      <c r="G1295" s="33" t="s">
        <v>9</v>
      </c>
      <c r="H1295" s="33" t="n">
        <v>30</v>
      </c>
    </row>
    <row r="1296" customFormat="false" ht="54" hidden="false" customHeight="true" outlineLevel="0" collapsed="false">
      <c r="A1296" s="32" t="s">
        <v>11127</v>
      </c>
      <c r="B1296" s="32" t="s">
        <v>4037</v>
      </c>
      <c r="C1296" s="33" t="s">
        <v>1407</v>
      </c>
      <c r="D1296" s="33" t="s">
        <v>50</v>
      </c>
      <c r="E1296" s="33" t="s">
        <v>80</v>
      </c>
      <c r="F1296" s="33" t="s">
        <v>4040</v>
      </c>
      <c r="G1296" s="33" t="s">
        <v>9</v>
      </c>
      <c r="H1296" s="33" t="n">
        <v>30</v>
      </c>
    </row>
    <row r="1297" customFormat="false" ht="54" hidden="false" customHeight="true" outlineLevel="0" collapsed="false">
      <c r="A1297" s="32" t="s">
        <v>11128</v>
      </c>
      <c r="B1297" s="32" t="s">
        <v>4037</v>
      </c>
      <c r="C1297" s="33" t="s">
        <v>1407</v>
      </c>
      <c r="D1297" s="33" t="s">
        <v>50</v>
      </c>
      <c r="E1297" s="33" t="s">
        <v>80</v>
      </c>
      <c r="F1297" s="33" t="s">
        <v>10500</v>
      </c>
      <c r="G1297" s="33" t="s">
        <v>9</v>
      </c>
      <c r="H1297" s="33" t="n">
        <v>30</v>
      </c>
    </row>
    <row r="1298" customFormat="false" ht="54" hidden="false" customHeight="true" outlineLevel="0" collapsed="false">
      <c r="A1298" s="32" t="s">
        <v>11129</v>
      </c>
      <c r="B1298" s="32" t="s">
        <v>4037</v>
      </c>
      <c r="C1298" s="33" t="s">
        <v>1407</v>
      </c>
      <c r="D1298" s="33" t="s">
        <v>50</v>
      </c>
      <c r="E1298" s="33" t="s">
        <v>80</v>
      </c>
      <c r="F1298" s="33" t="s">
        <v>11130</v>
      </c>
      <c r="G1298" s="33" t="s">
        <v>9</v>
      </c>
      <c r="H1298" s="33" t="n">
        <v>30</v>
      </c>
    </row>
    <row r="1299" customFormat="false" ht="54" hidden="false" customHeight="true" outlineLevel="0" collapsed="false">
      <c r="A1299" s="32" t="s">
        <v>11131</v>
      </c>
      <c r="B1299" s="32" t="s">
        <v>4037</v>
      </c>
      <c r="C1299" s="33" t="s">
        <v>1407</v>
      </c>
      <c r="D1299" s="33" t="s">
        <v>50</v>
      </c>
      <c r="E1299" s="33" t="s">
        <v>80</v>
      </c>
      <c r="F1299" s="33" t="s">
        <v>11132</v>
      </c>
      <c r="G1299" s="33" t="s">
        <v>9</v>
      </c>
      <c r="H1299" s="33" t="n">
        <v>30</v>
      </c>
    </row>
    <row r="1300" customFormat="false" ht="54" hidden="false" customHeight="true" outlineLevel="0" collapsed="false">
      <c r="A1300" s="32" t="s">
        <v>11133</v>
      </c>
      <c r="B1300" s="32" t="s">
        <v>4037</v>
      </c>
      <c r="C1300" s="33" t="s">
        <v>1407</v>
      </c>
      <c r="D1300" s="33" t="s">
        <v>50</v>
      </c>
      <c r="E1300" s="33" t="s">
        <v>84</v>
      </c>
      <c r="F1300" s="33" t="s">
        <v>4040</v>
      </c>
      <c r="G1300" s="33" t="s">
        <v>9</v>
      </c>
      <c r="H1300" s="33" t="n">
        <v>30</v>
      </c>
    </row>
    <row r="1301" customFormat="false" ht="54" hidden="false" customHeight="true" outlineLevel="0" collapsed="false">
      <c r="A1301" s="32" t="s">
        <v>11134</v>
      </c>
      <c r="B1301" s="32" t="s">
        <v>4037</v>
      </c>
      <c r="C1301" s="33" t="s">
        <v>1407</v>
      </c>
      <c r="D1301" s="33" t="s">
        <v>50</v>
      </c>
      <c r="E1301" s="33" t="s">
        <v>84</v>
      </c>
      <c r="F1301" s="33" t="s">
        <v>4041</v>
      </c>
      <c r="G1301" s="33" t="s">
        <v>9</v>
      </c>
      <c r="H1301" s="33" t="n">
        <v>30</v>
      </c>
    </row>
    <row r="1302" customFormat="false" ht="54" hidden="false" customHeight="true" outlineLevel="0" collapsed="false">
      <c r="A1302" s="32" t="s">
        <v>11135</v>
      </c>
      <c r="B1302" s="32" t="s">
        <v>4037</v>
      </c>
      <c r="C1302" s="33" t="s">
        <v>1407</v>
      </c>
      <c r="D1302" s="33" t="s">
        <v>50</v>
      </c>
      <c r="E1302" s="33" t="s">
        <v>84</v>
      </c>
      <c r="F1302" s="33" t="s">
        <v>11130</v>
      </c>
      <c r="G1302" s="33" t="s">
        <v>9</v>
      </c>
      <c r="H1302" s="33" t="n">
        <v>30</v>
      </c>
    </row>
    <row r="1303" customFormat="false" ht="54" hidden="false" customHeight="true" outlineLevel="0" collapsed="false">
      <c r="A1303" s="32" t="s">
        <v>11136</v>
      </c>
      <c r="B1303" s="32" t="s">
        <v>4037</v>
      </c>
      <c r="C1303" s="33" t="s">
        <v>1407</v>
      </c>
      <c r="D1303" s="33" t="s">
        <v>50</v>
      </c>
      <c r="E1303" s="33" t="s">
        <v>84</v>
      </c>
      <c r="F1303" s="33" t="s">
        <v>11137</v>
      </c>
      <c r="G1303" s="33" t="s">
        <v>9</v>
      </c>
      <c r="H1303" s="33" t="n">
        <v>30</v>
      </c>
    </row>
    <row r="1304" customFormat="false" ht="54" hidden="false" customHeight="true" outlineLevel="0" collapsed="false">
      <c r="A1304" s="32" t="s">
        <v>11138</v>
      </c>
      <c r="B1304" s="32" t="s">
        <v>4037</v>
      </c>
      <c r="C1304" s="33" t="s">
        <v>1407</v>
      </c>
      <c r="D1304" s="33" t="s">
        <v>50</v>
      </c>
      <c r="E1304" s="33" t="s">
        <v>86</v>
      </c>
      <c r="F1304" s="33" t="s">
        <v>4041</v>
      </c>
      <c r="G1304" s="33" t="s">
        <v>9</v>
      </c>
      <c r="H1304" s="33" t="n">
        <v>30</v>
      </c>
    </row>
    <row r="1305" customFormat="false" ht="54" hidden="false" customHeight="true" outlineLevel="0" collapsed="false">
      <c r="A1305" s="32" t="s">
        <v>11139</v>
      </c>
      <c r="B1305" s="32" t="s">
        <v>4037</v>
      </c>
      <c r="C1305" s="33" t="s">
        <v>1407</v>
      </c>
      <c r="D1305" s="33" t="s">
        <v>50</v>
      </c>
      <c r="E1305" s="33" t="s">
        <v>86</v>
      </c>
      <c r="F1305" s="33" t="s">
        <v>11130</v>
      </c>
      <c r="G1305" s="33" t="s">
        <v>9</v>
      </c>
      <c r="H1305" s="33" t="n">
        <v>30</v>
      </c>
    </row>
    <row r="1306" customFormat="false" ht="54" hidden="false" customHeight="true" outlineLevel="0" collapsed="false">
      <c r="A1306" s="32" t="s">
        <v>11140</v>
      </c>
      <c r="B1306" s="32" t="s">
        <v>4037</v>
      </c>
      <c r="C1306" s="33" t="s">
        <v>1407</v>
      </c>
      <c r="D1306" s="33" t="s">
        <v>50</v>
      </c>
      <c r="E1306" s="33" t="s">
        <v>86</v>
      </c>
      <c r="F1306" s="33" t="s">
        <v>11137</v>
      </c>
      <c r="G1306" s="33" t="s">
        <v>9</v>
      </c>
      <c r="H1306" s="33" t="n">
        <v>30</v>
      </c>
    </row>
    <row r="1307" customFormat="false" ht="54" hidden="false" customHeight="true" outlineLevel="0" collapsed="false">
      <c r="A1307" s="32" t="s">
        <v>11141</v>
      </c>
      <c r="B1307" s="32" t="s">
        <v>4051</v>
      </c>
      <c r="C1307" s="33" t="s">
        <v>1407</v>
      </c>
      <c r="D1307" s="33" t="s">
        <v>50</v>
      </c>
      <c r="E1307" s="33" t="s">
        <v>81</v>
      </c>
      <c r="F1307" s="33" t="s">
        <v>4059</v>
      </c>
      <c r="G1307" s="33" t="s">
        <v>9</v>
      </c>
      <c r="H1307" s="33" t="n">
        <v>30</v>
      </c>
    </row>
    <row r="1308" customFormat="false" ht="54" hidden="false" customHeight="true" outlineLevel="0" collapsed="false">
      <c r="A1308" s="32" t="s">
        <v>11142</v>
      </c>
      <c r="B1308" s="32" t="s">
        <v>4051</v>
      </c>
      <c r="C1308" s="33" t="s">
        <v>1407</v>
      </c>
      <c r="D1308" s="33" t="s">
        <v>50</v>
      </c>
      <c r="E1308" s="33" t="s">
        <v>82</v>
      </c>
      <c r="F1308" s="33" t="s">
        <v>11143</v>
      </c>
      <c r="G1308" s="33" t="s">
        <v>9</v>
      </c>
      <c r="H1308" s="33" t="n">
        <v>30</v>
      </c>
    </row>
    <row r="1309" customFormat="false" ht="54" hidden="false" customHeight="true" outlineLevel="0" collapsed="false">
      <c r="A1309" s="32" t="s">
        <v>11144</v>
      </c>
      <c r="B1309" s="32" t="s">
        <v>4051</v>
      </c>
      <c r="C1309" s="33" t="s">
        <v>1407</v>
      </c>
      <c r="D1309" s="33" t="s">
        <v>50</v>
      </c>
      <c r="E1309" s="33" t="s">
        <v>82</v>
      </c>
      <c r="F1309" s="33" t="s">
        <v>11145</v>
      </c>
      <c r="G1309" s="33" t="s">
        <v>9</v>
      </c>
      <c r="H1309" s="33" t="n">
        <v>30</v>
      </c>
    </row>
    <row r="1310" customFormat="false" ht="54" hidden="false" customHeight="true" outlineLevel="0" collapsed="false">
      <c r="A1310" s="32" t="s">
        <v>11146</v>
      </c>
      <c r="B1310" s="32" t="s">
        <v>4051</v>
      </c>
      <c r="C1310" s="33" t="s">
        <v>1407</v>
      </c>
      <c r="D1310" s="33" t="s">
        <v>50</v>
      </c>
      <c r="E1310" s="33" t="s">
        <v>82</v>
      </c>
      <c r="F1310" s="33" t="s">
        <v>11147</v>
      </c>
      <c r="G1310" s="33" t="s">
        <v>9</v>
      </c>
      <c r="H1310" s="33" t="n">
        <v>30</v>
      </c>
    </row>
    <row r="1311" customFormat="false" ht="54" hidden="false" customHeight="true" outlineLevel="0" collapsed="false">
      <c r="A1311" s="32" t="s">
        <v>11148</v>
      </c>
      <c r="B1311" s="32" t="s">
        <v>4051</v>
      </c>
      <c r="C1311" s="33" t="s">
        <v>1407</v>
      </c>
      <c r="D1311" s="33" t="s">
        <v>50</v>
      </c>
      <c r="E1311" s="33" t="s">
        <v>83</v>
      </c>
      <c r="F1311" s="33" t="s">
        <v>11145</v>
      </c>
      <c r="G1311" s="33" t="s">
        <v>9</v>
      </c>
      <c r="H1311" s="33" t="n">
        <v>30</v>
      </c>
    </row>
    <row r="1312" customFormat="false" ht="54" hidden="false" customHeight="true" outlineLevel="0" collapsed="false">
      <c r="A1312" s="32" t="s">
        <v>11149</v>
      </c>
      <c r="B1312" s="32" t="s">
        <v>4051</v>
      </c>
      <c r="C1312" s="33" t="s">
        <v>1407</v>
      </c>
      <c r="D1312" s="33" t="s">
        <v>50</v>
      </c>
      <c r="E1312" s="33" t="s">
        <v>83</v>
      </c>
      <c r="F1312" s="33" t="s">
        <v>11150</v>
      </c>
      <c r="G1312" s="33" t="s">
        <v>9</v>
      </c>
      <c r="H1312" s="33" t="n">
        <v>30</v>
      </c>
    </row>
    <row r="1313" customFormat="false" ht="54" hidden="false" customHeight="true" outlineLevel="0" collapsed="false">
      <c r="A1313" s="32" t="s">
        <v>11151</v>
      </c>
      <c r="B1313" s="32" t="s">
        <v>4051</v>
      </c>
      <c r="C1313" s="33" t="s">
        <v>1407</v>
      </c>
      <c r="D1313" s="33" t="s">
        <v>50</v>
      </c>
      <c r="E1313" s="33" t="s">
        <v>84</v>
      </c>
      <c r="F1313" s="33" t="s">
        <v>11152</v>
      </c>
      <c r="G1313" s="33" t="s">
        <v>9</v>
      </c>
      <c r="H1313" s="33" t="n">
        <v>30</v>
      </c>
    </row>
    <row r="1314" customFormat="false" ht="54" hidden="false" customHeight="true" outlineLevel="0" collapsed="false">
      <c r="A1314" s="32" t="s">
        <v>11153</v>
      </c>
      <c r="B1314" s="32" t="s">
        <v>4051</v>
      </c>
      <c r="C1314" s="33" t="s">
        <v>1407</v>
      </c>
      <c r="D1314" s="33" t="s">
        <v>50</v>
      </c>
      <c r="E1314" s="33" t="s">
        <v>84</v>
      </c>
      <c r="F1314" s="33" t="s">
        <v>11145</v>
      </c>
      <c r="G1314" s="33" t="s">
        <v>9</v>
      </c>
      <c r="H1314" s="33" t="n">
        <v>30</v>
      </c>
    </row>
    <row r="1315" customFormat="false" ht="54" hidden="false" customHeight="true" outlineLevel="0" collapsed="false">
      <c r="A1315" s="32" t="s">
        <v>11154</v>
      </c>
      <c r="B1315" s="32" t="s">
        <v>4051</v>
      </c>
      <c r="C1315" s="33" t="s">
        <v>1407</v>
      </c>
      <c r="D1315" s="33" t="s">
        <v>50</v>
      </c>
      <c r="E1315" s="33" t="s">
        <v>84</v>
      </c>
      <c r="F1315" s="33" t="s">
        <v>11150</v>
      </c>
      <c r="G1315" s="33" t="s">
        <v>9</v>
      </c>
      <c r="H1315" s="33" t="n">
        <v>30</v>
      </c>
    </row>
    <row r="1316" customFormat="false" ht="54" hidden="false" customHeight="true" outlineLevel="0" collapsed="false">
      <c r="A1316" s="32" t="s">
        <v>11155</v>
      </c>
      <c r="B1316" s="32" t="s">
        <v>4065</v>
      </c>
      <c r="C1316" s="33" t="s">
        <v>1407</v>
      </c>
      <c r="D1316" s="33" t="s">
        <v>50</v>
      </c>
      <c r="E1316" s="33" t="s">
        <v>84</v>
      </c>
      <c r="F1316" s="33" t="s">
        <v>4073</v>
      </c>
      <c r="G1316" s="33" t="s">
        <v>9</v>
      </c>
      <c r="H1316" s="33" t="n">
        <v>30</v>
      </c>
    </row>
    <row r="1317" customFormat="false" ht="54" hidden="false" customHeight="true" outlineLevel="0" collapsed="false">
      <c r="A1317" s="32" t="s">
        <v>11156</v>
      </c>
      <c r="B1317" s="32" t="s">
        <v>4086</v>
      </c>
      <c r="C1317" s="33" t="s">
        <v>1407</v>
      </c>
      <c r="D1317" s="33" t="s">
        <v>50</v>
      </c>
      <c r="E1317" s="33" t="s">
        <v>80</v>
      </c>
      <c r="F1317" s="33" t="s">
        <v>4089</v>
      </c>
      <c r="G1317" s="33" t="s">
        <v>9</v>
      </c>
      <c r="H1317" s="33" t="n">
        <v>30</v>
      </c>
    </row>
    <row r="1318" customFormat="false" ht="54" hidden="false" customHeight="true" outlineLevel="0" collapsed="false">
      <c r="A1318" s="32" t="s">
        <v>11157</v>
      </c>
      <c r="B1318" s="32" t="s">
        <v>4086</v>
      </c>
      <c r="C1318" s="33" t="s">
        <v>1407</v>
      </c>
      <c r="D1318" s="33" t="s">
        <v>50</v>
      </c>
      <c r="E1318" s="33" t="s">
        <v>80</v>
      </c>
      <c r="F1318" s="33" t="s">
        <v>10500</v>
      </c>
      <c r="G1318" s="33" t="s">
        <v>9</v>
      </c>
      <c r="H1318" s="33" t="n">
        <v>30</v>
      </c>
    </row>
    <row r="1319" customFormat="false" ht="54" hidden="false" customHeight="true" outlineLevel="0" collapsed="false">
      <c r="A1319" s="32" t="s">
        <v>11158</v>
      </c>
      <c r="B1319" s="32" t="s">
        <v>4095</v>
      </c>
      <c r="C1319" s="33" t="s">
        <v>1407</v>
      </c>
      <c r="D1319" s="33" t="s">
        <v>50</v>
      </c>
      <c r="E1319" s="33" t="s">
        <v>80</v>
      </c>
      <c r="F1319" s="33" t="s">
        <v>10500</v>
      </c>
      <c r="G1319" s="33" t="s">
        <v>9</v>
      </c>
      <c r="H1319" s="33" t="n">
        <v>30</v>
      </c>
    </row>
    <row r="1320" customFormat="false" ht="54" hidden="false" customHeight="true" outlineLevel="0" collapsed="false">
      <c r="A1320" s="32" t="s">
        <v>11159</v>
      </c>
      <c r="B1320" s="32" t="s">
        <v>4095</v>
      </c>
      <c r="C1320" s="33" t="s">
        <v>1407</v>
      </c>
      <c r="D1320" s="33" t="s">
        <v>50</v>
      </c>
      <c r="E1320" s="33" t="s">
        <v>80</v>
      </c>
      <c r="F1320" s="33" t="s">
        <v>4105</v>
      </c>
      <c r="G1320" s="33" t="s">
        <v>9</v>
      </c>
      <c r="H1320" s="33" t="n">
        <v>30</v>
      </c>
    </row>
    <row r="1321" customFormat="false" ht="54" hidden="false" customHeight="true" outlineLevel="0" collapsed="false">
      <c r="A1321" s="32" t="s">
        <v>11160</v>
      </c>
      <c r="B1321" s="32" t="s">
        <v>4095</v>
      </c>
      <c r="C1321" s="33" t="s">
        <v>1407</v>
      </c>
      <c r="D1321" s="33" t="s">
        <v>50</v>
      </c>
      <c r="E1321" s="33" t="s">
        <v>80</v>
      </c>
      <c r="F1321" s="33" t="s">
        <v>11161</v>
      </c>
      <c r="G1321" s="33" t="s">
        <v>9</v>
      </c>
      <c r="H1321" s="33" t="n">
        <v>30</v>
      </c>
    </row>
    <row r="1322" customFormat="false" ht="54" hidden="false" customHeight="true" outlineLevel="0" collapsed="false">
      <c r="A1322" s="32" t="s">
        <v>11162</v>
      </c>
      <c r="B1322" s="32" t="s">
        <v>4095</v>
      </c>
      <c r="C1322" s="33" t="s">
        <v>1407</v>
      </c>
      <c r="D1322" s="33" t="s">
        <v>50</v>
      </c>
      <c r="E1322" s="33" t="s">
        <v>83</v>
      </c>
      <c r="F1322" s="33" t="s">
        <v>4103</v>
      </c>
      <c r="G1322" s="33" t="s">
        <v>9</v>
      </c>
      <c r="H1322" s="33" t="n">
        <v>30</v>
      </c>
    </row>
    <row r="1323" customFormat="false" ht="54" hidden="false" customHeight="true" outlineLevel="0" collapsed="false">
      <c r="A1323" s="32" t="s">
        <v>11163</v>
      </c>
      <c r="B1323" s="32" t="s">
        <v>4095</v>
      </c>
      <c r="C1323" s="33" t="s">
        <v>1407</v>
      </c>
      <c r="D1323" s="33" t="s">
        <v>50</v>
      </c>
      <c r="E1323" s="33" t="s">
        <v>84</v>
      </c>
      <c r="F1323" s="33" t="s">
        <v>4105</v>
      </c>
      <c r="G1323" s="33" t="s">
        <v>9</v>
      </c>
      <c r="H1323" s="33" t="n">
        <v>30</v>
      </c>
    </row>
    <row r="1324" customFormat="false" ht="54" hidden="false" customHeight="true" outlineLevel="0" collapsed="false">
      <c r="A1324" s="32" t="s">
        <v>11164</v>
      </c>
      <c r="B1324" s="32" t="s">
        <v>4109</v>
      </c>
      <c r="C1324" s="33" t="s">
        <v>1407</v>
      </c>
      <c r="D1324" s="33" t="s">
        <v>50</v>
      </c>
      <c r="E1324" s="33" t="s">
        <v>80</v>
      </c>
      <c r="F1324" s="33" t="s">
        <v>4112</v>
      </c>
      <c r="G1324" s="33" t="s">
        <v>9</v>
      </c>
      <c r="H1324" s="33" t="n">
        <v>30</v>
      </c>
    </row>
    <row r="1325" customFormat="false" ht="54" hidden="false" customHeight="true" outlineLevel="0" collapsed="false">
      <c r="A1325" s="32" t="s">
        <v>11165</v>
      </c>
      <c r="B1325" s="32" t="s">
        <v>4109</v>
      </c>
      <c r="C1325" s="33" t="s">
        <v>1407</v>
      </c>
      <c r="D1325" s="33" t="s">
        <v>50</v>
      </c>
      <c r="E1325" s="33" t="s">
        <v>83</v>
      </c>
      <c r="F1325" s="33" t="s">
        <v>4116</v>
      </c>
      <c r="G1325" s="33" t="s">
        <v>9</v>
      </c>
      <c r="H1325" s="33" t="n">
        <v>30</v>
      </c>
    </row>
    <row r="1326" customFormat="false" ht="54" hidden="false" customHeight="true" outlineLevel="0" collapsed="false">
      <c r="A1326" s="32" t="s">
        <v>11166</v>
      </c>
      <c r="B1326" s="32" t="s">
        <v>4109</v>
      </c>
      <c r="C1326" s="33" t="s">
        <v>1407</v>
      </c>
      <c r="D1326" s="33" t="s">
        <v>50</v>
      </c>
      <c r="E1326" s="33" t="s">
        <v>83</v>
      </c>
      <c r="F1326" s="33" t="s">
        <v>4114</v>
      </c>
      <c r="G1326" s="33" t="s">
        <v>9</v>
      </c>
      <c r="H1326" s="33" t="n">
        <v>30</v>
      </c>
    </row>
    <row r="1327" customFormat="false" ht="54" hidden="false" customHeight="true" outlineLevel="0" collapsed="false">
      <c r="A1327" s="32" t="s">
        <v>11167</v>
      </c>
      <c r="B1327" s="32" t="s">
        <v>4109</v>
      </c>
      <c r="C1327" s="33" t="s">
        <v>1407</v>
      </c>
      <c r="D1327" s="33" t="s">
        <v>50</v>
      </c>
      <c r="E1327" s="33" t="s">
        <v>84</v>
      </c>
      <c r="F1327" s="33" t="s">
        <v>4112</v>
      </c>
      <c r="G1327" s="33" t="s">
        <v>9</v>
      </c>
      <c r="H1327" s="33" t="n">
        <v>30</v>
      </c>
    </row>
    <row r="1328" customFormat="false" ht="54" hidden="false" customHeight="true" outlineLevel="0" collapsed="false">
      <c r="A1328" s="32" t="s">
        <v>11168</v>
      </c>
      <c r="B1328" s="32" t="s">
        <v>4127</v>
      </c>
      <c r="C1328" s="33" t="s">
        <v>1407</v>
      </c>
      <c r="D1328" s="33" t="s">
        <v>50</v>
      </c>
      <c r="E1328" s="33" t="s">
        <v>81</v>
      </c>
      <c r="F1328" s="33" t="s">
        <v>4136</v>
      </c>
      <c r="G1328" s="33" t="s">
        <v>9</v>
      </c>
      <c r="H1328" s="33" t="n">
        <v>30</v>
      </c>
    </row>
    <row r="1329" customFormat="false" ht="54" hidden="false" customHeight="true" outlineLevel="0" collapsed="false">
      <c r="A1329" s="32" t="s">
        <v>11169</v>
      </c>
      <c r="B1329" s="32" t="s">
        <v>4127</v>
      </c>
      <c r="C1329" s="33" t="s">
        <v>1407</v>
      </c>
      <c r="D1329" s="33" t="s">
        <v>50</v>
      </c>
      <c r="E1329" s="33" t="s">
        <v>82</v>
      </c>
      <c r="F1329" s="33" t="s">
        <v>11170</v>
      </c>
      <c r="G1329" s="33" t="s">
        <v>9</v>
      </c>
      <c r="H1329" s="33" t="n">
        <v>30</v>
      </c>
    </row>
    <row r="1330" customFormat="false" ht="54" hidden="false" customHeight="true" outlineLevel="0" collapsed="false">
      <c r="A1330" s="32" t="s">
        <v>11171</v>
      </c>
      <c r="B1330" s="32" t="s">
        <v>4127</v>
      </c>
      <c r="C1330" s="33" t="s">
        <v>1407</v>
      </c>
      <c r="D1330" s="33" t="s">
        <v>50</v>
      </c>
      <c r="E1330" s="33" t="s">
        <v>82</v>
      </c>
      <c r="F1330" s="33" t="s">
        <v>4136</v>
      </c>
      <c r="G1330" s="33" t="s">
        <v>9</v>
      </c>
      <c r="H1330" s="33" t="n">
        <v>30</v>
      </c>
    </row>
    <row r="1331" customFormat="false" ht="54" hidden="false" customHeight="true" outlineLevel="0" collapsed="false">
      <c r="A1331" s="32" t="s">
        <v>11172</v>
      </c>
      <c r="B1331" s="32" t="s">
        <v>4127</v>
      </c>
      <c r="C1331" s="33" t="s">
        <v>1407</v>
      </c>
      <c r="D1331" s="33" t="s">
        <v>50</v>
      </c>
      <c r="E1331" s="33" t="s">
        <v>82</v>
      </c>
      <c r="F1331" s="33" t="s">
        <v>4138</v>
      </c>
      <c r="G1331" s="33" t="s">
        <v>9</v>
      </c>
      <c r="H1331" s="33" t="n">
        <v>30</v>
      </c>
    </row>
    <row r="1332" customFormat="false" ht="54" hidden="false" customHeight="true" outlineLevel="0" collapsed="false">
      <c r="A1332" s="32" t="s">
        <v>11173</v>
      </c>
      <c r="B1332" s="32" t="s">
        <v>4127</v>
      </c>
      <c r="C1332" s="33" t="s">
        <v>1407</v>
      </c>
      <c r="D1332" s="33" t="s">
        <v>50</v>
      </c>
      <c r="E1332" s="33" t="s">
        <v>82</v>
      </c>
      <c r="F1332" s="33" t="s">
        <v>11174</v>
      </c>
      <c r="G1332" s="33" t="s">
        <v>9</v>
      </c>
      <c r="H1332" s="33" t="n">
        <v>30</v>
      </c>
    </row>
    <row r="1333" customFormat="false" ht="54" hidden="false" customHeight="true" outlineLevel="0" collapsed="false">
      <c r="A1333" s="32" t="s">
        <v>11175</v>
      </c>
      <c r="B1333" s="32" t="s">
        <v>4127</v>
      </c>
      <c r="C1333" s="33" t="s">
        <v>1407</v>
      </c>
      <c r="D1333" s="33" t="s">
        <v>50</v>
      </c>
      <c r="E1333" s="33" t="s">
        <v>84</v>
      </c>
      <c r="F1333" s="33" t="s">
        <v>4138</v>
      </c>
      <c r="G1333" s="33" t="s">
        <v>9</v>
      </c>
      <c r="H1333" s="33" t="n">
        <v>30</v>
      </c>
    </row>
    <row r="1334" customFormat="false" ht="54" hidden="false" customHeight="true" outlineLevel="0" collapsed="false">
      <c r="A1334" s="32" t="s">
        <v>11176</v>
      </c>
      <c r="B1334" s="32" t="s">
        <v>4141</v>
      </c>
      <c r="C1334" s="33" t="s">
        <v>1407</v>
      </c>
      <c r="D1334" s="33" t="s">
        <v>50</v>
      </c>
      <c r="E1334" s="33" t="s">
        <v>83</v>
      </c>
      <c r="F1334" s="33" t="s">
        <v>11177</v>
      </c>
      <c r="G1334" s="33" t="s">
        <v>9</v>
      </c>
      <c r="H1334" s="33" t="n">
        <v>30</v>
      </c>
    </row>
    <row r="1335" customFormat="false" ht="54" hidden="false" customHeight="true" outlineLevel="0" collapsed="false">
      <c r="A1335" s="32" t="s">
        <v>11178</v>
      </c>
      <c r="B1335" s="32" t="s">
        <v>4141</v>
      </c>
      <c r="C1335" s="33" t="s">
        <v>1407</v>
      </c>
      <c r="D1335" s="33" t="s">
        <v>50</v>
      </c>
      <c r="E1335" s="33" t="s">
        <v>83</v>
      </c>
      <c r="F1335" s="33" t="s">
        <v>11179</v>
      </c>
      <c r="G1335" s="33" t="s">
        <v>9</v>
      </c>
      <c r="H1335" s="33" t="n">
        <v>30</v>
      </c>
    </row>
    <row r="1336" customFormat="false" ht="54" hidden="false" customHeight="true" outlineLevel="0" collapsed="false">
      <c r="A1336" s="32" t="s">
        <v>11180</v>
      </c>
      <c r="B1336" s="32" t="s">
        <v>4141</v>
      </c>
      <c r="C1336" s="33" t="s">
        <v>1407</v>
      </c>
      <c r="D1336" s="33" t="s">
        <v>50</v>
      </c>
      <c r="E1336" s="33" t="s">
        <v>84</v>
      </c>
      <c r="F1336" s="33" t="s">
        <v>10935</v>
      </c>
      <c r="G1336" s="33" t="s">
        <v>9</v>
      </c>
      <c r="H1336" s="33" t="n">
        <v>30</v>
      </c>
    </row>
    <row r="1337" customFormat="false" ht="54" hidden="false" customHeight="true" outlineLevel="0" collapsed="false">
      <c r="A1337" s="32" t="s">
        <v>11181</v>
      </c>
      <c r="B1337" s="32" t="s">
        <v>4141</v>
      </c>
      <c r="C1337" s="33" t="s">
        <v>1407</v>
      </c>
      <c r="D1337" s="33" t="s">
        <v>50</v>
      </c>
      <c r="E1337" s="33" t="s">
        <v>84</v>
      </c>
      <c r="F1337" s="33" t="s">
        <v>11177</v>
      </c>
      <c r="G1337" s="33" t="s">
        <v>9</v>
      </c>
      <c r="H1337" s="33" t="n">
        <v>30</v>
      </c>
    </row>
    <row r="1338" customFormat="false" ht="54" hidden="false" customHeight="true" outlineLevel="0" collapsed="false">
      <c r="A1338" s="32" t="s">
        <v>11182</v>
      </c>
      <c r="B1338" s="32" t="s">
        <v>4141</v>
      </c>
      <c r="C1338" s="33" t="s">
        <v>1407</v>
      </c>
      <c r="D1338" s="33" t="s">
        <v>50</v>
      </c>
      <c r="E1338" s="33" t="s">
        <v>84</v>
      </c>
      <c r="F1338" s="33" t="s">
        <v>11179</v>
      </c>
      <c r="G1338" s="33" t="s">
        <v>9</v>
      </c>
      <c r="H1338" s="33" t="n">
        <v>30</v>
      </c>
    </row>
    <row r="1339" customFormat="false" ht="54" hidden="false" customHeight="true" outlineLevel="0" collapsed="false">
      <c r="A1339" s="32" t="s">
        <v>11183</v>
      </c>
      <c r="B1339" s="32" t="s">
        <v>4153</v>
      </c>
      <c r="C1339" s="33" t="s">
        <v>1407</v>
      </c>
      <c r="D1339" s="33" t="s">
        <v>50</v>
      </c>
      <c r="E1339" s="33" t="s">
        <v>80</v>
      </c>
      <c r="F1339" s="33" t="s">
        <v>11184</v>
      </c>
      <c r="G1339" s="33" t="s">
        <v>9</v>
      </c>
      <c r="H1339" s="33" t="n">
        <v>30</v>
      </c>
    </row>
    <row r="1340" customFormat="false" ht="54" hidden="false" customHeight="true" outlineLevel="0" collapsed="false">
      <c r="A1340" s="32" t="s">
        <v>11185</v>
      </c>
      <c r="B1340" s="32" t="s">
        <v>4153</v>
      </c>
      <c r="C1340" s="33" t="s">
        <v>1407</v>
      </c>
      <c r="D1340" s="33" t="s">
        <v>50</v>
      </c>
      <c r="E1340" s="33" t="s">
        <v>80</v>
      </c>
      <c r="F1340" s="33" t="s">
        <v>3751</v>
      </c>
      <c r="G1340" s="33" t="s">
        <v>9</v>
      </c>
      <c r="H1340" s="33" t="n">
        <v>30</v>
      </c>
    </row>
    <row r="1341" customFormat="false" ht="54" hidden="false" customHeight="true" outlineLevel="0" collapsed="false">
      <c r="A1341" s="32" t="s">
        <v>11186</v>
      </c>
      <c r="B1341" s="32" t="s">
        <v>4153</v>
      </c>
      <c r="C1341" s="33" t="s">
        <v>1407</v>
      </c>
      <c r="D1341" s="33" t="s">
        <v>50</v>
      </c>
      <c r="E1341" s="33" t="s">
        <v>82</v>
      </c>
      <c r="F1341" s="33" t="s">
        <v>11187</v>
      </c>
      <c r="G1341" s="33" t="s">
        <v>9</v>
      </c>
      <c r="H1341" s="33" t="n">
        <v>30</v>
      </c>
    </row>
    <row r="1342" customFormat="false" ht="54" hidden="false" customHeight="true" outlineLevel="0" collapsed="false">
      <c r="A1342" s="32" t="s">
        <v>11188</v>
      </c>
      <c r="B1342" s="32" t="s">
        <v>4153</v>
      </c>
      <c r="C1342" s="33" t="s">
        <v>1407</v>
      </c>
      <c r="D1342" s="33" t="s">
        <v>50</v>
      </c>
      <c r="E1342" s="33" t="s">
        <v>82</v>
      </c>
      <c r="F1342" s="33" t="s">
        <v>11184</v>
      </c>
      <c r="G1342" s="33" t="s">
        <v>9</v>
      </c>
      <c r="H1342" s="33" t="n">
        <v>30</v>
      </c>
    </row>
    <row r="1343" customFormat="false" ht="54" hidden="false" customHeight="true" outlineLevel="0" collapsed="false">
      <c r="A1343" s="32" t="s">
        <v>11189</v>
      </c>
      <c r="B1343" s="32" t="s">
        <v>4153</v>
      </c>
      <c r="C1343" s="33" t="s">
        <v>1407</v>
      </c>
      <c r="D1343" s="33" t="s">
        <v>50</v>
      </c>
      <c r="E1343" s="33" t="s">
        <v>82</v>
      </c>
      <c r="F1343" s="33" t="s">
        <v>11190</v>
      </c>
      <c r="G1343" s="33" t="s">
        <v>9</v>
      </c>
      <c r="H1343" s="33" t="n">
        <v>30</v>
      </c>
    </row>
    <row r="1344" customFormat="false" ht="54" hidden="false" customHeight="true" outlineLevel="0" collapsed="false">
      <c r="A1344" s="32" t="s">
        <v>11191</v>
      </c>
      <c r="B1344" s="32" t="s">
        <v>4153</v>
      </c>
      <c r="C1344" s="33" t="s">
        <v>1407</v>
      </c>
      <c r="D1344" s="33" t="s">
        <v>50</v>
      </c>
      <c r="E1344" s="33" t="s">
        <v>84</v>
      </c>
      <c r="F1344" s="33" t="s">
        <v>11184</v>
      </c>
      <c r="G1344" s="33" t="s">
        <v>9</v>
      </c>
      <c r="H1344" s="33" t="n">
        <v>30</v>
      </c>
    </row>
    <row r="1345" customFormat="false" ht="54" hidden="false" customHeight="true" outlineLevel="0" collapsed="false">
      <c r="A1345" s="32" t="s">
        <v>11192</v>
      </c>
      <c r="B1345" s="32" t="s">
        <v>4153</v>
      </c>
      <c r="C1345" s="33" t="s">
        <v>1407</v>
      </c>
      <c r="D1345" s="33" t="s">
        <v>50</v>
      </c>
      <c r="E1345" s="33" t="s">
        <v>84</v>
      </c>
      <c r="F1345" s="33" t="s">
        <v>3751</v>
      </c>
      <c r="G1345" s="33" t="s">
        <v>9</v>
      </c>
      <c r="H1345" s="33" t="n">
        <v>30</v>
      </c>
    </row>
    <row r="1346" customFormat="false" ht="54" hidden="false" customHeight="true" outlineLevel="0" collapsed="false">
      <c r="A1346" s="32" t="s">
        <v>11193</v>
      </c>
      <c r="B1346" s="32" t="s">
        <v>4165</v>
      </c>
      <c r="C1346" s="33" t="s">
        <v>1407</v>
      </c>
      <c r="D1346" s="33" t="s">
        <v>50</v>
      </c>
      <c r="E1346" s="33" t="s">
        <v>80</v>
      </c>
      <c r="F1346" s="33" t="s">
        <v>11194</v>
      </c>
      <c r="G1346" s="33" t="s">
        <v>9</v>
      </c>
      <c r="H1346" s="33" t="n">
        <v>30</v>
      </c>
    </row>
    <row r="1347" customFormat="false" ht="54" hidden="false" customHeight="true" outlineLevel="0" collapsed="false">
      <c r="A1347" s="32" t="s">
        <v>11195</v>
      </c>
      <c r="B1347" s="32" t="s">
        <v>4165</v>
      </c>
      <c r="C1347" s="33" t="s">
        <v>1407</v>
      </c>
      <c r="D1347" s="33" t="s">
        <v>50</v>
      </c>
      <c r="E1347" s="33" t="s">
        <v>80</v>
      </c>
      <c r="F1347" s="33" t="s">
        <v>11196</v>
      </c>
      <c r="G1347" s="33" t="s">
        <v>9</v>
      </c>
      <c r="H1347" s="33" t="n">
        <v>30</v>
      </c>
    </row>
    <row r="1348" customFormat="false" ht="54" hidden="false" customHeight="true" outlineLevel="0" collapsed="false">
      <c r="A1348" s="32" t="s">
        <v>11197</v>
      </c>
      <c r="B1348" s="32" t="s">
        <v>4165</v>
      </c>
      <c r="C1348" s="33" t="s">
        <v>1407</v>
      </c>
      <c r="D1348" s="33" t="s">
        <v>50</v>
      </c>
      <c r="E1348" s="33" t="s">
        <v>80</v>
      </c>
      <c r="F1348" s="33" t="s">
        <v>4175</v>
      </c>
      <c r="G1348" s="33" t="s">
        <v>9</v>
      </c>
      <c r="H1348" s="33" t="n">
        <v>30</v>
      </c>
    </row>
    <row r="1349" customFormat="false" ht="54" hidden="false" customHeight="true" outlineLevel="0" collapsed="false">
      <c r="A1349" s="32" t="s">
        <v>11198</v>
      </c>
      <c r="B1349" s="32" t="s">
        <v>4165</v>
      </c>
      <c r="C1349" s="33" t="s">
        <v>1407</v>
      </c>
      <c r="D1349" s="33" t="s">
        <v>50</v>
      </c>
      <c r="E1349" s="33" t="s">
        <v>80</v>
      </c>
      <c r="F1349" s="33" t="s">
        <v>11199</v>
      </c>
      <c r="G1349" s="33" t="s">
        <v>9</v>
      </c>
      <c r="H1349" s="33" t="n">
        <v>30</v>
      </c>
    </row>
    <row r="1350" customFormat="false" ht="54" hidden="false" customHeight="true" outlineLevel="0" collapsed="false">
      <c r="A1350" s="32" t="s">
        <v>11200</v>
      </c>
      <c r="B1350" s="32" t="s">
        <v>4165</v>
      </c>
      <c r="C1350" s="33" t="s">
        <v>1407</v>
      </c>
      <c r="D1350" s="33" t="s">
        <v>50</v>
      </c>
      <c r="E1350" s="33" t="s">
        <v>80</v>
      </c>
      <c r="F1350" s="33" t="s">
        <v>11201</v>
      </c>
      <c r="G1350" s="33" t="s">
        <v>9</v>
      </c>
      <c r="H1350" s="33" t="n">
        <v>30</v>
      </c>
    </row>
    <row r="1351" customFormat="false" ht="54" hidden="false" customHeight="true" outlineLevel="0" collapsed="false">
      <c r="A1351" s="32" t="s">
        <v>11202</v>
      </c>
      <c r="B1351" s="32" t="s">
        <v>4165</v>
      </c>
      <c r="C1351" s="33" t="s">
        <v>1407</v>
      </c>
      <c r="D1351" s="33" t="s">
        <v>50</v>
      </c>
      <c r="E1351" s="33" t="s">
        <v>81</v>
      </c>
      <c r="F1351" s="33" t="s">
        <v>4175</v>
      </c>
      <c r="G1351" s="33" t="s">
        <v>9</v>
      </c>
      <c r="H1351" s="33" t="n">
        <v>30</v>
      </c>
    </row>
    <row r="1352" customFormat="false" ht="54" hidden="false" customHeight="true" outlineLevel="0" collapsed="false">
      <c r="A1352" s="32" t="s">
        <v>11203</v>
      </c>
      <c r="B1352" s="32" t="s">
        <v>4165</v>
      </c>
      <c r="C1352" s="33" t="s">
        <v>1407</v>
      </c>
      <c r="D1352" s="33" t="s">
        <v>50</v>
      </c>
      <c r="E1352" s="33" t="s">
        <v>84</v>
      </c>
      <c r="F1352" s="33" t="s">
        <v>11194</v>
      </c>
      <c r="G1352" s="33" t="s">
        <v>9</v>
      </c>
      <c r="H1352" s="33" t="n">
        <v>30</v>
      </c>
    </row>
    <row r="1353" customFormat="false" ht="54" hidden="false" customHeight="true" outlineLevel="0" collapsed="false">
      <c r="A1353" s="32" t="s">
        <v>11204</v>
      </c>
      <c r="B1353" s="32" t="s">
        <v>4165</v>
      </c>
      <c r="C1353" s="33" t="s">
        <v>1407</v>
      </c>
      <c r="D1353" s="33" t="s">
        <v>50</v>
      </c>
      <c r="E1353" s="33" t="s">
        <v>84</v>
      </c>
      <c r="F1353" s="33" t="s">
        <v>11199</v>
      </c>
      <c r="G1353" s="33" t="s">
        <v>9</v>
      </c>
      <c r="H1353" s="33" t="n">
        <v>30</v>
      </c>
    </row>
    <row r="1354" customFormat="false" ht="54" hidden="false" customHeight="true" outlineLevel="0" collapsed="false">
      <c r="A1354" s="32" t="s">
        <v>11205</v>
      </c>
      <c r="B1354" s="32" t="s">
        <v>4165</v>
      </c>
      <c r="C1354" s="33" t="s">
        <v>1407</v>
      </c>
      <c r="D1354" s="33" t="s">
        <v>50</v>
      </c>
      <c r="E1354" s="33" t="s">
        <v>84</v>
      </c>
      <c r="F1354" s="33" t="s">
        <v>11201</v>
      </c>
      <c r="G1354" s="33" t="s">
        <v>9</v>
      </c>
      <c r="H1354" s="33" t="n">
        <v>30</v>
      </c>
    </row>
    <row r="1355" customFormat="false" ht="54" hidden="false" customHeight="true" outlineLevel="0" collapsed="false">
      <c r="A1355" s="32" t="s">
        <v>11206</v>
      </c>
      <c r="B1355" s="32" t="s">
        <v>4179</v>
      </c>
      <c r="C1355" s="33" t="s">
        <v>1407</v>
      </c>
      <c r="D1355" s="33" t="s">
        <v>50</v>
      </c>
      <c r="E1355" s="33" t="s">
        <v>81</v>
      </c>
      <c r="F1355" s="33" t="s">
        <v>4186</v>
      </c>
      <c r="G1355" s="33" t="s">
        <v>9</v>
      </c>
      <c r="H1355" s="33" t="n">
        <v>30</v>
      </c>
    </row>
    <row r="1356" customFormat="false" ht="54" hidden="false" customHeight="true" outlineLevel="0" collapsed="false">
      <c r="A1356" s="32" t="s">
        <v>11207</v>
      </c>
      <c r="B1356" s="32" t="s">
        <v>4179</v>
      </c>
      <c r="C1356" s="33" t="s">
        <v>1407</v>
      </c>
      <c r="D1356" s="33" t="s">
        <v>50</v>
      </c>
      <c r="E1356" s="33" t="s">
        <v>82</v>
      </c>
      <c r="F1356" s="33" t="s">
        <v>11208</v>
      </c>
      <c r="G1356" s="33" t="s">
        <v>9</v>
      </c>
      <c r="H1356" s="33" t="n">
        <v>30</v>
      </c>
    </row>
    <row r="1357" customFormat="false" ht="54" hidden="false" customHeight="true" outlineLevel="0" collapsed="false">
      <c r="A1357" s="32" t="s">
        <v>11209</v>
      </c>
      <c r="B1357" s="32" t="s">
        <v>4179</v>
      </c>
      <c r="C1357" s="33" t="s">
        <v>1407</v>
      </c>
      <c r="D1357" s="33" t="s">
        <v>50</v>
      </c>
      <c r="E1357" s="33" t="s">
        <v>82</v>
      </c>
      <c r="F1357" s="33" t="s">
        <v>4186</v>
      </c>
      <c r="G1357" s="33" t="s">
        <v>9</v>
      </c>
      <c r="H1357" s="33" t="n">
        <v>30</v>
      </c>
    </row>
    <row r="1358" customFormat="false" ht="54" hidden="false" customHeight="true" outlineLevel="0" collapsed="false">
      <c r="A1358" s="32" t="s">
        <v>11210</v>
      </c>
      <c r="B1358" s="32" t="s">
        <v>4179</v>
      </c>
      <c r="C1358" s="33" t="s">
        <v>1407</v>
      </c>
      <c r="D1358" s="33" t="s">
        <v>50</v>
      </c>
      <c r="E1358" s="33" t="s">
        <v>82</v>
      </c>
      <c r="F1358" s="33" t="s">
        <v>11211</v>
      </c>
      <c r="G1358" s="33" t="s">
        <v>9</v>
      </c>
      <c r="H1358" s="33" t="n">
        <v>30</v>
      </c>
    </row>
    <row r="1359" customFormat="false" ht="54" hidden="false" customHeight="true" outlineLevel="0" collapsed="false">
      <c r="A1359" s="32" t="s">
        <v>11212</v>
      </c>
      <c r="B1359" s="32" t="s">
        <v>4179</v>
      </c>
      <c r="C1359" s="33" t="s">
        <v>1407</v>
      </c>
      <c r="D1359" s="33" t="s">
        <v>50</v>
      </c>
      <c r="E1359" s="33" t="s">
        <v>82</v>
      </c>
      <c r="F1359" s="33" t="s">
        <v>11213</v>
      </c>
      <c r="G1359" s="33" t="s">
        <v>9</v>
      </c>
      <c r="H1359" s="33" t="n">
        <v>30</v>
      </c>
    </row>
    <row r="1360" customFormat="false" ht="54" hidden="false" customHeight="true" outlineLevel="0" collapsed="false">
      <c r="A1360" s="32" t="s">
        <v>11214</v>
      </c>
      <c r="B1360" s="32" t="s">
        <v>4179</v>
      </c>
      <c r="C1360" s="33" t="s">
        <v>1407</v>
      </c>
      <c r="D1360" s="33" t="s">
        <v>50</v>
      </c>
      <c r="E1360" s="33" t="s">
        <v>84</v>
      </c>
      <c r="F1360" s="33" t="s">
        <v>11215</v>
      </c>
      <c r="G1360" s="33" t="s">
        <v>9</v>
      </c>
      <c r="H1360" s="33" t="n">
        <v>30</v>
      </c>
    </row>
    <row r="1361" customFormat="false" ht="54" hidden="false" customHeight="true" outlineLevel="0" collapsed="false">
      <c r="A1361" s="32" t="s">
        <v>11216</v>
      </c>
      <c r="B1361" s="32" t="s">
        <v>4179</v>
      </c>
      <c r="C1361" s="33" t="s">
        <v>1407</v>
      </c>
      <c r="D1361" s="33" t="s">
        <v>50</v>
      </c>
      <c r="E1361" s="33" t="s">
        <v>84</v>
      </c>
      <c r="F1361" s="33" t="s">
        <v>11211</v>
      </c>
      <c r="G1361" s="33" t="s">
        <v>9</v>
      </c>
      <c r="H1361" s="33" t="n">
        <v>30</v>
      </c>
    </row>
    <row r="1362" customFormat="false" ht="54" hidden="false" customHeight="true" outlineLevel="0" collapsed="false">
      <c r="A1362" s="32" t="s">
        <v>11217</v>
      </c>
      <c r="B1362" s="32" t="s">
        <v>4179</v>
      </c>
      <c r="C1362" s="33" t="s">
        <v>1407</v>
      </c>
      <c r="D1362" s="33" t="s">
        <v>50</v>
      </c>
      <c r="E1362" s="33" t="s">
        <v>84</v>
      </c>
      <c r="F1362" s="33" t="s">
        <v>11213</v>
      </c>
      <c r="G1362" s="33" t="s">
        <v>9</v>
      </c>
      <c r="H1362" s="33" t="n">
        <v>30</v>
      </c>
    </row>
    <row r="1363" customFormat="false" ht="54" hidden="false" customHeight="true" outlineLevel="0" collapsed="false">
      <c r="A1363" s="32" t="s">
        <v>11218</v>
      </c>
      <c r="B1363" s="32" t="s">
        <v>4191</v>
      </c>
      <c r="C1363" s="33" t="s">
        <v>1407</v>
      </c>
      <c r="D1363" s="33" t="s">
        <v>50</v>
      </c>
      <c r="E1363" s="33" t="s">
        <v>80</v>
      </c>
      <c r="F1363" s="33" t="s">
        <v>11219</v>
      </c>
      <c r="G1363" s="33" t="s">
        <v>9</v>
      </c>
      <c r="H1363" s="33" t="n">
        <v>30</v>
      </c>
    </row>
    <row r="1364" customFormat="false" ht="54" hidden="false" customHeight="true" outlineLevel="0" collapsed="false">
      <c r="A1364" s="32" t="s">
        <v>11220</v>
      </c>
      <c r="B1364" s="32" t="s">
        <v>4191</v>
      </c>
      <c r="C1364" s="33" t="s">
        <v>1407</v>
      </c>
      <c r="D1364" s="33" t="s">
        <v>50</v>
      </c>
      <c r="E1364" s="33" t="s">
        <v>80</v>
      </c>
      <c r="F1364" s="33" t="s">
        <v>11221</v>
      </c>
      <c r="G1364" s="33" t="s">
        <v>9</v>
      </c>
      <c r="H1364" s="33" t="n">
        <v>30</v>
      </c>
    </row>
    <row r="1365" customFormat="false" ht="54" hidden="false" customHeight="true" outlineLevel="0" collapsed="false">
      <c r="A1365" s="32" t="s">
        <v>11222</v>
      </c>
      <c r="B1365" s="32" t="s">
        <v>4191</v>
      </c>
      <c r="C1365" s="33" t="s">
        <v>1407</v>
      </c>
      <c r="D1365" s="33" t="s">
        <v>50</v>
      </c>
      <c r="E1365" s="33" t="s">
        <v>80</v>
      </c>
      <c r="F1365" s="33" t="s">
        <v>4201</v>
      </c>
      <c r="G1365" s="33" t="s">
        <v>9</v>
      </c>
      <c r="H1365" s="33" t="n">
        <v>30</v>
      </c>
    </row>
    <row r="1366" customFormat="false" ht="54" hidden="false" customHeight="true" outlineLevel="0" collapsed="false">
      <c r="A1366" s="32" t="s">
        <v>11223</v>
      </c>
      <c r="B1366" s="32" t="s">
        <v>4191</v>
      </c>
      <c r="C1366" s="33" t="s">
        <v>1407</v>
      </c>
      <c r="D1366" s="33" t="s">
        <v>50</v>
      </c>
      <c r="E1366" s="33" t="s">
        <v>80</v>
      </c>
      <c r="F1366" s="33" t="s">
        <v>11224</v>
      </c>
      <c r="G1366" s="33" t="s">
        <v>9</v>
      </c>
      <c r="H1366" s="33" t="n">
        <v>30</v>
      </c>
    </row>
    <row r="1367" customFormat="false" ht="54" hidden="false" customHeight="true" outlineLevel="0" collapsed="false">
      <c r="A1367" s="32" t="s">
        <v>11225</v>
      </c>
      <c r="B1367" s="32" t="s">
        <v>4191</v>
      </c>
      <c r="C1367" s="33" t="s">
        <v>1407</v>
      </c>
      <c r="D1367" s="33" t="s">
        <v>50</v>
      </c>
      <c r="E1367" s="33" t="s">
        <v>80</v>
      </c>
      <c r="F1367" s="33" t="s">
        <v>11226</v>
      </c>
      <c r="G1367" s="33" t="s">
        <v>9</v>
      </c>
      <c r="H1367" s="33" t="n">
        <v>30</v>
      </c>
    </row>
    <row r="1368" customFormat="false" ht="54" hidden="false" customHeight="true" outlineLevel="0" collapsed="false">
      <c r="A1368" s="32" t="s">
        <v>11227</v>
      </c>
      <c r="B1368" s="32" t="s">
        <v>4191</v>
      </c>
      <c r="C1368" s="33" t="s">
        <v>1407</v>
      </c>
      <c r="D1368" s="33" t="s">
        <v>50</v>
      </c>
      <c r="E1368" s="33" t="s">
        <v>81</v>
      </c>
      <c r="F1368" s="33" t="s">
        <v>11228</v>
      </c>
      <c r="G1368" s="33" t="s">
        <v>9</v>
      </c>
      <c r="H1368" s="33" t="n">
        <v>30</v>
      </c>
    </row>
    <row r="1369" customFormat="false" ht="54" hidden="false" customHeight="true" outlineLevel="0" collapsed="false">
      <c r="A1369" s="32" t="s">
        <v>11229</v>
      </c>
      <c r="B1369" s="32" t="s">
        <v>4191</v>
      </c>
      <c r="C1369" s="33" t="s">
        <v>1407</v>
      </c>
      <c r="D1369" s="33" t="s">
        <v>50</v>
      </c>
      <c r="E1369" s="33" t="s">
        <v>81</v>
      </c>
      <c r="F1369" s="33" t="s">
        <v>11221</v>
      </c>
      <c r="G1369" s="33" t="s">
        <v>9</v>
      </c>
      <c r="H1369" s="33" t="n">
        <v>30</v>
      </c>
    </row>
    <row r="1370" customFormat="false" ht="54" hidden="false" customHeight="true" outlineLevel="0" collapsed="false">
      <c r="A1370" s="32" t="s">
        <v>11230</v>
      </c>
      <c r="B1370" s="32" t="s">
        <v>4191</v>
      </c>
      <c r="C1370" s="33" t="s">
        <v>1407</v>
      </c>
      <c r="D1370" s="33" t="s">
        <v>50</v>
      </c>
      <c r="E1370" s="33" t="s">
        <v>81</v>
      </c>
      <c r="F1370" s="33" t="s">
        <v>10535</v>
      </c>
      <c r="G1370" s="33" t="s">
        <v>9</v>
      </c>
      <c r="H1370" s="33" t="n">
        <v>30</v>
      </c>
    </row>
    <row r="1371" customFormat="false" ht="54" hidden="false" customHeight="true" outlineLevel="0" collapsed="false">
      <c r="A1371" s="32" t="s">
        <v>11231</v>
      </c>
      <c r="B1371" s="32" t="s">
        <v>4191</v>
      </c>
      <c r="C1371" s="33" t="s">
        <v>1407</v>
      </c>
      <c r="D1371" s="33" t="s">
        <v>50</v>
      </c>
      <c r="E1371" s="33" t="s">
        <v>81</v>
      </c>
      <c r="F1371" s="33" t="s">
        <v>11224</v>
      </c>
      <c r="G1371" s="33" t="s">
        <v>9</v>
      </c>
      <c r="H1371" s="33" t="n">
        <v>30</v>
      </c>
    </row>
    <row r="1372" customFormat="false" ht="54" hidden="false" customHeight="true" outlineLevel="0" collapsed="false">
      <c r="A1372" s="32" t="s">
        <v>11232</v>
      </c>
      <c r="B1372" s="32" t="s">
        <v>4191</v>
      </c>
      <c r="C1372" s="33" t="s">
        <v>1407</v>
      </c>
      <c r="D1372" s="33" t="s">
        <v>50</v>
      </c>
      <c r="E1372" s="33" t="s">
        <v>84</v>
      </c>
      <c r="F1372" s="33" t="s">
        <v>4201</v>
      </c>
      <c r="G1372" s="33" t="s">
        <v>9</v>
      </c>
      <c r="H1372" s="33" t="n">
        <v>30</v>
      </c>
    </row>
    <row r="1373" customFormat="false" ht="54" hidden="false" customHeight="true" outlineLevel="0" collapsed="false">
      <c r="A1373" s="32" t="s">
        <v>11233</v>
      </c>
      <c r="B1373" s="32" t="s">
        <v>4204</v>
      </c>
      <c r="C1373" s="33" t="s">
        <v>1407</v>
      </c>
      <c r="D1373" s="33" t="s">
        <v>50</v>
      </c>
      <c r="E1373" s="33" t="s">
        <v>80</v>
      </c>
      <c r="F1373" s="33" t="s">
        <v>10548</v>
      </c>
      <c r="G1373" s="33" t="s">
        <v>9</v>
      </c>
      <c r="H1373" s="33" t="n">
        <v>30</v>
      </c>
    </row>
    <row r="1374" customFormat="false" ht="54" hidden="false" customHeight="true" outlineLevel="0" collapsed="false">
      <c r="A1374" s="32" t="s">
        <v>11234</v>
      </c>
      <c r="B1374" s="32" t="s">
        <v>4204</v>
      </c>
      <c r="C1374" s="33" t="s">
        <v>1407</v>
      </c>
      <c r="D1374" s="33" t="s">
        <v>50</v>
      </c>
      <c r="E1374" s="33" t="s">
        <v>80</v>
      </c>
      <c r="F1374" s="33" t="s">
        <v>4214</v>
      </c>
      <c r="G1374" s="33" t="s">
        <v>9</v>
      </c>
      <c r="H1374" s="33" t="n">
        <v>30</v>
      </c>
    </row>
    <row r="1375" customFormat="false" ht="54" hidden="false" customHeight="true" outlineLevel="0" collapsed="false">
      <c r="A1375" s="32" t="s">
        <v>11235</v>
      </c>
      <c r="B1375" s="32" t="s">
        <v>4204</v>
      </c>
      <c r="C1375" s="33" t="s">
        <v>1407</v>
      </c>
      <c r="D1375" s="33" t="s">
        <v>50</v>
      </c>
      <c r="E1375" s="33" t="s">
        <v>80</v>
      </c>
      <c r="F1375" s="33" t="s">
        <v>11236</v>
      </c>
      <c r="G1375" s="33" t="s">
        <v>9</v>
      </c>
      <c r="H1375" s="33" t="n">
        <v>30</v>
      </c>
    </row>
    <row r="1376" customFormat="false" ht="54" hidden="false" customHeight="true" outlineLevel="0" collapsed="false">
      <c r="A1376" s="32" t="s">
        <v>11237</v>
      </c>
      <c r="B1376" s="32" t="s">
        <v>4204</v>
      </c>
      <c r="C1376" s="33" t="s">
        <v>1407</v>
      </c>
      <c r="D1376" s="33" t="s">
        <v>50</v>
      </c>
      <c r="E1376" s="33" t="s">
        <v>84</v>
      </c>
      <c r="F1376" s="33" t="s">
        <v>4214</v>
      </c>
      <c r="G1376" s="33" t="s">
        <v>9</v>
      </c>
      <c r="H1376" s="33" t="n">
        <v>30</v>
      </c>
    </row>
    <row r="1377" customFormat="false" ht="54" hidden="false" customHeight="true" outlineLevel="0" collapsed="false">
      <c r="A1377" s="32" t="s">
        <v>11238</v>
      </c>
      <c r="B1377" s="32" t="s">
        <v>4217</v>
      </c>
      <c r="C1377" s="33" t="s">
        <v>1407</v>
      </c>
      <c r="D1377" s="33" t="s">
        <v>50</v>
      </c>
      <c r="E1377" s="33" t="s">
        <v>81</v>
      </c>
      <c r="F1377" s="33" t="s">
        <v>3487</v>
      </c>
      <c r="G1377" s="33" t="s">
        <v>9</v>
      </c>
      <c r="H1377" s="33" t="n">
        <v>30</v>
      </c>
    </row>
    <row r="1378" customFormat="false" ht="54" hidden="false" customHeight="true" outlineLevel="0" collapsed="false">
      <c r="A1378" s="32" t="s">
        <v>11239</v>
      </c>
      <c r="B1378" s="32" t="s">
        <v>4217</v>
      </c>
      <c r="C1378" s="33" t="s">
        <v>1407</v>
      </c>
      <c r="D1378" s="33" t="s">
        <v>50</v>
      </c>
      <c r="E1378" s="33" t="s">
        <v>84</v>
      </c>
      <c r="F1378" s="33" t="s">
        <v>4225</v>
      </c>
      <c r="G1378" s="33" t="s">
        <v>9</v>
      </c>
      <c r="H1378" s="33" t="n">
        <v>30</v>
      </c>
    </row>
    <row r="1379" customFormat="false" ht="54" hidden="false" customHeight="true" outlineLevel="0" collapsed="false">
      <c r="A1379" s="32" t="s">
        <v>11240</v>
      </c>
      <c r="B1379" s="32" t="s">
        <v>4229</v>
      </c>
      <c r="C1379" s="33" t="s">
        <v>1714</v>
      </c>
      <c r="D1379" s="33" t="s">
        <v>54</v>
      </c>
      <c r="E1379" s="33" t="s">
        <v>81</v>
      </c>
      <c r="F1379" s="33" t="s">
        <v>4237</v>
      </c>
      <c r="G1379" s="33" t="s">
        <v>9</v>
      </c>
      <c r="H1379" s="33" t="n">
        <v>30</v>
      </c>
    </row>
    <row r="1380" customFormat="false" ht="54" hidden="false" customHeight="true" outlineLevel="0" collapsed="false">
      <c r="A1380" s="32" t="s">
        <v>11241</v>
      </c>
      <c r="B1380" s="32" t="s">
        <v>4229</v>
      </c>
      <c r="C1380" s="33" t="s">
        <v>1714</v>
      </c>
      <c r="D1380" s="33" t="s">
        <v>54</v>
      </c>
      <c r="E1380" s="33" t="s">
        <v>83</v>
      </c>
      <c r="F1380" s="33" t="s">
        <v>4236</v>
      </c>
      <c r="G1380" s="33" t="s">
        <v>9</v>
      </c>
      <c r="H1380" s="33" t="n">
        <v>30</v>
      </c>
    </row>
    <row r="1381" customFormat="false" ht="54" hidden="false" customHeight="true" outlineLevel="0" collapsed="false">
      <c r="A1381" s="32" t="s">
        <v>11242</v>
      </c>
      <c r="B1381" s="32" t="s">
        <v>4229</v>
      </c>
      <c r="C1381" s="33" t="s">
        <v>1714</v>
      </c>
      <c r="D1381" s="33" t="s">
        <v>54</v>
      </c>
      <c r="E1381" s="33" t="s">
        <v>83</v>
      </c>
      <c r="F1381" s="33" t="s">
        <v>11243</v>
      </c>
      <c r="G1381" s="33" t="s">
        <v>9</v>
      </c>
      <c r="H1381" s="33" t="n">
        <v>30</v>
      </c>
    </row>
    <row r="1382" customFormat="false" ht="54" hidden="false" customHeight="true" outlineLevel="0" collapsed="false">
      <c r="A1382" s="32" t="s">
        <v>11244</v>
      </c>
      <c r="B1382" s="32" t="s">
        <v>4229</v>
      </c>
      <c r="C1382" s="33" t="s">
        <v>1714</v>
      </c>
      <c r="D1382" s="33" t="s">
        <v>54</v>
      </c>
      <c r="E1382" s="33" t="s">
        <v>84</v>
      </c>
      <c r="F1382" s="33" t="s">
        <v>4239</v>
      </c>
      <c r="G1382" s="33" t="s">
        <v>9</v>
      </c>
      <c r="H1382" s="33" t="n">
        <v>30</v>
      </c>
    </row>
    <row r="1383" customFormat="false" ht="54" hidden="false" customHeight="true" outlineLevel="0" collapsed="false">
      <c r="A1383" s="32" t="s">
        <v>11245</v>
      </c>
      <c r="B1383" s="32" t="s">
        <v>4229</v>
      </c>
      <c r="C1383" s="33" t="s">
        <v>1714</v>
      </c>
      <c r="D1383" s="33" t="s">
        <v>54</v>
      </c>
      <c r="E1383" s="33" t="s">
        <v>85</v>
      </c>
      <c r="F1383" s="33" t="s">
        <v>4240</v>
      </c>
      <c r="G1383" s="33" t="s">
        <v>9</v>
      </c>
      <c r="H1383" s="33" t="n">
        <v>30</v>
      </c>
    </row>
    <row r="1384" customFormat="false" ht="54" hidden="false" customHeight="true" outlineLevel="0" collapsed="false">
      <c r="A1384" s="32" t="s">
        <v>11246</v>
      </c>
      <c r="B1384" s="32" t="s">
        <v>4243</v>
      </c>
      <c r="C1384" s="33" t="s">
        <v>98</v>
      </c>
      <c r="D1384" s="33" t="s">
        <v>59</v>
      </c>
      <c r="E1384" s="33" t="s">
        <v>83</v>
      </c>
      <c r="F1384" s="33" t="s">
        <v>4254</v>
      </c>
      <c r="G1384" s="33" t="s">
        <v>9</v>
      </c>
      <c r="H1384" s="33" t="n">
        <v>30</v>
      </c>
    </row>
    <row r="1385" customFormat="false" ht="54" hidden="false" customHeight="true" outlineLevel="0" collapsed="false">
      <c r="A1385" s="32" t="s">
        <v>11247</v>
      </c>
      <c r="B1385" s="32" t="s">
        <v>4243</v>
      </c>
      <c r="C1385" s="33" t="s">
        <v>98</v>
      </c>
      <c r="D1385" s="33" t="s">
        <v>59</v>
      </c>
      <c r="E1385" s="33" t="s">
        <v>84</v>
      </c>
      <c r="F1385" s="33" t="s">
        <v>4255</v>
      </c>
      <c r="G1385" s="33" t="s">
        <v>9</v>
      </c>
      <c r="H1385" s="33" t="n">
        <v>30</v>
      </c>
    </row>
    <row r="1386" customFormat="false" ht="54" hidden="false" customHeight="true" outlineLevel="0" collapsed="false">
      <c r="A1386" s="32" t="s">
        <v>11248</v>
      </c>
      <c r="B1386" s="32" t="s">
        <v>4243</v>
      </c>
      <c r="C1386" s="33" t="s">
        <v>98</v>
      </c>
      <c r="D1386" s="33" t="s">
        <v>59</v>
      </c>
      <c r="E1386" s="33" t="s">
        <v>86</v>
      </c>
      <c r="F1386" s="33" t="s">
        <v>4255</v>
      </c>
      <c r="G1386" s="33" t="s">
        <v>9</v>
      </c>
      <c r="H1386" s="33" t="n">
        <v>30</v>
      </c>
    </row>
    <row r="1387" customFormat="false" ht="54" hidden="false" customHeight="true" outlineLevel="0" collapsed="false">
      <c r="A1387" s="32" t="s">
        <v>11249</v>
      </c>
      <c r="B1387" s="32" t="s">
        <v>4243</v>
      </c>
      <c r="C1387" s="33" t="s">
        <v>98</v>
      </c>
      <c r="D1387" s="33" t="s">
        <v>59</v>
      </c>
      <c r="E1387" s="33" t="s">
        <v>86</v>
      </c>
      <c r="F1387" s="33" t="s">
        <v>11250</v>
      </c>
      <c r="G1387" s="33" t="s">
        <v>9</v>
      </c>
      <c r="H1387" s="33" t="n">
        <v>30</v>
      </c>
    </row>
    <row r="1388" customFormat="false" ht="54" hidden="false" customHeight="true" outlineLevel="0" collapsed="false">
      <c r="A1388" s="32" t="s">
        <v>11251</v>
      </c>
      <c r="B1388" s="32" t="s">
        <v>4260</v>
      </c>
      <c r="C1388" s="33" t="s">
        <v>98</v>
      </c>
      <c r="D1388" s="33" t="s">
        <v>59</v>
      </c>
      <c r="E1388" s="33" t="s">
        <v>80</v>
      </c>
      <c r="F1388" s="33" t="s">
        <v>11252</v>
      </c>
      <c r="G1388" s="33" t="s">
        <v>9</v>
      </c>
      <c r="H1388" s="33" t="n">
        <v>30</v>
      </c>
    </row>
    <row r="1389" customFormat="false" ht="54" hidden="false" customHeight="true" outlineLevel="0" collapsed="false">
      <c r="A1389" s="32" t="s">
        <v>11253</v>
      </c>
      <c r="B1389" s="32" t="s">
        <v>4260</v>
      </c>
      <c r="C1389" s="33" t="s">
        <v>98</v>
      </c>
      <c r="D1389" s="33" t="s">
        <v>59</v>
      </c>
      <c r="E1389" s="33" t="s">
        <v>80</v>
      </c>
      <c r="F1389" s="33" t="s">
        <v>11254</v>
      </c>
      <c r="G1389" s="33" t="s">
        <v>9</v>
      </c>
      <c r="H1389" s="33" t="n">
        <v>30</v>
      </c>
    </row>
    <row r="1390" customFormat="false" ht="54" hidden="false" customHeight="true" outlineLevel="0" collapsed="false">
      <c r="A1390" s="32" t="s">
        <v>11255</v>
      </c>
      <c r="B1390" s="32" t="s">
        <v>4260</v>
      </c>
      <c r="C1390" s="33" t="s">
        <v>98</v>
      </c>
      <c r="D1390" s="33" t="s">
        <v>59</v>
      </c>
      <c r="E1390" s="33" t="s">
        <v>80</v>
      </c>
      <c r="F1390" s="33" t="s">
        <v>11256</v>
      </c>
      <c r="G1390" s="33" t="s">
        <v>9</v>
      </c>
      <c r="H1390" s="33" t="n">
        <v>30</v>
      </c>
    </row>
    <row r="1391" customFormat="false" ht="54" hidden="false" customHeight="true" outlineLevel="0" collapsed="false">
      <c r="A1391" s="32" t="s">
        <v>11257</v>
      </c>
      <c r="B1391" s="32" t="s">
        <v>4260</v>
      </c>
      <c r="C1391" s="33" t="s">
        <v>98</v>
      </c>
      <c r="D1391" s="33" t="s">
        <v>59</v>
      </c>
      <c r="E1391" s="33" t="s">
        <v>80</v>
      </c>
      <c r="F1391" s="33" t="s">
        <v>4271</v>
      </c>
      <c r="G1391" s="33" t="s">
        <v>9</v>
      </c>
      <c r="H1391" s="33" t="n">
        <v>30</v>
      </c>
    </row>
    <row r="1392" customFormat="false" ht="54" hidden="false" customHeight="true" outlineLevel="0" collapsed="false">
      <c r="A1392" s="32" t="s">
        <v>11258</v>
      </c>
      <c r="B1392" s="32" t="s">
        <v>4260</v>
      </c>
      <c r="C1392" s="33" t="s">
        <v>98</v>
      </c>
      <c r="D1392" s="33" t="s">
        <v>59</v>
      </c>
      <c r="E1392" s="33" t="s">
        <v>80</v>
      </c>
      <c r="F1392" s="33" t="s">
        <v>11259</v>
      </c>
      <c r="G1392" s="33" t="s">
        <v>9</v>
      </c>
      <c r="H1392" s="33" t="n">
        <v>30</v>
      </c>
    </row>
    <row r="1393" customFormat="false" ht="54" hidden="false" customHeight="true" outlineLevel="0" collapsed="false">
      <c r="A1393" s="32" t="s">
        <v>11260</v>
      </c>
      <c r="B1393" s="32" t="s">
        <v>4260</v>
      </c>
      <c r="C1393" s="33" t="s">
        <v>98</v>
      </c>
      <c r="D1393" s="33" t="s">
        <v>59</v>
      </c>
      <c r="E1393" s="33" t="s">
        <v>83</v>
      </c>
      <c r="F1393" s="33" t="s">
        <v>11261</v>
      </c>
      <c r="G1393" s="33" t="s">
        <v>9</v>
      </c>
      <c r="H1393" s="33" t="n">
        <v>30</v>
      </c>
    </row>
    <row r="1394" customFormat="false" ht="54" hidden="false" customHeight="true" outlineLevel="0" collapsed="false">
      <c r="A1394" s="32" t="s">
        <v>11262</v>
      </c>
      <c r="B1394" s="32" t="s">
        <v>4260</v>
      </c>
      <c r="C1394" s="33" t="s">
        <v>98</v>
      </c>
      <c r="D1394" s="33" t="s">
        <v>59</v>
      </c>
      <c r="E1394" s="33" t="s">
        <v>83</v>
      </c>
      <c r="F1394" s="33" t="s">
        <v>11263</v>
      </c>
      <c r="G1394" s="33" t="s">
        <v>9</v>
      </c>
      <c r="H1394" s="33" t="n">
        <v>30</v>
      </c>
    </row>
    <row r="1395" customFormat="false" ht="54" hidden="false" customHeight="true" outlineLevel="0" collapsed="false">
      <c r="A1395" s="32" t="s">
        <v>11264</v>
      </c>
      <c r="B1395" s="32" t="s">
        <v>4260</v>
      </c>
      <c r="C1395" s="33" t="s">
        <v>98</v>
      </c>
      <c r="D1395" s="33" t="s">
        <v>59</v>
      </c>
      <c r="E1395" s="33" t="s">
        <v>83</v>
      </c>
      <c r="F1395" s="33" t="s">
        <v>11259</v>
      </c>
      <c r="G1395" s="33" t="s">
        <v>9</v>
      </c>
      <c r="H1395" s="33" t="n">
        <v>30</v>
      </c>
    </row>
    <row r="1396" customFormat="false" ht="54" hidden="false" customHeight="true" outlineLevel="0" collapsed="false">
      <c r="A1396" s="32" t="s">
        <v>11265</v>
      </c>
      <c r="B1396" s="32" t="s">
        <v>4260</v>
      </c>
      <c r="C1396" s="33" t="s">
        <v>98</v>
      </c>
      <c r="D1396" s="33" t="s">
        <v>59</v>
      </c>
      <c r="E1396" s="33" t="s">
        <v>83</v>
      </c>
      <c r="F1396" s="33" t="s">
        <v>11266</v>
      </c>
      <c r="G1396" s="33" t="s">
        <v>9</v>
      </c>
      <c r="H1396" s="33" t="n">
        <v>30</v>
      </c>
    </row>
    <row r="1397" customFormat="false" ht="54" hidden="false" customHeight="true" outlineLevel="0" collapsed="false">
      <c r="A1397" s="32" t="s">
        <v>11267</v>
      </c>
      <c r="B1397" s="32" t="s">
        <v>4260</v>
      </c>
      <c r="C1397" s="33" t="s">
        <v>98</v>
      </c>
      <c r="D1397" s="33" t="s">
        <v>59</v>
      </c>
      <c r="E1397" s="33" t="s">
        <v>84</v>
      </c>
      <c r="F1397" s="33" t="s">
        <v>4271</v>
      </c>
      <c r="G1397" s="33" t="s">
        <v>9</v>
      </c>
      <c r="H1397" s="33" t="n">
        <v>30</v>
      </c>
    </row>
    <row r="1398" customFormat="false" ht="54" hidden="false" customHeight="true" outlineLevel="0" collapsed="false">
      <c r="A1398" s="32" t="s">
        <v>11268</v>
      </c>
      <c r="B1398" s="32" t="s">
        <v>4260</v>
      </c>
      <c r="C1398" s="33" t="s">
        <v>98</v>
      </c>
      <c r="D1398" s="33" t="s">
        <v>59</v>
      </c>
      <c r="E1398" s="33" t="s">
        <v>86</v>
      </c>
      <c r="F1398" s="33" t="s">
        <v>11252</v>
      </c>
      <c r="G1398" s="33" t="s">
        <v>9</v>
      </c>
      <c r="H1398" s="33" t="n">
        <v>30</v>
      </c>
    </row>
    <row r="1399" customFormat="false" ht="54" hidden="false" customHeight="true" outlineLevel="0" collapsed="false">
      <c r="A1399" s="32" t="s">
        <v>11269</v>
      </c>
      <c r="B1399" s="32" t="s">
        <v>4260</v>
      </c>
      <c r="C1399" s="33" t="s">
        <v>98</v>
      </c>
      <c r="D1399" s="33" t="s">
        <v>59</v>
      </c>
      <c r="E1399" s="33" t="s">
        <v>86</v>
      </c>
      <c r="F1399" s="33" t="s">
        <v>11254</v>
      </c>
      <c r="G1399" s="33" t="s">
        <v>9</v>
      </c>
      <c r="H1399" s="33" t="n">
        <v>30</v>
      </c>
    </row>
    <row r="1400" customFormat="false" ht="54" hidden="false" customHeight="true" outlineLevel="0" collapsed="false">
      <c r="A1400" s="32" t="s">
        <v>11270</v>
      </c>
      <c r="B1400" s="32" t="s">
        <v>4260</v>
      </c>
      <c r="C1400" s="33" t="s">
        <v>98</v>
      </c>
      <c r="D1400" s="33" t="s">
        <v>59</v>
      </c>
      <c r="E1400" s="33" t="s">
        <v>86</v>
      </c>
      <c r="F1400" s="33" t="s">
        <v>4271</v>
      </c>
      <c r="G1400" s="33" t="s">
        <v>9</v>
      </c>
      <c r="H1400" s="33" t="n">
        <v>30</v>
      </c>
    </row>
    <row r="1401" customFormat="false" ht="54" hidden="false" customHeight="true" outlineLevel="0" collapsed="false">
      <c r="A1401" s="32" t="s">
        <v>11271</v>
      </c>
      <c r="B1401" s="32" t="s">
        <v>4260</v>
      </c>
      <c r="C1401" s="33" t="s">
        <v>98</v>
      </c>
      <c r="D1401" s="33" t="s">
        <v>59</v>
      </c>
      <c r="E1401" s="33" t="s">
        <v>86</v>
      </c>
      <c r="F1401" s="33" t="s">
        <v>11259</v>
      </c>
      <c r="G1401" s="33" t="s">
        <v>9</v>
      </c>
      <c r="H1401" s="33" t="n">
        <v>30</v>
      </c>
    </row>
    <row r="1402" customFormat="false" ht="54" hidden="false" customHeight="true" outlineLevel="0" collapsed="false">
      <c r="A1402" s="32" t="s">
        <v>11272</v>
      </c>
      <c r="B1402" s="32" t="s">
        <v>4276</v>
      </c>
      <c r="C1402" s="33" t="s">
        <v>98</v>
      </c>
      <c r="D1402" s="33" t="s">
        <v>59</v>
      </c>
      <c r="E1402" s="33" t="s">
        <v>82</v>
      </c>
      <c r="F1402" s="33" t="s">
        <v>11273</v>
      </c>
      <c r="G1402" s="33" t="s">
        <v>9</v>
      </c>
      <c r="H1402" s="33" t="n">
        <v>30</v>
      </c>
    </row>
    <row r="1403" customFormat="false" ht="54" hidden="false" customHeight="true" outlineLevel="0" collapsed="false">
      <c r="A1403" s="32" t="s">
        <v>11274</v>
      </c>
      <c r="B1403" s="32" t="s">
        <v>4276</v>
      </c>
      <c r="C1403" s="33" t="s">
        <v>98</v>
      </c>
      <c r="D1403" s="33" t="s">
        <v>59</v>
      </c>
      <c r="E1403" s="33" t="s">
        <v>82</v>
      </c>
      <c r="F1403" s="33" t="s">
        <v>11275</v>
      </c>
      <c r="G1403" s="33" t="s">
        <v>9</v>
      </c>
      <c r="H1403" s="33" t="n">
        <v>30</v>
      </c>
    </row>
    <row r="1404" customFormat="false" ht="54" hidden="false" customHeight="true" outlineLevel="0" collapsed="false">
      <c r="A1404" s="32" t="s">
        <v>11276</v>
      </c>
      <c r="B1404" s="32" t="s">
        <v>4276</v>
      </c>
      <c r="C1404" s="33" t="s">
        <v>98</v>
      </c>
      <c r="D1404" s="33" t="s">
        <v>59</v>
      </c>
      <c r="E1404" s="33" t="s">
        <v>84</v>
      </c>
      <c r="F1404" s="33" t="s">
        <v>4286</v>
      </c>
      <c r="G1404" s="33" t="s">
        <v>9</v>
      </c>
      <c r="H1404" s="33" t="n">
        <v>30</v>
      </c>
    </row>
    <row r="1405" customFormat="false" ht="54" hidden="false" customHeight="true" outlineLevel="0" collapsed="false">
      <c r="A1405" s="32" t="s">
        <v>11277</v>
      </c>
      <c r="B1405" s="32" t="s">
        <v>4276</v>
      </c>
      <c r="C1405" s="33" t="s">
        <v>98</v>
      </c>
      <c r="D1405" s="33" t="s">
        <v>59</v>
      </c>
      <c r="E1405" s="33" t="s">
        <v>85</v>
      </c>
      <c r="F1405" s="33" t="s">
        <v>11278</v>
      </c>
      <c r="G1405" s="33" t="s">
        <v>9</v>
      </c>
      <c r="H1405" s="33" t="n">
        <v>30</v>
      </c>
    </row>
    <row r="1406" customFormat="false" ht="54" hidden="false" customHeight="true" outlineLevel="0" collapsed="false">
      <c r="A1406" s="32" t="s">
        <v>11279</v>
      </c>
      <c r="B1406" s="32" t="s">
        <v>4276</v>
      </c>
      <c r="C1406" s="33" t="s">
        <v>98</v>
      </c>
      <c r="D1406" s="33" t="s">
        <v>59</v>
      </c>
      <c r="E1406" s="33" t="s">
        <v>85</v>
      </c>
      <c r="F1406" s="33" t="s">
        <v>11275</v>
      </c>
      <c r="G1406" s="33" t="s">
        <v>9</v>
      </c>
      <c r="H1406" s="33" t="n">
        <v>30</v>
      </c>
    </row>
    <row r="1407" customFormat="false" ht="54" hidden="false" customHeight="true" outlineLevel="0" collapsed="false">
      <c r="A1407" s="32" t="s">
        <v>11280</v>
      </c>
      <c r="B1407" s="32" t="s">
        <v>4276</v>
      </c>
      <c r="C1407" s="33" t="s">
        <v>98</v>
      </c>
      <c r="D1407" s="33" t="s">
        <v>59</v>
      </c>
      <c r="E1407" s="33" t="s">
        <v>86</v>
      </c>
      <c r="F1407" s="33" t="s">
        <v>11281</v>
      </c>
      <c r="G1407" s="33" t="s">
        <v>9</v>
      </c>
      <c r="H1407" s="33" t="n">
        <v>30</v>
      </c>
    </row>
    <row r="1408" customFormat="false" ht="54" hidden="false" customHeight="true" outlineLevel="0" collapsed="false">
      <c r="A1408" s="32" t="s">
        <v>11282</v>
      </c>
      <c r="B1408" s="32" t="s">
        <v>4276</v>
      </c>
      <c r="C1408" s="33" t="s">
        <v>98</v>
      </c>
      <c r="D1408" s="33" t="s">
        <v>59</v>
      </c>
      <c r="E1408" s="33" t="s">
        <v>86</v>
      </c>
      <c r="F1408" s="33" t="s">
        <v>11275</v>
      </c>
      <c r="G1408" s="33" t="s">
        <v>9</v>
      </c>
      <c r="H1408" s="33" t="n">
        <v>30</v>
      </c>
    </row>
    <row r="1409" customFormat="false" ht="54" hidden="false" customHeight="true" outlineLevel="0" collapsed="false">
      <c r="A1409" s="32" t="s">
        <v>11283</v>
      </c>
      <c r="B1409" s="32" t="s">
        <v>4292</v>
      </c>
      <c r="C1409" s="33" t="s">
        <v>98</v>
      </c>
      <c r="D1409" s="33" t="s">
        <v>59</v>
      </c>
      <c r="E1409" s="33" t="s">
        <v>84</v>
      </c>
      <c r="F1409" s="33" t="s">
        <v>4301</v>
      </c>
      <c r="G1409" s="33" t="s">
        <v>9</v>
      </c>
      <c r="H1409" s="33" t="n">
        <v>30</v>
      </c>
    </row>
    <row r="1410" customFormat="false" ht="54" hidden="false" customHeight="true" outlineLevel="0" collapsed="false">
      <c r="A1410" s="32" t="s">
        <v>11284</v>
      </c>
      <c r="B1410" s="32" t="s">
        <v>4292</v>
      </c>
      <c r="C1410" s="33" t="s">
        <v>98</v>
      </c>
      <c r="D1410" s="33" t="s">
        <v>59</v>
      </c>
      <c r="E1410" s="33" t="s">
        <v>85</v>
      </c>
      <c r="F1410" s="33" t="s">
        <v>11285</v>
      </c>
      <c r="G1410" s="33" t="s">
        <v>9</v>
      </c>
      <c r="H1410" s="33" t="n">
        <v>30</v>
      </c>
    </row>
    <row r="1411" customFormat="false" ht="54" hidden="false" customHeight="true" outlineLevel="0" collapsed="false">
      <c r="A1411" s="32" t="s">
        <v>11286</v>
      </c>
      <c r="B1411" s="32" t="s">
        <v>4292</v>
      </c>
      <c r="C1411" s="33" t="s">
        <v>98</v>
      </c>
      <c r="D1411" s="33" t="s">
        <v>59</v>
      </c>
      <c r="E1411" s="33" t="s">
        <v>85</v>
      </c>
      <c r="F1411" s="33" t="s">
        <v>11287</v>
      </c>
      <c r="G1411" s="33" t="s">
        <v>9</v>
      </c>
      <c r="H1411" s="33" t="n">
        <v>30</v>
      </c>
    </row>
    <row r="1412" customFormat="false" ht="54" hidden="false" customHeight="true" outlineLevel="0" collapsed="false">
      <c r="A1412" s="32" t="s">
        <v>11288</v>
      </c>
      <c r="B1412" s="32" t="s">
        <v>4292</v>
      </c>
      <c r="C1412" s="33" t="s">
        <v>98</v>
      </c>
      <c r="D1412" s="33" t="s">
        <v>59</v>
      </c>
      <c r="E1412" s="33" t="s">
        <v>85</v>
      </c>
      <c r="F1412" s="33" t="s">
        <v>11289</v>
      </c>
      <c r="G1412" s="33" t="s">
        <v>9</v>
      </c>
      <c r="H1412" s="33" t="n">
        <v>30</v>
      </c>
    </row>
    <row r="1413" customFormat="false" ht="54" hidden="false" customHeight="true" outlineLevel="0" collapsed="false">
      <c r="A1413" s="32" t="s">
        <v>11290</v>
      </c>
      <c r="B1413" s="32" t="s">
        <v>4292</v>
      </c>
      <c r="C1413" s="33" t="s">
        <v>98</v>
      </c>
      <c r="D1413" s="33" t="s">
        <v>59</v>
      </c>
      <c r="E1413" s="33" t="s">
        <v>86</v>
      </c>
      <c r="F1413" s="33" t="s">
        <v>11291</v>
      </c>
      <c r="G1413" s="33" t="s">
        <v>9</v>
      </c>
      <c r="H1413" s="33" t="n">
        <v>30</v>
      </c>
    </row>
    <row r="1414" customFormat="false" ht="54" hidden="false" customHeight="true" outlineLevel="0" collapsed="false">
      <c r="A1414" s="32" t="s">
        <v>11292</v>
      </c>
      <c r="B1414" s="32" t="s">
        <v>4292</v>
      </c>
      <c r="C1414" s="33" t="s">
        <v>98</v>
      </c>
      <c r="D1414" s="33" t="s">
        <v>59</v>
      </c>
      <c r="E1414" s="33" t="s">
        <v>86</v>
      </c>
      <c r="F1414" s="33" t="s">
        <v>11293</v>
      </c>
      <c r="G1414" s="33" t="s">
        <v>9</v>
      </c>
      <c r="H1414" s="33" t="n">
        <v>30</v>
      </c>
    </row>
    <row r="1415" customFormat="false" ht="54" hidden="false" customHeight="true" outlineLevel="0" collapsed="false">
      <c r="A1415" s="32" t="s">
        <v>11294</v>
      </c>
      <c r="B1415" s="32" t="s">
        <v>4292</v>
      </c>
      <c r="C1415" s="33" t="s">
        <v>98</v>
      </c>
      <c r="D1415" s="33" t="s">
        <v>59</v>
      </c>
      <c r="E1415" s="33" t="s">
        <v>86</v>
      </c>
      <c r="F1415" s="33" t="s">
        <v>11295</v>
      </c>
      <c r="G1415" s="33" t="s">
        <v>9</v>
      </c>
      <c r="H1415" s="33" t="n">
        <v>30</v>
      </c>
    </row>
    <row r="1416" customFormat="false" ht="54" hidden="false" customHeight="true" outlineLevel="0" collapsed="false">
      <c r="A1416" s="32" t="s">
        <v>11296</v>
      </c>
      <c r="B1416" s="32" t="s">
        <v>4292</v>
      </c>
      <c r="C1416" s="33" t="s">
        <v>98</v>
      </c>
      <c r="D1416" s="33" t="s">
        <v>59</v>
      </c>
      <c r="E1416" s="33" t="s">
        <v>86</v>
      </c>
      <c r="F1416" s="33" t="s">
        <v>4301</v>
      </c>
      <c r="G1416" s="33" t="s">
        <v>9</v>
      </c>
      <c r="H1416" s="33" t="n">
        <v>30</v>
      </c>
    </row>
    <row r="1417" customFormat="false" ht="54" hidden="false" customHeight="true" outlineLevel="0" collapsed="false">
      <c r="A1417" s="32" t="s">
        <v>11297</v>
      </c>
      <c r="B1417" s="32" t="s">
        <v>4292</v>
      </c>
      <c r="C1417" s="33" t="s">
        <v>98</v>
      </c>
      <c r="D1417" s="33" t="s">
        <v>59</v>
      </c>
      <c r="E1417" s="33" t="s">
        <v>86</v>
      </c>
      <c r="F1417" s="33" t="s">
        <v>11289</v>
      </c>
      <c r="G1417" s="33" t="s">
        <v>9</v>
      </c>
      <c r="H1417" s="33" t="n">
        <v>30</v>
      </c>
    </row>
    <row r="1418" customFormat="false" ht="54" hidden="false" customHeight="true" outlineLevel="0" collapsed="false">
      <c r="A1418" s="32" t="s">
        <v>11298</v>
      </c>
      <c r="B1418" s="32" t="s">
        <v>4306</v>
      </c>
      <c r="C1418" s="33" t="s">
        <v>98</v>
      </c>
      <c r="D1418" s="33" t="s">
        <v>59</v>
      </c>
      <c r="E1418" s="33" t="s">
        <v>80</v>
      </c>
      <c r="F1418" s="33" t="s">
        <v>11299</v>
      </c>
      <c r="G1418" s="33" t="s">
        <v>9</v>
      </c>
      <c r="H1418" s="33" t="n">
        <v>30</v>
      </c>
    </row>
    <row r="1419" customFormat="false" ht="54" hidden="false" customHeight="true" outlineLevel="0" collapsed="false">
      <c r="A1419" s="32" t="s">
        <v>11300</v>
      </c>
      <c r="B1419" s="32" t="s">
        <v>4306</v>
      </c>
      <c r="C1419" s="33" t="s">
        <v>98</v>
      </c>
      <c r="D1419" s="33" t="s">
        <v>59</v>
      </c>
      <c r="E1419" s="33" t="s">
        <v>80</v>
      </c>
      <c r="F1419" s="33" t="s">
        <v>4317</v>
      </c>
      <c r="G1419" s="33" t="s">
        <v>9</v>
      </c>
      <c r="H1419" s="33" t="n">
        <v>30</v>
      </c>
    </row>
    <row r="1420" customFormat="false" ht="54" hidden="false" customHeight="true" outlineLevel="0" collapsed="false">
      <c r="A1420" s="32" t="s">
        <v>11301</v>
      </c>
      <c r="B1420" s="32" t="s">
        <v>4306</v>
      </c>
      <c r="C1420" s="33" t="s">
        <v>98</v>
      </c>
      <c r="D1420" s="33" t="s">
        <v>59</v>
      </c>
      <c r="E1420" s="33" t="s">
        <v>80</v>
      </c>
      <c r="F1420" s="33" t="s">
        <v>11302</v>
      </c>
      <c r="G1420" s="33" t="s">
        <v>9</v>
      </c>
      <c r="H1420" s="33" t="n">
        <v>30</v>
      </c>
    </row>
    <row r="1421" customFormat="false" ht="54" hidden="false" customHeight="true" outlineLevel="0" collapsed="false">
      <c r="A1421" s="32" t="s">
        <v>11303</v>
      </c>
      <c r="B1421" s="32" t="s">
        <v>4306</v>
      </c>
      <c r="C1421" s="33" t="s">
        <v>98</v>
      </c>
      <c r="D1421" s="33" t="s">
        <v>59</v>
      </c>
      <c r="E1421" s="33" t="s">
        <v>81</v>
      </c>
      <c r="F1421" s="33" t="s">
        <v>4315</v>
      </c>
      <c r="G1421" s="33" t="s">
        <v>9</v>
      </c>
      <c r="H1421" s="33" t="n">
        <v>30</v>
      </c>
    </row>
    <row r="1422" customFormat="false" ht="54" hidden="false" customHeight="true" outlineLevel="0" collapsed="false">
      <c r="A1422" s="32" t="s">
        <v>11304</v>
      </c>
      <c r="B1422" s="32" t="s">
        <v>4306</v>
      </c>
      <c r="C1422" s="33" t="s">
        <v>98</v>
      </c>
      <c r="D1422" s="33" t="s">
        <v>59</v>
      </c>
      <c r="E1422" s="33" t="s">
        <v>82</v>
      </c>
      <c r="F1422" s="33" t="s">
        <v>4317</v>
      </c>
      <c r="G1422" s="33" t="s">
        <v>9</v>
      </c>
      <c r="H1422" s="33" t="n">
        <v>30</v>
      </c>
    </row>
    <row r="1423" customFormat="false" ht="54" hidden="false" customHeight="true" outlineLevel="0" collapsed="false">
      <c r="A1423" s="32" t="s">
        <v>11305</v>
      </c>
      <c r="B1423" s="32" t="s">
        <v>4306</v>
      </c>
      <c r="C1423" s="33" t="s">
        <v>98</v>
      </c>
      <c r="D1423" s="33" t="s">
        <v>59</v>
      </c>
      <c r="E1423" s="33" t="s">
        <v>82</v>
      </c>
      <c r="F1423" s="33" t="s">
        <v>11306</v>
      </c>
      <c r="G1423" s="33" t="s">
        <v>9</v>
      </c>
      <c r="H1423" s="33" t="n">
        <v>30</v>
      </c>
    </row>
    <row r="1424" customFormat="false" ht="54" hidden="false" customHeight="true" outlineLevel="0" collapsed="false">
      <c r="A1424" s="32" t="s">
        <v>11307</v>
      </c>
      <c r="B1424" s="32" t="s">
        <v>4306</v>
      </c>
      <c r="C1424" s="33" t="s">
        <v>98</v>
      </c>
      <c r="D1424" s="33" t="s">
        <v>59</v>
      </c>
      <c r="E1424" s="33" t="s">
        <v>84</v>
      </c>
      <c r="F1424" s="33" t="s">
        <v>4317</v>
      </c>
      <c r="G1424" s="33" t="s">
        <v>9</v>
      </c>
      <c r="H1424" s="33" t="n">
        <v>30</v>
      </c>
    </row>
    <row r="1425" customFormat="false" ht="54" hidden="false" customHeight="true" outlineLevel="0" collapsed="false">
      <c r="A1425" s="32" t="s">
        <v>11308</v>
      </c>
      <c r="B1425" s="32" t="s">
        <v>4306</v>
      </c>
      <c r="C1425" s="33" t="s">
        <v>98</v>
      </c>
      <c r="D1425" s="33" t="s">
        <v>59</v>
      </c>
      <c r="E1425" s="33" t="s">
        <v>85</v>
      </c>
      <c r="F1425" s="33" t="s">
        <v>11309</v>
      </c>
      <c r="G1425" s="33" t="s">
        <v>9</v>
      </c>
      <c r="H1425" s="33" t="n">
        <v>30</v>
      </c>
    </row>
    <row r="1426" customFormat="false" ht="54" hidden="false" customHeight="true" outlineLevel="0" collapsed="false">
      <c r="A1426" s="32" t="s">
        <v>11310</v>
      </c>
      <c r="B1426" s="32" t="s">
        <v>4306</v>
      </c>
      <c r="C1426" s="33" t="s">
        <v>98</v>
      </c>
      <c r="D1426" s="33" t="s">
        <v>59</v>
      </c>
      <c r="E1426" s="33" t="s">
        <v>85</v>
      </c>
      <c r="F1426" s="33" t="s">
        <v>11311</v>
      </c>
      <c r="G1426" s="33" t="s">
        <v>9</v>
      </c>
      <c r="H1426" s="33" t="n">
        <v>30</v>
      </c>
    </row>
    <row r="1427" customFormat="false" ht="54" hidden="false" customHeight="true" outlineLevel="0" collapsed="false">
      <c r="A1427" s="32" t="s">
        <v>11312</v>
      </c>
      <c r="B1427" s="32" t="s">
        <v>4306</v>
      </c>
      <c r="C1427" s="33" t="s">
        <v>98</v>
      </c>
      <c r="D1427" s="33" t="s">
        <v>59</v>
      </c>
      <c r="E1427" s="33" t="s">
        <v>85</v>
      </c>
      <c r="F1427" s="33" t="s">
        <v>4317</v>
      </c>
      <c r="G1427" s="33" t="s">
        <v>9</v>
      </c>
      <c r="H1427" s="33" t="n">
        <v>30</v>
      </c>
    </row>
    <row r="1428" customFormat="false" ht="54" hidden="false" customHeight="true" outlineLevel="0" collapsed="false">
      <c r="A1428" s="32" t="s">
        <v>11313</v>
      </c>
      <c r="B1428" s="32" t="s">
        <v>4306</v>
      </c>
      <c r="C1428" s="33" t="s">
        <v>98</v>
      </c>
      <c r="D1428" s="33" t="s">
        <v>59</v>
      </c>
      <c r="E1428" s="33" t="s">
        <v>85</v>
      </c>
      <c r="F1428" s="33" t="s">
        <v>11314</v>
      </c>
      <c r="G1428" s="33" t="s">
        <v>9</v>
      </c>
      <c r="H1428" s="33" t="n">
        <v>30</v>
      </c>
    </row>
    <row r="1429" customFormat="false" ht="54" hidden="false" customHeight="true" outlineLevel="0" collapsed="false">
      <c r="A1429" s="32" t="s">
        <v>11315</v>
      </c>
      <c r="B1429" s="32" t="s">
        <v>4306</v>
      </c>
      <c r="C1429" s="33" t="s">
        <v>98</v>
      </c>
      <c r="D1429" s="33" t="s">
        <v>59</v>
      </c>
      <c r="E1429" s="33" t="s">
        <v>85</v>
      </c>
      <c r="F1429" s="33" t="s">
        <v>11302</v>
      </c>
      <c r="G1429" s="33" t="s">
        <v>9</v>
      </c>
      <c r="H1429" s="33" t="n">
        <v>30</v>
      </c>
    </row>
    <row r="1430" customFormat="false" ht="54" hidden="false" customHeight="true" outlineLevel="0" collapsed="false">
      <c r="A1430" s="32" t="s">
        <v>11316</v>
      </c>
      <c r="B1430" s="32" t="s">
        <v>4306</v>
      </c>
      <c r="C1430" s="33" t="s">
        <v>98</v>
      </c>
      <c r="D1430" s="33" t="s">
        <v>59</v>
      </c>
      <c r="E1430" s="33" t="s">
        <v>86</v>
      </c>
      <c r="F1430" s="33" t="s">
        <v>4319</v>
      </c>
      <c r="G1430" s="33" t="s">
        <v>9</v>
      </c>
      <c r="H1430" s="33" t="n">
        <v>30</v>
      </c>
    </row>
    <row r="1431" customFormat="false" ht="54" hidden="false" customHeight="true" outlineLevel="0" collapsed="false">
      <c r="A1431" s="32" t="s">
        <v>11317</v>
      </c>
      <c r="B1431" s="32" t="s">
        <v>4323</v>
      </c>
      <c r="C1431" s="33" t="s">
        <v>98</v>
      </c>
      <c r="D1431" s="33" t="s">
        <v>59</v>
      </c>
      <c r="E1431" s="33" t="s">
        <v>81</v>
      </c>
      <c r="F1431" s="33" t="s">
        <v>11318</v>
      </c>
      <c r="G1431" s="33" t="s">
        <v>9</v>
      </c>
      <c r="H1431" s="33" t="n">
        <v>30</v>
      </c>
    </row>
    <row r="1432" customFormat="false" ht="54" hidden="false" customHeight="true" outlineLevel="0" collapsed="false">
      <c r="A1432" s="32" t="s">
        <v>11319</v>
      </c>
      <c r="B1432" s="32" t="s">
        <v>4323</v>
      </c>
      <c r="C1432" s="33" t="s">
        <v>98</v>
      </c>
      <c r="D1432" s="33" t="s">
        <v>59</v>
      </c>
      <c r="E1432" s="33" t="s">
        <v>81</v>
      </c>
      <c r="F1432" s="33" t="s">
        <v>11320</v>
      </c>
      <c r="G1432" s="33" t="s">
        <v>9</v>
      </c>
      <c r="H1432" s="33" t="n">
        <v>30</v>
      </c>
    </row>
    <row r="1433" customFormat="false" ht="54" hidden="false" customHeight="true" outlineLevel="0" collapsed="false">
      <c r="A1433" s="32" t="s">
        <v>11321</v>
      </c>
      <c r="B1433" s="32" t="s">
        <v>4323</v>
      </c>
      <c r="C1433" s="33" t="s">
        <v>98</v>
      </c>
      <c r="D1433" s="33" t="s">
        <v>59</v>
      </c>
      <c r="E1433" s="33" t="s">
        <v>81</v>
      </c>
      <c r="F1433" s="33" t="s">
        <v>11322</v>
      </c>
      <c r="G1433" s="33" t="s">
        <v>9</v>
      </c>
      <c r="H1433" s="33" t="n">
        <v>30</v>
      </c>
    </row>
    <row r="1434" customFormat="false" ht="54" hidden="false" customHeight="true" outlineLevel="0" collapsed="false">
      <c r="A1434" s="32" t="s">
        <v>11323</v>
      </c>
      <c r="B1434" s="32" t="s">
        <v>4323</v>
      </c>
      <c r="C1434" s="33" t="s">
        <v>98</v>
      </c>
      <c r="D1434" s="33" t="s">
        <v>59</v>
      </c>
      <c r="E1434" s="33" t="s">
        <v>81</v>
      </c>
      <c r="F1434" s="33" t="s">
        <v>4334</v>
      </c>
      <c r="G1434" s="33" t="s">
        <v>9</v>
      </c>
      <c r="H1434" s="33" t="n">
        <v>30</v>
      </c>
    </row>
    <row r="1435" customFormat="false" ht="54" hidden="false" customHeight="true" outlineLevel="0" collapsed="false">
      <c r="A1435" s="32" t="s">
        <v>11324</v>
      </c>
      <c r="B1435" s="32" t="s">
        <v>4323</v>
      </c>
      <c r="C1435" s="33" t="s">
        <v>98</v>
      </c>
      <c r="D1435" s="33" t="s">
        <v>59</v>
      </c>
      <c r="E1435" s="33" t="s">
        <v>81</v>
      </c>
      <c r="F1435" s="33" t="s">
        <v>11325</v>
      </c>
      <c r="G1435" s="33" t="s">
        <v>9</v>
      </c>
      <c r="H1435" s="33" t="n">
        <v>30</v>
      </c>
    </row>
    <row r="1436" customFormat="false" ht="54" hidden="false" customHeight="true" outlineLevel="0" collapsed="false">
      <c r="A1436" s="32" t="s">
        <v>11326</v>
      </c>
      <c r="B1436" s="32" t="s">
        <v>4323</v>
      </c>
      <c r="C1436" s="33" t="s">
        <v>98</v>
      </c>
      <c r="D1436" s="33" t="s">
        <v>59</v>
      </c>
      <c r="E1436" s="33" t="s">
        <v>82</v>
      </c>
      <c r="F1436" s="33" t="s">
        <v>11327</v>
      </c>
      <c r="G1436" s="33" t="s">
        <v>9</v>
      </c>
      <c r="H1436" s="33" t="n">
        <v>30</v>
      </c>
    </row>
    <row r="1437" customFormat="false" ht="54" hidden="false" customHeight="true" outlineLevel="0" collapsed="false">
      <c r="A1437" s="32" t="s">
        <v>11328</v>
      </c>
      <c r="B1437" s="32" t="s">
        <v>4323</v>
      </c>
      <c r="C1437" s="33" t="s">
        <v>98</v>
      </c>
      <c r="D1437" s="33" t="s">
        <v>59</v>
      </c>
      <c r="E1437" s="33" t="s">
        <v>82</v>
      </c>
      <c r="F1437" s="33" t="s">
        <v>11329</v>
      </c>
      <c r="G1437" s="33" t="s">
        <v>9</v>
      </c>
      <c r="H1437" s="33" t="n">
        <v>30</v>
      </c>
    </row>
    <row r="1438" customFormat="false" ht="54" hidden="false" customHeight="true" outlineLevel="0" collapsed="false">
      <c r="A1438" s="32" t="s">
        <v>11330</v>
      </c>
      <c r="B1438" s="32" t="s">
        <v>4323</v>
      </c>
      <c r="C1438" s="33" t="s">
        <v>98</v>
      </c>
      <c r="D1438" s="33" t="s">
        <v>59</v>
      </c>
      <c r="E1438" s="33" t="s">
        <v>82</v>
      </c>
      <c r="F1438" s="33" t="s">
        <v>11331</v>
      </c>
      <c r="G1438" s="33" t="s">
        <v>9</v>
      </c>
      <c r="H1438" s="33" t="n">
        <v>30</v>
      </c>
    </row>
    <row r="1439" customFormat="false" ht="54" hidden="false" customHeight="true" outlineLevel="0" collapsed="false">
      <c r="A1439" s="32" t="s">
        <v>11332</v>
      </c>
      <c r="B1439" s="32" t="s">
        <v>4323</v>
      </c>
      <c r="C1439" s="33" t="s">
        <v>98</v>
      </c>
      <c r="D1439" s="33" t="s">
        <v>59</v>
      </c>
      <c r="E1439" s="33" t="s">
        <v>82</v>
      </c>
      <c r="F1439" s="33" t="s">
        <v>11322</v>
      </c>
      <c r="G1439" s="33" t="s">
        <v>9</v>
      </c>
      <c r="H1439" s="33" t="n">
        <v>30</v>
      </c>
    </row>
    <row r="1440" customFormat="false" ht="54" hidden="false" customHeight="true" outlineLevel="0" collapsed="false">
      <c r="A1440" s="32" t="s">
        <v>11333</v>
      </c>
      <c r="B1440" s="32" t="s">
        <v>4323</v>
      </c>
      <c r="C1440" s="33" t="s">
        <v>98</v>
      </c>
      <c r="D1440" s="33" t="s">
        <v>59</v>
      </c>
      <c r="E1440" s="33" t="s">
        <v>82</v>
      </c>
      <c r="F1440" s="33" t="s">
        <v>4334</v>
      </c>
      <c r="G1440" s="33" t="s">
        <v>9</v>
      </c>
      <c r="H1440" s="33" t="n">
        <v>30</v>
      </c>
    </row>
    <row r="1441" customFormat="false" ht="54" hidden="false" customHeight="true" outlineLevel="0" collapsed="false">
      <c r="A1441" s="32" t="s">
        <v>11334</v>
      </c>
      <c r="B1441" s="32" t="s">
        <v>4323</v>
      </c>
      <c r="C1441" s="33" t="s">
        <v>98</v>
      </c>
      <c r="D1441" s="33" t="s">
        <v>59</v>
      </c>
      <c r="E1441" s="33" t="s">
        <v>82</v>
      </c>
      <c r="F1441" s="33" t="s">
        <v>11325</v>
      </c>
      <c r="G1441" s="33" t="s">
        <v>9</v>
      </c>
      <c r="H1441" s="33" t="n">
        <v>30</v>
      </c>
    </row>
    <row r="1442" customFormat="false" ht="54" hidden="false" customHeight="true" outlineLevel="0" collapsed="false">
      <c r="A1442" s="32" t="s">
        <v>11335</v>
      </c>
      <c r="B1442" s="32" t="s">
        <v>4323</v>
      </c>
      <c r="C1442" s="33" t="s">
        <v>98</v>
      </c>
      <c r="D1442" s="33" t="s">
        <v>59</v>
      </c>
      <c r="E1442" s="33" t="s">
        <v>82</v>
      </c>
      <c r="F1442" s="33" t="s">
        <v>11336</v>
      </c>
      <c r="G1442" s="33" t="s">
        <v>9</v>
      </c>
      <c r="H1442" s="33" t="n">
        <v>30</v>
      </c>
    </row>
    <row r="1443" customFormat="false" ht="54" hidden="false" customHeight="true" outlineLevel="0" collapsed="false">
      <c r="A1443" s="32" t="s">
        <v>11337</v>
      </c>
      <c r="B1443" s="32" t="s">
        <v>4323</v>
      </c>
      <c r="C1443" s="33" t="s">
        <v>98</v>
      </c>
      <c r="D1443" s="33" t="s">
        <v>59</v>
      </c>
      <c r="E1443" s="33" t="s">
        <v>82</v>
      </c>
      <c r="F1443" s="33" t="s">
        <v>11338</v>
      </c>
      <c r="G1443" s="33" t="s">
        <v>9</v>
      </c>
      <c r="H1443" s="33" t="n">
        <v>30</v>
      </c>
    </row>
    <row r="1444" customFormat="false" ht="54" hidden="false" customHeight="true" outlineLevel="0" collapsed="false">
      <c r="A1444" s="32" t="s">
        <v>11339</v>
      </c>
      <c r="B1444" s="32" t="s">
        <v>4323</v>
      </c>
      <c r="C1444" s="33" t="s">
        <v>98</v>
      </c>
      <c r="D1444" s="33" t="s">
        <v>59</v>
      </c>
      <c r="E1444" s="33" t="s">
        <v>83</v>
      </c>
      <c r="F1444" s="33" t="s">
        <v>11318</v>
      </c>
      <c r="G1444" s="33" t="s">
        <v>9</v>
      </c>
      <c r="H1444" s="33" t="n">
        <v>30</v>
      </c>
    </row>
    <row r="1445" customFormat="false" ht="54" hidden="false" customHeight="true" outlineLevel="0" collapsed="false">
      <c r="A1445" s="32" t="s">
        <v>11340</v>
      </c>
      <c r="B1445" s="32" t="s">
        <v>4323</v>
      </c>
      <c r="C1445" s="33" t="s">
        <v>98</v>
      </c>
      <c r="D1445" s="33" t="s">
        <v>59</v>
      </c>
      <c r="E1445" s="33" t="s">
        <v>83</v>
      </c>
      <c r="F1445" s="33" t="s">
        <v>11325</v>
      </c>
      <c r="G1445" s="33" t="s">
        <v>9</v>
      </c>
      <c r="H1445" s="33" t="n">
        <v>30</v>
      </c>
    </row>
    <row r="1446" customFormat="false" ht="54" hidden="false" customHeight="true" outlineLevel="0" collapsed="false">
      <c r="A1446" s="32" t="s">
        <v>11341</v>
      </c>
      <c r="B1446" s="32" t="s">
        <v>4323</v>
      </c>
      <c r="C1446" s="33" t="s">
        <v>98</v>
      </c>
      <c r="D1446" s="33" t="s">
        <v>59</v>
      </c>
      <c r="E1446" s="33" t="s">
        <v>84</v>
      </c>
      <c r="F1446" s="33" t="s">
        <v>4334</v>
      </c>
      <c r="G1446" s="33" t="s">
        <v>9</v>
      </c>
      <c r="H1446" s="33" t="n">
        <v>30</v>
      </c>
    </row>
    <row r="1447" customFormat="false" ht="54" hidden="false" customHeight="true" outlineLevel="0" collapsed="false">
      <c r="A1447" s="32" t="s">
        <v>11342</v>
      </c>
      <c r="B1447" s="32" t="s">
        <v>4323</v>
      </c>
      <c r="C1447" s="33" t="s">
        <v>98</v>
      </c>
      <c r="D1447" s="33" t="s">
        <v>59</v>
      </c>
      <c r="E1447" s="33" t="s">
        <v>86</v>
      </c>
      <c r="F1447" s="33" t="s">
        <v>11327</v>
      </c>
      <c r="G1447" s="33" t="s">
        <v>9</v>
      </c>
      <c r="H1447" s="33" t="n">
        <v>30</v>
      </c>
    </row>
    <row r="1448" customFormat="false" ht="54" hidden="false" customHeight="true" outlineLevel="0" collapsed="false">
      <c r="A1448" s="32" t="s">
        <v>11343</v>
      </c>
      <c r="B1448" s="32" t="s">
        <v>4323</v>
      </c>
      <c r="C1448" s="33" t="s">
        <v>98</v>
      </c>
      <c r="D1448" s="33" t="s">
        <v>59</v>
      </c>
      <c r="E1448" s="33" t="s">
        <v>86</v>
      </c>
      <c r="F1448" s="33" t="s">
        <v>11329</v>
      </c>
      <c r="G1448" s="33" t="s">
        <v>9</v>
      </c>
      <c r="H1448" s="33" t="n">
        <v>30</v>
      </c>
    </row>
    <row r="1449" customFormat="false" ht="54" hidden="false" customHeight="true" outlineLevel="0" collapsed="false">
      <c r="A1449" s="32" t="s">
        <v>11344</v>
      </c>
      <c r="B1449" s="32" t="s">
        <v>4323</v>
      </c>
      <c r="C1449" s="33" t="s">
        <v>98</v>
      </c>
      <c r="D1449" s="33" t="s">
        <v>59</v>
      </c>
      <c r="E1449" s="33" t="s">
        <v>86</v>
      </c>
      <c r="F1449" s="33" t="s">
        <v>4334</v>
      </c>
      <c r="G1449" s="33" t="s">
        <v>9</v>
      </c>
      <c r="H1449" s="33" t="n">
        <v>30</v>
      </c>
    </row>
    <row r="1450" customFormat="false" ht="54" hidden="false" customHeight="true" outlineLevel="0" collapsed="false">
      <c r="A1450" s="32" t="s">
        <v>11345</v>
      </c>
      <c r="B1450" s="32" t="s">
        <v>4323</v>
      </c>
      <c r="C1450" s="33" t="s">
        <v>98</v>
      </c>
      <c r="D1450" s="33" t="s">
        <v>59</v>
      </c>
      <c r="E1450" s="33" t="s">
        <v>86</v>
      </c>
      <c r="F1450" s="33" t="s">
        <v>11325</v>
      </c>
      <c r="G1450" s="33" t="s">
        <v>9</v>
      </c>
      <c r="H1450" s="33" t="n">
        <v>30</v>
      </c>
    </row>
    <row r="1451" customFormat="false" ht="54" hidden="false" customHeight="true" outlineLevel="0" collapsed="false">
      <c r="A1451" s="32" t="s">
        <v>11346</v>
      </c>
      <c r="B1451" s="32" t="s">
        <v>4339</v>
      </c>
      <c r="C1451" s="33" t="s">
        <v>98</v>
      </c>
      <c r="D1451" s="33" t="s">
        <v>59</v>
      </c>
      <c r="E1451" s="33" t="s">
        <v>84</v>
      </c>
      <c r="F1451" s="33" t="s">
        <v>4348</v>
      </c>
      <c r="G1451" s="33" t="s">
        <v>9</v>
      </c>
      <c r="H1451" s="33" t="n">
        <v>30</v>
      </c>
    </row>
    <row r="1452" customFormat="false" ht="54" hidden="false" customHeight="true" outlineLevel="0" collapsed="false">
      <c r="A1452" s="32" t="s">
        <v>11347</v>
      </c>
      <c r="B1452" s="32" t="s">
        <v>4339</v>
      </c>
      <c r="C1452" s="33" t="s">
        <v>98</v>
      </c>
      <c r="D1452" s="33" t="s">
        <v>59</v>
      </c>
      <c r="E1452" s="33" t="s">
        <v>85</v>
      </c>
      <c r="F1452" s="33" t="s">
        <v>11348</v>
      </c>
      <c r="G1452" s="33" t="s">
        <v>9</v>
      </c>
      <c r="H1452" s="33" t="n">
        <v>30</v>
      </c>
    </row>
    <row r="1453" customFormat="false" ht="54" hidden="false" customHeight="true" outlineLevel="0" collapsed="false">
      <c r="A1453" s="32" t="s">
        <v>11349</v>
      </c>
      <c r="B1453" s="32" t="s">
        <v>4339</v>
      </c>
      <c r="C1453" s="33" t="s">
        <v>98</v>
      </c>
      <c r="D1453" s="33" t="s">
        <v>59</v>
      </c>
      <c r="E1453" s="33" t="s">
        <v>85</v>
      </c>
      <c r="F1453" s="33" t="s">
        <v>11350</v>
      </c>
      <c r="G1453" s="33" t="s">
        <v>9</v>
      </c>
      <c r="H1453" s="33" t="n">
        <v>30</v>
      </c>
    </row>
    <row r="1454" customFormat="false" ht="54" hidden="false" customHeight="true" outlineLevel="0" collapsed="false">
      <c r="A1454" s="32" t="s">
        <v>11351</v>
      </c>
      <c r="B1454" s="32" t="s">
        <v>4339</v>
      </c>
      <c r="C1454" s="33" t="s">
        <v>98</v>
      </c>
      <c r="D1454" s="33" t="s">
        <v>59</v>
      </c>
      <c r="E1454" s="33" t="s">
        <v>85</v>
      </c>
      <c r="F1454" s="33" t="s">
        <v>11352</v>
      </c>
      <c r="G1454" s="33" t="s">
        <v>9</v>
      </c>
      <c r="H1454" s="33" t="n">
        <v>30</v>
      </c>
    </row>
    <row r="1455" customFormat="false" ht="54" hidden="false" customHeight="true" outlineLevel="0" collapsed="false">
      <c r="A1455" s="32" t="s">
        <v>11353</v>
      </c>
      <c r="B1455" s="32" t="s">
        <v>4339</v>
      </c>
      <c r="C1455" s="33" t="s">
        <v>98</v>
      </c>
      <c r="D1455" s="33" t="s">
        <v>59</v>
      </c>
      <c r="E1455" s="33" t="s">
        <v>85</v>
      </c>
      <c r="F1455" s="33" t="s">
        <v>11354</v>
      </c>
      <c r="G1455" s="33" t="s">
        <v>9</v>
      </c>
      <c r="H1455" s="33" t="n">
        <v>30</v>
      </c>
    </row>
    <row r="1456" customFormat="false" ht="54" hidden="false" customHeight="true" outlineLevel="0" collapsed="false">
      <c r="A1456" s="32" t="s">
        <v>11355</v>
      </c>
      <c r="B1456" s="32" t="s">
        <v>4339</v>
      </c>
      <c r="C1456" s="33" t="s">
        <v>98</v>
      </c>
      <c r="D1456" s="33" t="s">
        <v>59</v>
      </c>
      <c r="E1456" s="33" t="s">
        <v>85</v>
      </c>
      <c r="F1456" s="33" t="s">
        <v>4348</v>
      </c>
      <c r="G1456" s="33" t="s">
        <v>9</v>
      </c>
      <c r="H1456" s="33" t="n">
        <v>30</v>
      </c>
    </row>
    <row r="1457" customFormat="false" ht="54" hidden="false" customHeight="true" outlineLevel="0" collapsed="false">
      <c r="A1457" s="32" t="s">
        <v>11356</v>
      </c>
      <c r="B1457" s="32" t="s">
        <v>4353</v>
      </c>
      <c r="C1457" s="33" t="s">
        <v>98</v>
      </c>
      <c r="D1457" s="33" t="s">
        <v>59</v>
      </c>
      <c r="E1457" s="33" t="s">
        <v>81</v>
      </c>
      <c r="F1457" s="33" t="s">
        <v>11357</v>
      </c>
      <c r="G1457" s="33" t="s">
        <v>9</v>
      </c>
      <c r="H1457" s="33" t="n">
        <v>30</v>
      </c>
    </row>
    <row r="1458" customFormat="false" ht="54" hidden="false" customHeight="true" outlineLevel="0" collapsed="false">
      <c r="A1458" s="32" t="s">
        <v>11358</v>
      </c>
      <c r="B1458" s="32" t="s">
        <v>4353</v>
      </c>
      <c r="C1458" s="33" t="s">
        <v>98</v>
      </c>
      <c r="D1458" s="33" t="s">
        <v>59</v>
      </c>
      <c r="E1458" s="33" t="s">
        <v>81</v>
      </c>
      <c r="F1458" s="33" t="s">
        <v>11359</v>
      </c>
      <c r="G1458" s="33" t="s">
        <v>9</v>
      </c>
      <c r="H1458" s="33" t="n">
        <v>30</v>
      </c>
    </row>
    <row r="1459" customFormat="false" ht="54" hidden="false" customHeight="true" outlineLevel="0" collapsed="false">
      <c r="A1459" s="32" t="s">
        <v>11360</v>
      </c>
      <c r="B1459" s="32" t="s">
        <v>4353</v>
      </c>
      <c r="C1459" s="33" t="s">
        <v>98</v>
      </c>
      <c r="D1459" s="33" t="s">
        <v>59</v>
      </c>
      <c r="E1459" s="33" t="s">
        <v>81</v>
      </c>
      <c r="F1459" s="33" t="s">
        <v>11361</v>
      </c>
      <c r="G1459" s="33" t="s">
        <v>9</v>
      </c>
      <c r="H1459" s="33" t="n">
        <v>30</v>
      </c>
    </row>
    <row r="1460" customFormat="false" ht="54" hidden="false" customHeight="true" outlineLevel="0" collapsed="false">
      <c r="A1460" s="32" t="s">
        <v>11362</v>
      </c>
      <c r="B1460" s="32" t="s">
        <v>4353</v>
      </c>
      <c r="C1460" s="33" t="s">
        <v>98</v>
      </c>
      <c r="D1460" s="33" t="s">
        <v>59</v>
      </c>
      <c r="E1460" s="33" t="s">
        <v>81</v>
      </c>
      <c r="F1460" s="33" t="s">
        <v>11363</v>
      </c>
      <c r="G1460" s="33" t="s">
        <v>9</v>
      </c>
      <c r="H1460" s="33" t="n">
        <v>30</v>
      </c>
    </row>
    <row r="1461" customFormat="false" ht="54" hidden="false" customHeight="true" outlineLevel="0" collapsed="false">
      <c r="A1461" s="32" t="s">
        <v>11364</v>
      </c>
      <c r="B1461" s="32" t="s">
        <v>4353</v>
      </c>
      <c r="C1461" s="33" t="s">
        <v>98</v>
      </c>
      <c r="D1461" s="33" t="s">
        <v>59</v>
      </c>
      <c r="E1461" s="33" t="s">
        <v>81</v>
      </c>
      <c r="F1461" s="33" t="s">
        <v>11365</v>
      </c>
      <c r="G1461" s="33" t="s">
        <v>9</v>
      </c>
      <c r="H1461" s="33" t="n">
        <v>30</v>
      </c>
    </row>
    <row r="1462" customFormat="false" ht="54" hidden="false" customHeight="true" outlineLevel="0" collapsed="false">
      <c r="A1462" s="32" t="s">
        <v>11366</v>
      </c>
      <c r="B1462" s="32" t="s">
        <v>4353</v>
      </c>
      <c r="C1462" s="33" t="s">
        <v>98</v>
      </c>
      <c r="D1462" s="33" t="s">
        <v>59</v>
      </c>
      <c r="E1462" s="33" t="s">
        <v>82</v>
      </c>
      <c r="F1462" s="33" t="s">
        <v>11367</v>
      </c>
      <c r="G1462" s="33" t="s">
        <v>9</v>
      </c>
      <c r="H1462" s="33" t="n">
        <v>30</v>
      </c>
    </row>
    <row r="1463" customFormat="false" ht="54" hidden="false" customHeight="true" outlineLevel="0" collapsed="false">
      <c r="A1463" s="32" t="s">
        <v>11368</v>
      </c>
      <c r="B1463" s="32" t="s">
        <v>4353</v>
      </c>
      <c r="C1463" s="33" t="s">
        <v>98</v>
      </c>
      <c r="D1463" s="33" t="s">
        <v>59</v>
      </c>
      <c r="E1463" s="33" t="s">
        <v>82</v>
      </c>
      <c r="F1463" s="33" t="s">
        <v>11369</v>
      </c>
      <c r="G1463" s="33" t="s">
        <v>9</v>
      </c>
      <c r="H1463" s="33" t="n">
        <v>30</v>
      </c>
    </row>
    <row r="1464" customFormat="false" ht="54" hidden="false" customHeight="true" outlineLevel="0" collapsed="false">
      <c r="A1464" s="32" t="s">
        <v>11370</v>
      </c>
      <c r="B1464" s="32" t="s">
        <v>4353</v>
      </c>
      <c r="C1464" s="33" t="s">
        <v>98</v>
      </c>
      <c r="D1464" s="33" t="s">
        <v>59</v>
      </c>
      <c r="E1464" s="33" t="s">
        <v>82</v>
      </c>
      <c r="F1464" s="33" t="s">
        <v>11371</v>
      </c>
      <c r="G1464" s="33" t="s">
        <v>9</v>
      </c>
      <c r="H1464" s="33" t="n">
        <v>30</v>
      </c>
    </row>
    <row r="1465" customFormat="false" ht="54" hidden="false" customHeight="true" outlineLevel="0" collapsed="false">
      <c r="A1465" s="32" t="s">
        <v>11372</v>
      </c>
      <c r="B1465" s="32" t="s">
        <v>4353</v>
      </c>
      <c r="C1465" s="33" t="s">
        <v>98</v>
      </c>
      <c r="D1465" s="33" t="s">
        <v>59</v>
      </c>
      <c r="E1465" s="33" t="s">
        <v>84</v>
      </c>
      <c r="F1465" s="33" t="s">
        <v>11363</v>
      </c>
      <c r="G1465" s="33" t="s">
        <v>9</v>
      </c>
      <c r="H1465" s="33" t="n">
        <v>30</v>
      </c>
    </row>
    <row r="1466" customFormat="false" ht="54" hidden="false" customHeight="true" outlineLevel="0" collapsed="false">
      <c r="A1466" s="32" t="s">
        <v>11373</v>
      </c>
      <c r="B1466" s="32" t="s">
        <v>4353</v>
      </c>
      <c r="C1466" s="33" t="s">
        <v>98</v>
      </c>
      <c r="D1466" s="33" t="s">
        <v>59</v>
      </c>
      <c r="E1466" s="33" t="s">
        <v>84</v>
      </c>
      <c r="F1466" s="33" t="s">
        <v>11369</v>
      </c>
      <c r="G1466" s="33" t="s">
        <v>9</v>
      </c>
      <c r="H1466" s="33" t="n">
        <v>30</v>
      </c>
    </row>
    <row r="1467" customFormat="false" ht="54" hidden="false" customHeight="true" outlineLevel="0" collapsed="false">
      <c r="A1467" s="32" t="s">
        <v>11374</v>
      </c>
      <c r="B1467" s="32" t="s">
        <v>4353</v>
      </c>
      <c r="C1467" s="33" t="s">
        <v>98</v>
      </c>
      <c r="D1467" s="33" t="s">
        <v>59</v>
      </c>
      <c r="E1467" s="33" t="s">
        <v>84</v>
      </c>
      <c r="F1467" s="33" t="s">
        <v>11371</v>
      </c>
      <c r="G1467" s="33" t="s">
        <v>9</v>
      </c>
      <c r="H1467" s="33" t="n">
        <v>30</v>
      </c>
    </row>
    <row r="1468" customFormat="false" ht="54" hidden="false" customHeight="true" outlineLevel="0" collapsed="false">
      <c r="A1468" s="32" t="s">
        <v>11375</v>
      </c>
      <c r="B1468" s="32" t="s">
        <v>4368</v>
      </c>
      <c r="C1468" s="33" t="s">
        <v>98</v>
      </c>
      <c r="D1468" s="33" t="s">
        <v>59</v>
      </c>
      <c r="E1468" s="33" t="s">
        <v>81</v>
      </c>
      <c r="F1468" s="33" t="s">
        <v>11376</v>
      </c>
      <c r="G1468" s="33" t="s">
        <v>9</v>
      </c>
      <c r="H1468" s="33" t="n">
        <v>30</v>
      </c>
    </row>
    <row r="1469" customFormat="false" ht="54" hidden="false" customHeight="true" outlineLevel="0" collapsed="false">
      <c r="A1469" s="32" t="s">
        <v>11377</v>
      </c>
      <c r="B1469" s="32" t="s">
        <v>4368</v>
      </c>
      <c r="C1469" s="33" t="s">
        <v>98</v>
      </c>
      <c r="D1469" s="33" t="s">
        <v>59</v>
      </c>
      <c r="E1469" s="33" t="s">
        <v>81</v>
      </c>
      <c r="F1469" s="33" t="s">
        <v>11378</v>
      </c>
      <c r="G1469" s="33" t="s">
        <v>9</v>
      </c>
      <c r="H1469" s="33" t="n">
        <v>30</v>
      </c>
    </row>
    <row r="1470" customFormat="false" ht="54" hidden="false" customHeight="true" outlineLevel="0" collapsed="false">
      <c r="A1470" s="32" t="s">
        <v>11379</v>
      </c>
      <c r="B1470" s="32" t="s">
        <v>4368</v>
      </c>
      <c r="C1470" s="33" t="s">
        <v>98</v>
      </c>
      <c r="D1470" s="33" t="s">
        <v>59</v>
      </c>
      <c r="E1470" s="33" t="s">
        <v>81</v>
      </c>
      <c r="F1470" s="33" t="s">
        <v>11380</v>
      </c>
      <c r="G1470" s="33" t="s">
        <v>9</v>
      </c>
      <c r="H1470" s="33" t="n">
        <v>30</v>
      </c>
    </row>
    <row r="1471" customFormat="false" ht="54" hidden="false" customHeight="true" outlineLevel="0" collapsed="false">
      <c r="A1471" s="32" t="s">
        <v>11381</v>
      </c>
      <c r="B1471" s="32" t="s">
        <v>4368</v>
      </c>
      <c r="C1471" s="33" t="s">
        <v>98</v>
      </c>
      <c r="D1471" s="33" t="s">
        <v>59</v>
      </c>
      <c r="E1471" s="33" t="s">
        <v>82</v>
      </c>
      <c r="F1471" s="33" t="s">
        <v>11382</v>
      </c>
      <c r="G1471" s="33" t="s">
        <v>9</v>
      </c>
      <c r="H1471" s="33" t="n">
        <v>30</v>
      </c>
    </row>
    <row r="1472" customFormat="false" ht="54" hidden="false" customHeight="true" outlineLevel="0" collapsed="false">
      <c r="A1472" s="32" t="s">
        <v>11383</v>
      </c>
      <c r="B1472" s="32" t="s">
        <v>4368</v>
      </c>
      <c r="C1472" s="33" t="s">
        <v>98</v>
      </c>
      <c r="D1472" s="33" t="s">
        <v>59</v>
      </c>
      <c r="E1472" s="33" t="s">
        <v>82</v>
      </c>
      <c r="F1472" s="33" t="s">
        <v>11384</v>
      </c>
      <c r="G1472" s="33" t="s">
        <v>9</v>
      </c>
      <c r="H1472" s="33" t="n">
        <v>30</v>
      </c>
    </row>
    <row r="1473" customFormat="false" ht="54" hidden="false" customHeight="true" outlineLevel="0" collapsed="false">
      <c r="A1473" s="32" t="s">
        <v>11385</v>
      </c>
      <c r="B1473" s="32" t="s">
        <v>4368</v>
      </c>
      <c r="C1473" s="33" t="s">
        <v>98</v>
      </c>
      <c r="D1473" s="33" t="s">
        <v>59</v>
      </c>
      <c r="E1473" s="33" t="s">
        <v>82</v>
      </c>
      <c r="F1473" s="33" t="s">
        <v>11386</v>
      </c>
      <c r="G1473" s="33" t="s">
        <v>9</v>
      </c>
      <c r="H1473" s="33" t="n">
        <v>30</v>
      </c>
    </row>
    <row r="1474" customFormat="false" ht="54" hidden="false" customHeight="true" outlineLevel="0" collapsed="false">
      <c r="A1474" s="32" t="s">
        <v>11387</v>
      </c>
      <c r="B1474" s="32" t="s">
        <v>4368</v>
      </c>
      <c r="C1474" s="33" t="s">
        <v>98</v>
      </c>
      <c r="D1474" s="33" t="s">
        <v>59</v>
      </c>
      <c r="E1474" s="33" t="s">
        <v>83</v>
      </c>
      <c r="F1474" s="33" t="s">
        <v>11388</v>
      </c>
      <c r="G1474" s="33" t="s">
        <v>9</v>
      </c>
      <c r="H1474" s="33" t="n">
        <v>30</v>
      </c>
    </row>
    <row r="1475" customFormat="false" ht="54" hidden="false" customHeight="true" outlineLevel="0" collapsed="false">
      <c r="A1475" s="32" t="s">
        <v>11389</v>
      </c>
      <c r="B1475" s="32" t="s">
        <v>4368</v>
      </c>
      <c r="C1475" s="33" t="s">
        <v>98</v>
      </c>
      <c r="D1475" s="33" t="s">
        <v>59</v>
      </c>
      <c r="E1475" s="33" t="s">
        <v>83</v>
      </c>
      <c r="F1475" s="33" t="s">
        <v>11384</v>
      </c>
      <c r="G1475" s="33" t="s">
        <v>9</v>
      </c>
      <c r="H1475" s="33" t="n">
        <v>30</v>
      </c>
    </row>
    <row r="1476" customFormat="false" ht="54" hidden="false" customHeight="true" outlineLevel="0" collapsed="false">
      <c r="A1476" s="32" t="s">
        <v>11390</v>
      </c>
      <c r="B1476" s="32" t="s">
        <v>4368</v>
      </c>
      <c r="C1476" s="33" t="s">
        <v>98</v>
      </c>
      <c r="D1476" s="33" t="s">
        <v>59</v>
      </c>
      <c r="E1476" s="33" t="s">
        <v>83</v>
      </c>
      <c r="F1476" s="33" t="s">
        <v>11391</v>
      </c>
      <c r="G1476" s="33" t="s">
        <v>9</v>
      </c>
      <c r="H1476" s="33" t="n">
        <v>30</v>
      </c>
    </row>
    <row r="1477" customFormat="false" ht="54" hidden="false" customHeight="true" outlineLevel="0" collapsed="false">
      <c r="A1477" s="32" t="s">
        <v>11392</v>
      </c>
      <c r="B1477" s="32" t="s">
        <v>4368</v>
      </c>
      <c r="C1477" s="33" t="s">
        <v>98</v>
      </c>
      <c r="D1477" s="33" t="s">
        <v>59</v>
      </c>
      <c r="E1477" s="33" t="s">
        <v>83</v>
      </c>
      <c r="F1477" s="33" t="s">
        <v>11393</v>
      </c>
      <c r="G1477" s="33" t="s">
        <v>9</v>
      </c>
      <c r="H1477" s="33" t="n">
        <v>30</v>
      </c>
    </row>
    <row r="1478" customFormat="false" ht="54" hidden="false" customHeight="true" outlineLevel="0" collapsed="false">
      <c r="A1478" s="32" t="s">
        <v>11394</v>
      </c>
      <c r="B1478" s="32" t="s">
        <v>4368</v>
      </c>
      <c r="C1478" s="33" t="s">
        <v>98</v>
      </c>
      <c r="D1478" s="33" t="s">
        <v>59</v>
      </c>
      <c r="E1478" s="33" t="s">
        <v>84</v>
      </c>
      <c r="F1478" s="33" t="s">
        <v>11378</v>
      </c>
      <c r="G1478" s="33" t="s">
        <v>9</v>
      </c>
      <c r="H1478" s="33" t="n">
        <v>30</v>
      </c>
    </row>
    <row r="1479" customFormat="false" ht="54" hidden="false" customHeight="true" outlineLevel="0" collapsed="false">
      <c r="A1479" s="32" t="s">
        <v>11395</v>
      </c>
      <c r="B1479" s="32" t="s">
        <v>4368</v>
      </c>
      <c r="C1479" s="33" t="s">
        <v>98</v>
      </c>
      <c r="D1479" s="33" t="s">
        <v>59</v>
      </c>
      <c r="E1479" s="33" t="s">
        <v>84</v>
      </c>
      <c r="F1479" s="33" t="s">
        <v>11384</v>
      </c>
      <c r="G1479" s="33" t="s">
        <v>9</v>
      </c>
      <c r="H1479" s="33" t="n">
        <v>30</v>
      </c>
    </row>
    <row r="1480" customFormat="false" ht="54" hidden="false" customHeight="true" outlineLevel="0" collapsed="false">
      <c r="A1480" s="32" t="s">
        <v>11396</v>
      </c>
      <c r="B1480" s="32" t="s">
        <v>4383</v>
      </c>
      <c r="C1480" s="33" t="s">
        <v>98</v>
      </c>
      <c r="D1480" s="33" t="s">
        <v>59</v>
      </c>
      <c r="E1480" s="33" t="s">
        <v>80</v>
      </c>
      <c r="F1480" s="33" t="s">
        <v>11397</v>
      </c>
      <c r="G1480" s="33" t="s">
        <v>9</v>
      </c>
      <c r="H1480" s="33" t="n">
        <v>30</v>
      </c>
    </row>
    <row r="1481" customFormat="false" ht="54" hidden="false" customHeight="true" outlineLevel="0" collapsed="false">
      <c r="A1481" s="32" t="s">
        <v>11398</v>
      </c>
      <c r="B1481" s="32" t="s">
        <v>4383</v>
      </c>
      <c r="C1481" s="33" t="s">
        <v>98</v>
      </c>
      <c r="D1481" s="33" t="s">
        <v>59</v>
      </c>
      <c r="E1481" s="33" t="s">
        <v>80</v>
      </c>
      <c r="F1481" s="33" t="s">
        <v>11399</v>
      </c>
      <c r="G1481" s="33" t="s">
        <v>9</v>
      </c>
      <c r="H1481" s="33" t="n">
        <v>30</v>
      </c>
    </row>
    <row r="1482" customFormat="false" ht="54" hidden="false" customHeight="true" outlineLevel="0" collapsed="false">
      <c r="A1482" s="32" t="s">
        <v>11400</v>
      </c>
      <c r="B1482" s="32" t="s">
        <v>4383</v>
      </c>
      <c r="C1482" s="33" t="s">
        <v>98</v>
      </c>
      <c r="D1482" s="33" t="s">
        <v>59</v>
      </c>
      <c r="E1482" s="33" t="s">
        <v>80</v>
      </c>
      <c r="F1482" s="33" t="s">
        <v>11401</v>
      </c>
      <c r="G1482" s="33" t="s">
        <v>9</v>
      </c>
      <c r="H1482" s="33" t="n">
        <v>30</v>
      </c>
    </row>
    <row r="1483" customFormat="false" ht="54" hidden="false" customHeight="true" outlineLevel="0" collapsed="false">
      <c r="A1483" s="32" t="s">
        <v>11402</v>
      </c>
      <c r="B1483" s="32" t="s">
        <v>4383</v>
      </c>
      <c r="C1483" s="33" t="s">
        <v>98</v>
      </c>
      <c r="D1483" s="33" t="s">
        <v>59</v>
      </c>
      <c r="E1483" s="33" t="s">
        <v>80</v>
      </c>
      <c r="F1483" s="33" t="s">
        <v>11403</v>
      </c>
      <c r="G1483" s="33" t="s">
        <v>9</v>
      </c>
      <c r="H1483" s="33" t="n">
        <v>30</v>
      </c>
    </row>
    <row r="1484" customFormat="false" ht="54" hidden="false" customHeight="true" outlineLevel="0" collapsed="false">
      <c r="A1484" s="32" t="s">
        <v>11404</v>
      </c>
      <c r="B1484" s="32" t="s">
        <v>4383</v>
      </c>
      <c r="C1484" s="33" t="s">
        <v>98</v>
      </c>
      <c r="D1484" s="33" t="s">
        <v>59</v>
      </c>
      <c r="E1484" s="33" t="s">
        <v>84</v>
      </c>
      <c r="F1484" s="33" t="s">
        <v>11397</v>
      </c>
      <c r="G1484" s="33" t="s">
        <v>9</v>
      </c>
      <c r="H1484" s="33" t="n">
        <v>30</v>
      </c>
    </row>
    <row r="1485" customFormat="false" ht="54" hidden="false" customHeight="true" outlineLevel="0" collapsed="false">
      <c r="A1485" s="32" t="s">
        <v>11405</v>
      </c>
      <c r="B1485" s="32" t="s">
        <v>4383</v>
      </c>
      <c r="C1485" s="33" t="s">
        <v>98</v>
      </c>
      <c r="D1485" s="33" t="s">
        <v>59</v>
      </c>
      <c r="E1485" s="33" t="s">
        <v>84</v>
      </c>
      <c r="F1485" s="33" t="s">
        <v>11399</v>
      </c>
      <c r="G1485" s="33" t="s">
        <v>9</v>
      </c>
      <c r="H1485" s="33" t="n">
        <v>30</v>
      </c>
    </row>
    <row r="1486" customFormat="false" ht="54" hidden="false" customHeight="true" outlineLevel="0" collapsed="false">
      <c r="A1486" s="32" t="s">
        <v>11406</v>
      </c>
      <c r="B1486" s="32" t="s">
        <v>4383</v>
      </c>
      <c r="C1486" s="33" t="s">
        <v>98</v>
      </c>
      <c r="D1486" s="33" t="s">
        <v>59</v>
      </c>
      <c r="E1486" s="33" t="s">
        <v>84</v>
      </c>
      <c r="F1486" s="33" t="s">
        <v>11401</v>
      </c>
      <c r="G1486" s="33" t="s">
        <v>9</v>
      </c>
      <c r="H1486" s="33" t="n">
        <v>30</v>
      </c>
    </row>
    <row r="1487" customFormat="false" ht="54" hidden="false" customHeight="true" outlineLevel="0" collapsed="false">
      <c r="A1487" s="32" t="s">
        <v>11407</v>
      </c>
      <c r="B1487" s="32" t="s">
        <v>4383</v>
      </c>
      <c r="C1487" s="33" t="s">
        <v>98</v>
      </c>
      <c r="D1487" s="33" t="s">
        <v>59</v>
      </c>
      <c r="E1487" s="33" t="s">
        <v>84</v>
      </c>
      <c r="F1487" s="33" t="s">
        <v>11403</v>
      </c>
      <c r="G1487" s="33" t="s">
        <v>9</v>
      </c>
      <c r="H1487" s="33" t="n">
        <v>30</v>
      </c>
    </row>
    <row r="1488" customFormat="false" ht="54" hidden="false" customHeight="true" outlineLevel="0" collapsed="false">
      <c r="A1488" s="32" t="s">
        <v>11408</v>
      </c>
      <c r="B1488" s="32" t="s">
        <v>4396</v>
      </c>
      <c r="C1488" s="33" t="s">
        <v>98</v>
      </c>
      <c r="D1488" s="33" t="s">
        <v>59</v>
      </c>
      <c r="E1488" s="33" t="s">
        <v>83</v>
      </c>
      <c r="F1488" s="33" t="s">
        <v>4404</v>
      </c>
      <c r="G1488" s="33" t="s">
        <v>9</v>
      </c>
      <c r="H1488" s="33" t="n">
        <v>30</v>
      </c>
    </row>
    <row r="1489" customFormat="false" ht="54" hidden="false" customHeight="true" outlineLevel="0" collapsed="false">
      <c r="A1489" s="32" t="s">
        <v>11409</v>
      </c>
      <c r="B1489" s="32" t="s">
        <v>4396</v>
      </c>
      <c r="C1489" s="33" t="s">
        <v>98</v>
      </c>
      <c r="D1489" s="33" t="s">
        <v>59</v>
      </c>
      <c r="E1489" s="33" t="s">
        <v>84</v>
      </c>
      <c r="F1489" s="33" t="s">
        <v>4405</v>
      </c>
      <c r="G1489" s="33" t="s">
        <v>9</v>
      </c>
      <c r="H1489" s="33" t="n">
        <v>30</v>
      </c>
    </row>
    <row r="1490" customFormat="false" ht="54" hidden="false" customHeight="true" outlineLevel="0" collapsed="false">
      <c r="A1490" s="32" t="s">
        <v>11410</v>
      </c>
      <c r="B1490" s="32" t="s">
        <v>4409</v>
      </c>
      <c r="C1490" s="33" t="s">
        <v>98</v>
      </c>
      <c r="D1490" s="33" t="s">
        <v>59</v>
      </c>
      <c r="E1490" s="33" t="s">
        <v>80</v>
      </c>
      <c r="F1490" s="33" t="s">
        <v>4416</v>
      </c>
      <c r="G1490" s="33" t="s">
        <v>9</v>
      </c>
      <c r="H1490" s="33" t="n">
        <v>30</v>
      </c>
    </row>
    <row r="1491" customFormat="false" ht="54" hidden="false" customHeight="true" outlineLevel="0" collapsed="false">
      <c r="A1491" s="32" t="s">
        <v>11411</v>
      </c>
      <c r="B1491" s="32" t="s">
        <v>4409</v>
      </c>
      <c r="C1491" s="33" t="s">
        <v>98</v>
      </c>
      <c r="D1491" s="33" t="s">
        <v>59</v>
      </c>
      <c r="E1491" s="33" t="s">
        <v>80</v>
      </c>
      <c r="F1491" s="33" t="s">
        <v>11412</v>
      </c>
      <c r="G1491" s="33" t="s">
        <v>9</v>
      </c>
      <c r="H1491" s="33" t="n">
        <v>30</v>
      </c>
    </row>
    <row r="1492" customFormat="false" ht="54" hidden="false" customHeight="true" outlineLevel="0" collapsed="false">
      <c r="A1492" s="32" t="s">
        <v>11413</v>
      </c>
      <c r="B1492" s="32" t="s">
        <v>4409</v>
      </c>
      <c r="C1492" s="33" t="s">
        <v>98</v>
      </c>
      <c r="D1492" s="33" t="s">
        <v>59</v>
      </c>
      <c r="E1492" s="33" t="s">
        <v>80</v>
      </c>
      <c r="F1492" s="33" t="s">
        <v>11414</v>
      </c>
      <c r="G1492" s="33" t="s">
        <v>9</v>
      </c>
      <c r="H1492" s="33" t="n">
        <v>30</v>
      </c>
    </row>
    <row r="1493" customFormat="false" ht="54" hidden="false" customHeight="true" outlineLevel="0" collapsed="false">
      <c r="A1493" s="32" t="s">
        <v>11415</v>
      </c>
      <c r="B1493" s="32" t="s">
        <v>4409</v>
      </c>
      <c r="C1493" s="33" t="s">
        <v>98</v>
      </c>
      <c r="D1493" s="33" t="s">
        <v>59</v>
      </c>
      <c r="E1493" s="33" t="s">
        <v>84</v>
      </c>
      <c r="F1493" s="33" t="s">
        <v>4416</v>
      </c>
      <c r="G1493" s="33" t="s">
        <v>9</v>
      </c>
      <c r="H1493" s="33" t="n">
        <v>30</v>
      </c>
    </row>
    <row r="1494" customFormat="false" ht="54" hidden="false" customHeight="true" outlineLevel="0" collapsed="false">
      <c r="A1494" s="32" t="s">
        <v>11416</v>
      </c>
      <c r="B1494" s="32" t="s">
        <v>4409</v>
      </c>
      <c r="C1494" s="33" t="s">
        <v>98</v>
      </c>
      <c r="D1494" s="33" t="s">
        <v>59</v>
      </c>
      <c r="E1494" s="33" t="s">
        <v>84</v>
      </c>
      <c r="F1494" s="33" t="s">
        <v>11412</v>
      </c>
      <c r="G1494" s="33" t="s">
        <v>9</v>
      </c>
      <c r="H1494" s="33" t="n">
        <v>30</v>
      </c>
    </row>
    <row r="1495" customFormat="false" ht="54" hidden="false" customHeight="true" outlineLevel="0" collapsed="false">
      <c r="A1495" s="32" t="s">
        <v>11417</v>
      </c>
      <c r="B1495" s="32" t="s">
        <v>4409</v>
      </c>
      <c r="C1495" s="33" t="s">
        <v>98</v>
      </c>
      <c r="D1495" s="33" t="s">
        <v>59</v>
      </c>
      <c r="E1495" s="33" t="s">
        <v>84</v>
      </c>
      <c r="F1495" s="33" t="s">
        <v>11414</v>
      </c>
      <c r="G1495" s="33" t="s">
        <v>9</v>
      </c>
      <c r="H1495" s="33" t="n">
        <v>30</v>
      </c>
    </row>
    <row r="1496" customFormat="false" ht="54" hidden="false" customHeight="true" outlineLevel="0" collapsed="false">
      <c r="A1496" s="32" t="s">
        <v>11418</v>
      </c>
      <c r="B1496" s="32" t="s">
        <v>4431</v>
      </c>
      <c r="C1496" s="33" t="s">
        <v>98</v>
      </c>
      <c r="D1496" s="33" t="s">
        <v>59</v>
      </c>
      <c r="E1496" s="33" t="s">
        <v>80</v>
      </c>
      <c r="F1496" s="33" t="s">
        <v>11419</v>
      </c>
      <c r="G1496" s="33" t="s">
        <v>9</v>
      </c>
      <c r="H1496" s="33" t="n">
        <v>30</v>
      </c>
    </row>
    <row r="1497" customFormat="false" ht="54" hidden="false" customHeight="true" outlineLevel="0" collapsed="false">
      <c r="A1497" s="32" t="s">
        <v>11420</v>
      </c>
      <c r="B1497" s="32" t="s">
        <v>4431</v>
      </c>
      <c r="C1497" s="33" t="s">
        <v>98</v>
      </c>
      <c r="D1497" s="33" t="s">
        <v>59</v>
      </c>
      <c r="E1497" s="33" t="s">
        <v>80</v>
      </c>
      <c r="F1497" s="33" t="s">
        <v>4442</v>
      </c>
      <c r="G1497" s="33" t="s">
        <v>9</v>
      </c>
      <c r="H1497" s="33" t="n">
        <v>30</v>
      </c>
    </row>
    <row r="1498" customFormat="false" ht="54" hidden="false" customHeight="true" outlineLevel="0" collapsed="false">
      <c r="A1498" s="32" t="s">
        <v>11421</v>
      </c>
      <c r="B1498" s="32" t="s">
        <v>4431</v>
      </c>
      <c r="C1498" s="33" t="s">
        <v>98</v>
      </c>
      <c r="D1498" s="33" t="s">
        <v>59</v>
      </c>
      <c r="E1498" s="33" t="s">
        <v>80</v>
      </c>
      <c r="F1498" s="33" t="s">
        <v>11422</v>
      </c>
      <c r="G1498" s="33" t="s">
        <v>9</v>
      </c>
      <c r="H1498" s="33" t="n">
        <v>30</v>
      </c>
    </row>
    <row r="1499" customFormat="false" ht="54" hidden="false" customHeight="true" outlineLevel="0" collapsed="false">
      <c r="A1499" s="32" t="s">
        <v>11423</v>
      </c>
      <c r="B1499" s="32" t="s">
        <v>4431</v>
      </c>
      <c r="C1499" s="33" t="s">
        <v>98</v>
      </c>
      <c r="D1499" s="33" t="s">
        <v>59</v>
      </c>
      <c r="E1499" s="33" t="s">
        <v>80</v>
      </c>
      <c r="F1499" s="33" t="s">
        <v>4439</v>
      </c>
      <c r="G1499" s="33" t="s">
        <v>9</v>
      </c>
      <c r="H1499" s="33" t="n">
        <v>30</v>
      </c>
    </row>
    <row r="1500" customFormat="false" ht="54" hidden="false" customHeight="true" outlineLevel="0" collapsed="false">
      <c r="A1500" s="32" t="s">
        <v>11424</v>
      </c>
      <c r="B1500" s="32" t="s">
        <v>4431</v>
      </c>
      <c r="C1500" s="33" t="s">
        <v>98</v>
      </c>
      <c r="D1500" s="33" t="s">
        <v>59</v>
      </c>
      <c r="E1500" s="33" t="s">
        <v>81</v>
      </c>
      <c r="F1500" s="33" t="s">
        <v>4441</v>
      </c>
      <c r="G1500" s="33" t="s">
        <v>9</v>
      </c>
      <c r="H1500" s="33" t="n">
        <v>30</v>
      </c>
    </row>
    <row r="1501" customFormat="false" ht="54" hidden="false" customHeight="true" outlineLevel="0" collapsed="false">
      <c r="A1501" s="32" t="s">
        <v>11425</v>
      </c>
      <c r="B1501" s="32" t="s">
        <v>4431</v>
      </c>
      <c r="C1501" s="33" t="s">
        <v>98</v>
      </c>
      <c r="D1501" s="33" t="s">
        <v>59</v>
      </c>
      <c r="E1501" s="33" t="s">
        <v>84</v>
      </c>
      <c r="F1501" s="33" t="s">
        <v>4442</v>
      </c>
      <c r="G1501" s="33" t="s">
        <v>9</v>
      </c>
      <c r="H1501" s="33" t="n">
        <v>30</v>
      </c>
    </row>
    <row r="1502" customFormat="false" ht="54" hidden="false" customHeight="true" outlineLevel="0" collapsed="false">
      <c r="A1502" s="32" t="s">
        <v>11426</v>
      </c>
      <c r="B1502" s="32" t="s">
        <v>4446</v>
      </c>
      <c r="C1502" s="33" t="s">
        <v>98</v>
      </c>
      <c r="D1502" s="33" t="s">
        <v>59</v>
      </c>
      <c r="E1502" s="33" t="s">
        <v>80</v>
      </c>
      <c r="F1502" s="33" t="s">
        <v>11427</v>
      </c>
      <c r="G1502" s="33" t="s">
        <v>9</v>
      </c>
      <c r="H1502" s="33" t="n">
        <v>30</v>
      </c>
    </row>
    <row r="1503" customFormat="false" ht="54" hidden="false" customHeight="true" outlineLevel="0" collapsed="false">
      <c r="A1503" s="32" t="s">
        <v>11428</v>
      </c>
      <c r="B1503" s="32" t="s">
        <v>4446</v>
      </c>
      <c r="C1503" s="33" t="s">
        <v>98</v>
      </c>
      <c r="D1503" s="33" t="s">
        <v>59</v>
      </c>
      <c r="E1503" s="33" t="s">
        <v>80</v>
      </c>
      <c r="F1503" s="33" t="s">
        <v>4456</v>
      </c>
      <c r="G1503" s="33" t="s">
        <v>9</v>
      </c>
      <c r="H1503" s="33" t="n">
        <v>30</v>
      </c>
    </row>
    <row r="1504" customFormat="false" ht="54" hidden="false" customHeight="true" outlineLevel="0" collapsed="false">
      <c r="A1504" s="32" t="s">
        <v>11429</v>
      </c>
      <c r="B1504" s="32" t="s">
        <v>4446</v>
      </c>
      <c r="C1504" s="33" t="s">
        <v>98</v>
      </c>
      <c r="D1504" s="33" t="s">
        <v>59</v>
      </c>
      <c r="E1504" s="33" t="s">
        <v>80</v>
      </c>
      <c r="F1504" s="33" t="s">
        <v>11430</v>
      </c>
      <c r="G1504" s="33" t="s">
        <v>9</v>
      </c>
      <c r="H1504" s="33" t="n">
        <v>30</v>
      </c>
    </row>
    <row r="1505" customFormat="false" ht="54" hidden="false" customHeight="true" outlineLevel="0" collapsed="false">
      <c r="A1505" s="32" t="s">
        <v>11431</v>
      </c>
      <c r="B1505" s="32" t="s">
        <v>4446</v>
      </c>
      <c r="C1505" s="33" t="s">
        <v>98</v>
      </c>
      <c r="D1505" s="33" t="s">
        <v>59</v>
      </c>
      <c r="E1505" s="33" t="s">
        <v>84</v>
      </c>
      <c r="F1505" s="33" t="s">
        <v>4456</v>
      </c>
      <c r="G1505" s="33" t="s">
        <v>9</v>
      </c>
      <c r="H1505" s="33" t="n">
        <v>30</v>
      </c>
    </row>
    <row r="1506" customFormat="false" ht="54" hidden="false" customHeight="true" outlineLevel="0" collapsed="false">
      <c r="A1506" s="32" t="s">
        <v>11432</v>
      </c>
      <c r="B1506" s="32" t="s">
        <v>4446</v>
      </c>
      <c r="C1506" s="33" t="s">
        <v>98</v>
      </c>
      <c r="D1506" s="33" t="s">
        <v>59</v>
      </c>
      <c r="E1506" s="33" t="s">
        <v>86</v>
      </c>
      <c r="F1506" s="33" t="s">
        <v>11433</v>
      </c>
      <c r="G1506" s="33" t="s">
        <v>9</v>
      </c>
      <c r="H1506" s="33" t="n">
        <v>30</v>
      </c>
    </row>
    <row r="1507" customFormat="false" ht="54" hidden="false" customHeight="true" outlineLevel="0" collapsed="false">
      <c r="A1507" s="32" t="s">
        <v>11434</v>
      </c>
      <c r="B1507" s="32" t="s">
        <v>4446</v>
      </c>
      <c r="C1507" s="33" t="s">
        <v>98</v>
      </c>
      <c r="D1507" s="33" t="s">
        <v>59</v>
      </c>
      <c r="E1507" s="33" t="s">
        <v>86</v>
      </c>
      <c r="F1507" s="33" t="s">
        <v>11435</v>
      </c>
      <c r="G1507" s="33" t="s">
        <v>9</v>
      </c>
      <c r="H1507" s="33" t="n">
        <v>30</v>
      </c>
    </row>
    <row r="1508" customFormat="false" ht="54" hidden="false" customHeight="true" outlineLevel="0" collapsed="false">
      <c r="A1508" s="32" t="s">
        <v>11436</v>
      </c>
      <c r="B1508" s="32" t="s">
        <v>4461</v>
      </c>
      <c r="C1508" s="33" t="s">
        <v>98</v>
      </c>
      <c r="D1508" s="33" t="s">
        <v>59</v>
      </c>
      <c r="E1508" s="33" t="s">
        <v>84</v>
      </c>
      <c r="F1508" s="33" t="s">
        <v>4471</v>
      </c>
      <c r="G1508" s="33" t="s">
        <v>9</v>
      </c>
      <c r="H1508" s="33" t="n">
        <v>30</v>
      </c>
    </row>
    <row r="1509" customFormat="false" ht="54" hidden="false" customHeight="true" outlineLevel="0" collapsed="false">
      <c r="A1509" s="32" t="s">
        <v>11437</v>
      </c>
      <c r="B1509" s="32" t="s">
        <v>4475</v>
      </c>
      <c r="C1509" s="33" t="s">
        <v>98</v>
      </c>
      <c r="D1509" s="33" t="s">
        <v>59</v>
      </c>
      <c r="E1509" s="33" t="s">
        <v>83</v>
      </c>
      <c r="F1509" s="33" t="s">
        <v>4484</v>
      </c>
      <c r="G1509" s="33" t="s">
        <v>9</v>
      </c>
      <c r="H1509" s="33" t="n">
        <v>30</v>
      </c>
    </row>
    <row r="1510" customFormat="false" ht="54" hidden="false" customHeight="true" outlineLevel="0" collapsed="false">
      <c r="A1510" s="32" t="s">
        <v>11438</v>
      </c>
      <c r="B1510" s="32" t="s">
        <v>4475</v>
      </c>
      <c r="C1510" s="33" t="s">
        <v>98</v>
      </c>
      <c r="D1510" s="33" t="s">
        <v>59</v>
      </c>
      <c r="E1510" s="33" t="s">
        <v>85</v>
      </c>
      <c r="F1510" s="33" t="s">
        <v>4485</v>
      </c>
      <c r="G1510" s="33" t="s">
        <v>9</v>
      </c>
      <c r="H1510" s="33" t="n">
        <v>30</v>
      </c>
    </row>
    <row r="1511" customFormat="false" ht="54" hidden="false" customHeight="true" outlineLevel="0" collapsed="false">
      <c r="A1511" s="32" t="s">
        <v>11439</v>
      </c>
      <c r="B1511" s="32" t="s">
        <v>4488</v>
      </c>
      <c r="C1511" s="33" t="s">
        <v>98</v>
      </c>
      <c r="D1511" s="33" t="s">
        <v>59</v>
      </c>
      <c r="E1511" s="33" t="s">
        <v>81</v>
      </c>
      <c r="F1511" s="33" t="s">
        <v>4492</v>
      </c>
      <c r="G1511" s="33" t="s">
        <v>9</v>
      </c>
      <c r="H1511" s="33" t="n">
        <v>30</v>
      </c>
    </row>
    <row r="1512" customFormat="false" ht="54" hidden="false" customHeight="true" outlineLevel="0" collapsed="false">
      <c r="A1512" s="32" t="s">
        <v>11440</v>
      </c>
      <c r="B1512" s="32" t="s">
        <v>4488</v>
      </c>
      <c r="C1512" s="33" t="s">
        <v>98</v>
      </c>
      <c r="D1512" s="33" t="s">
        <v>59</v>
      </c>
      <c r="E1512" s="33" t="s">
        <v>81</v>
      </c>
      <c r="F1512" s="33" t="s">
        <v>11441</v>
      </c>
      <c r="G1512" s="33" t="s">
        <v>9</v>
      </c>
      <c r="H1512" s="33" t="n">
        <v>30</v>
      </c>
    </row>
    <row r="1513" customFormat="false" ht="54" hidden="false" customHeight="true" outlineLevel="0" collapsed="false">
      <c r="A1513" s="32" t="s">
        <v>11442</v>
      </c>
      <c r="B1513" s="32" t="s">
        <v>4488</v>
      </c>
      <c r="C1513" s="33" t="s">
        <v>98</v>
      </c>
      <c r="D1513" s="33" t="s">
        <v>59</v>
      </c>
      <c r="E1513" s="33" t="s">
        <v>81</v>
      </c>
      <c r="F1513" s="33" t="s">
        <v>11443</v>
      </c>
      <c r="G1513" s="33" t="s">
        <v>9</v>
      </c>
      <c r="H1513" s="33" t="n">
        <v>30</v>
      </c>
    </row>
    <row r="1514" customFormat="false" ht="54" hidden="false" customHeight="true" outlineLevel="0" collapsed="false">
      <c r="A1514" s="32" t="s">
        <v>11444</v>
      </c>
      <c r="B1514" s="32" t="s">
        <v>4488</v>
      </c>
      <c r="C1514" s="33" t="s">
        <v>98</v>
      </c>
      <c r="D1514" s="33" t="s">
        <v>59</v>
      </c>
      <c r="E1514" s="33" t="s">
        <v>81</v>
      </c>
      <c r="F1514" s="33" t="s">
        <v>4498</v>
      </c>
      <c r="G1514" s="33" t="s">
        <v>9</v>
      </c>
      <c r="H1514" s="33" t="n">
        <v>30</v>
      </c>
    </row>
    <row r="1515" customFormat="false" ht="54" hidden="false" customHeight="true" outlineLevel="0" collapsed="false">
      <c r="A1515" s="32" t="s">
        <v>11445</v>
      </c>
      <c r="B1515" s="32" t="s">
        <v>4488</v>
      </c>
      <c r="C1515" s="33" t="s">
        <v>98</v>
      </c>
      <c r="D1515" s="33" t="s">
        <v>59</v>
      </c>
      <c r="E1515" s="33" t="s">
        <v>81</v>
      </c>
      <c r="F1515" s="33" t="s">
        <v>11446</v>
      </c>
      <c r="G1515" s="33" t="s">
        <v>9</v>
      </c>
      <c r="H1515" s="33" t="n">
        <v>30</v>
      </c>
    </row>
    <row r="1516" customFormat="false" ht="54" hidden="false" customHeight="true" outlineLevel="0" collapsed="false">
      <c r="A1516" s="32" t="s">
        <v>11447</v>
      </c>
      <c r="B1516" s="32" t="s">
        <v>4488</v>
      </c>
      <c r="C1516" s="33" t="s">
        <v>98</v>
      </c>
      <c r="D1516" s="33" t="s">
        <v>59</v>
      </c>
      <c r="E1516" s="33" t="s">
        <v>84</v>
      </c>
      <c r="F1516" s="33" t="s">
        <v>4498</v>
      </c>
      <c r="G1516" s="33" t="s">
        <v>9</v>
      </c>
      <c r="H1516" s="33" t="n">
        <v>30</v>
      </c>
    </row>
    <row r="1517" customFormat="false" ht="54" hidden="false" customHeight="true" outlineLevel="0" collapsed="false">
      <c r="A1517" s="32" t="s">
        <v>11448</v>
      </c>
      <c r="B1517" s="32" t="s">
        <v>4488</v>
      </c>
      <c r="C1517" s="33" t="s">
        <v>98</v>
      </c>
      <c r="D1517" s="33" t="s">
        <v>59</v>
      </c>
      <c r="E1517" s="33" t="s">
        <v>86</v>
      </c>
      <c r="F1517" s="33" t="s">
        <v>4498</v>
      </c>
      <c r="G1517" s="33" t="s">
        <v>9</v>
      </c>
      <c r="H1517" s="33" t="n">
        <v>30</v>
      </c>
    </row>
    <row r="1518" customFormat="false" ht="54" hidden="false" customHeight="true" outlineLevel="0" collapsed="false">
      <c r="A1518" s="32" t="s">
        <v>11449</v>
      </c>
      <c r="B1518" s="32" t="s">
        <v>4488</v>
      </c>
      <c r="C1518" s="33" t="s">
        <v>98</v>
      </c>
      <c r="D1518" s="33" t="s">
        <v>59</v>
      </c>
      <c r="E1518" s="33" t="s">
        <v>86</v>
      </c>
      <c r="F1518" s="33" t="s">
        <v>11450</v>
      </c>
      <c r="G1518" s="33" t="s">
        <v>9</v>
      </c>
      <c r="H1518" s="33" t="n">
        <v>30</v>
      </c>
    </row>
    <row r="1519" customFormat="false" ht="54" hidden="false" customHeight="true" outlineLevel="0" collapsed="false">
      <c r="A1519" s="32" t="s">
        <v>11451</v>
      </c>
      <c r="B1519" s="32" t="s">
        <v>4488</v>
      </c>
      <c r="C1519" s="33" t="s">
        <v>98</v>
      </c>
      <c r="D1519" s="33" t="s">
        <v>59</v>
      </c>
      <c r="E1519" s="33" t="s">
        <v>86</v>
      </c>
      <c r="F1519" s="33" t="s">
        <v>11452</v>
      </c>
      <c r="G1519" s="33" t="s">
        <v>9</v>
      </c>
      <c r="H1519" s="33" t="n">
        <v>30</v>
      </c>
    </row>
    <row r="1520" customFormat="false" ht="54" hidden="false" customHeight="true" outlineLevel="0" collapsed="false">
      <c r="A1520" s="32" t="s">
        <v>11453</v>
      </c>
      <c r="B1520" s="32" t="s">
        <v>4503</v>
      </c>
      <c r="C1520" s="33" t="s">
        <v>98</v>
      </c>
      <c r="D1520" s="33" t="s">
        <v>59</v>
      </c>
      <c r="E1520" s="33" t="s">
        <v>84</v>
      </c>
      <c r="F1520" s="33" t="s">
        <v>4512</v>
      </c>
      <c r="G1520" s="33" t="s">
        <v>9</v>
      </c>
      <c r="H1520" s="33" t="n">
        <v>30</v>
      </c>
    </row>
    <row r="1521" customFormat="false" ht="54" hidden="false" customHeight="true" outlineLevel="0" collapsed="false">
      <c r="A1521" s="32" t="s">
        <v>11454</v>
      </c>
      <c r="B1521" s="32" t="s">
        <v>4503</v>
      </c>
      <c r="C1521" s="33" t="s">
        <v>98</v>
      </c>
      <c r="D1521" s="33" t="s">
        <v>59</v>
      </c>
      <c r="E1521" s="33" t="s">
        <v>86</v>
      </c>
      <c r="F1521" s="33" t="s">
        <v>11455</v>
      </c>
      <c r="G1521" s="33" t="s">
        <v>9</v>
      </c>
      <c r="H1521" s="33" t="n">
        <v>30</v>
      </c>
    </row>
    <row r="1522" customFormat="false" ht="54" hidden="false" customHeight="true" outlineLevel="0" collapsed="false">
      <c r="A1522" s="32" t="s">
        <v>11456</v>
      </c>
      <c r="B1522" s="32" t="s">
        <v>4503</v>
      </c>
      <c r="C1522" s="33" t="s">
        <v>98</v>
      </c>
      <c r="D1522" s="33" t="s">
        <v>59</v>
      </c>
      <c r="E1522" s="33" t="s">
        <v>86</v>
      </c>
      <c r="F1522" s="33" t="s">
        <v>11457</v>
      </c>
      <c r="G1522" s="33" t="s">
        <v>9</v>
      </c>
      <c r="H1522" s="33" t="n">
        <v>30</v>
      </c>
    </row>
    <row r="1523" customFormat="false" ht="54" hidden="false" customHeight="true" outlineLevel="0" collapsed="false">
      <c r="A1523" s="32" t="s">
        <v>11458</v>
      </c>
      <c r="B1523" s="32" t="s">
        <v>4516</v>
      </c>
      <c r="C1523" s="33" t="s">
        <v>98</v>
      </c>
      <c r="D1523" s="33" t="s">
        <v>59</v>
      </c>
      <c r="E1523" s="33" t="s">
        <v>80</v>
      </c>
      <c r="F1523" s="33" t="s">
        <v>11459</v>
      </c>
      <c r="G1523" s="33" t="s">
        <v>9</v>
      </c>
      <c r="H1523" s="33" t="n">
        <v>30</v>
      </c>
    </row>
    <row r="1524" customFormat="false" ht="54" hidden="false" customHeight="true" outlineLevel="0" collapsed="false">
      <c r="A1524" s="32" t="s">
        <v>11460</v>
      </c>
      <c r="B1524" s="32" t="s">
        <v>4516</v>
      </c>
      <c r="C1524" s="33" t="s">
        <v>98</v>
      </c>
      <c r="D1524" s="33" t="s">
        <v>59</v>
      </c>
      <c r="E1524" s="33" t="s">
        <v>80</v>
      </c>
      <c r="F1524" s="33" t="s">
        <v>11461</v>
      </c>
      <c r="G1524" s="33" t="s">
        <v>9</v>
      </c>
      <c r="H1524" s="33" t="n">
        <v>30</v>
      </c>
    </row>
    <row r="1525" customFormat="false" ht="54" hidden="false" customHeight="true" outlineLevel="0" collapsed="false">
      <c r="A1525" s="32" t="s">
        <v>11462</v>
      </c>
      <c r="B1525" s="32" t="s">
        <v>4516</v>
      </c>
      <c r="C1525" s="33" t="s">
        <v>98</v>
      </c>
      <c r="D1525" s="33" t="s">
        <v>59</v>
      </c>
      <c r="E1525" s="33" t="s">
        <v>80</v>
      </c>
      <c r="F1525" s="33" t="s">
        <v>10500</v>
      </c>
      <c r="G1525" s="33" t="s">
        <v>9</v>
      </c>
      <c r="H1525" s="33" t="n">
        <v>30</v>
      </c>
    </row>
    <row r="1526" customFormat="false" ht="54" hidden="false" customHeight="true" outlineLevel="0" collapsed="false">
      <c r="A1526" s="32" t="s">
        <v>11463</v>
      </c>
      <c r="B1526" s="32" t="s">
        <v>4516</v>
      </c>
      <c r="C1526" s="33" t="s">
        <v>98</v>
      </c>
      <c r="D1526" s="33" t="s">
        <v>59</v>
      </c>
      <c r="E1526" s="33" t="s">
        <v>80</v>
      </c>
      <c r="F1526" s="33" t="s">
        <v>11464</v>
      </c>
      <c r="G1526" s="33" t="s">
        <v>9</v>
      </c>
      <c r="H1526" s="33" t="n">
        <v>30</v>
      </c>
    </row>
    <row r="1527" customFormat="false" ht="54" hidden="false" customHeight="true" outlineLevel="0" collapsed="false">
      <c r="A1527" s="32" t="s">
        <v>11465</v>
      </c>
      <c r="B1527" s="32" t="s">
        <v>4516</v>
      </c>
      <c r="C1527" s="33" t="s">
        <v>98</v>
      </c>
      <c r="D1527" s="33" t="s">
        <v>59</v>
      </c>
      <c r="E1527" s="33" t="s">
        <v>80</v>
      </c>
      <c r="F1527" s="33" t="s">
        <v>11466</v>
      </c>
      <c r="G1527" s="33" t="s">
        <v>9</v>
      </c>
      <c r="H1527" s="33" t="n">
        <v>30</v>
      </c>
    </row>
    <row r="1528" customFormat="false" ht="54" hidden="false" customHeight="true" outlineLevel="0" collapsed="false">
      <c r="A1528" s="32" t="s">
        <v>11467</v>
      </c>
      <c r="B1528" s="32" t="s">
        <v>4516</v>
      </c>
      <c r="C1528" s="33" t="s">
        <v>98</v>
      </c>
      <c r="D1528" s="33" t="s">
        <v>59</v>
      </c>
      <c r="E1528" s="33" t="s">
        <v>83</v>
      </c>
      <c r="F1528" s="33" t="s">
        <v>11468</v>
      </c>
      <c r="G1528" s="33" t="s">
        <v>9</v>
      </c>
      <c r="H1528" s="33" t="n">
        <v>30</v>
      </c>
    </row>
    <row r="1529" customFormat="false" ht="54" hidden="false" customHeight="true" outlineLevel="0" collapsed="false">
      <c r="A1529" s="32" t="s">
        <v>11469</v>
      </c>
      <c r="B1529" s="32" t="s">
        <v>4516</v>
      </c>
      <c r="C1529" s="33" t="s">
        <v>98</v>
      </c>
      <c r="D1529" s="33" t="s">
        <v>59</v>
      </c>
      <c r="E1529" s="33" t="s">
        <v>83</v>
      </c>
      <c r="F1529" s="33" t="s">
        <v>11464</v>
      </c>
      <c r="G1529" s="33" t="s">
        <v>9</v>
      </c>
      <c r="H1529" s="33" t="n">
        <v>30</v>
      </c>
    </row>
    <row r="1530" customFormat="false" ht="54" hidden="false" customHeight="true" outlineLevel="0" collapsed="false">
      <c r="A1530" s="32" t="s">
        <v>11470</v>
      </c>
      <c r="B1530" s="32" t="s">
        <v>4516</v>
      </c>
      <c r="C1530" s="33" t="s">
        <v>98</v>
      </c>
      <c r="D1530" s="33" t="s">
        <v>59</v>
      </c>
      <c r="E1530" s="33" t="s">
        <v>83</v>
      </c>
      <c r="F1530" s="33" t="s">
        <v>11466</v>
      </c>
      <c r="G1530" s="33" t="s">
        <v>9</v>
      </c>
      <c r="H1530" s="33" t="n">
        <v>30</v>
      </c>
    </row>
    <row r="1531" customFormat="false" ht="54" hidden="false" customHeight="true" outlineLevel="0" collapsed="false">
      <c r="A1531" s="32" t="s">
        <v>11471</v>
      </c>
      <c r="B1531" s="32" t="s">
        <v>4516</v>
      </c>
      <c r="C1531" s="33" t="s">
        <v>98</v>
      </c>
      <c r="D1531" s="33" t="s">
        <v>59</v>
      </c>
      <c r="E1531" s="33" t="s">
        <v>84</v>
      </c>
      <c r="F1531" s="33" t="s">
        <v>11472</v>
      </c>
      <c r="G1531" s="33" t="s">
        <v>9</v>
      </c>
      <c r="H1531" s="33" t="n">
        <v>30</v>
      </c>
    </row>
    <row r="1532" customFormat="false" ht="54" hidden="false" customHeight="true" outlineLevel="0" collapsed="false">
      <c r="A1532" s="32" t="s">
        <v>11473</v>
      </c>
      <c r="B1532" s="32" t="s">
        <v>4516</v>
      </c>
      <c r="C1532" s="33" t="s">
        <v>98</v>
      </c>
      <c r="D1532" s="33" t="s">
        <v>59</v>
      </c>
      <c r="E1532" s="33" t="s">
        <v>84</v>
      </c>
      <c r="F1532" s="33" t="s">
        <v>11459</v>
      </c>
      <c r="G1532" s="33" t="s">
        <v>9</v>
      </c>
      <c r="H1532" s="33" t="n">
        <v>30</v>
      </c>
    </row>
    <row r="1533" customFormat="false" ht="54" hidden="false" customHeight="true" outlineLevel="0" collapsed="false">
      <c r="A1533" s="32" t="s">
        <v>11474</v>
      </c>
      <c r="B1533" s="32" t="s">
        <v>4516</v>
      </c>
      <c r="C1533" s="33" t="s">
        <v>98</v>
      </c>
      <c r="D1533" s="33" t="s">
        <v>59</v>
      </c>
      <c r="E1533" s="33" t="s">
        <v>84</v>
      </c>
      <c r="F1533" s="33" t="s">
        <v>11461</v>
      </c>
      <c r="G1533" s="33" t="s">
        <v>9</v>
      </c>
      <c r="H1533" s="33" t="n">
        <v>30</v>
      </c>
    </row>
    <row r="1534" customFormat="false" ht="54" hidden="false" customHeight="true" outlineLevel="0" collapsed="false">
      <c r="A1534" s="32" t="s">
        <v>11475</v>
      </c>
      <c r="B1534" s="32" t="s">
        <v>4516</v>
      </c>
      <c r="C1534" s="33" t="s">
        <v>98</v>
      </c>
      <c r="D1534" s="33" t="s">
        <v>59</v>
      </c>
      <c r="E1534" s="33" t="s">
        <v>84</v>
      </c>
      <c r="F1534" s="33" t="s">
        <v>11464</v>
      </c>
      <c r="G1534" s="33" t="s">
        <v>9</v>
      </c>
      <c r="H1534" s="33" t="n">
        <v>30</v>
      </c>
    </row>
    <row r="1535" customFormat="false" ht="54" hidden="false" customHeight="true" outlineLevel="0" collapsed="false">
      <c r="A1535" s="32" t="s">
        <v>11476</v>
      </c>
      <c r="B1535" s="32" t="s">
        <v>4516</v>
      </c>
      <c r="C1535" s="33" t="s">
        <v>98</v>
      </c>
      <c r="D1535" s="33" t="s">
        <v>59</v>
      </c>
      <c r="E1535" s="33" t="s">
        <v>84</v>
      </c>
      <c r="F1535" s="33" t="s">
        <v>11466</v>
      </c>
      <c r="G1535" s="33" t="s">
        <v>9</v>
      </c>
      <c r="H1535" s="33" t="n">
        <v>30</v>
      </c>
    </row>
    <row r="1536" customFormat="false" ht="54" hidden="false" customHeight="true" outlineLevel="0" collapsed="false">
      <c r="A1536" s="32" t="s">
        <v>11477</v>
      </c>
      <c r="B1536" s="32" t="s">
        <v>4516</v>
      </c>
      <c r="C1536" s="33" t="s">
        <v>98</v>
      </c>
      <c r="D1536" s="33" t="s">
        <v>59</v>
      </c>
      <c r="E1536" s="33" t="s">
        <v>84</v>
      </c>
      <c r="F1536" s="33" t="s">
        <v>11478</v>
      </c>
      <c r="G1536" s="33" t="s">
        <v>9</v>
      </c>
      <c r="H1536" s="33" t="n">
        <v>30</v>
      </c>
    </row>
    <row r="1537" customFormat="false" ht="54" hidden="false" customHeight="true" outlineLevel="0" collapsed="false">
      <c r="A1537" s="32" t="s">
        <v>11479</v>
      </c>
      <c r="B1537" s="32" t="s">
        <v>4516</v>
      </c>
      <c r="C1537" s="33" t="s">
        <v>98</v>
      </c>
      <c r="D1537" s="33" t="s">
        <v>59</v>
      </c>
      <c r="E1537" s="33" t="s">
        <v>86</v>
      </c>
      <c r="F1537" s="33" t="s">
        <v>4527</v>
      </c>
      <c r="G1537" s="33" t="s">
        <v>9</v>
      </c>
      <c r="H1537" s="33" t="n">
        <v>30</v>
      </c>
    </row>
    <row r="1538" customFormat="false" ht="54" hidden="false" customHeight="true" outlineLevel="0" collapsed="false">
      <c r="A1538" s="32" t="s">
        <v>11480</v>
      </c>
      <c r="B1538" s="32" t="s">
        <v>4530</v>
      </c>
      <c r="C1538" s="33" t="s">
        <v>98</v>
      </c>
      <c r="D1538" s="33" t="s">
        <v>59</v>
      </c>
      <c r="E1538" s="33" t="s">
        <v>84</v>
      </c>
      <c r="F1538" s="33" t="s">
        <v>4539</v>
      </c>
      <c r="G1538" s="33" t="s">
        <v>9</v>
      </c>
      <c r="H1538" s="33" t="n">
        <v>30</v>
      </c>
    </row>
    <row r="1539" customFormat="false" ht="54" hidden="false" customHeight="true" outlineLevel="0" collapsed="false">
      <c r="A1539" s="32" t="s">
        <v>11481</v>
      </c>
      <c r="B1539" s="32" t="s">
        <v>4542</v>
      </c>
      <c r="C1539" s="33" t="s">
        <v>98</v>
      </c>
      <c r="D1539" s="33" t="s">
        <v>59</v>
      </c>
      <c r="E1539" s="33" t="s">
        <v>80</v>
      </c>
      <c r="F1539" s="33" t="s">
        <v>11108</v>
      </c>
      <c r="G1539" s="33" t="s">
        <v>9</v>
      </c>
      <c r="H1539" s="33" t="n">
        <v>30</v>
      </c>
    </row>
    <row r="1540" customFormat="false" ht="54" hidden="false" customHeight="true" outlineLevel="0" collapsed="false">
      <c r="A1540" s="32" t="s">
        <v>11482</v>
      </c>
      <c r="B1540" s="32" t="s">
        <v>4542</v>
      </c>
      <c r="C1540" s="33" t="s">
        <v>98</v>
      </c>
      <c r="D1540" s="33" t="s">
        <v>59</v>
      </c>
      <c r="E1540" s="33" t="s">
        <v>80</v>
      </c>
      <c r="F1540" s="33" t="s">
        <v>11483</v>
      </c>
      <c r="G1540" s="33" t="s">
        <v>9</v>
      </c>
      <c r="H1540" s="33" t="n">
        <v>30</v>
      </c>
    </row>
    <row r="1541" customFormat="false" ht="54" hidden="false" customHeight="true" outlineLevel="0" collapsed="false">
      <c r="A1541" s="32" t="s">
        <v>11484</v>
      </c>
      <c r="B1541" s="32" t="s">
        <v>4542</v>
      </c>
      <c r="C1541" s="33" t="s">
        <v>98</v>
      </c>
      <c r="D1541" s="33" t="s">
        <v>59</v>
      </c>
      <c r="E1541" s="33" t="s">
        <v>80</v>
      </c>
      <c r="F1541" s="33" t="s">
        <v>11485</v>
      </c>
      <c r="G1541" s="33" t="s">
        <v>9</v>
      </c>
      <c r="H1541" s="33" t="n">
        <v>30</v>
      </c>
    </row>
    <row r="1542" customFormat="false" ht="54" hidden="false" customHeight="true" outlineLevel="0" collapsed="false">
      <c r="A1542" s="32" t="s">
        <v>11486</v>
      </c>
      <c r="B1542" s="32" t="s">
        <v>4542</v>
      </c>
      <c r="C1542" s="33" t="s">
        <v>98</v>
      </c>
      <c r="D1542" s="33" t="s">
        <v>59</v>
      </c>
      <c r="E1542" s="33" t="s">
        <v>81</v>
      </c>
      <c r="F1542" s="33" t="s">
        <v>11487</v>
      </c>
      <c r="G1542" s="33" t="s">
        <v>9</v>
      </c>
      <c r="H1542" s="33" t="n">
        <v>30</v>
      </c>
    </row>
    <row r="1543" customFormat="false" ht="54" hidden="false" customHeight="true" outlineLevel="0" collapsed="false">
      <c r="A1543" s="32" t="s">
        <v>11488</v>
      </c>
      <c r="B1543" s="32" t="s">
        <v>4542</v>
      </c>
      <c r="C1543" s="33" t="s">
        <v>98</v>
      </c>
      <c r="D1543" s="33" t="s">
        <v>59</v>
      </c>
      <c r="E1543" s="33" t="s">
        <v>81</v>
      </c>
      <c r="F1543" s="33" t="s">
        <v>11489</v>
      </c>
      <c r="G1543" s="33" t="s">
        <v>9</v>
      </c>
      <c r="H1543" s="33" t="n">
        <v>30</v>
      </c>
    </row>
    <row r="1544" customFormat="false" ht="54" hidden="false" customHeight="true" outlineLevel="0" collapsed="false">
      <c r="A1544" s="32" t="s">
        <v>11490</v>
      </c>
      <c r="B1544" s="32" t="s">
        <v>4542</v>
      </c>
      <c r="C1544" s="33" t="s">
        <v>98</v>
      </c>
      <c r="D1544" s="33" t="s">
        <v>59</v>
      </c>
      <c r="E1544" s="33" t="s">
        <v>84</v>
      </c>
      <c r="F1544" s="33" t="s">
        <v>11108</v>
      </c>
      <c r="G1544" s="33" t="s">
        <v>9</v>
      </c>
      <c r="H1544" s="33" t="n">
        <v>30</v>
      </c>
    </row>
    <row r="1545" customFormat="false" ht="54" hidden="false" customHeight="true" outlineLevel="0" collapsed="false">
      <c r="A1545" s="32" t="s">
        <v>11491</v>
      </c>
      <c r="B1545" s="32" t="s">
        <v>4542</v>
      </c>
      <c r="C1545" s="33" t="s">
        <v>98</v>
      </c>
      <c r="D1545" s="33" t="s">
        <v>59</v>
      </c>
      <c r="E1545" s="33" t="s">
        <v>84</v>
      </c>
      <c r="F1545" s="33" t="s">
        <v>11483</v>
      </c>
      <c r="G1545" s="33" t="s">
        <v>9</v>
      </c>
      <c r="H1545" s="33" t="n">
        <v>30</v>
      </c>
    </row>
    <row r="1546" customFormat="false" ht="54" hidden="false" customHeight="true" outlineLevel="0" collapsed="false">
      <c r="A1546" s="32" t="s">
        <v>11492</v>
      </c>
      <c r="B1546" s="32" t="s">
        <v>4542</v>
      </c>
      <c r="C1546" s="33" t="s">
        <v>98</v>
      </c>
      <c r="D1546" s="33" t="s">
        <v>59</v>
      </c>
      <c r="E1546" s="33" t="s">
        <v>86</v>
      </c>
      <c r="F1546" s="33" t="s">
        <v>11493</v>
      </c>
      <c r="G1546" s="33" t="s">
        <v>9</v>
      </c>
      <c r="H1546" s="33" t="n">
        <v>30</v>
      </c>
    </row>
    <row r="1547" customFormat="false" ht="54" hidden="false" customHeight="true" outlineLevel="0" collapsed="false">
      <c r="A1547" s="32" t="s">
        <v>11494</v>
      </c>
      <c r="B1547" s="32" t="s">
        <v>4542</v>
      </c>
      <c r="C1547" s="33" t="s">
        <v>98</v>
      </c>
      <c r="D1547" s="33" t="s">
        <v>59</v>
      </c>
      <c r="E1547" s="33" t="s">
        <v>86</v>
      </c>
      <c r="F1547" s="33" t="s">
        <v>11483</v>
      </c>
      <c r="G1547" s="33" t="s">
        <v>9</v>
      </c>
      <c r="H1547" s="33" t="n">
        <v>30</v>
      </c>
    </row>
    <row r="1548" customFormat="false" ht="54" hidden="false" customHeight="true" outlineLevel="0" collapsed="false">
      <c r="A1548" s="32" t="s">
        <v>11495</v>
      </c>
      <c r="B1548" s="32" t="s">
        <v>4542</v>
      </c>
      <c r="C1548" s="33" t="s">
        <v>98</v>
      </c>
      <c r="D1548" s="33" t="s">
        <v>59</v>
      </c>
      <c r="E1548" s="33" t="s">
        <v>86</v>
      </c>
      <c r="F1548" s="33" t="s">
        <v>11489</v>
      </c>
      <c r="G1548" s="33" t="s">
        <v>9</v>
      </c>
      <c r="H1548" s="33" t="n">
        <v>30</v>
      </c>
    </row>
    <row r="1549" customFormat="false" ht="54" hidden="false" customHeight="true" outlineLevel="0" collapsed="false">
      <c r="A1549" s="32" t="s">
        <v>11496</v>
      </c>
      <c r="B1549" s="32" t="s">
        <v>4558</v>
      </c>
      <c r="C1549" s="33" t="s">
        <v>98</v>
      </c>
      <c r="D1549" s="33" t="s">
        <v>59</v>
      </c>
      <c r="E1549" s="33" t="s">
        <v>80</v>
      </c>
      <c r="F1549" s="33" t="s">
        <v>11497</v>
      </c>
      <c r="G1549" s="33" t="s">
        <v>9</v>
      </c>
      <c r="H1549" s="33" t="n">
        <v>30</v>
      </c>
    </row>
    <row r="1550" customFormat="false" ht="54" hidden="false" customHeight="true" outlineLevel="0" collapsed="false">
      <c r="A1550" s="32" t="s">
        <v>11498</v>
      </c>
      <c r="B1550" s="32" t="s">
        <v>4558</v>
      </c>
      <c r="C1550" s="33" t="s">
        <v>98</v>
      </c>
      <c r="D1550" s="33" t="s">
        <v>59</v>
      </c>
      <c r="E1550" s="33" t="s">
        <v>80</v>
      </c>
      <c r="F1550" s="33" t="s">
        <v>11499</v>
      </c>
      <c r="G1550" s="33" t="s">
        <v>9</v>
      </c>
      <c r="H1550" s="33" t="n">
        <v>30</v>
      </c>
    </row>
    <row r="1551" customFormat="false" ht="54" hidden="false" customHeight="true" outlineLevel="0" collapsed="false">
      <c r="A1551" s="32" t="s">
        <v>11500</v>
      </c>
      <c r="B1551" s="32" t="s">
        <v>4558</v>
      </c>
      <c r="C1551" s="33" t="s">
        <v>98</v>
      </c>
      <c r="D1551" s="33" t="s">
        <v>59</v>
      </c>
      <c r="E1551" s="33" t="s">
        <v>80</v>
      </c>
      <c r="F1551" s="33" t="s">
        <v>11501</v>
      </c>
      <c r="G1551" s="33" t="s">
        <v>9</v>
      </c>
      <c r="H1551" s="33" t="n">
        <v>30</v>
      </c>
    </row>
    <row r="1552" customFormat="false" ht="54" hidden="false" customHeight="true" outlineLevel="0" collapsed="false">
      <c r="A1552" s="32" t="s">
        <v>11502</v>
      </c>
      <c r="B1552" s="32" t="s">
        <v>4558</v>
      </c>
      <c r="C1552" s="33" t="s">
        <v>98</v>
      </c>
      <c r="D1552" s="33" t="s">
        <v>59</v>
      </c>
      <c r="E1552" s="33" t="s">
        <v>80</v>
      </c>
      <c r="F1552" s="33" t="s">
        <v>11503</v>
      </c>
      <c r="G1552" s="33" t="s">
        <v>9</v>
      </c>
      <c r="H1552" s="33" t="n">
        <v>30</v>
      </c>
    </row>
    <row r="1553" customFormat="false" ht="54" hidden="false" customHeight="true" outlineLevel="0" collapsed="false">
      <c r="A1553" s="32" t="s">
        <v>11504</v>
      </c>
      <c r="B1553" s="32" t="s">
        <v>4558</v>
      </c>
      <c r="C1553" s="33" t="s">
        <v>98</v>
      </c>
      <c r="D1553" s="33" t="s">
        <v>59</v>
      </c>
      <c r="E1553" s="33" t="s">
        <v>80</v>
      </c>
      <c r="F1553" s="33" t="s">
        <v>11505</v>
      </c>
      <c r="G1553" s="33" t="s">
        <v>9</v>
      </c>
      <c r="H1553" s="33" t="n">
        <v>30</v>
      </c>
    </row>
    <row r="1554" customFormat="false" ht="54" hidden="false" customHeight="true" outlineLevel="0" collapsed="false">
      <c r="A1554" s="32" t="s">
        <v>11506</v>
      </c>
      <c r="B1554" s="32" t="s">
        <v>4558</v>
      </c>
      <c r="C1554" s="33" t="s">
        <v>98</v>
      </c>
      <c r="D1554" s="33" t="s">
        <v>59</v>
      </c>
      <c r="E1554" s="33" t="s">
        <v>82</v>
      </c>
      <c r="F1554" s="33" t="s">
        <v>11499</v>
      </c>
      <c r="G1554" s="33" t="s">
        <v>9</v>
      </c>
      <c r="H1554" s="33" t="n">
        <v>30</v>
      </c>
    </row>
    <row r="1555" customFormat="false" ht="54" hidden="false" customHeight="true" outlineLevel="0" collapsed="false">
      <c r="A1555" s="32" t="s">
        <v>11507</v>
      </c>
      <c r="B1555" s="32" t="s">
        <v>4558</v>
      </c>
      <c r="C1555" s="33" t="s">
        <v>98</v>
      </c>
      <c r="D1555" s="33" t="s">
        <v>59</v>
      </c>
      <c r="E1555" s="33" t="s">
        <v>82</v>
      </c>
      <c r="F1555" s="33" t="s">
        <v>11505</v>
      </c>
      <c r="G1555" s="33" t="s">
        <v>9</v>
      </c>
      <c r="H1555" s="33" t="n">
        <v>30</v>
      </c>
    </row>
    <row r="1556" customFormat="false" ht="54" hidden="false" customHeight="true" outlineLevel="0" collapsed="false">
      <c r="A1556" s="32" t="s">
        <v>11508</v>
      </c>
      <c r="B1556" s="32" t="s">
        <v>4558</v>
      </c>
      <c r="C1556" s="33" t="s">
        <v>98</v>
      </c>
      <c r="D1556" s="33" t="s">
        <v>59</v>
      </c>
      <c r="E1556" s="33" t="s">
        <v>84</v>
      </c>
      <c r="F1556" s="33" t="s">
        <v>11497</v>
      </c>
      <c r="G1556" s="33" t="s">
        <v>9</v>
      </c>
      <c r="H1556" s="33" t="n">
        <v>30</v>
      </c>
    </row>
    <row r="1557" customFormat="false" ht="54" hidden="false" customHeight="true" outlineLevel="0" collapsed="false">
      <c r="A1557" s="32" t="s">
        <v>11509</v>
      </c>
      <c r="B1557" s="32" t="s">
        <v>4558</v>
      </c>
      <c r="C1557" s="33" t="s">
        <v>98</v>
      </c>
      <c r="D1557" s="33" t="s">
        <v>59</v>
      </c>
      <c r="E1557" s="33" t="s">
        <v>84</v>
      </c>
      <c r="F1557" s="33" t="s">
        <v>11510</v>
      </c>
      <c r="G1557" s="33" t="s">
        <v>9</v>
      </c>
      <c r="H1557" s="33" t="n">
        <v>30</v>
      </c>
    </row>
    <row r="1558" customFormat="false" ht="54" hidden="false" customHeight="true" outlineLevel="0" collapsed="false">
      <c r="A1558" s="32" t="s">
        <v>11511</v>
      </c>
      <c r="B1558" s="32" t="s">
        <v>4558</v>
      </c>
      <c r="C1558" s="33" t="s">
        <v>98</v>
      </c>
      <c r="D1558" s="33" t="s">
        <v>59</v>
      </c>
      <c r="E1558" s="33" t="s">
        <v>84</v>
      </c>
      <c r="F1558" s="33" t="s">
        <v>11499</v>
      </c>
      <c r="G1558" s="33" t="s">
        <v>9</v>
      </c>
      <c r="H1558" s="33" t="n">
        <v>30</v>
      </c>
    </row>
    <row r="1559" customFormat="false" ht="54" hidden="false" customHeight="true" outlineLevel="0" collapsed="false">
      <c r="A1559" s="32" t="s">
        <v>11512</v>
      </c>
      <c r="B1559" s="32" t="s">
        <v>4558</v>
      </c>
      <c r="C1559" s="33" t="s">
        <v>98</v>
      </c>
      <c r="D1559" s="33" t="s">
        <v>59</v>
      </c>
      <c r="E1559" s="33" t="s">
        <v>84</v>
      </c>
      <c r="F1559" s="33" t="s">
        <v>11501</v>
      </c>
      <c r="G1559" s="33" t="s">
        <v>9</v>
      </c>
      <c r="H1559" s="33" t="n">
        <v>30</v>
      </c>
    </row>
    <row r="1560" customFormat="false" ht="54" hidden="false" customHeight="true" outlineLevel="0" collapsed="false">
      <c r="A1560" s="32" t="s">
        <v>11513</v>
      </c>
      <c r="B1560" s="32" t="s">
        <v>4558</v>
      </c>
      <c r="C1560" s="33" t="s">
        <v>98</v>
      </c>
      <c r="D1560" s="33" t="s">
        <v>59</v>
      </c>
      <c r="E1560" s="33" t="s">
        <v>84</v>
      </c>
      <c r="F1560" s="33" t="s">
        <v>11503</v>
      </c>
      <c r="G1560" s="33" t="s">
        <v>9</v>
      </c>
      <c r="H1560" s="33" t="n">
        <v>30</v>
      </c>
    </row>
    <row r="1561" customFormat="false" ht="54" hidden="false" customHeight="true" outlineLevel="0" collapsed="false">
      <c r="A1561" s="32" t="s">
        <v>11514</v>
      </c>
      <c r="B1561" s="32" t="s">
        <v>4558</v>
      </c>
      <c r="C1561" s="33" t="s">
        <v>98</v>
      </c>
      <c r="D1561" s="33" t="s">
        <v>59</v>
      </c>
      <c r="E1561" s="33" t="s">
        <v>84</v>
      </c>
      <c r="F1561" s="33" t="s">
        <v>11505</v>
      </c>
      <c r="G1561" s="33" t="s">
        <v>9</v>
      </c>
      <c r="H1561" s="33" t="n">
        <v>30</v>
      </c>
    </row>
    <row r="1562" customFormat="false" ht="54" hidden="false" customHeight="true" outlineLevel="0" collapsed="false">
      <c r="A1562" s="32" t="s">
        <v>11515</v>
      </c>
      <c r="B1562" s="32" t="s">
        <v>4558</v>
      </c>
      <c r="C1562" s="33" t="s">
        <v>98</v>
      </c>
      <c r="D1562" s="33" t="s">
        <v>59</v>
      </c>
      <c r="E1562" s="33" t="s">
        <v>86</v>
      </c>
      <c r="F1562" s="33" t="s">
        <v>11497</v>
      </c>
      <c r="G1562" s="33" t="s">
        <v>9</v>
      </c>
      <c r="H1562" s="33" t="n">
        <v>30</v>
      </c>
    </row>
    <row r="1563" customFormat="false" ht="54" hidden="false" customHeight="true" outlineLevel="0" collapsed="false">
      <c r="A1563" s="32" t="s">
        <v>11516</v>
      </c>
      <c r="B1563" s="32" t="s">
        <v>4558</v>
      </c>
      <c r="C1563" s="33" t="s">
        <v>98</v>
      </c>
      <c r="D1563" s="33" t="s">
        <v>59</v>
      </c>
      <c r="E1563" s="33" t="s">
        <v>86</v>
      </c>
      <c r="F1563" s="33" t="s">
        <v>11499</v>
      </c>
      <c r="G1563" s="33" t="s">
        <v>9</v>
      </c>
      <c r="H1563" s="33" t="n">
        <v>30</v>
      </c>
    </row>
    <row r="1564" customFormat="false" ht="54" hidden="false" customHeight="true" outlineLevel="0" collapsed="false">
      <c r="A1564" s="32" t="s">
        <v>11517</v>
      </c>
      <c r="B1564" s="32" t="s">
        <v>4558</v>
      </c>
      <c r="C1564" s="33" t="s">
        <v>98</v>
      </c>
      <c r="D1564" s="33" t="s">
        <v>59</v>
      </c>
      <c r="E1564" s="33" t="s">
        <v>86</v>
      </c>
      <c r="F1564" s="33" t="s">
        <v>11501</v>
      </c>
      <c r="G1564" s="33" t="s">
        <v>9</v>
      </c>
      <c r="H1564" s="33" t="n">
        <v>30</v>
      </c>
    </row>
    <row r="1565" customFormat="false" ht="54" hidden="false" customHeight="true" outlineLevel="0" collapsed="false">
      <c r="A1565" s="32" t="s">
        <v>11518</v>
      </c>
      <c r="B1565" s="32" t="s">
        <v>4572</v>
      </c>
      <c r="C1565" s="33" t="s">
        <v>98</v>
      </c>
      <c r="D1565" s="33" t="s">
        <v>59</v>
      </c>
      <c r="E1565" s="33" t="s">
        <v>81</v>
      </c>
      <c r="F1565" s="33" t="s">
        <v>11519</v>
      </c>
      <c r="G1565" s="33" t="s">
        <v>9</v>
      </c>
      <c r="H1565" s="33" t="n">
        <v>30</v>
      </c>
    </row>
    <row r="1566" customFormat="false" ht="54" hidden="false" customHeight="true" outlineLevel="0" collapsed="false">
      <c r="A1566" s="32" t="s">
        <v>11520</v>
      </c>
      <c r="B1566" s="32" t="s">
        <v>4572</v>
      </c>
      <c r="C1566" s="33" t="s">
        <v>98</v>
      </c>
      <c r="D1566" s="33" t="s">
        <v>59</v>
      </c>
      <c r="E1566" s="33" t="s">
        <v>81</v>
      </c>
      <c r="F1566" s="33" t="s">
        <v>11521</v>
      </c>
      <c r="G1566" s="33" t="s">
        <v>9</v>
      </c>
      <c r="H1566" s="33" t="n">
        <v>30</v>
      </c>
    </row>
    <row r="1567" customFormat="false" ht="54" hidden="false" customHeight="true" outlineLevel="0" collapsed="false">
      <c r="A1567" s="32" t="s">
        <v>11522</v>
      </c>
      <c r="B1567" s="32" t="s">
        <v>4572</v>
      </c>
      <c r="C1567" s="33" t="s">
        <v>98</v>
      </c>
      <c r="D1567" s="33" t="s">
        <v>59</v>
      </c>
      <c r="E1567" s="33" t="s">
        <v>84</v>
      </c>
      <c r="F1567" s="33" t="s">
        <v>11122</v>
      </c>
      <c r="G1567" s="33" t="s">
        <v>9</v>
      </c>
      <c r="H1567" s="33" t="n">
        <v>30</v>
      </c>
    </row>
    <row r="1568" customFormat="false" ht="54" hidden="false" customHeight="true" outlineLevel="0" collapsed="false">
      <c r="A1568" s="32" t="s">
        <v>11523</v>
      </c>
      <c r="B1568" s="32" t="s">
        <v>4572</v>
      </c>
      <c r="C1568" s="33" t="s">
        <v>98</v>
      </c>
      <c r="D1568" s="33" t="s">
        <v>59</v>
      </c>
      <c r="E1568" s="33" t="s">
        <v>84</v>
      </c>
      <c r="F1568" s="33" t="s">
        <v>11519</v>
      </c>
      <c r="G1568" s="33" t="s">
        <v>9</v>
      </c>
      <c r="H1568" s="33" t="n">
        <v>30</v>
      </c>
    </row>
    <row r="1569" customFormat="false" ht="54" hidden="false" customHeight="true" outlineLevel="0" collapsed="false">
      <c r="A1569" s="32" t="s">
        <v>11524</v>
      </c>
      <c r="B1569" s="32" t="s">
        <v>4572</v>
      </c>
      <c r="C1569" s="33" t="s">
        <v>98</v>
      </c>
      <c r="D1569" s="33" t="s">
        <v>59</v>
      </c>
      <c r="E1569" s="33" t="s">
        <v>84</v>
      </c>
      <c r="F1569" s="33" t="s">
        <v>11525</v>
      </c>
      <c r="G1569" s="33" t="s">
        <v>9</v>
      </c>
      <c r="H1569" s="33" t="n">
        <v>30</v>
      </c>
    </row>
    <row r="1570" customFormat="false" ht="54" hidden="false" customHeight="true" outlineLevel="0" collapsed="false">
      <c r="A1570" s="32" t="s">
        <v>11526</v>
      </c>
      <c r="B1570" s="32" t="s">
        <v>4586</v>
      </c>
      <c r="C1570" s="33" t="s">
        <v>98</v>
      </c>
      <c r="D1570" s="33" t="s">
        <v>59</v>
      </c>
      <c r="E1570" s="33" t="s">
        <v>80</v>
      </c>
      <c r="F1570" s="33" t="s">
        <v>4594</v>
      </c>
      <c r="G1570" s="33" t="s">
        <v>9</v>
      </c>
      <c r="H1570" s="33" t="n">
        <v>30</v>
      </c>
    </row>
    <row r="1571" customFormat="false" ht="54" hidden="false" customHeight="true" outlineLevel="0" collapsed="false">
      <c r="A1571" s="32" t="s">
        <v>11527</v>
      </c>
      <c r="B1571" s="32" t="s">
        <v>4586</v>
      </c>
      <c r="C1571" s="33" t="s">
        <v>98</v>
      </c>
      <c r="D1571" s="33" t="s">
        <v>59</v>
      </c>
      <c r="E1571" s="33" t="s">
        <v>80</v>
      </c>
      <c r="F1571" s="33" t="s">
        <v>11528</v>
      </c>
      <c r="G1571" s="33" t="s">
        <v>9</v>
      </c>
      <c r="H1571" s="33" t="n">
        <v>30</v>
      </c>
    </row>
    <row r="1572" customFormat="false" ht="54" hidden="false" customHeight="true" outlineLevel="0" collapsed="false">
      <c r="A1572" s="32" t="s">
        <v>11529</v>
      </c>
      <c r="B1572" s="32" t="s">
        <v>4586</v>
      </c>
      <c r="C1572" s="33" t="s">
        <v>98</v>
      </c>
      <c r="D1572" s="33" t="s">
        <v>59</v>
      </c>
      <c r="E1572" s="33" t="s">
        <v>80</v>
      </c>
      <c r="F1572" s="33" t="s">
        <v>11530</v>
      </c>
      <c r="G1572" s="33" t="s">
        <v>9</v>
      </c>
      <c r="H1572" s="33" t="n">
        <v>30</v>
      </c>
    </row>
    <row r="1573" customFormat="false" ht="54" hidden="false" customHeight="true" outlineLevel="0" collapsed="false">
      <c r="A1573" s="32" t="s">
        <v>11531</v>
      </c>
      <c r="B1573" s="32" t="s">
        <v>4586</v>
      </c>
      <c r="C1573" s="33" t="s">
        <v>98</v>
      </c>
      <c r="D1573" s="33" t="s">
        <v>59</v>
      </c>
      <c r="E1573" s="33" t="s">
        <v>81</v>
      </c>
      <c r="F1573" s="33" t="s">
        <v>11532</v>
      </c>
      <c r="G1573" s="33" t="s">
        <v>9</v>
      </c>
      <c r="H1573" s="33" t="n">
        <v>30</v>
      </c>
    </row>
    <row r="1574" customFormat="false" ht="54" hidden="false" customHeight="true" outlineLevel="0" collapsed="false">
      <c r="A1574" s="32" t="s">
        <v>11533</v>
      </c>
      <c r="B1574" s="32" t="s">
        <v>4586</v>
      </c>
      <c r="C1574" s="33" t="s">
        <v>98</v>
      </c>
      <c r="D1574" s="33" t="s">
        <v>59</v>
      </c>
      <c r="E1574" s="33" t="s">
        <v>81</v>
      </c>
      <c r="F1574" s="33" t="s">
        <v>11534</v>
      </c>
      <c r="G1574" s="33" t="s">
        <v>9</v>
      </c>
      <c r="H1574" s="33" t="n">
        <v>30</v>
      </c>
    </row>
    <row r="1575" customFormat="false" ht="54" hidden="false" customHeight="true" outlineLevel="0" collapsed="false">
      <c r="A1575" s="32" t="s">
        <v>11535</v>
      </c>
      <c r="B1575" s="32" t="s">
        <v>4586</v>
      </c>
      <c r="C1575" s="33" t="s">
        <v>98</v>
      </c>
      <c r="D1575" s="33" t="s">
        <v>59</v>
      </c>
      <c r="E1575" s="33" t="s">
        <v>81</v>
      </c>
      <c r="F1575" s="33" t="s">
        <v>11443</v>
      </c>
      <c r="G1575" s="33" t="s">
        <v>9</v>
      </c>
      <c r="H1575" s="33" t="n">
        <v>30</v>
      </c>
    </row>
    <row r="1576" customFormat="false" ht="54" hidden="false" customHeight="true" outlineLevel="0" collapsed="false">
      <c r="A1576" s="32" t="s">
        <v>11536</v>
      </c>
      <c r="B1576" s="32" t="s">
        <v>4586</v>
      </c>
      <c r="C1576" s="33" t="s">
        <v>98</v>
      </c>
      <c r="D1576" s="33" t="s">
        <v>59</v>
      </c>
      <c r="E1576" s="33" t="s">
        <v>81</v>
      </c>
      <c r="F1576" s="33" t="s">
        <v>11530</v>
      </c>
      <c r="G1576" s="33" t="s">
        <v>9</v>
      </c>
      <c r="H1576" s="33" t="n">
        <v>30</v>
      </c>
    </row>
    <row r="1577" customFormat="false" ht="54" hidden="false" customHeight="true" outlineLevel="0" collapsed="false">
      <c r="A1577" s="32" t="s">
        <v>11537</v>
      </c>
      <c r="B1577" s="32" t="s">
        <v>4586</v>
      </c>
      <c r="C1577" s="33" t="s">
        <v>98</v>
      </c>
      <c r="D1577" s="33" t="s">
        <v>59</v>
      </c>
      <c r="E1577" s="33" t="s">
        <v>83</v>
      </c>
      <c r="F1577" s="33" t="s">
        <v>11532</v>
      </c>
      <c r="G1577" s="33" t="s">
        <v>9</v>
      </c>
      <c r="H1577" s="33" t="n">
        <v>30</v>
      </c>
    </row>
    <row r="1578" customFormat="false" ht="54" hidden="false" customHeight="true" outlineLevel="0" collapsed="false">
      <c r="A1578" s="32" t="s">
        <v>11538</v>
      </c>
      <c r="B1578" s="32" t="s">
        <v>4586</v>
      </c>
      <c r="C1578" s="33" t="s">
        <v>98</v>
      </c>
      <c r="D1578" s="33" t="s">
        <v>59</v>
      </c>
      <c r="E1578" s="33" t="s">
        <v>83</v>
      </c>
      <c r="F1578" s="33" t="s">
        <v>11530</v>
      </c>
      <c r="G1578" s="33" t="s">
        <v>9</v>
      </c>
      <c r="H1578" s="33" t="n">
        <v>30</v>
      </c>
    </row>
    <row r="1579" customFormat="false" ht="54" hidden="false" customHeight="true" outlineLevel="0" collapsed="false">
      <c r="A1579" s="32" t="s">
        <v>11539</v>
      </c>
      <c r="B1579" s="32" t="s">
        <v>4586</v>
      </c>
      <c r="C1579" s="33" t="s">
        <v>98</v>
      </c>
      <c r="D1579" s="33" t="s">
        <v>59</v>
      </c>
      <c r="E1579" s="33" t="s">
        <v>84</v>
      </c>
      <c r="F1579" s="33" t="s">
        <v>4594</v>
      </c>
      <c r="G1579" s="33" t="s">
        <v>9</v>
      </c>
      <c r="H1579" s="33" t="n">
        <v>30</v>
      </c>
    </row>
    <row r="1580" customFormat="false" ht="54" hidden="false" customHeight="true" outlineLevel="0" collapsed="false">
      <c r="A1580" s="32" t="s">
        <v>11540</v>
      </c>
      <c r="B1580" s="32" t="s">
        <v>4586</v>
      </c>
      <c r="C1580" s="33" t="s">
        <v>98</v>
      </c>
      <c r="D1580" s="33" t="s">
        <v>59</v>
      </c>
      <c r="E1580" s="33" t="s">
        <v>84</v>
      </c>
      <c r="F1580" s="33" t="s">
        <v>11534</v>
      </c>
      <c r="G1580" s="33" t="s">
        <v>9</v>
      </c>
      <c r="H1580" s="33" t="n">
        <v>30</v>
      </c>
    </row>
    <row r="1581" customFormat="false" ht="54" hidden="false" customHeight="true" outlineLevel="0" collapsed="false">
      <c r="A1581" s="32" t="s">
        <v>11541</v>
      </c>
      <c r="B1581" s="32" t="s">
        <v>4586</v>
      </c>
      <c r="C1581" s="33" t="s">
        <v>98</v>
      </c>
      <c r="D1581" s="33" t="s">
        <v>59</v>
      </c>
      <c r="E1581" s="33" t="s">
        <v>84</v>
      </c>
      <c r="F1581" s="33" t="s">
        <v>11528</v>
      </c>
      <c r="G1581" s="33" t="s">
        <v>9</v>
      </c>
      <c r="H1581" s="33" t="n">
        <v>30</v>
      </c>
    </row>
    <row r="1582" customFormat="false" ht="54" hidden="false" customHeight="true" outlineLevel="0" collapsed="false">
      <c r="A1582" s="32" t="s">
        <v>11542</v>
      </c>
      <c r="B1582" s="32" t="s">
        <v>4586</v>
      </c>
      <c r="C1582" s="33" t="s">
        <v>98</v>
      </c>
      <c r="D1582" s="33" t="s">
        <v>59</v>
      </c>
      <c r="E1582" s="33" t="s">
        <v>84</v>
      </c>
      <c r="F1582" s="33" t="s">
        <v>11530</v>
      </c>
      <c r="G1582" s="33" t="s">
        <v>9</v>
      </c>
      <c r="H1582" s="33" t="n">
        <v>30</v>
      </c>
    </row>
    <row r="1583" customFormat="false" ht="54" hidden="false" customHeight="true" outlineLevel="0" collapsed="false">
      <c r="A1583" s="32" t="s">
        <v>11543</v>
      </c>
      <c r="B1583" s="32" t="s">
        <v>4586</v>
      </c>
      <c r="C1583" s="33" t="s">
        <v>98</v>
      </c>
      <c r="D1583" s="33" t="s">
        <v>59</v>
      </c>
      <c r="E1583" s="33" t="s">
        <v>85</v>
      </c>
      <c r="F1583" s="33" t="s">
        <v>11544</v>
      </c>
      <c r="G1583" s="33" t="s">
        <v>9</v>
      </c>
      <c r="H1583" s="33" t="n">
        <v>30</v>
      </c>
    </row>
    <row r="1584" customFormat="false" ht="54" hidden="false" customHeight="true" outlineLevel="0" collapsed="false">
      <c r="A1584" s="32" t="s">
        <v>11545</v>
      </c>
      <c r="B1584" s="32" t="s">
        <v>4586</v>
      </c>
      <c r="C1584" s="33" t="s">
        <v>98</v>
      </c>
      <c r="D1584" s="33" t="s">
        <v>59</v>
      </c>
      <c r="E1584" s="33" t="s">
        <v>85</v>
      </c>
      <c r="F1584" s="33" t="s">
        <v>11528</v>
      </c>
      <c r="G1584" s="33" t="s">
        <v>9</v>
      </c>
      <c r="H1584" s="33" t="n">
        <v>30</v>
      </c>
    </row>
    <row r="1585" customFormat="false" ht="54" hidden="false" customHeight="true" outlineLevel="0" collapsed="false">
      <c r="A1585" s="32" t="s">
        <v>11546</v>
      </c>
      <c r="B1585" s="32" t="s">
        <v>4586</v>
      </c>
      <c r="C1585" s="33" t="s">
        <v>98</v>
      </c>
      <c r="D1585" s="33" t="s">
        <v>59</v>
      </c>
      <c r="E1585" s="33" t="s">
        <v>85</v>
      </c>
      <c r="F1585" s="33" t="s">
        <v>11530</v>
      </c>
      <c r="G1585" s="33" t="s">
        <v>9</v>
      </c>
      <c r="H1585" s="33" t="n">
        <v>30</v>
      </c>
    </row>
    <row r="1586" customFormat="false" ht="54" hidden="false" customHeight="true" outlineLevel="0" collapsed="false">
      <c r="A1586" s="32" t="s">
        <v>11547</v>
      </c>
      <c r="B1586" s="32" t="s">
        <v>4602</v>
      </c>
      <c r="C1586" s="33" t="s">
        <v>98</v>
      </c>
      <c r="D1586" s="33" t="s">
        <v>59</v>
      </c>
      <c r="E1586" s="33" t="s">
        <v>80</v>
      </c>
      <c r="F1586" s="33" t="s">
        <v>11548</v>
      </c>
      <c r="G1586" s="33" t="s">
        <v>9</v>
      </c>
      <c r="H1586" s="33" t="n">
        <v>30</v>
      </c>
    </row>
    <row r="1587" customFormat="false" ht="54" hidden="false" customHeight="true" outlineLevel="0" collapsed="false">
      <c r="A1587" s="32" t="s">
        <v>11549</v>
      </c>
      <c r="B1587" s="32" t="s">
        <v>4602</v>
      </c>
      <c r="C1587" s="33" t="s">
        <v>98</v>
      </c>
      <c r="D1587" s="33" t="s">
        <v>59</v>
      </c>
      <c r="E1587" s="33" t="s">
        <v>80</v>
      </c>
      <c r="F1587" s="33" t="s">
        <v>11550</v>
      </c>
      <c r="G1587" s="33" t="s">
        <v>9</v>
      </c>
      <c r="H1587" s="33" t="n">
        <v>30</v>
      </c>
    </row>
    <row r="1588" customFormat="false" ht="54" hidden="false" customHeight="true" outlineLevel="0" collapsed="false">
      <c r="A1588" s="32" t="s">
        <v>11551</v>
      </c>
      <c r="B1588" s="32" t="s">
        <v>4602</v>
      </c>
      <c r="C1588" s="33" t="s">
        <v>98</v>
      </c>
      <c r="D1588" s="33" t="s">
        <v>59</v>
      </c>
      <c r="E1588" s="33" t="s">
        <v>80</v>
      </c>
      <c r="F1588" s="33" t="s">
        <v>11552</v>
      </c>
      <c r="G1588" s="33" t="s">
        <v>9</v>
      </c>
      <c r="H1588" s="33" t="n">
        <v>30</v>
      </c>
    </row>
    <row r="1589" customFormat="false" ht="54" hidden="false" customHeight="true" outlineLevel="0" collapsed="false">
      <c r="A1589" s="32" t="s">
        <v>11553</v>
      </c>
      <c r="B1589" s="32" t="s">
        <v>4602</v>
      </c>
      <c r="C1589" s="33" t="s">
        <v>98</v>
      </c>
      <c r="D1589" s="33" t="s">
        <v>59</v>
      </c>
      <c r="E1589" s="33" t="s">
        <v>80</v>
      </c>
      <c r="F1589" s="33" t="s">
        <v>11554</v>
      </c>
      <c r="G1589" s="33" t="s">
        <v>9</v>
      </c>
      <c r="H1589" s="33" t="n">
        <v>30</v>
      </c>
    </row>
    <row r="1590" customFormat="false" ht="54" hidden="false" customHeight="true" outlineLevel="0" collapsed="false">
      <c r="A1590" s="32" t="s">
        <v>11555</v>
      </c>
      <c r="B1590" s="32" t="s">
        <v>4602</v>
      </c>
      <c r="C1590" s="33" t="s">
        <v>98</v>
      </c>
      <c r="D1590" s="33" t="s">
        <v>59</v>
      </c>
      <c r="E1590" s="33" t="s">
        <v>80</v>
      </c>
      <c r="F1590" s="33" t="s">
        <v>11556</v>
      </c>
      <c r="G1590" s="33" t="s">
        <v>9</v>
      </c>
      <c r="H1590" s="33" t="n">
        <v>30</v>
      </c>
    </row>
    <row r="1591" customFormat="false" ht="54" hidden="false" customHeight="true" outlineLevel="0" collapsed="false">
      <c r="A1591" s="32" t="s">
        <v>11557</v>
      </c>
      <c r="B1591" s="32" t="s">
        <v>4602</v>
      </c>
      <c r="C1591" s="33" t="s">
        <v>98</v>
      </c>
      <c r="D1591" s="33" t="s">
        <v>59</v>
      </c>
      <c r="E1591" s="33" t="s">
        <v>84</v>
      </c>
      <c r="F1591" s="33" t="s">
        <v>11548</v>
      </c>
      <c r="G1591" s="33" t="s">
        <v>9</v>
      </c>
      <c r="H1591" s="33" t="n">
        <v>30</v>
      </c>
    </row>
    <row r="1592" customFormat="false" ht="54" hidden="false" customHeight="true" outlineLevel="0" collapsed="false">
      <c r="A1592" s="32" t="s">
        <v>11558</v>
      </c>
      <c r="B1592" s="32" t="s">
        <v>4602</v>
      </c>
      <c r="C1592" s="33" t="s">
        <v>98</v>
      </c>
      <c r="D1592" s="33" t="s">
        <v>59</v>
      </c>
      <c r="E1592" s="33" t="s">
        <v>84</v>
      </c>
      <c r="F1592" s="33" t="s">
        <v>11550</v>
      </c>
      <c r="G1592" s="33" t="s">
        <v>9</v>
      </c>
      <c r="H1592" s="33" t="n">
        <v>30</v>
      </c>
    </row>
    <row r="1593" customFormat="false" ht="54" hidden="false" customHeight="true" outlineLevel="0" collapsed="false">
      <c r="A1593" s="32" t="s">
        <v>11559</v>
      </c>
      <c r="B1593" s="32" t="s">
        <v>4602</v>
      </c>
      <c r="C1593" s="33" t="s">
        <v>98</v>
      </c>
      <c r="D1593" s="33" t="s">
        <v>59</v>
      </c>
      <c r="E1593" s="33" t="s">
        <v>84</v>
      </c>
      <c r="F1593" s="33" t="s">
        <v>10935</v>
      </c>
      <c r="G1593" s="33" t="s">
        <v>9</v>
      </c>
      <c r="H1593" s="33" t="n">
        <v>30</v>
      </c>
    </row>
    <row r="1594" customFormat="false" ht="54" hidden="false" customHeight="true" outlineLevel="0" collapsed="false">
      <c r="A1594" s="32" t="s">
        <v>11560</v>
      </c>
      <c r="B1594" s="32" t="s">
        <v>4602</v>
      </c>
      <c r="C1594" s="33" t="s">
        <v>98</v>
      </c>
      <c r="D1594" s="33" t="s">
        <v>59</v>
      </c>
      <c r="E1594" s="33" t="s">
        <v>84</v>
      </c>
      <c r="F1594" s="33" t="s">
        <v>11552</v>
      </c>
      <c r="G1594" s="33" t="s">
        <v>9</v>
      </c>
      <c r="H1594" s="33" t="n">
        <v>30</v>
      </c>
    </row>
    <row r="1595" customFormat="false" ht="54" hidden="false" customHeight="true" outlineLevel="0" collapsed="false">
      <c r="A1595" s="32" t="s">
        <v>11561</v>
      </c>
      <c r="B1595" s="32" t="s">
        <v>4602</v>
      </c>
      <c r="C1595" s="33" t="s">
        <v>98</v>
      </c>
      <c r="D1595" s="33" t="s">
        <v>59</v>
      </c>
      <c r="E1595" s="33" t="s">
        <v>84</v>
      </c>
      <c r="F1595" s="33" t="s">
        <v>11554</v>
      </c>
      <c r="G1595" s="33" t="s">
        <v>9</v>
      </c>
      <c r="H1595" s="33" t="n">
        <v>30</v>
      </c>
    </row>
    <row r="1596" customFormat="false" ht="54" hidden="false" customHeight="true" outlineLevel="0" collapsed="false">
      <c r="A1596" s="32" t="s">
        <v>11562</v>
      </c>
      <c r="B1596" s="32" t="s">
        <v>4602</v>
      </c>
      <c r="C1596" s="33" t="s">
        <v>98</v>
      </c>
      <c r="D1596" s="33" t="s">
        <v>59</v>
      </c>
      <c r="E1596" s="33" t="s">
        <v>84</v>
      </c>
      <c r="F1596" s="33" t="s">
        <v>11556</v>
      </c>
      <c r="G1596" s="33" t="s">
        <v>9</v>
      </c>
      <c r="H1596" s="33" t="n">
        <v>30</v>
      </c>
    </row>
    <row r="1597" customFormat="false" ht="54" hidden="false" customHeight="true" outlineLevel="0" collapsed="false">
      <c r="A1597" s="32" t="s">
        <v>11563</v>
      </c>
      <c r="B1597" s="32" t="s">
        <v>4615</v>
      </c>
      <c r="C1597" s="33" t="s">
        <v>98</v>
      </c>
      <c r="D1597" s="33" t="s">
        <v>59</v>
      </c>
      <c r="E1597" s="33" t="s">
        <v>84</v>
      </c>
      <c r="F1597" s="33" t="s">
        <v>4624</v>
      </c>
      <c r="G1597" s="33" t="s">
        <v>9</v>
      </c>
      <c r="H1597" s="33" t="n">
        <v>30</v>
      </c>
    </row>
    <row r="1598" customFormat="false" ht="54" hidden="false" customHeight="true" outlineLevel="0" collapsed="false">
      <c r="A1598" s="32" t="s">
        <v>11564</v>
      </c>
      <c r="B1598" s="32" t="s">
        <v>4615</v>
      </c>
      <c r="C1598" s="33" t="s">
        <v>98</v>
      </c>
      <c r="D1598" s="33" t="s">
        <v>59</v>
      </c>
      <c r="E1598" s="33" t="s">
        <v>85</v>
      </c>
      <c r="F1598" s="33" t="s">
        <v>11565</v>
      </c>
      <c r="G1598" s="33" t="s">
        <v>9</v>
      </c>
      <c r="H1598" s="33" t="n">
        <v>30</v>
      </c>
    </row>
    <row r="1599" customFormat="false" ht="54" hidden="false" customHeight="true" outlineLevel="0" collapsed="false">
      <c r="A1599" s="32" t="s">
        <v>11566</v>
      </c>
      <c r="B1599" s="32" t="s">
        <v>4615</v>
      </c>
      <c r="C1599" s="33" t="s">
        <v>98</v>
      </c>
      <c r="D1599" s="33" t="s">
        <v>59</v>
      </c>
      <c r="E1599" s="33" t="s">
        <v>85</v>
      </c>
      <c r="F1599" s="33" t="s">
        <v>11567</v>
      </c>
      <c r="G1599" s="33" t="s">
        <v>9</v>
      </c>
      <c r="H1599" s="33" t="n">
        <v>30</v>
      </c>
    </row>
    <row r="1600" customFormat="false" ht="54" hidden="false" customHeight="true" outlineLevel="0" collapsed="false">
      <c r="A1600" s="32" t="s">
        <v>11568</v>
      </c>
      <c r="B1600" s="32" t="s">
        <v>4615</v>
      </c>
      <c r="C1600" s="33" t="s">
        <v>98</v>
      </c>
      <c r="D1600" s="33" t="s">
        <v>59</v>
      </c>
      <c r="E1600" s="33" t="s">
        <v>86</v>
      </c>
      <c r="F1600" s="33" t="s">
        <v>11565</v>
      </c>
      <c r="G1600" s="33" t="s">
        <v>9</v>
      </c>
      <c r="H1600" s="33" t="n">
        <v>30</v>
      </c>
    </row>
    <row r="1601" customFormat="false" ht="54" hidden="false" customHeight="true" outlineLevel="0" collapsed="false">
      <c r="A1601" s="32" t="s">
        <v>11569</v>
      </c>
      <c r="B1601" s="32" t="s">
        <v>4615</v>
      </c>
      <c r="C1601" s="33" t="s">
        <v>98</v>
      </c>
      <c r="D1601" s="33" t="s">
        <v>59</v>
      </c>
      <c r="E1601" s="33" t="s">
        <v>86</v>
      </c>
      <c r="F1601" s="33" t="s">
        <v>11567</v>
      </c>
      <c r="G1601" s="33" t="s">
        <v>9</v>
      </c>
      <c r="H1601" s="33" t="n">
        <v>30</v>
      </c>
    </row>
    <row r="1602" customFormat="false" ht="54" hidden="false" customHeight="true" outlineLevel="0" collapsed="false">
      <c r="A1602" s="32" t="s">
        <v>11570</v>
      </c>
      <c r="B1602" s="32" t="s">
        <v>4630</v>
      </c>
      <c r="C1602" s="33" t="s">
        <v>98</v>
      </c>
      <c r="D1602" s="33" t="s">
        <v>59</v>
      </c>
      <c r="E1602" s="33" t="s">
        <v>80</v>
      </c>
      <c r="F1602" s="33" t="s">
        <v>11571</v>
      </c>
      <c r="G1602" s="33" t="s">
        <v>9</v>
      </c>
      <c r="H1602" s="33" t="n">
        <v>30</v>
      </c>
    </row>
    <row r="1603" customFormat="false" ht="54" hidden="false" customHeight="true" outlineLevel="0" collapsed="false">
      <c r="A1603" s="32" t="s">
        <v>11572</v>
      </c>
      <c r="B1603" s="32" t="s">
        <v>4630</v>
      </c>
      <c r="C1603" s="33" t="s">
        <v>98</v>
      </c>
      <c r="D1603" s="33" t="s">
        <v>59</v>
      </c>
      <c r="E1603" s="33" t="s">
        <v>80</v>
      </c>
      <c r="F1603" s="33" t="s">
        <v>11573</v>
      </c>
      <c r="G1603" s="33" t="s">
        <v>9</v>
      </c>
      <c r="H1603" s="33" t="n">
        <v>30</v>
      </c>
    </row>
    <row r="1604" customFormat="false" ht="54" hidden="false" customHeight="true" outlineLevel="0" collapsed="false">
      <c r="A1604" s="32" t="s">
        <v>11574</v>
      </c>
      <c r="B1604" s="32" t="s">
        <v>4630</v>
      </c>
      <c r="C1604" s="33" t="s">
        <v>98</v>
      </c>
      <c r="D1604" s="33" t="s">
        <v>59</v>
      </c>
      <c r="E1604" s="33" t="s">
        <v>80</v>
      </c>
      <c r="F1604" s="33" t="s">
        <v>4642</v>
      </c>
      <c r="G1604" s="33" t="s">
        <v>9</v>
      </c>
      <c r="H1604" s="33" t="n">
        <v>30</v>
      </c>
    </row>
    <row r="1605" customFormat="false" ht="54" hidden="false" customHeight="true" outlineLevel="0" collapsed="false">
      <c r="A1605" s="32" t="s">
        <v>11575</v>
      </c>
      <c r="B1605" s="32" t="s">
        <v>4630</v>
      </c>
      <c r="C1605" s="33" t="s">
        <v>98</v>
      </c>
      <c r="D1605" s="33" t="s">
        <v>59</v>
      </c>
      <c r="E1605" s="33" t="s">
        <v>80</v>
      </c>
      <c r="F1605" s="33" t="s">
        <v>11576</v>
      </c>
      <c r="G1605" s="33" t="s">
        <v>9</v>
      </c>
      <c r="H1605" s="33" t="n">
        <v>30</v>
      </c>
    </row>
    <row r="1606" customFormat="false" ht="54" hidden="false" customHeight="true" outlineLevel="0" collapsed="false">
      <c r="A1606" s="32" t="s">
        <v>11577</v>
      </c>
      <c r="B1606" s="32" t="s">
        <v>4630</v>
      </c>
      <c r="C1606" s="33" t="s">
        <v>98</v>
      </c>
      <c r="D1606" s="33" t="s">
        <v>59</v>
      </c>
      <c r="E1606" s="33" t="s">
        <v>81</v>
      </c>
      <c r="F1606" s="33" t="s">
        <v>11578</v>
      </c>
      <c r="G1606" s="33" t="s">
        <v>9</v>
      </c>
      <c r="H1606" s="33" t="n">
        <v>30</v>
      </c>
    </row>
    <row r="1607" customFormat="false" ht="54" hidden="false" customHeight="true" outlineLevel="0" collapsed="false">
      <c r="A1607" s="32" t="s">
        <v>11579</v>
      </c>
      <c r="B1607" s="32" t="s">
        <v>4630</v>
      </c>
      <c r="C1607" s="33" t="s">
        <v>98</v>
      </c>
      <c r="D1607" s="33" t="s">
        <v>59</v>
      </c>
      <c r="E1607" s="33" t="s">
        <v>81</v>
      </c>
      <c r="F1607" s="33" t="s">
        <v>11580</v>
      </c>
      <c r="G1607" s="33" t="s">
        <v>9</v>
      </c>
      <c r="H1607" s="33" t="n">
        <v>30</v>
      </c>
    </row>
    <row r="1608" customFormat="false" ht="54" hidden="false" customHeight="true" outlineLevel="0" collapsed="false">
      <c r="A1608" s="32" t="s">
        <v>11581</v>
      </c>
      <c r="B1608" s="32" t="s">
        <v>4630</v>
      </c>
      <c r="C1608" s="33" t="s">
        <v>98</v>
      </c>
      <c r="D1608" s="33" t="s">
        <v>59</v>
      </c>
      <c r="E1608" s="33" t="s">
        <v>81</v>
      </c>
      <c r="F1608" s="33" t="s">
        <v>11573</v>
      </c>
      <c r="G1608" s="33" t="s">
        <v>9</v>
      </c>
      <c r="H1608" s="33" t="n">
        <v>30</v>
      </c>
    </row>
    <row r="1609" customFormat="false" ht="54" hidden="false" customHeight="true" outlineLevel="0" collapsed="false">
      <c r="A1609" s="32" t="s">
        <v>11582</v>
      </c>
      <c r="B1609" s="32" t="s">
        <v>4630</v>
      </c>
      <c r="C1609" s="33" t="s">
        <v>98</v>
      </c>
      <c r="D1609" s="33" t="s">
        <v>59</v>
      </c>
      <c r="E1609" s="33" t="s">
        <v>81</v>
      </c>
      <c r="F1609" s="33" t="s">
        <v>11443</v>
      </c>
      <c r="G1609" s="33" t="s">
        <v>9</v>
      </c>
      <c r="H1609" s="33" t="n">
        <v>30</v>
      </c>
    </row>
    <row r="1610" customFormat="false" ht="54" hidden="false" customHeight="true" outlineLevel="0" collapsed="false">
      <c r="A1610" s="32" t="s">
        <v>11583</v>
      </c>
      <c r="B1610" s="32" t="s">
        <v>4630</v>
      </c>
      <c r="C1610" s="33" t="s">
        <v>98</v>
      </c>
      <c r="D1610" s="33" t="s">
        <v>59</v>
      </c>
      <c r="E1610" s="33" t="s">
        <v>81</v>
      </c>
      <c r="F1610" s="33" t="s">
        <v>4642</v>
      </c>
      <c r="G1610" s="33" t="s">
        <v>9</v>
      </c>
      <c r="H1610" s="33" t="n">
        <v>30</v>
      </c>
    </row>
    <row r="1611" customFormat="false" ht="54" hidden="false" customHeight="true" outlineLevel="0" collapsed="false">
      <c r="A1611" s="32" t="s">
        <v>11584</v>
      </c>
      <c r="B1611" s="32" t="s">
        <v>4630</v>
      </c>
      <c r="C1611" s="33" t="s">
        <v>98</v>
      </c>
      <c r="D1611" s="33" t="s">
        <v>59</v>
      </c>
      <c r="E1611" s="33" t="s">
        <v>82</v>
      </c>
      <c r="F1611" s="33" t="s">
        <v>11580</v>
      </c>
      <c r="G1611" s="33" t="s">
        <v>9</v>
      </c>
      <c r="H1611" s="33" t="n">
        <v>30</v>
      </c>
    </row>
    <row r="1612" customFormat="false" ht="54" hidden="false" customHeight="true" outlineLevel="0" collapsed="false">
      <c r="A1612" s="32" t="s">
        <v>11585</v>
      </c>
      <c r="B1612" s="32" t="s">
        <v>4630</v>
      </c>
      <c r="C1612" s="33" t="s">
        <v>98</v>
      </c>
      <c r="D1612" s="33" t="s">
        <v>59</v>
      </c>
      <c r="E1612" s="33" t="s">
        <v>82</v>
      </c>
      <c r="F1612" s="33" t="s">
        <v>11576</v>
      </c>
      <c r="G1612" s="33" t="s">
        <v>9</v>
      </c>
      <c r="H1612" s="33" t="n">
        <v>30</v>
      </c>
    </row>
    <row r="1613" customFormat="false" ht="54" hidden="false" customHeight="true" outlineLevel="0" collapsed="false">
      <c r="A1613" s="32" t="s">
        <v>11586</v>
      </c>
      <c r="B1613" s="32" t="s">
        <v>4630</v>
      </c>
      <c r="C1613" s="33" t="s">
        <v>98</v>
      </c>
      <c r="D1613" s="33" t="s">
        <v>59</v>
      </c>
      <c r="E1613" s="33" t="s">
        <v>84</v>
      </c>
      <c r="F1613" s="33" t="s">
        <v>4642</v>
      </c>
      <c r="G1613" s="33" t="s">
        <v>9</v>
      </c>
      <c r="H1613" s="33" t="n">
        <v>30</v>
      </c>
    </row>
    <row r="1614" customFormat="false" ht="54" hidden="false" customHeight="true" outlineLevel="0" collapsed="false">
      <c r="A1614" s="32" t="s">
        <v>11587</v>
      </c>
      <c r="B1614" s="32" t="s">
        <v>4630</v>
      </c>
      <c r="C1614" s="33" t="s">
        <v>98</v>
      </c>
      <c r="D1614" s="33" t="s">
        <v>59</v>
      </c>
      <c r="E1614" s="33" t="s">
        <v>86</v>
      </c>
      <c r="F1614" s="33" t="s">
        <v>4644</v>
      </c>
      <c r="G1614" s="33" t="s">
        <v>9</v>
      </c>
      <c r="H1614" s="33" t="n">
        <v>30</v>
      </c>
    </row>
    <row r="1615" customFormat="false" ht="54" hidden="false" customHeight="true" outlineLevel="0" collapsed="false">
      <c r="A1615" s="32" t="s">
        <v>11588</v>
      </c>
      <c r="B1615" s="32" t="s">
        <v>4648</v>
      </c>
      <c r="C1615" s="33" t="s">
        <v>98</v>
      </c>
      <c r="D1615" s="33" t="s">
        <v>59</v>
      </c>
      <c r="E1615" s="33" t="s">
        <v>80</v>
      </c>
      <c r="F1615" s="33" t="s">
        <v>4653</v>
      </c>
      <c r="G1615" s="33" t="s">
        <v>9</v>
      </c>
      <c r="H1615" s="33" t="n">
        <v>30</v>
      </c>
    </row>
    <row r="1616" customFormat="false" ht="54" hidden="false" customHeight="true" outlineLevel="0" collapsed="false">
      <c r="A1616" s="32" t="s">
        <v>11589</v>
      </c>
      <c r="B1616" s="32" t="s">
        <v>4648</v>
      </c>
      <c r="C1616" s="33" t="s">
        <v>98</v>
      </c>
      <c r="D1616" s="33" t="s">
        <v>59</v>
      </c>
      <c r="E1616" s="33" t="s">
        <v>80</v>
      </c>
      <c r="F1616" s="33" t="s">
        <v>10548</v>
      </c>
      <c r="G1616" s="33" t="s">
        <v>9</v>
      </c>
      <c r="H1616" s="33" t="n">
        <v>30</v>
      </c>
    </row>
    <row r="1617" customFormat="false" ht="54" hidden="false" customHeight="true" outlineLevel="0" collapsed="false">
      <c r="A1617" s="32" t="s">
        <v>11590</v>
      </c>
      <c r="B1617" s="32" t="s">
        <v>4648</v>
      </c>
      <c r="C1617" s="33" t="s">
        <v>98</v>
      </c>
      <c r="D1617" s="33" t="s">
        <v>59</v>
      </c>
      <c r="E1617" s="33" t="s">
        <v>80</v>
      </c>
      <c r="F1617" s="33" t="s">
        <v>4656</v>
      </c>
      <c r="G1617" s="33" t="s">
        <v>9</v>
      </c>
      <c r="H1617" s="33" t="n">
        <v>30</v>
      </c>
    </row>
    <row r="1618" customFormat="false" ht="54" hidden="false" customHeight="true" outlineLevel="0" collapsed="false">
      <c r="A1618" s="32" t="s">
        <v>11591</v>
      </c>
      <c r="B1618" s="32" t="s">
        <v>4648</v>
      </c>
      <c r="C1618" s="33" t="s">
        <v>98</v>
      </c>
      <c r="D1618" s="33" t="s">
        <v>59</v>
      </c>
      <c r="E1618" s="33" t="s">
        <v>80</v>
      </c>
      <c r="F1618" s="33" t="s">
        <v>11592</v>
      </c>
      <c r="G1618" s="33" t="s">
        <v>9</v>
      </c>
      <c r="H1618" s="33" t="n">
        <v>30</v>
      </c>
    </row>
    <row r="1619" customFormat="false" ht="54" hidden="false" customHeight="true" outlineLevel="0" collapsed="false">
      <c r="A1619" s="32" t="s">
        <v>11593</v>
      </c>
      <c r="B1619" s="32" t="s">
        <v>4648</v>
      </c>
      <c r="C1619" s="33" t="s">
        <v>98</v>
      </c>
      <c r="D1619" s="33" t="s">
        <v>59</v>
      </c>
      <c r="E1619" s="33" t="s">
        <v>84</v>
      </c>
      <c r="F1619" s="33" t="s">
        <v>4656</v>
      </c>
      <c r="G1619" s="33" t="s">
        <v>9</v>
      </c>
      <c r="H1619" s="33" t="n">
        <v>30</v>
      </c>
    </row>
    <row r="1620" customFormat="false" ht="54" hidden="false" customHeight="true" outlineLevel="0" collapsed="false">
      <c r="A1620" s="32" t="s">
        <v>11594</v>
      </c>
      <c r="B1620" s="32" t="s">
        <v>4659</v>
      </c>
      <c r="C1620" s="33" t="s">
        <v>98</v>
      </c>
      <c r="D1620" s="33" t="s">
        <v>59</v>
      </c>
      <c r="E1620" s="33" t="s">
        <v>82</v>
      </c>
      <c r="F1620" s="33" t="s">
        <v>4668</v>
      </c>
      <c r="G1620" s="33" t="s">
        <v>9</v>
      </c>
      <c r="H1620" s="33" t="n">
        <v>30</v>
      </c>
    </row>
    <row r="1621" customFormat="false" ht="54" hidden="false" customHeight="true" outlineLevel="0" collapsed="false">
      <c r="A1621" s="32" t="s">
        <v>11595</v>
      </c>
      <c r="B1621" s="32" t="s">
        <v>4659</v>
      </c>
      <c r="C1621" s="33" t="s">
        <v>98</v>
      </c>
      <c r="D1621" s="33" t="s">
        <v>59</v>
      </c>
      <c r="E1621" s="33" t="s">
        <v>84</v>
      </c>
      <c r="F1621" s="33" t="s">
        <v>4669</v>
      </c>
      <c r="G1621" s="33" t="s">
        <v>9</v>
      </c>
      <c r="H1621" s="33" t="n">
        <v>30</v>
      </c>
    </row>
    <row r="1622" customFormat="false" ht="54" hidden="false" customHeight="true" outlineLevel="0" collapsed="false">
      <c r="A1622" s="32" t="s">
        <v>11596</v>
      </c>
      <c r="B1622" s="32" t="s">
        <v>4659</v>
      </c>
      <c r="C1622" s="33" t="s">
        <v>98</v>
      </c>
      <c r="D1622" s="33" t="s">
        <v>59</v>
      </c>
      <c r="E1622" s="33" t="s">
        <v>85</v>
      </c>
      <c r="F1622" s="33" t="s">
        <v>11597</v>
      </c>
      <c r="G1622" s="33" t="s">
        <v>9</v>
      </c>
      <c r="H1622" s="33" t="n">
        <v>30</v>
      </c>
    </row>
    <row r="1623" customFormat="false" ht="54" hidden="false" customHeight="true" outlineLevel="0" collapsed="false">
      <c r="A1623" s="32" t="s">
        <v>11598</v>
      </c>
      <c r="B1623" s="32" t="s">
        <v>4659</v>
      </c>
      <c r="C1623" s="33" t="s">
        <v>98</v>
      </c>
      <c r="D1623" s="33" t="s">
        <v>59</v>
      </c>
      <c r="E1623" s="33" t="s">
        <v>85</v>
      </c>
      <c r="F1623" s="33" t="s">
        <v>11599</v>
      </c>
      <c r="G1623" s="33" t="s">
        <v>9</v>
      </c>
      <c r="H1623" s="33" t="n">
        <v>30</v>
      </c>
    </row>
    <row r="1624" customFormat="false" ht="54" hidden="false" customHeight="true" outlineLevel="0" collapsed="false">
      <c r="A1624" s="32" t="s">
        <v>11600</v>
      </c>
      <c r="B1624" s="32" t="s">
        <v>4659</v>
      </c>
      <c r="C1624" s="33" t="s">
        <v>98</v>
      </c>
      <c r="D1624" s="33" t="s">
        <v>59</v>
      </c>
      <c r="E1624" s="33" t="s">
        <v>85</v>
      </c>
      <c r="F1624" s="33" t="s">
        <v>4669</v>
      </c>
      <c r="G1624" s="33" t="s">
        <v>9</v>
      </c>
      <c r="H1624" s="33" t="n">
        <v>30</v>
      </c>
    </row>
    <row r="1625" customFormat="false" ht="54" hidden="false" customHeight="true" outlineLevel="0" collapsed="false">
      <c r="A1625" s="32" t="s">
        <v>11601</v>
      </c>
      <c r="B1625" s="32" t="s">
        <v>4659</v>
      </c>
      <c r="C1625" s="33" t="s">
        <v>98</v>
      </c>
      <c r="D1625" s="33" t="s">
        <v>59</v>
      </c>
      <c r="E1625" s="33" t="s">
        <v>85</v>
      </c>
      <c r="F1625" s="33" t="s">
        <v>11602</v>
      </c>
      <c r="G1625" s="33" t="s">
        <v>9</v>
      </c>
      <c r="H1625" s="33" t="n">
        <v>30</v>
      </c>
    </row>
    <row r="1626" customFormat="false" ht="54" hidden="false" customHeight="true" outlineLevel="0" collapsed="false">
      <c r="A1626" s="32" t="s">
        <v>11603</v>
      </c>
      <c r="B1626" s="32" t="s">
        <v>4673</v>
      </c>
      <c r="C1626" s="33" t="s">
        <v>98</v>
      </c>
      <c r="D1626" s="33" t="s">
        <v>59</v>
      </c>
      <c r="E1626" s="33" t="s">
        <v>80</v>
      </c>
      <c r="F1626" s="33" t="s">
        <v>11604</v>
      </c>
      <c r="G1626" s="33" t="s">
        <v>9</v>
      </c>
      <c r="H1626" s="33" t="n">
        <v>30</v>
      </c>
    </row>
    <row r="1627" customFormat="false" ht="54" hidden="false" customHeight="true" outlineLevel="0" collapsed="false">
      <c r="A1627" s="32" t="s">
        <v>11605</v>
      </c>
      <c r="B1627" s="32" t="s">
        <v>4673</v>
      </c>
      <c r="C1627" s="33" t="s">
        <v>98</v>
      </c>
      <c r="D1627" s="33" t="s">
        <v>59</v>
      </c>
      <c r="E1627" s="33" t="s">
        <v>80</v>
      </c>
      <c r="F1627" s="33" t="s">
        <v>11606</v>
      </c>
      <c r="G1627" s="33" t="s">
        <v>9</v>
      </c>
      <c r="H1627" s="33" t="n">
        <v>30</v>
      </c>
    </row>
    <row r="1628" customFormat="false" ht="54" hidden="false" customHeight="true" outlineLevel="0" collapsed="false">
      <c r="A1628" s="32" t="s">
        <v>11607</v>
      </c>
      <c r="B1628" s="32" t="s">
        <v>4673</v>
      </c>
      <c r="C1628" s="33" t="s">
        <v>98</v>
      </c>
      <c r="D1628" s="33" t="s">
        <v>59</v>
      </c>
      <c r="E1628" s="33" t="s">
        <v>80</v>
      </c>
      <c r="F1628" s="33" t="s">
        <v>11608</v>
      </c>
      <c r="G1628" s="33" t="s">
        <v>9</v>
      </c>
      <c r="H1628" s="33" t="n">
        <v>30</v>
      </c>
    </row>
    <row r="1629" customFormat="false" ht="54" hidden="false" customHeight="true" outlineLevel="0" collapsed="false">
      <c r="A1629" s="32" t="s">
        <v>11609</v>
      </c>
      <c r="B1629" s="32" t="s">
        <v>4673</v>
      </c>
      <c r="C1629" s="33" t="s">
        <v>98</v>
      </c>
      <c r="D1629" s="33" t="s">
        <v>59</v>
      </c>
      <c r="E1629" s="33" t="s">
        <v>83</v>
      </c>
      <c r="F1629" s="33" t="s">
        <v>11610</v>
      </c>
      <c r="G1629" s="33" t="s">
        <v>9</v>
      </c>
      <c r="H1629" s="33" t="n">
        <v>30</v>
      </c>
    </row>
    <row r="1630" customFormat="false" ht="54" hidden="false" customHeight="true" outlineLevel="0" collapsed="false">
      <c r="A1630" s="32" t="s">
        <v>11611</v>
      </c>
      <c r="B1630" s="32" t="s">
        <v>4673</v>
      </c>
      <c r="C1630" s="33" t="s">
        <v>98</v>
      </c>
      <c r="D1630" s="33" t="s">
        <v>59</v>
      </c>
      <c r="E1630" s="33" t="s">
        <v>83</v>
      </c>
      <c r="F1630" s="33" t="s">
        <v>11612</v>
      </c>
      <c r="G1630" s="33" t="s">
        <v>9</v>
      </c>
      <c r="H1630" s="33" t="n">
        <v>30</v>
      </c>
    </row>
    <row r="1631" customFormat="false" ht="54" hidden="false" customHeight="true" outlineLevel="0" collapsed="false">
      <c r="A1631" s="32" t="s">
        <v>11613</v>
      </c>
      <c r="B1631" s="32" t="s">
        <v>4673</v>
      </c>
      <c r="C1631" s="33" t="s">
        <v>98</v>
      </c>
      <c r="D1631" s="33" t="s">
        <v>59</v>
      </c>
      <c r="E1631" s="33" t="s">
        <v>84</v>
      </c>
      <c r="F1631" s="33" t="s">
        <v>11604</v>
      </c>
      <c r="G1631" s="33" t="s">
        <v>9</v>
      </c>
      <c r="H1631" s="33" t="n">
        <v>30</v>
      </c>
    </row>
    <row r="1632" customFormat="false" ht="54" hidden="false" customHeight="true" outlineLevel="0" collapsed="false">
      <c r="A1632" s="32" t="s">
        <v>11614</v>
      </c>
      <c r="B1632" s="32" t="s">
        <v>4673</v>
      </c>
      <c r="C1632" s="33" t="s">
        <v>98</v>
      </c>
      <c r="D1632" s="33" t="s">
        <v>59</v>
      </c>
      <c r="E1632" s="33" t="s">
        <v>84</v>
      </c>
      <c r="F1632" s="33" t="s">
        <v>11615</v>
      </c>
      <c r="G1632" s="33" t="s">
        <v>9</v>
      </c>
      <c r="H1632" s="33" t="n">
        <v>30</v>
      </c>
    </row>
    <row r="1633" customFormat="false" ht="54" hidden="false" customHeight="true" outlineLevel="0" collapsed="false">
      <c r="A1633" s="32" t="s">
        <v>11616</v>
      </c>
      <c r="B1633" s="32" t="s">
        <v>4673</v>
      </c>
      <c r="C1633" s="33" t="s">
        <v>98</v>
      </c>
      <c r="D1633" s="33" t="s">
        <v>59</v>
      </c>
      <c r="E1633" s="33" t="s">
        <v>84</v>
      </c>
      <c r="F1633" s="33" t="s">
        <v>11606</v>
      </c>
      <c r="G1633" s="33" t="s">
        <v>9</v>
      </c>
      <c r="H1633" s="33" t="n">
        <v>30</v>
      </c>
    </row>
    <row r="1634" customFormat="false" ht="54" hidden="false" customHeight="true" outlineLevel="0" collapsed="false">
      <c r="A1634" s="32" t="s">
        <v>11617</v>
      </c>
      <c r="B1634" s="32" t="s">
        <v>4673</v>
      </c>
      <c r="C1634" s="33" t="s">
        <v>98</v>
      </c>
      <c r="D1634" s="33" t="s">
        <v>59</v>
      </c>
      <c r="E1634" s="33" t="s">
        <v>84</v>
      </c>
      <c r="F1634" s="33" t="s">
        <v>11608</v>
      </c>
      <c r="G1634" s="33" t="s">
        <v>9</v>
      </c>
      <c r="H1634" s="33" t="n">
        <v>30</v>
      </c>
    </row>
    <row r="1635" customFormat="false" ht="54" hidden="false" customHeight="true" outlineLevel="0" collapsed="false">
      <c r="A1635" s="32" t="s">
        <v>11618</v>
      </c>
      <c r="B1635" s="32" t="s">
        <v>4673</v>
      </c>
      <c r="C1635" s="33" t="s">
        <v>98</v>
      </c>
      <c r="D1635" s="33" t="s">
        <v>59</v>
      </c>
      <c r="E1635" s="33" t="s">
        <v>85</v>
      </c>
      <c r="F1635" s="33" t="s">
        <v>11610</v>
      </c>
      <c r="G1635" s="33" t="s">
        <v>9</v>
      </c>
      <c r="H1635" s="33" t="n">
        <v>30</v>
      </c>
    </row>
    <row r="1636" customFormat="false" ht="54" hidden="false" customHeight="true" outlineLevel="0" collapsed="false">
      <c r="A1636" s="32" t="s">
        <v>11619</v>
      </c>
      <c r="B1636" s="32" t="s">
        <v>4673</v>
      </c>
      <c r="C1636" s="33" t="s">
        <v>98</v>
      </c>
      <c r="D1636" s="33" t="s">
        <v>59</v>
      </c>
      <c r="E1636" s="33" t="s">
        <v>85</v>
      </c>
      <c r="F1636" s="33" t="s">
        <v>11612</v>
      </c>
      <c r="G1636" s="33" t="s">
        <v>9</v>
      </c>
      <c r="H1636" s="33" t="n">
        <v>30</v>
      </c>
    </row>
    <row r="1637" customFormat="false" ht="54" hidden="false" customHeight="true" outlineLevel="0" collapsed="false">
      <c r="A1637" s="32" t="s">
        <v>11620</v>
      </c>
      <c r="B1637" s="32" t="s">
        <v>4673</v>
      </c>
      <c r="C1637" s="33" t="s">
        <v>98</v>
      </c>
      <c r="D1637" s="33" t="s">
        <v>59</v>
      </c>
      <c r="E1637" s="33" t="s">
        <v>86</v>
      </c>
      <c r="F1637" s="33" t="s">
        <v>4684</v>
      </c>
      <c r="G1637" s="33" t="s">
        <v>9</v>
      </c>
      <c r="H1637" s="33" t="n">
        <v>30</v>
      </c>
    </row>
    <row r="1638" customFormat="false" ht="54" hidden="false" customHeight="true" outlineLevel="0" collapsed="false">
      <c r="A1638" s="32" t="s">
        <v>11621</v>
      </c>
      <c r="B1638" s="32" t="s">
        <v>4687</v>
      </c>
      <c r="C1638" s="33" t="s">
        <v>98</v>
      </c>
      <c r="D1638" s="33" t="s">
        <v>59</v>
      </c>
      <c r="E1638" s="33" t="s">
        <v>80</v>
      </c>
      <c r="F1638" s="33" t="s">
        <v>4691</v>
      </c>
      <c r="G1638" s="33" t="s">
        <v>9</v>
      </c>
      <c r="H1638" s="33" t="n">
        <v>30</v>
      </c>
    </row>
    <row r="1639" customFormat="false" ht="54" hidden="false" customHeight="true" outlineLevel="0" collapsed="false">
      <c r="A1639" s="32" t="s">
        <v>11622</v>
      </c>
      <c r="B1639" s="32" t="s">
        <v>4687</v>
      </c>
      <c r="C1639" s="33" t="s">
        <v>98</v>
      </c>
      <c r="D1639" s="33" t="s">
        <v>59</v>
      </c>
      <c r="E1639" s="33" t="s">
        <v>80</v>
      </c>
      <c r="F1639" s="33" t="s">
        <v>11623</v>
      </c>
      <c r="G1639" s="33" t="s">
        <v>9</v>
      </c>
      <c r="H1639" s="33" t="n">
        <v>30</v>
      </c>
    </row>
    <row r="1640" customFormat="false" ht="54" hidden="false" customHeight="true" outlineLevel="0" collapsed="false">
      <c r="A1640" s="32" t="s">
        <v>11624</v>
      </c>
      <c r="B1640" s="32" t="s">
        <v>4687</v>
      </c>
      <c r="C1640" s="33" t="s">
        <v>98</v>
      </c>
      <c r="D1640" s="33" t="s">
        <v>59</v>
      </c>
      <c r="E1640" s="33" t="s">
        <v>80</v>
      </c>
      <c r="F1640" s="33" t="s">
        <v>4697</v>
      </c>
      <c r="G1640" s="33" t="s">
        <v>9</v>
      </c>
      <c r="H1640" s="33" t="n">
        <v>30</v>
      </c>
    </row>
    <row r="1641" customFormat="false" ht="54" hidden="false" customHeight="true" outlineLevel="0" collapsed="false">
      <c r="A1641" s="32" t="s">
        <v>11625</v>
      </c>
      <c r="B1641" s="32" t="s">
        <v>4687</v>
      </c>
      <c r="C1641" s="33" t="s">
        <v>98</v>
      </c>
      <c r="D1641" s="33" t="s">
        <v>59</v>
      </c>
      <c r="E1641" s="33" t="s">
        <v>80</v>
      </c>
      <c r="F1641" s="33" t="s">
        <v>11626</v>
      </c>
      <c r="G1641" s="33" t="s">
        <v>9</v>
      </c>
      <c r="H1641" s="33" t="n">
        <v>30</v>
      </c>
    </row>
    <row r="1642" customFormat="false" ht="54" hidden="false" customHeight="true" outlineLevel="0" collapsed="false">
      <c r="A1642" s="32" t="s">
        <v>11627</v>
      </c>
      <c r="B1642" s="32" t="s">
        <v>4687</v>
      </c>
      <c r="C1642" s="33" t="s">
        <v>98</v>
      </c>
      <c r="D1642" s="33" t="s">
        <v>59</v>
      </c>
      <c r="E1642" s="33" t="s">
        <v>80</v>
      </c>
      <c r="F1642" s="33" t="s">
        <v>11628</v>
      </c>
      <c r="G1642" s="33" t="s">
        <v>9</v>
      </c>
      <c r="H1642" s="33" t="n">
        <v>30</v>
      </c>
    </row>
    <row r="1643" customFormat="false" ht="54" hidden="false" customHeight="true" outlineLevel="0" collapsed="false">
      <c r="A1643" s="32" t="s">
        <v>11629</v>
      </c>
      <c r="B1643" s="32" t="s">
        <v>4687</v>
      </c>
      <c r="C1643" s="33" t="s">
        <v>98</v>
      </c>
      <c r="D1643" s="33" t="s">
        <v>59</v>
      </c>
      <c r="E1643" s="33" t="s">
        <v>83</v>
      </c>
      <c r="F1643" s="33" t="s">
        <v>11630</v>
      </c>
      <c r="G1643" s="33" t="s">
        <v>9</v>
      </c>
      <c r="H1643" s="33" t="n">
        <v>30</v>
      </c>
    </row>
    <row r="1644" customFormat="false" ht="54" hidden="false" customHeight="true" outlineLevel="0" collapsed="false">
      <c r="A1644" s="32" t="s">
        <v>11631</v>
      </c>
      <c r="B1644" s="32" t="s">
        <v>4687</v>
      </c>
      <c r="C1644" s="33" t="s">
        <v>98</v>
      </c>
      <c r="D1644" s="33" t="s">
        <v>59</v>
      </c>
      <c r="E1644" s="33" t="s">
        <v>84</v>
      </c>
      <c r="F1644" s="33" t="s">
        <v>4697</v>
      </c>
      <c r="G1644" s="33" t="s">
        <v>9</v>
      </c>
      <c r="H1644" s="33" t="n">
        <v>30</v>
      </c>
    </row>
    <row r="1645" customFormat="false" ht="54" hidden="false" customHeight="true" outlineLevel="0" collapsed="false">
      <c r="A1645" s="32" t="s">
        <v>11632</v>
      </c>
      <c r="B1645" s="32" t="s">
        <v>4687</v>
      </c>
      <c r="C1645" s="33" t="s">
        <v>98</v>
      </c>
      <c r="D1645" s="33" t="s">
        <v>59</v>
      </c>
      <c r="E1645" s="33" t="s">
        <v>86</v>
      </c>
      <c r="F1645" s="33" t="s">
        <v>4699</v>
      </c>
      <c r="G1645" s="33" t="s">
        <v>9</v>
      </c>
      <c r="H1645" s="33" t="n">
        <v>30</v>
      </c>
    </row>
    <row r="1646" customFormat="false" ht="54" hidden="false" customHeight="true" outlineLevel="0" collapsed="false">
      <c r="A1646" s="32" t="s">
        <v>11633</v>
      </c>
      <c r="B1646" s="32" t="s">
        <v>4703</v>
      </c>
      <c r="C1646" s="33" t="s">
        <v>98</v>
      </c>
      <c r="D1646" s="33" t="s">
        <v>59</v>
      </c>
      <c r="E1646" s="33" t="s">
        <v>81</v>
      </c>
      <c r="F1646" s="33" t="s">
        <v>11634</v>
      </c>
      <c r="G1646" s="33" t="s">
        <v>9</v>
      </c>
      <c r="H1646" s="33" t="n">
        <v>30</v>
      </c>
    </row>
    <row r="1647" customFormat="false" ht="54" hidden="false" customHeight="true" outlineLevel="0" collapsed="false">
      <c r="A1647" s="32" t="s">
        <v>11635</v>
      </c>
      <c r="B1647" s="32" t="s">
        <v>4703</v>
      </c>
      <c r="C1647" s="33" t="s">
        <v>98</v>
      </c>
      <c r="D1647" s="33" t="s">
        <v>59</v>
      </c>
      <c r="E1647" s="33" t="s">
        <v>81</v>
      </c>
      <c r="F1647" s="33" t="s">
        <v>11636</v>
      </c>
      <c r="G1647" s="33" t="s">
        <v>9</v>
      </c>
      <c r="H1647" s="33" t="n">
        <v>30</v>
      </c>
    </row>
    <row r="1648" customFormat="false" ht="54" hidden="false" customHeight="true" outlineLevel="0" collapsed="false">
      <c r="A1648" s="32" t="s">
        <v>11637</v>
      </c>
      <c r="B1648" s="32" t="s">
        <v>4703</v>
      </c>
      <c r="C1648" s="33" t="s">
        <v>98</v>
      </c>
      <c r="D1648" s="33" t="s">
        <v>59</v>
      </c>
      <c r="E1648" s="33" t="s">
        <v>81</v>
      </c>
      <c r="F1648" s="33" t="s">
        <v>11638</v>
      </c>
      <c r="G1648" s="33" t="s">
        <v>9</v>
      </c>
      <c r="H1648" s="33" t="n">
        <v>30</v>
      </c>
    </row>
    <row r="1649" customFormat="false" ht="54" hidden="false" customHeight="true" outlineLevel="0" collapsed="false">
      <c r="A1649" s="32" t="s">
        <v>11639</v>
      </c>
      <c r="B1649" s="32" t="s">
        <v>4703</v>
      </c>
      <c r="C1649" s="33" t="s">
        <v>98</v>
      </c>
      <c r="D1649" s="33" t="s">
        <v>59</v>
      </c>
      <c r="E1649" s="33" t="s">
        <v>81</v>
      </c>
      <c r="F1649" s="33" t="s">
        <v>10535</v>
      </c>
      <c r="G1649" s="33" t="s">
        <v>9</v>
      </c>
      <c r="H1649" s="33" t="n">
        <v>30</v>
      </c>
    </row>
    <row r="1650" customFormat="false" ht="54" hidden="false" customHeight="true" outlineLevel="0" collapsed="false">
      <c r="A1650" s="32" t="s">
        <v>11640</v>
      </c>
      <c r="B1650" s="32" t="s">
        <v>4703</v>
      </c>
      <c r="C1650" s="33" t="s">
        <v>98</v>
      </c>
      <c r="D1650" s="33" t="s">
        <v>59</v>
      </c>
      <c r="E1650" s="33" t="s">
        <v>81</v>
      </c>
      <c r="F1650" s="33" t="s">
        <v>4713</v>
      </c>
      <c r="G1650" s="33" t="s">
        <v>9</v>
      </c>
      <c r="H1650" s="33" t="n">
        <v>30</v>
      </c>
    </row>
    <row r="1651" customFormat="false" ht="54" hidden="false" customHeight="true" outlineLevel="0" collapsed="false">
      <c r="A1651" s="32" t="s">
        <v>11641</v>
      </c>
      <c r="B1651" s="32" t="s">
        <v>4703</v>
      </c>
      <c r="C1651" s="33" t="s">
        <v>98</v>
      </c>
      <c r="D1651" s="33" t="s">
        <v>59</v>
      </c>
      <c r="E1651" s="33" t="s">
        <v>83</v>
      </c>
      <c r="F1651" s="33" t="s">
        <v>4712</v>
      </c>
      <c r="G1651" s="33" t="s">
        <v>9</v>
      </c>
      <c r="H1651" s="33" t="n">
        <v>30</v>
      </c>
    </row>
    <row r="1652" customFormat="false" ht="54" hidden="false" customHeight="true" outlineLevel="0" collapsed="false">
      <c r="A1652" s="32" t="s">
        <v>11642</v>
      </c>
      <c r="B1652" s="32" t="s">
        <v>4703</v>
      </c>
      <c r="C1652" s="33" t="s">
        <v>98</v>
      </c>
      <c r="D1652" s="33" t="s">
        <v>59</v>
      </c>
      <c r="E1652" s="33" t="s">
        <v>84</v>
      </c>
      <c r="F1652" s="33" t="s">
        <v>4713</v>
      </c>
      <c r="G1652" s="33" t="s">
        <v>9</v>
      </c>
      <c r="H1652" s="33" t="n">
        <v>30</v>
      </c>
    </row>
    <row r="1653" customFormat="false" ht="54" hidden="false" customHeight="true" outlineLevel="0" collapsed="false">
      <c r="A1653" s="32" t="s">
        <v>11643</v>
      </c>
      <c r="B1653" s="32" t="s">
        <v>4717</v>
      </c>
      <c r="C1653" s="33" t="s">
        <v>98</v>
      </c>
      <c r="D1653" s="33" t="s">
        <v>59</v>
      </c>
      <c r="E1653" s="33" t="s">
        <v>80</v>
      </c>
      <c r="F1653" s="33" t="s">
        <v>11644</v>
      </c>
      <c r="G1653" s="33" t="s">
        <v>9</v>
      </c>
      <c r="H1653" s="33" t="n">
        <v>30</v>
      </c>
    </row>
    <row r="1654" customFormat="false" ht="54" hidden="false" customHeight="true" outlineLevel="0" collapsed="false">
      <c r="A1654" s="32" t="s">
        <v>11645</v>
      </c>
      <c r="B1654" s="32" t="s">
        <v>4717</v>
      </c>
      <c r="C1654" s="33" t="s">
        <v>98</v>
      </c>
      <c r="D1654" s="33" t="s">
        <v>59</v>
      </c>
      <c r="E1654" s="33" t="s">
        <v>80</v>
      </c>
      <c r="F1654" s="33" t="s">
        <v>11646</v>
      </c>
      <c r="G1654" s="33" t="s">
        <v>9</v>
      </c>
      <c r="H1654" s="33" t="n">
        <v>30</v>
      </c>
    </row>
    <row r="1655" customFormat="false" ht="54" hidden="false" customHeight="true" outlineLevel="0" collapsed="false">
      <c r="A1655" s="32" t="s">
        <v>11647</v>
      </c>
      <c r="B1655" s="32" t="s">
        <v>4717</v>
      </c>
      <c r="C1655" s="33" t="s">
        <v>98</v>
      </c>
      <c r="D1655" s="33" t="s">
        <v>59</v>
      </c>
      <c r="E1655" s="33" t="s">
        <v>80</v>
      </c>
      <c r="F1655" s="33" t="s">
        <v>4728</v>
      </c>
      <c r="G1655" s="33" t="s">
        <v>9</v>
      </c>
      <c r="H1655" s="33" t="n">
        <v>30</v>
      </c>
    </row>
    <row r="1656" customFormat="false" ht="54" hidden="false" customHeight="true" outlineLevel="0" collapsed="false">
      <c r="A1656" s="32" t="s">
        <v>11648</v>
      </c>
      <c r="B1656" s="32" t="s">
        <v>4717</v>
      </c>
      <c r="C1656" s="33" t="s">
        <v>98</v>
      </c>
      <c r="D1656" s="33" t="s">
        <v>59</v>
      </c>
      <c r="E1656" s="33" t="s">
        <v>80</v>
      </c>
      <c r="F1656" s="33" t="s">
        <v>11649</v>
      </c>
      <c r="G1656" s="33" t="s">
        <v>9</v>
      </c>
      <c r="H1656" s="33" t="n">
        <v>30</v>
      </c>
    </row>
    <row r="1657" customFormat="false" ht="54" hidden="false" customHeight="true" outlineLevel="0" collapsed="false">
      <c r="A1657" s="32" t="s">
        <v>11650</v>
      </c>
      <c r="B1657" s="32" t="s">
        <v>4717</v>
      </c>
      <c r="C1657" s="33" t="s">
        <v>98</v>
      </c>
      <c r="D1657" s="33" t="s">
        <v>59</v>
      </c>
      <c r="E1657" s="33" t="s">
        <v>81</v>
      </c>
      <c r="F1657" s="33" t="s">
        <v>11651</v>
      </c>
      <c r="G1657" s="33" t="s">
        <v>9</v>
      </c>
      <c r="H1657" s="33" t="n">
        <v>30</v>
      </c>
    </row>
    <row r="1658" customFormat="false" ht="54" hidden="false" customHeight="true" outlineLevel="0" collapsed="false">
      <c r="A1658" s="32" t="s">
        <v>11652</v>
      </c>
      <c r="B1658" s="32" t="s">
        <v>4717</v>
      </c>
      <c r="C1658" s="33" t="s">
        <v>98</v>
      </c>
      <c r="D1658" s="33" t="s">
        <v>59</v>
      </c>
      <c r="E1658" s="33" t="s">
        <v>81</v>
      </c>
      <c r="F1658" s="33" t="s">
        <v>11646</v>
      </c>
      <c r="G1658" s="33" t="s">
        <v>9</v>
      </c>
      <c r="H1658" s="33" t="n">
        <v>30</v>
      </c>
    </row>
    <row r="1659" customFormat="false" ht="54" hidden="false" customHeight="true" outlineLevel="0" collapsed="false">
      <c r="A1659" s="32" t="s">
        <v>11653</v>
      </c>
      <c r="B1659" s="32" t="s">
        <v>4717</v>
      </c>
      <c r="C1659" s="33" t="s">
        <v>98</v>
      </c>
      <c r="D1659" s="33" t="s">
        <v>59</v>
      </c>
      <c r="E1659" s="33" t="s">
        <v>81</v>
      </c>
      <c r="F1659" s="33" t="s">
        <v>10535</v>
      </c>
      <c r="G1659" s="33" t="s">
        <v>9</v>
      </c>
      <c r="H1659" s="33" t="n">
        <v>30</v>
      </c>
    </row>
    <row r="1660" customFormat="false" ht="54" hidden="false" customHeight="true" outlineLevel="0" collapsed="false">
      <c r="A1660" s="32" t="s">
        <v>11654</v>
      </c>
      <c r="B1660" s="32" t="s">
        <v>4717</v>
      </c>
      <c r="C1660" s="33" t="s">
        <v>98</v>
      </c>
      <c r="D1660" s="33" t="s">
        <v>59</v>
      </c>
      <c r="E1660" s="33" t="s">
        <v>81</v>
      </c>
      <c r="F1660" s="33" t="s">
        <v>4728</v>
      </c>
      <c r="G1660" s="33" t="s">
        <v>9</v>
      </c>
      <c r="H1660" s="33" t="n">
        <v>30</v>
      </c>
    </row>
    <row r="1661" customFormat="false" ht="54" hidden="false" customHeight="true" outlineLevel="0" collapsed="false">
      <c r="A1661" s="32" t="s">
        <v>11655</v>
      </c>
      <c r="B1661" s="32" t="s">
        <v>4717</v>
      </c>
      <c r="C1661" s="33" t="s">
        <v>98</v>
      </c>
      <c r="D1661" s="33" t="s">
        <v>59</v>
      </c>
      <c r="E1661" s="33" t="s">
        <v>81</v>
      </c>
      <c r="F1661" s="33" t="s">
        <v>11649</v>
      </c>
      <c r="G1661" s="33" t="s">
        <v>9</v>
      </c>
      <c r="H1661" s="33" t="n">
        <v>30</v>
      </c>
    </row>
    <row r="1662" customFormat="false" ht="54" hidden="false" customHeight="true" outlineLevel="0" collapsed="false">
      <c r="A1662" s="32" t="s">
        <v>11656</v>
      </c>
      <c r="B1662" s="32" t="s">
        <v>4717</v>
      </c>
      <c r="C1662" s="33" t="s">
        <v>98</v>
      </c>
      <c r="D1662" s="33" t="s">
        <v>59</v>
      </c>
      <c r="E1662" s="33" t="s">
        <v>83</v>
      </c>
      <c r="F1662" s="33" t="s">
        <v>11657</v>
      </c>
      <c r="G1662" s="33" t="s">
        <v>9</v>
      </c>
      <c r="H1662" s="33" t="n">
        <v>30</v>
      </c>
    </row>
    <row r="1663" customFormat="false" ht="54" hidden="false" customHeight="true" outlineLevel="0" collapsed="false">
      <c r="A1663" s="32" t="s">
        <v>11658</v>
      </c>
      <c r="B1663" s="32" t="s">
        <v>4717</v>
      </c>
      <c r="C1663" s="33" t="s">
        <v>98</v>
      </c>
      <c r="D1663" s="33" t="s">
        <v>59</v>
      </c>
      <c r="E1663" s="33" t="s">
        <v>83</v>
      </c>
      <c r="F1663" s="33" t="s">
        <v>4728</v>
      </c>
      <c r="G1663" s="33" t="s">
        <v>9</v>
      </c>
      <c r="H1663" s="33" t="n">
        <v>30</v>
      </c>
    </row>
    <row r="1664" customFormat="false" ht="54" hidden="false" customHeight="true" outlineLevel="0" collapsed="false">
      <c r="A1664" s="32" t="s">
        <v>11659</v>
      </c>
      <c r="B1664" s="32" t="s">
        <v>4717</v>
      </c>
      <c r="C1664" s="33" t="s">
        <v>98</v>
      </c>
      <c r="D1664" s="33" t="s">
        <v>59</v>
      </c>
      <c r="E1664" s="33" t="s">
        <v>83</v>
      </c>
      <c r="F1664" s="33" t="s">
        <v>11649</v>
      </c>
      <c r="G1664" s="33" t="s">
        <v>9</v>
      </c>
      <c r="H1664" s="33" t="n">
        <v>30</v>
      </c>
    </row>
    <row r="1665" customFormat="false" ht="54" hidden="false" customHeight="true" outlineLevel="0" collapsed="false">
      <c r="A1665" s="32" t="s">
        <v>11660</v>
      </c>
      <c r="B1665" s="32" t="s">
        <v>4717</v>
      </c>
      <c r="C1665" s="33" t="s">
        <v>98</v>
      </c>
      <c r="D1665" s="33" t="s">
        <v>59</v>
      </c>
      <c r="E1665" s="33" t="s">
        <v>84</v>
      </c>
      <c r="F1665" s="33" t="s">
        <v>4728</v>
      </c>
      <c r="G1665" s="33" t="s">
        <v>9</v>
      </c>
      <c r="H1665" s="33" t="n">
        <v>30</v>
      </c>
    </row>
    <row r="1666" customFormat="false" ht="54" hidden="false" customHeight="true" outlineLevel="0" collapsed="false">
      <c r="A1666" s="32" t="s">
        <v>11661</v>
      </c>
      <c r="B1666" s="32" t="s">
        <v>4732</v>
      </c>
      <c r="C1666" s="33" t="s">
        <v>98</v>
      </c>
      <c r="D1666" s="33" t="s">
        <v>59</v>
      </c>
      <c r="E1666" s="33" t="s">
        <v>84</v>
      </c>
      <c r="F1666" s="33" t="s">
        <v>4740</v>
      </c>
      <c r="G1666" s="33" t="s">
        <v>9</v>
      </c>
      <c r="H1666" s="33" t="n">
        <v>30</v>
      </c>
    </row>
    <row r="1667" customFormat="false" ht="54" hidden="false" customHeight="true" outlineLevel="0" collapsed="false">
      <c r="A1667" s="32" t="s">
        <v>11662</v>
      </c>
      <c r="B1667" s="32" t="s">
        <v>4732</v>
      </c>
      <c r="C1667" s="33" t="s">
        <v>98</v>
      </c>
      <c r="D1667" s="33" t="s">
        <v>59</v>
      </c>
      <c r="E1667" s="33" t="s">
        <v>86</v>
      </c>
      <c r="F1667" s="33" t="s">
        <v>11663</v>
      </c>
      <c r="G1667" s="33" t="s">
        <v>9</v>
      </c>
      <c r="H1667" s="33" t="n">
        <v>30</v>
      </c>
    </row>
    <row r="1668" customFormat="false" ht="54" hidden="false" customHeight="true" outlineLevel="0" collapsed="false">
      <c r="A1668" s="32" t="s">
        <v>11664</v>
      </c>
      <c r="B1668" s="32" t="s">
        <v>4732</v>
      </c>
      <c r="C1668" s="33" t="s">
        <v>98</v>
      </c>
      <c r="D1668" s="33" t="s">
        <v>59</v>
      </c>
      <c r="E1668" s="33" t="s">
        <v>86</v>
      </c>
      <c r="F1668" s="33" t="s">
        <v>4740</v>
      </c>
      <c r="G1668" s="33" t="s">
        <v>9</v>
      </c>
      <c r="H1668" s="33" t="n">
        <v>30</v>
      </c>
    </row>
    <row r="1669" customFormat="false" ht="54" hidden="false" customHeight="true" outlineLevel="0" collapsed="false">
      <c r="A1669" s="32" t="s">
        <v>11665</v>
      </c>
      <c r="B1669" s="32" t="s">
        <v>4732</v>
      </c>
      <c r="C1669" s="33" t="s">
        <v>98</v>
      </c>
      <c r="D1669" s="33" t="s">
        <v>59</v>
      </c>
      <c r="E1669" s="33" t="s">
        <v>86</v>
      </c>
      <c r="F1669" s="33" t="s">
        <v>11666</v>
      </c>
      <c r="G1669" s="33" t="s">
        <v>9</v>
      </c>
      <c r="H1669" s="33" t="n">
        <v>30</v>
      </c>
    </row>
    <row r="1670" customFormat="false" ht="54" hidden="false" customHeight="true" outlineLevel="0" collapsed="false">
      <c r="A1670" s="32" t="s">
        <v>11667</v>
      </c>
      <c r="B1670" s="32" t="s">
        <v>4745</v>
      </c>
      <c r="C1670" s="33" t="s">
        <v>98</v>
      </c>
      <c r="D1670" s="33" t="s">
        <v>59</v>
      </c>
      <c r="E1670" s="33" t="s">
        <v>81</v>
      </c>
      <c r="F1670" s="33" t="s">
        <v>11668</v>
      </c>
      <c r="G1670" s="33" t="s">
        <v>9</v>
      </c>
      <c r="H1670" s="33" t="n">
        <v>30</v>
      </c>
    </row>
    <row r="1671" customFormat="false" ht="54" hidden="false" customHeight="true" outlineLevel="0" collapsed="false">
      <c r="A1671" s="32" t="s">
        <v>11669</v>
      </c>
      <c r="B1671" s="32" t="s">
        <v>4745</v>
      </c>
      <c r="C1671" s="33" t="s">
        <v>98</v>
      </c>
      <c r="D1671" s="33" t="s">
        <v>59</v>
      </c>
      <c r="E1671" s="33" t="s">
        <v>81</v>
      </c>
      <c r="F1671" s="33" t="s">
        <v>11670</v>
      </c>
      <c r="G1671" s="33" t="s">
        <v>9</v>
      </c>
      <c r="H1671" s="33" t="n">
        <v>30</v>
      </c>
    </row>
    <row r="1672" customFormat="false" ht="54" hidden="false" customHeight="true" outlineLevel="0" collapsed="false">
      <c r="A1672" s="32" t="s">
        <v>11671</v>
      </c>
      <c r="B1672" s="32" t="s">
        <v>4745</v>
      </c>
      <c r="C1672" s="33" t="s">
        <v>98</v>
      </c>
      <c r="D1672" s="33" t="s">
        <v>59</v>
      </c>
      <c r="E1672" s="33" t="s">
        <v>81</v>
      </c>
      <c r="F1672" s="33" t="s">
        <v>11672</v>
      </c>
      <c r="G1672" s="33" t="s">
        <v>9</v>
      </c>
      <c r="H1672" s="33" t="n">
        <v>30</v>
      </c>
    </row>
    <row r="1673" customFormat="false" ht="54" hidden="false" customHeight="true" outlineLevel="0" collapsed="false">
      <c r="A1673" s="32" t="s">
        <v>11673</v>
      </c>
      <c r="B1673" s="32" t="s">
        <v>4745</v>
      </c>
      <c r="C1673" s="33" t="s">
        <v>98</v>
      </c>
      <c r="D1673" s="33" t="s">
        <v>59</v>
      </c>
      <c r="E1673" s="33" t="s">
        <v>81</v>
      </c>
      <c r="F1673" s="33" t="s">
        <v>11674</v>
      </c>
      <c r="G1673" s="33" t="s">
        <v>9</v>
      </c>
      <c r="H1673" s="33" t="n">
        <v>30</v>
      </c>
    </row>
    <row r="1674" customFormat="false" ht="54" hidden="false" customHeight="true" outlineLevel="0" collapsed="false">
      <c r="A1674" s="32" t="s">
        <v>11675</v>
      </c>
      <c r="B1674" s="32" t="s">
        <v>4745</v>
      </c>
      <c r="C1674" s="33" t="s">
        <v>98</v>
      </c>
      <c r="D1674" s="33" t="s">
        <v>59</v>
      </c>
      <c r="E1674" s="33" t="s">
        <v>83</v>
      </c>
      <c r="F1674" s="33" t="s">
        <v>11676</v>
      </c>
      <c r="G1674" s="33" t="s">
        <v>9</v>
      </c>
      <c r="H1674" s="33" t="n">
        <v>30</v>
      </c>
    </row>
    <row r="1675" customFormat="false" ht="54" hidden="false" customHeight="true" outlineLevel="0" collapsed="false">
      <c r="A1675" s="32" t="s">
        <v>11677</v>
      </c>
      <c r="B1675" s="32" t="s">
        <v>4745</v>
      </c>
      <c r="C1675" s="33" t="s">
        <v>98</v>
      </c>
      <c r="D1675" s="33" t="s">
        <v>59</v>
      </c>
      <c r="E1675" s="33" t="s">
        <v>83</v>
      </c>
      <c r="F1675" s="33" t="s">
        <v>11678</v>
      </c>
      <c r="G1675" s="33" t="s">
        <v>9</v>
      </c>
      <c r="H1675" s="33" t="n">
        <v>30</v>
      </c>
    </row>
    <row r="1676" customFormat="false" ht="54" hidden="false" customHeight="true" outlineLevel="0" collapsed="false">
      <c r="A1676" s="32" t="s">
        <v>11679</v>
      </c>
      <c r="B1676" s="32" t="s">
        <v>4745</v>
      </c>
      <c r="C1676" s="33" t="s">
        <v>98</v>
      </c>
      <c r="D1676" s="33" t="s">
        <v>59</v>
      </c>
      <c r="E1676" s="33" t="s">
        <v>83</v>
      </c>
      <c r="F1676" s="33" t="s">
        <v>11674</v>
      </c>
      <c r="G1676" s="33" t="s">
        <v>9</v>
      </c>
      <c r="H1676" s="33" t="n">
        <v>30</v>
      </c>
    </row>
    <row r="1677" customFormat="false" ht="54" hidden="false" customHeight="true" outlineLevel="0" collapsed="false">
      <c r="A1677" s="32" t="s">
        <v>11680</v>
      </c>
      <c r="B1677" s="32" t="s">
        <v>4745</v>
      </c>
      <c r="C1677" s="33" t="s">
        <v>98</v>
      </c>
      <c r="D1677" s="33" t="s">
        <v>59</v>
      </c>
      <c r="E1677" s="33" t="s">
        <v>86</v>
      </c>
      <c r="F1677" s="33" t="s">
        <v>11681</v>
      </c>
      <c r="G1677" s="33" t="s">
        <v>9</v>
      </c>
      <c r="H1677" s="33" t="n">
        <v>30</v>
      </c>
    </row>
    <row r="1678" customFormat="false" ht="54" hidden="false" customHeight="true" outlineLevel="0" collapsed="false">
      <c r="A1678" s="32" t="s">
        <v>11682</v>
      </c>
      <c r="B1678" s="32" t="s">
        <v>4745</v>
      </c>
      <c r="C1678" s="33" t="s">
        <v>98</v>
      </c>
      <c r="D1678" s="33" t="s">
        <v>59</v>
      </c>
      <c r="E1678" s="33" t="s">
        <v>86</v>
      </c>
      <c r="F1678" s="33" t="s">
        <v>11674</v>
      </c>
      <c r="G1678" s="33" t="s">
        <v>9</v>
      </c>
      <c r="H1678" s="33" t="n">
        <v>30</v>
      </c>
    </row>
    <row r="1679" customFormat="false" ht="54" hidden="false" customHeight="true" outlineLevel="0" collapsed="false">
      <c r="A1679" s="32" t="s">
        <v>11683</v>
      </c>
      <c r="B1679" s="32" t="s">
        <v>4759</v>
      </c>
      <c r="C1679" s="33" t="s">
        <v>98</v>
      </c>
      <c r="D1679" s="33" t="s">
        <v>59</v>
      </c>
      <c r="E1679" s="33" t="s">
        <v>84</v>
      </c>
      <c r="F1679" s="33" t="s">
        <v>11684</v>
      </c>
      <c r="G1679" s="33" t="s">
        <v>9</v>
      </c>
      <c r="H1679" s="33" t="n">
        <v>30</v>
      </c>
    </row>
    <row r="1680" customFormat="false" ht="54" hidden="false" customHeight="true" outlineLevel="0" collapsed="false">
      <c r="A1680" s="32" t="s">
        <v>11685</v>
      </c>
      <c r="B1680" s="32" t="s">
        <v>4759</v>
      </c>
      <c r="C1680" s="33" t="s">
        <v>98</v>
      </c>
      <c r="D1680" s="33" t="s">
        <v>59</v>
      </c>
      <c r="E1680" s="33" t="s">
        <v>84</v>
      </c>
      <c r="F1680" s="33" t="s">
        <v>11686</v>
      </c>
      <c r="G1680" s="33" t="s">
        <v>9</v>
      </c>
      <c r="H1680" s="33" t="n">
        <v>30</v>
      </c>
    </row>
    <row r="1681" customFormat="false" ht="54" hidden="false" customHeight="true" outlineLevel="0" collapsed="false">
      <c r="A1681" s="32" t="s">
        <v>11687</v>
      </c>
      <c r="B1681" s="32" t="s">
        <v>4759</v>
      </c>
      <c r="C1681" s="33" t="s">
        <v>98</v>
      </c>
      <c r="D1681" s="33" t="s">
        <v>59</v>
      </c>
      <c r="E1681" s="33" t="s">
        <v>85</v>
      </c>
      <c r="F1681" s="33" t="s">
        <v>11688</v>
      </c>
      <c r="G1681" s="33" t="s">
        <v>9</v>
      </c>
      <c r="H1681" s="33" t="n">
        <v>30</v>
      </c>
    </row>
    <row r="1682" customFormat="false" ht="54" hidden="false" customHeight="true" outlineLevel="0" collapsed="false">
      <c r="A1682" s="32" t="s">
        <v>11689</v>
      </c>
      <c r="B1682" s="32" t="s">
        <v>4759</v>
      </c>
      <c r="C1682" s="33" t="s">
        <v>98</v>
      </c>
      <c r="D1682" s="33" t="s">
        <v>59</v>
      </c>
      <c r="E1682" s="33" t="s">
        <v>85</v>
      </c>
      <c r="F1682" s="33" t="s">
        <v>11690</v>
      </c>
      <c r="G1682" s="33" t="s">
        <v>9</v>
      </c>
      <c r="H1682" s="33" t="n">
        <v>30</v>
      </c>
    </row>
    <row r="1683" customFormat="false" ht="54" hidden="false" customHeight="true" outlineLevel="0" collapsed="false">
      <c r="A1683" s="32" t="s">
        <v>11691</v>
      </c>
      <c r="B1683" s="32" t="s">
        <v>4759</v>
      </c>
      <c r="C1683" s="33" t="s">
        <v>98</v>
      </c>
      <c r="D1683" s="33" t="s">
        <v>59</v>
      </c>
      <c r="E1683" s="33" t="s">
        <v>85</v>
      </c>
      <c r="F1683" s="33" t="s">
        <v>11692</v>
      </c>
      <c r="G1683" s="33" t="s">
        <v>9</v>
      </c>
      <c r="H1683" s="33" t="n">
        <v>30</v>
      </c>
    </row>
    <row r="1684" customFormat="false" ht="54" hidden="false" customHeight="true" outlineLevel="0" collapsed="false">
      <c r="A1684" s="32" t="s">
        <v>11693</v>
      </c>
      <c r="B1684" s="32" t="s">
        <v>4773</v>
      </c>
      <c r="C1684" s="33" t="s">
        <v>98</v>
      </c>
      <c r="D1684" s="33" t="s">
        <v>59</v>
      </c>
      <c r="E1684" s="33" t="s">
        <v>84</v>
      </c>
      <c r="F1684" s="33" t="s">
        <v>4782</v>
      </c>
      <c r="G1684" s="33" t="s">
        <v>9</v>
      </c>
      <c r="H1684" s="33" t="n">
        <v>30</v>
      </c>
    </row>
    <row r="1685" customFormat="false" ht="54" hidden="false" customHeight="true" outlineLevel="0" collapsed="false">
      <c r="A1685" s="32" t="s">
        <v>11694</v>
      </c>
      <c r="B1685" s="32" t="s">
        <v>4773</v>
      </c>
      <c r="C1685" s="33" t="s">
        <v>98</v>
      </c>
      <c r="D1685" s="33" t="s">
        <v>59</v>
      </c>
      <c r="E1685" s="33" t="s">
        <v>85</v>
      </c>
      <c r="F1685" s="33" t="s">
        <v>11695</v>
      </c>
      <c r="G1685" s="33" t="s">
        <v>9</v>
      </c>
      <c r="H1685" s="33" t="n">
        <v>30</v>
      </c>
    </row>
    <row r="1686" customFormat="false" ht="54" hidden="false" customHeight="true" outlineLevel="0" collapsed="false">
      <c r="A1686" s="32" t="s">
        <v>11696</v>
      </c>
      <c r="B1686" s="32" t="s">
        <v>4773</v>
      </c>
      <c r="C1686" s="33" t="s">
        <v>98</v>
      </c>
      <c r="D1686" s="33" t="s">
        <v>59</v>
      </c>
      <c r="E1686" s="33" t="s">
        <v>85</v>
      </c>
      <c r="F1686" s="33" t="s">
        <v>11697</v>
      </c>
      <c r="G1686" s="33" t="s">
        <v>9</v>
      </c>
      <c r="H1686" s="33" t="n">
        <v>30</v>
      </c>
    </row>
    <row r="1687" customFormat="false" ht="54" hidden="false" customHeight="true" outlineLevel="0" collapsed="false">
      <c r="A1687" s="32" t="s">
        <v>11698</v>
      </c>
      <c r="B1687" s="32" t="s">
        <v>4773</v>
      </c>
      <c r="C1687" s="33" t="s">
        <v>98</v>
      </c>
      <c r="D1687" s="33" t="s">
        <v>59</v>
      </c>
      <c r="E1687" s="33" t="s">
        <v>85</v>
      </c>
      <c r="F1687" s="33" t="s">
        <v>11699</v>
      </c>
      <c r="G1687" s="33" t="s">
        <v>9</v>
      </c>
      <c r="H1687" s="33" t="n">
        <v>30</v>
      </c>
    </row>
    <row r="1688" customFormat="false" ht="54" hidden="false" customHeight="true" outlineLevel="0" collapsed="false">
      <c r="A1688" s="32" t="s">
        <v>11700</v>
      </c>
      <c r="B1688" s="32" t="s">
        <v>4786</v>
      </c>
      <c r="C1688" s="33" t="s">
        <v>98</v>
      </c>
      <c r="D1688" s="33" t="s">
        <v>59</v>
      </c>
      <c r="E1688" s="33" t="s">
        <v>83</v>
      </c>
      <c r="F1688" s="33" t="s">
        <v>11701</v>
      </c>
      <c r="G1688" s="33" t="s">
        <v>9</v>
      </c>
      <c r="H1688" s="33" t="n">
        <v>30</v>
      </c>
    </row>
    <row r="1689" customFormat="false" ht="54" hidden="false" customHeight="true" outlineLevel="0" collapsed="false">
      <c r="A1689" s="32" t="s">
        <v>11702</v>
      </c>
      <c r="B1689" s="32" t="s">
        <v>4786</v>
      </c>
      <c r="C1689" s="33" t="s">
        <v>98</v>
      </c>
      <c r="D1689" s="33" t="s">
        <v>59</v>
      </c>
      <c r="E1689" s="33" t="s">
        <v>83</v>
      </c>
      <c r="F1689" s="33" t="s">
        <v>11703</v>
      </c>
      <c r="G1689" s="33" t="s">
        <v>9</v>
      </c>
      <c r="H1689" s="33" t="n">
        <v>30</v>
      </c>
    </row>
    <row r="1690" customFormat="false" ht="54" hidden="false" customHeight="true" outlineLevel="0" collapsed="false">
      <c r="A1690" s="32" t="s">
        <v>11704</v>
      </c>
      <c r="B1690" s="32" t="s">
        <v>4786</v>
      </c>
      <c r="C1690" s="33" t="s">
        <v>98</v>
      </c>
      <c r="D1690" s="33" t="s">
        <v>59</v>
      </c>
      <c r="E1690" s="33" t="s">
        <v>84</v>
      </c>
      <c r="F1690" s="33" t="s">
        <v>4795</v>
      </c>
      <c r="G1690" s="33" t="s">
        <v>9</v>
      </c>
      <c r="H1690" s="33" t="n">
        <v>30</v>
      </c>
    </row>
    <row r="1691" customFormat="false" ht="54" hidden="false" customHeight="true" outlineLevel="0" collapsed="false">
      <c r="A1691" s="32" t="s">
        <v>11705</v>
      </c>
      <c r="B1691" s="32" t="s">
        <v>4786</v>
      </c>
      <c r="C1691" s="33" t="s">
        <v>98</v>
      </c>
      <c r="D1691" s="33" t="s">
        <v>59</v>
      </c>
      <c r="E1691" s="33" t="s">
        <v>85</v>
      </c>
      <c r="F1691" s="33" t="s">
        <v>4789</v>
      </c>
      <c r="G1691" s="33" t="s">
        <v>9</v>
      </c>
      <c r="H1691" s="33" t="n">
        <v>30</v>
      </c>
    </row>
    <row r="1692" customFormat="false" ht="54" hidden="false" customHeight="true" outlineLevel="0" collapsed="false">
      <c r="A1692" s="32" t="s">
        <v>11706</v>
      </c>
      <c r="B1692" s="32" t="s">
        <v>4786</v>
      </c>
      <c r="C1692" s="33" t="s">
        <v>98</v>
      </c>
      <c r="D1692" s="33" t="s">
        <v>59</v>
      </c>
      <c r="E1692" s="33" t="s">
        <v>86</v>
      </c>
      <c r="F1692" s="33" t="s">
        <v>4793</v>
      </c>
      <c r="G1692" s="33" t="s">
        <v>9</v>
      </c>
      <c r="H1692" s="33" t="n">
        <v>30</v>
      </c>
    </row>
    <row r="1693" customFormat="false" ht="54" hidden="false" customHeight="true" outlineLevel="0" collapsed="false">
      <c r="A1693" s="32" t="s">
        <v>11707</v>
      </c>
      <c r="B1693" s="32" t="s">
        <v>4786</v>
      </c>
      <c r="C1693" s="33" t="s">
        <v>98</v>
      </c>
      <c r="D1693" s="33" t="s">
        <v>59</v>
      </c>
      <c r="E1693" s="33" t="s">
        <v>86</v>
      </c>
      <c r="F1693" s="33" t="s">
        <v>11703</v>
      </c>
      <c r="G1693" s="33" t="s">
        <v>9</v>
      </c>
      <c r="H1693" s="33" t="n">
        <v>30</v>
      </c>
    </row>
    <row r="1694" customFormat="false" ht="54" hidden="false" customHeight="true" outlineLevel="0" collapsed="false">
      <c r="A1694" s="32" t="s">
        <v>11708</v>
      </c>
      <c r="B1694" s="32" t="s">
        <v>4799</v>
      </c>
      <c r="C1694" s="33" t="s">
        <v>98</v>
      </c>
      <c r="D1694" s="33" t="s">
        <v>59</v>
      </c>
      <c r="E1694" s="33" t="s">
        <v>80</v>
      </c>
      <c r="F1694" s="33" t="s">
        <v>4802</v>
      </c>
      <c r="G1694" s="33" t="s">
        <v>9</v>
      </c>
      <c r="H1694" s="33" t="n">
        <v>30</v>
      </c>
    </row>
    <row r="1695" customFormat="false" ht="54" hidden="false" customHeight="true" outlineLevel="0" collapsed="false">
      <c r="A1695" s="32" t="s">
        <v>11709</v>
      </c>
      <c r="B1695" s="32" t="s">
        <v>4799</v>
      </c>
      <c r="C1695" s="33" t="s">
        <v>98</v>
      </c>
      <c r="D1695" s="33" t="s">
        <v>59</v>
      </c>
      <c r="E1695" s="33" t="s">
        <v>80</v>
      </c>
      <c r="F1695" s="33" t="s">
        <v>10500</v>
      </c>
      <c r="G1695" s="33" t="s">
        <v>9</v>
      </c>
      <c r="H1695" s="33" t="n">
        <v>30</v>
      </c>
    </row>
    <row r="1696" customFormat="false" ht="54" hidden="false" customHeight="true" outlineLevel="0" collapsed="false">
      <c r="A1696" s="32" t="s">
        <v>11710</v>
      </c>
      <c r="B1696" s="32" t="s">
        <v>4799</v>
      </c>
      <c r="C1696" s="33" t="s">
        <v>98</v>
      </c>
      <c r="D1696" s="33" t="s">
        <v>59</v>
      </c>
      <c r="E1696" s="33" t="s">
        <v>83</v>
      </c>
      <c r="F1696" s="33" t="s">
        <v>11711</v>
      </c>
      <c r="G1696" s="33" t="s">
        <v>9</v>
      </c>
      <c r="H1696" s="33" t="n">
        <v>30</v>
      </c>
    </row>
    <row r="1697" customFormat="false" ht="54" hidden="false" customHeight="true" outlineLevel="0" collapsed="false">
      <c r="A1697" s="32" t="s">
        <v>11712</v>
      </c>
      <c r="B1697" s="32" t="s">
        <v>4799</v>
      </c>
      <c r="C1697" s="33" t="s">
        <v>98</v>
      </c>
      <c r="D1697" s="33" t="s">
        <v>59</v>
      </c>
      <c r="E1697" s="33" t="s">
        <v>83</v>
      </c>
      <c r="F1697" s="33" t="s">
        <v>4807</v>
      </c>
      <c r="G1697" s="33" t="s">
        <v>9</v>
      </c>
      <c r="H1697" s="33" t="n">
        <v>30</v>
      </c>
    </row>
    <row r="1698" customFormat="false" ht="54" hidden="false" customHeight="true" outlineLevel="0" collapsed="false">
      <c r="A1698" s="32" t="s">
        <v>11713</v>
      </c>
      <c r="B1698" s="32" t="s">
        <v>4799</v>
      </c>
      <c r="C1698" s="33" t="s">
        <v>98</v>
      </c>
      <c r="D1698" s="33" t="s">
        <v>59</v>
      </c>
      <c r="E1698" s="33" t="s">
        <v>84</v>
      </c>
      <c r="F1698" s="33" t="s">
        <v>11711</v>
      </c>
      <c r="G1698" s="33" t="s">
        <v>9</v>
      </c>
      <c r="H1698" s="33" t="n">
        <v>30</v>
      </c>
    </row>
    <row r="1699" customFormat="false" ht="54" hidden="false" customHeight="true" outlineLevel="0" collapsed="false">
      <c r="A1699" s="32" t="s">
        <v>11714</v>
      </c>
      <c r="B1699" s="32" t="s">
        <v>4799</v>
      </c>
      <c r="C1699" s="33" t="s">
        <v>98</v>
      </c>
      <c r="D1699" s="33" t="s">
        <v>59</v>
      </c>
      <c r="E1699" s="33" t="s">
        <v>84</v>
      </c>
      <c r="F1699" s="33" t="s">
        <v>11715</v>
      </c>
      <c r="G1699" s="33" t="s">
        <v>9</v>
      </c>
      <c r="H1699" s="33" t="n">
        <v>30</v>
      </c>
    </row>
    <row r="1700" customFormat="false" ht="54" hidden="false" customHeight="true" outlineLevel="0" collapsed="false">
      <c r="A1700" s="32" t="s">
        <v>11716</v>
      </c>
      <c r="B1700" s="32" t="s">
        <v>4814</v>
      </c>
      <c r="C1700" s="33" t="s">
        <v>98</v>
      </c>
      <c r="D1700" s="33" t="s">
        <v>59</v>
      </c>
      <c r="E1700" s="33" t="s">
        <v>80</v>
      </c>
      <c r="F1700" s="33" t="s">
        <v>11717</v>
      </c>
      <c r="G1700" s="33" t="s">
        <v>9</v>
      </c>
      <c r="H1700" s="33" t="n">
        <v>30</v>
      </c>
    </row>
    <row r="1701" customFormat="false" ht="54" hidden="false" customHeight="true" outlineLevel="0" collapsed="false">
      <c r="A1701" s="32" t="s">
        <v>11718</v>
      </c>
      <c r="B1701" s="32" t="s">
        <v>4814</v>
      </c>
      <c r="C1701" s="33" t="s">
        <v>98</v>
      </c>
      <c r="D1701" s="33" t="s">
        <v>59</v>
      </c>
      <c r="E1701" s="33" t="s">
        <v>80</v>
      </c>
      <c r="F1701" s="33" t="s">
        <v>10829</v>
      </c>
      <c r="G1701" s="33" t="s">
        <v>9</v>
      </c>
      <c r="H1701" s="33" t="n">
        <v>30</v>
      </c>
    </row>
    <row r="1702" customFormat="false" ht="54" hidden="false" customHeight="true" outlineLevel="0" collapsed="false">
      <c r="A1702" s="32" t="s">
        <v>11719</v>
      </c>
      <c r="B1702" s="32" t="s">
        <v>4814</v>
      </c>
      <c r="C1702" s="33" t="s">
        <v>98</v>
      </c>
      <c r="D1702" s="33" t="s">
        <v>59</v>
      </c>
      <c r="E1702" s="33" t="s">
        <v>80</v>
      </c>
      <c r="F1702" s="33" t="s">
        <v>4825</v>
      </c>
      <c r="G1702" s="33" t="s">
        <v>9</v>
      </c>
      <c r="H1702" s="33" t="n">
        <v>30</v>
      </c>
    </row>
    <row r="1703" customFormat="false" ht="54" hidden="false" customHeight="true" outlineLevel="0" collapsed="false">
      <c r="A1703" s="32" t="s">
        <v>11720</v>
      </c>
      <c r="B1703" s="32" t="s">
        <v>4814</v>
      </c>
      <c r="C1703" s="33" t="s">
        <v>98</v>
      </c>
      <c r="D1703" s="33" t="s">
        <v>59</v>
      </c>
      <c r="E1703" s="33" t="s">
        <v>80</v>
      </c>
      <c r="F1703" s="33" t="s">
        <v>11721</v>
      </c>
      <c r="G1703" s="33" t="s">
        <v>9</v>
      </c>
      <c r="H1703" s="33" t="n">
        <v>30</v>
      </c>
    </row>
    <row r="1704" customFormat="false" ht="54" hidden="false" customHeight="true" outlineLevel="0" collapsed="false">
      <c r="A1704" s="32" t="s">
        <v>11722</v>
      </c>
      <c r="B1704" s="32" t="s">
        <v>4814</v>
      </c>
      <c r="C1704" s="33" t="s">
        <v>98</v>
      </c>
      <c r="D1704" s="33" t="s">
        <v>59</v>
      </c>
      <c r="E1704" s="33" t="s">
        <v>81</v>
      </c>
      <c r="F1704" s="33" t="s">
        <v>11723</v>
      </c>
      <c r="G1704" s="33" t="s">
        <v>9</v>
      </c>
      <c r="H1704" s="33" t="n">
        <v>30</v>
      </c>
    </row>
    <row r="1705" customFormat="false" ht="54" hidden="false" customHeight="true" outlineLevel="0" collapsed="false">
      <c r="A1705" s="32" t="s">
        <v>11724</v>
      </c>
      <c r="B1705" s="32" t="s">
        <v>4814</v>
      </c>
      <c r="C1705" s="33" t="s">
        <v>98</v>
      </c>
      <c r="D1705" s="33" t="s">
        <v>59</v>
      </c>
      <c r="E1705" s="33" t="s">
        <v>81</v>
      </c>
      <c r="F1705" s="33" t="s">
        <v>11717</v>
      </c>
      <c r="G1705" s="33" t="s">
        <v>9</v>
      </c>
      <c r="H1705" s="33" t="n">
        <v>30</v>
      </c>
    </row>
    <row r="1706" customFormat="false" ht="54" hidden="false" customHeight="true" outlineLevel="0" collapsed="false">
      <c r="A1706" s="32" t="s">
        <v>11725</v>
      </c>
      <c r="B1706" s="32" t="s">
        <v>4814</v>
      </c>
      <c r="C1706" s="33" t="s">
        <v>98</v>
      </c>
      <c r="D1706" s="33" t="s">
        <v>59</v>
      </c>
      <c r="E1706" s="33" t="s">
        <v>81</v>
      </c>
      <c r="F1706" s="33" t="s">
        <v>10829</v>
      </c>
      <c r="G1706" s="33" t="s">
        <v>9</v>
      </c>
      <c r="H1706" s="33" t="n">
        <v>30</v>
      </c>
    </row>
    <row r="1707" customFormat="false" ht="54" hidden="false" customHeight="true" outlineLevel="0" collapsed="false">
      <c r="A1707" s="32" t="s">
        <v>11726</v>
      </c>
      <c r="B1707" s="32" t="s">
        <v>4814</v>
      </c>
      <c r="C1707" s="33" t="s">
        <v>98</v>
      </c>
      <c r="D1707" s="33" t="s">
        <v>59</v>
      </c>
      <c r="E1707" s="33" t="s">
        <v>81</v>
      </c>
      <c r="F1707" s="33" t="s">
        <v>10480</v>
      </c>
      <c r="G1707" s="33" t="s">
        <v>9</v>
      </c>
      <c r="H1707" s="33" t="n">
        <v>30</v>
      </c>
    </row>
    <row r="1708" customFormat="false" ht="54" hidden="false" customHeight="true" outlineLevel="0" collapsed="false">
      <c r="A1708" s="32" t="s">
        <v>11727</v>
      </c>
      <c r="B1708" s="32" t="s">
        <v>4814</v>
      </c>
      <c r="C1708" s="33" t="s">
        <v>98</v>
      </c>
      <c r="D1708" s="33" t="s">
        <v>59</v>
      </c>
      <c r="E1708" s="33" t="s">
        <v>81</v>
      </c>
      <c r="F1708" s="33" t="s">
        <v>4825</v>
      </c>
      <c r="G1708" s="33" t="s">
        <v>9</v>
      </c>
      <c r="H1708" s="33" t="n">
        <v>30</v>
      </c>
    </row>
    <row r="1709" customFormat="false" ht="54" hidden="false" customHeight="true" outlineLevel="0" collapsed="false">
      <c r="A1709" s="32" t="s">
        <v>11728</v>
      </c>
      <c r="B1709" s="32" t="s">
        <v>4814</v>
      </c>
      <c r="C1709" s="33" t="s">
        <v>98</v>
      </c>
      <c r="D1709" s="33" t="s">
        <v>59</v>
      </c>
      <c r="E1709" s="33" t="s">
        <v>84</v>
      </c>
      <c r="F1709" s="33" t="s">
        <v>4825</v>
      </c>
      <c r="G1709" s="33" t="s">
        <v>9</v>
      </c>
      <c r="H1709" s="33" t="n">
        <v>30</v>
      </c>
    </row>
    <row r="1710" customFormat="false" ht="54" hidden="false" customHeight="true" outlineLevel="0" collapsed="false">
      <c r="A1710" s="32" t="s">
        <v>11729</v>
      </c>
      <c r="B1710" s="32" t="s">
        <v>4814</v>
      </c>
      <c r="C1710" s="33" t="s">
        <v>98</v>
      </c>
      <c r="D1710" s="33" t="s">
        <v>59</v>
      </c>
      <c r="E1710" s="33" t="s">
        <v>86</v>
      </c>
      <c r="F1710" s="33" t="s">
        <v>4826</v>
      </c>
      <c r="G1710" s="33" t="s">
        <v>9</v>
      </c>
      <c r="H1710" s="33" t="n">
        <v>30</v>
      </c>
    </row>
    <row r="1711" customFormat="false" ht="54" hidden="false" customHeight="true" outlineLevel="0" collapsed="false">
      <c r="A1711" s="32" t="s">
        <v>11730</v>
      </c>
      <c r="B1711" s="32" t="s">
        <v>4829</v>
      </c>
      <c r="C1711" s="33" t="s">
        <v>98</v>
      </c>
      <c r="D1711" s="33" t="s">
        <v>59</v>
      </c>
      <c r="E1711" s="33" t="s">
        <v>80</v>
      </c>
      <c r="F1711" s="33" t="s">
        <v>4832</v>
      </c>
      <c r="G1711" s="33" t="s">
        <v>9</v>
      </c>
      <c r="H1711" s="33" t="n">
        <v>30</v>
      </c>
    </row>
    <row r="1712" customFormat="false" ht="54" hidden="false" customHeight="true" outlineLevel="0" collapsed="false">
      <c r="A1712" s="32" t="s">
        <v>11731</v>
      </c>
      <c r="B1712" s="32" t="s">
        <v>4829</v>
      </c>
      <c r="C1712" s="33" t="s">
        <v>98</v>
      </c>
      <c r="D1712" s="33" t="s">
        <v>59</v>
      </c>
      <c r="E1712" s="33" t="s">
        <v>80</v>
      </c>
      <c r="F1712" s="33" t="s">
        <v>11732</v>
      </c>
      <c r="G1712" s="33" t="s">
        <v>9</v>
      </c>
      <c r="H1712" s="33" t="n">
        <v>30</v>
      </c>
    </row>
    <row r="1713" customFormat="false" ht="54" hidden="false" customHeight="true" outlineLevel="0" collapsed="false">
      <c r="A1713" s="32" t="s">
        <v>11733</v>
      </c>
      <c r="B1713" s="32" t="s">
        <v>4829</v>
      </c>
      <c r="C1713" s="33" t="s">
        <v>98</v>
      </c>
      <c r="D1713" s="33" t="s">
        <v>59</v>
      </c>
      <c r="E1713" s="33" t="s">
        <v>80</v>
      </c>
      <c r="F1713" s="33" t="s">
        <v>11734</v>
      </c>
      <c r="G1713" s="33" t="s">
        <v>9</v>
      </c>
      <c r="H1713" s="33" t="n">
        <v>30</v>
      </c>
    </row>
    <row r="1714" customFormat="false" ht="54" hidden="false" customHeight="true" outlineLevel="0" collapsed="false">
      <c r="A1714" s="32" t="s">
        <v>11735</v>
      </c>
      <c r="B1714" s="32" t="s">
        <v>4829</v>
      </c>
      <c r="C1714" s="33" t="s">
        <v>98</v>
      </c>
      <c r="D1714" s="33" t="s">
        <v>59</v>
      </c>
      <c r="E1714" s="33" t="s">
        <v>80</v>
      </c>
      <c r="F1714" s="33" t="s">
        <v>11736</v>
      </c>
      <c r="G1714" s="33" t="s">
        <v>9</v>
      </c>
      <c r="H1714" s="33" t="n">
        <v>30</v>
      </c>
    </row>
    <row r="1715" customFormat="false" ht="54" hidden="false" customHeight="true" outlineLevel="0" collapsed="false">
      <c r="A1715" s="32" t="s">
        <v>11737</v>
      </c>
      <c r="B1715" s="32" t="s">
        <v>4829</v>
      </c>
      <c r="C1715" s="33" t="s">
        <v>98</v>
      </c>
      <c r="D1715" s="33" t="s">
        <v>59</v>
      </c>
      <c r="E1715" s="33" t="s">
        <v>80</v>
      </c>
      <c r="F1715" s="33" t="s">
        <v>11738</v>
      </c>
      <c r="G1715" s="33" t="s">
        <v>9</v>
      </c>
      <c r="H1715" s="33" t="n">
        <v>30</v>
      </c>
    </row>
    <row r="1716" customFormat="false" ht="54" hidden="false" customHeight="true" outlineLevel="0" collapsed="false">
      <c r="A1716" s="32" t="s">
        <v>11739</v>
      </c>
      <c r="B1716" s="32" t="s">
        <v>4829</v>
      </c>
      <c r="C1716" s="33" t="s">
        <v>98</v>
      </c>
      <c r="D1716" s="33" t="s">
        <v>59</v>
      </c>
      <c r="E1716" s="33" t="s">
        <v>81</v>
      </c>
      <c r="F1716" s="33" t="s">
        <v>11740</v>
      </c>
      <c r="G1716" s="33" t="s">
        <v>9</v>
      </c>
      <c r="H1716" s="33" t="n">
        <v>30</v>
      </c>
    </row>
    <row r="1717" customFormat="false" ht="54" hidden="false" customHeight="true" outlineLevel="0" collapsed="false">
      <c r="A1717" s="32" t="s">
        <v>11741</v>
      </c>
      <c r="B1717" s="32" t="s">
        <v>4829</v>
      </c>
      <c r="C1717" s="33" t="s">
        <v>98</v>
      </c>
      <c r="D1717" s="33" t="s">
        <v>59</v>
      </c>
      <c r="E1717" s="33" t="s">
        <v>81</v>
      </c>
      <c r="F1717" s="33" t="s">
        <v>11742</v>
      </c>
      <c r="G1717" s="33" t="s">
        <v>9</v>
      </c>
      <c r="H1717" s="33" t="n">
        <v>30</v>
      </c>
    </row>
    <row r="1718" customFormat="false" ht="54" hidden="false" customHeight="true" outlineLevel="0" collapsed="false">
      <c r="A1718" s="32" t="s">
        <v>11743</v>
      </c>
      <c r="B1718" s="32" t="s">
        <v>4829</v>
      </c>
      <c r="C1718" s="33" t="s">
        <v>98</v>
      </c>
      <c r="D1718" s="33" t="s">
        <v>59</v>
      </c>
      <c r="E1718" s="33" t="s">
        <v>81</v>
      </c>
      <c r="F1718" s="33" t="s">
        <v>11732</v>
      </c>
      <c r="G1718" s="33" t="s">
        <v>9</v>
      </c>
      <c r="H1718" s="33" t="n">
        <v>30</v>
      </c>
    </row>
    <row r="1719" customFormat="false" ht="54" hidden="false" customHeight="true" outlineLevel="0" collapsed="false">
      <c r="A1719" s="32" t="s">
        <v>11744</v>
      </c>
      <c r="B1719" s="32" t="s">
        <v>4829</v>
      </c>
      <c r="C1719" s="33" t="s">
        <v>98</v>
      </c>
      <c r="D1719" s="33" t="s">
        <v>59</v>
      </c>
      <c r="E1719" s="33" t="s">
        <v>81</v>
      </c>
      <c r="F1719" s="33" t="s">
        <v>10480</v>
      </c>
      <c r="G1719" s="33" t="s">
        <v>9</v>
      </c>
      <c r="H1719" s="33" t="n">
        <v>30</v>
      </c>
    </row>
    <row r="1720" customFormat="false" ht="54" hidden="false" customHeight="true" outlineLevel="0" collapsed="false">
      <c r="A1720" s="32" t="s">
        <v>11745</v>
      </c>
      <c r="B1720" s="32" t="s">
        <v>4829</v>
      </c>
      <c r="C1720" s="33" t="s">
        <v>98</v>
      </c>
      <c r="D1720" s="33" t="s">
        <v>59</v>
      </c>
      <c r="E1720" s="33" t="s">
        <v>81</v>
      </c>
      <c r="F1720" s="33" t="s">
        <v>11734</v>
      </c>
      <c r="G1720" s="33" t="s">
        <v>9</v>
      </c>
      <c r="H1720" s="33" t="n">
        <v>30</v>
      </c>
    </row>
    <row r="1721" customFormat="false" ht="54" hidden="false" customHeight="true" outlineLevel="0" collapsed="false">
      <c r="A1721" s="32" t="s">
        <v>11746</v>
      </c>
      <c r="B1721" s="32" t="s">
        <v>4829</v>
      </c>
      <c r="C1721" s="33" t="s">
        <v>98</v>
      </c>
      <c r="D1721" s="33" t="s">
        <v>59</v>
      </c>
      <c r="E1721" s="33" t="s">
        <v>83</v>
      </c>
      <c r="F1721" s="33" t="s">
        <v>11742</v>
      </c>
      <c r="G1721" s="33" t="s">
        <v>9</v>
      </c>
      <c r="H1721" s="33" t="n">
        <v>30</v>
      </c>
    </row>
    <row r="1722" customFormat="false" ht="54" hidden="false" customHeight="true" outlineLevel="0" collapsed="false">
      <c r="A1722" s="32" t="s">
        <v>11747</v>
      </c>
      <c r="B1722" s="32" t="s">
        <v>4829</v>
      </c>
      <c r="C1722" s="33" t="s">
        <v>98</v>
      </c>
      <c r="D1722" s="33" t="s">
        <v>59</v>
      </c>
      <c r="E1722" s="33" t="s">
        <v>83</v>
      </c>
      <c r="F1722" s="33" t="s">
        <v>11734</v>
      </c>
      <c r="G1722" s="33" t="s">
        <v>9</v>
      </c>
      <c r="H1722" s="33" t="n">
        <v>30</v>
      </c>
    </row>
    <row r="1723" customFormat="false" ht="54" hidden="false" customHeight="true" outlineLevel="0" collapsed="false">
      <c r="A1723" s="32" t="s">
        <v>11748</v>
      </c>
      <c r="B1723" s="32" t="s">
        <v>4829</v>
      </c>
      <c r="C1723" s="33" t="s">
        <v>98</v>
      </c>
      <c r="D1723" s="33" t="s">
        <v>59</v>
      </c>
      <c r="E1723" s="33" t="s">
        <v>83</v>
      </c>
      <c r="F1723" s="33" t="s">
        <v>11749</v>
      </c>
      <c r="G1723" s="33" t="s">
        <v>9</v>
      </c>
      <c r="H1723" s="33" t="n">
        <v>30</v>
      </c>
    </row>
    <row r="1724" customFormat="false" ht="54" hidden="false" customHeight="true" outlineLevel="0" collapsed="false">
      <c r="A1724" s="32" t="s">
        <v>11750</v>
      </c>
      <c r="B1724" s="32" t="s">
        <v>4829</v>
      </c>
      <c r="C1724" s="33" t="s">
        <v>98</v>
      </c>
      <c r="D1724" s="33" t="s">
        <v>59</v>
      </c>
      <c r="E1724" s="33" t="s">
        <v>83</v>
      </c>
      <c r="F1724" s="33" t="s">
        <v>11736</v>
      </c>
      <c r="G1724" s="33" t="s">
        <v>9</v>
      </c>
      <c r="H1724" s="33" t="n">
        <v>30</v>
      </c>
    </row>
    <row r="1725" customFormat="false" ht="54" hidden="false" customHeight="true" outlineLevel="0" collapsed="false">
      <c r="A1725" s="32" t="s">
        <v>11751</v>
      </c>
      <c r="B1725" s="32" t="s">
        <v>4829</v>
      </c>
      <c r="C1725" s="33" t="s">
        <v>98</v>
      </c>
      <c r="D1725" s="33" t="s">
        <v>59</v>
      </c>
      <c r="E1725" s="33" t="s">
        <v>83</v>
      </c>
      <c r="F1725" s="33" t="s">
        <v>11738</v>
      </c>
      <c r="G1725" s="33" t="s">
        <v>9</v>
      </c>
      <c r="H1725" s="33" t="n">
        <v>30</v>
      </c>
    </row>
    <row r="1726" customFormat="false" ht="54" hidden="false" customHeight="true" outlineLevel="0" collapsed="false">
      <c r="A1726" s="32" t="s">
        <v>11752</v>
      </c>
      <c r="B1726" s="32" t="s">
        <v>4829</v>
      </c>
      <c r="C1726" s="33" t="s">
        <v>98</v>
      </c>
      <c r="D1726" s="33" t="s">
        <v>59</v>
      </c>
      <c r="E1726" s="33" t="s">
        <v>84</v>
      </c>
      <c r="F1726" s="33" t="s">
        <v>4832</v>
      </c>
      <c r="G1726" s="33" t="s">
        <v>9</v>
      </c>
      <c r="H1726" s="33" t="n">
        <v>30</v>
      </c>
    </row>
    <row r="1727" customFormat="false" ht="54" hidden="false" customHeight="true" outlineLevel="0" collapsed="false">
      <c r="A1727" s="32" t="s">
        <v>11753</v>
      </c>
      <c r="B1727" s="32" t="s">
        <v>4829</v>
      </c>
      <c r="C1727" s="33" t="s">
        <v>98</v>
      </c>
      <c r="D1727" s="33" t="s">
        <v>59</v>
      </c>
      <c r="E1727" s="33" t="s">
        <v>84</v>
      </c>
      <c r="F1727" s="33" t="s">
        <v>11732</v>
      </c>
      <c r="G1727" s="33" t="s">
        <v>9</v>
      </c>
      <c r="H1727" s="33" t="n">
        <v>30</v>
      </c>
    </row>
    <row r="1728" customFormat="false" ht="54" hidden="false" customHeight="true" outlineLevel="0" collapsed="false">
      <c r="A1728" s="32" t="s">
        <v>11754</v>
      </c>
      <c r="B1728" s="32" t="s">
        <v>4829</v>
      </c>
      <c r="C1728" s="33" t="s">
        <v>98</v>
      </c>
      <c r="D1728" s="33" t="s">
        <v>59</v>
      </c>
      <c r="E1728" s="33" t="s">
        <v>84</v>
      </c>
      <c r="F1728" s="33" t="s">
        <v>11734</v>
      </c>
      <c r="G1728" s="33" t="s">
        <v>9</v>
      </c>
      <c r="H1728" s="33" t="n">
        <v>30</v>
      </c>
    </row>
    <row r="1729" customFormat="false" ht="54" hidden="false" customHeight="true" outlineLevel="0" collapsed="false">
      <c r="A1729" s="32" t="s">
        <v>11755</v>
      </c>
      <c r="B1729" s="32" t="s">
        <v>4829</v>
      </c>
      <c r="C1729" s="33" t="s">
        <v>98</v>
      </c>
      <c r="D1729" s="33" t="s">
        <v>59</v>
      </c>
      <c r="E1729" s="33" t="s">
        <v>84</v>
      </c>
      <c r="F1729" s="33" t="s">
        <v>11736</v>
      </c>
      <c r="G1729" s="33" t="s">
        <v>9</v>
      </c>
      <c r="H1729" s="33" t="n">
        <v>30</v>
      </c>
    </row>
    <row r="1730" customFormat="false" ht="54" hidden="false" customHeight="true" outlineLevel="0" collapsed="false">
      <c r="A1730" s="32" t="s">
        <v>11756</v>
      </c>
      <c r="B1730" s="32" t="s">
        <v>4829</v>
      </c>
      <c r="C1730" s="33" t="s">
        <v>98</v>
      </c>
      <c r="D1730" s="33" t="s">
        <v>59</v>
      </c>
      <c r="E1730" s="33" t="s">
        <v>84</v>
      </c>
      <c r="F1730" s="33" t="s">
        <v>11738</v>
      </c>
      <c r="G1730" s="33" t="s">
        <v>9</v>
      </c>
      <c r="H1730" s="33" t="n">
        <v>30</v>
      </c>
    </row>
    <row r="1731" customFormat="false" ht="54" hidden="false" customHeight="true" outlineLevel="0" collapsed="false">
      <c r="A1731" s="32" t="s">
        <v>11757</v>
      </c>
      <c r="B1731" s="32" t="s">
        <v>4829</v>
      </c>
      <c r="C1731" s="33" t="s">
        <v>98</v>
      </c>
      <c r="D1731" s="33" t="s">
        <v>59</v>
      </c>
      <c r="E1731" s="33" t="s">
        <v>86</v>
      </c>
      <c r="F1731" s="33" t="s">
        <v>11740</v>
      </c>
      <c r="G1731" s="33" t="s">
        <v>9</v>
      </c>
      <c r="H1731" s="33" t="n">
        <v>30</v>
      </c>
    </row>
    <row r="1732" customFormat="false" ht="54" hidden="false" customHeight="true" outlineLevel="0" collapsed="false">
      <c r="A1732" s="32" t="s">
        <v>11758</v>
      </c>
      <c r="B1732" s="32" t="s">
        <v>4829</v>
      </c>
      <c r="C1732" s="33" t="s">
        <v>98</v>
      </c>
      <c r="D1732" s="33" t="s">
        <v>59</v>
      </c>
      <c r="E1732" s="33" t="s">
        <v>86</v>
      </c>
      <c r="F1732" s="33" t="s">
        <v>11734</v>
      </c>
      <c r="G1732" s="33" t="s">
        <v>9</v>
      </c>
      <c r="H1732" s="33" t="n">
        <v>30</v>
      </c>
    </row>
    <row r="1733" customFormat="false" ht="54" hidden="false" customHeight="true" outlineLevel="0" collapsed="false">
      <c r="A1733" s="32" t="s">
        <v>11759</v>
      </c>
      <c r="B1733" s="32" t="s">
        <v>4829</v>
      </c>
      <c r="C1733" s="33" t="s">
        <v>98</v>
      </c>
      <c r="D1733" s="33" t="s">
        <v>59</v>
      </c>
      <c r="E1733" s="33" t="s">
        <v>86</v>
      </c>
      <c r="F1733" s="33" t="s">
        <v>11749</v>
      </c>
      <c r="G1733" s="33" t="s">
        <v>9</v>
      </c>
      <c r="H1733" s="33" t="n">
        <v>30</v>
      </c>
    </row>
    <row r="1734" customFormat="false" ht="54" hidden="false" customHeight="true" outlineLevel="0" collapsed="false">
      <c r="A1734" s="32" t="s">
        <v>11760</v>
      </c>
      <c r="B1734" s="32" t="s">
        <v>4844</v>
      </c>
      <c r="C1734" s="33" t="s">
        <v>98</v>
      </c>
      <c r="D1734" s="33" t="s">
        <v>59</v>
      </c>
      <c r="E1734" s="33" t="s">
        <v>80</v>
      </c>
      <c r="F1734" s="33" t="s">
        <v>4847</v>
      </c>
      <c r="G1734" s="33" t="s">
        <v>9</v>
      </c>
      <c r="H1734" s="33" t="n">
        <v>60</v>
      </c>
    </row>
    <row r="1735" customFormat="false" ht="54" hidden="false" customHeight="true" outlineLevel="0" collapsed="false">
      <c r="A1735" s="32" t="s">
        <v>11761</v>
      </c>
      <c r="B1735" s="32" t="s">
        <v>4844</v>
      </c>
      <c r="C1735" s="33" t="s">
        <v>98</v>
      </c>
      <c r="D1735" s="33" t="s">
        <v>59</v>
      </c>
      <c r="E1735" s="33" t="s">
        <v>80</v>
      </c>
      <c r="F1735" s="33" t="s">
        <v>4849</v>
      </c>
      <c r="G1735" s="33" t="s">
        <v>9</v>
      </c>
      <c r="H1735" s="33" t="n">
        <v>60</v>
      </c>
    </row>
    <row r="1736" customFormat="false" ht="54" hidden="false" customHeight="true" outlineLevel="0" collapsed="false">
      <c r="A1736" s="32" t="s">
        <v>11762</v>
      </c>
      <c r="B1736" s="32" t="s">
        <v>4844</v>
      </c>
      <c r="C1736" s="33" t="s">
        <v>98</v>
      </c>
      <c r="D1736" s="33" t="s">
        <v>59</v>
      </c>
      <c r="E1736" s="33" t="s">
        <v>80</v>
      </c>
      <c r="F1736" s="33" t="s">
        <v>11763</v>
      </c>
      <c r="G1736" s="33" t="s">
        <v>9</v>
      </c>
      <c r="H1736" s="33" t="n">
        <v>60</v>
      </c>
    </row>
    <row r="1737" customFormat="false" ht="54" hidden="false" customHeight="true" outlineLevel="0" collapsed="false">
      <c r="A1737" s="32" t="s">
        <v>11764</v>
      </c>
      <c r="B1737" s="32" t="s">
        <v>4844</v>
      </c>
      <c r="C1737" s="33" t="s">
        <v>98</v>
      </c>
      <c r="D1737" s="33" t="s">
        <v>59</v>
      </c>
      <c r="E1737" s="33" t="s">
        <v>81</v>
      </c>
      <c r="F1737" s="33" t="s">
        <v>4849</v>
      </c>
      <c r="G1737" s="33" t="s">
        <v>9</v>
      </c>
      <c r="H1737" s="33" t="n">
        <v>60</v>
      </c>
    </row>
    <row r="1738" customFormat="false" ht="54" hidden="false" customHeight="true" outlineLevel="0" collapsed="false">
      <c r="A1738" s="32" t="s">
        <v>11765</v>
      </c>
      <c r="B1738" s="32" t="s">
        <v>4844</v>
      </c>
      <c r="C1738" s="33" t="s">
        <v>98</v>
      </c>
      <c r="D1738" s="33" t="s">
        <v>59</v>
      </c>
      <c r="E1738" s="33" t="s">
        <v>81</v>
      </c>
      <c r="F1738" s="33" t="s">
        <v>11763</v>
      </c>
      <c r="G1738" s="33" t="s">
        <v>9</v>
      </c>
      <c r="H1738" s="33" t="n">
        <v>60</v>
      </c>
    </row>
    <row r="1739" customFormat="false" ht="54" hidden="false" customHeight="true" outlineLevel="0" collapsed="false">
      <c r="A1739" s="32" t="s">
        <v>11766</v>
      </c>
      <c r="B1739" s="32" t="s">
        <v>4844</v>
      </c>
      <c r="C1739" s="33" t="s">
        <v>98</v>
      </c>
      <c r="D1739" s="33" t="s">
        <v>59</v>
      </c>
      <c r="E1739" s="33" t="s">
        <v>82</v>
      </c>
      <c r="F1739" s="33" t="s">
        <v>4855</v>
      </c>
      <c r="G1739" s="33" t="s">
        <v>9</v>
      </c>
      <c r="H1739" s="33" t="n">
        <v>60</v>
      </c>
    </row>
    <row r="1740" customFormat="false" ht="54" hidden="false" customHeight="true" outlineLevel="0" collapsed="false">
      <c r="A1740" s="32" t="s">
        <v>11767</v>
      </c>
      <c r="B1740" s="32" t="s">
        <v>4844</v>
      </c>
      <c r="C1740" s="33" t="s">
        <v>98</v>
      </c>
      <c r="D1740" s="33" t="s">
        <v>59</v>
      </c>
      <c r="E1740" s="33" t="s">
        <v>83</v>
      </c>
      <c r="F1740" s="33" t="s">
        <v>11768</v>
      </c>
      <c r="G1740" s="33" t="s">
        <v>9</v>
      </c>
      <c r="H1740" s="33" t="n">
        <v>60</v>
      </c>
    </row>
    <row r="1741" customFormat="false" ht="54" hidden="false" customHeight="true" outlineLevel="0" collapsed="false">
      <c r="A1741" s="32" t="s">
        <v>11769</v>
      </c>
      <c r="B1741" s="32" t="s">
        <v>4844</v>
      </c>
      <c r="C1741" s="33" t="s">
        <v>98</v>
      </c>
      <c r="D1741" s="33" t="s">
        <v>59</v>
      </c>
      <c r="E1741" s="33" t="s">
        <v>83</v>
      </c>
      <c r="F1741" s="33" t="s">
        <v>4851</v>
      </c>
      <c r="G1741" s="33" t="s">
        <v>9</v>
      </c>
      <c r="H1741" s="33" t="n">
        <v>60</v>
      </c>
    </row>
    <row r="1742" customFormat="false" ht="54" hidden="false" customHeight="true" outlineLevel="0" collapsed="false">
      <c r="A1742" s="32" t="s">
        <v>11770</v>
      </c>
      <c r="B1742" s="32" t="s">
        <v>4844</v>
      </c>
      <c r="C1742" s="33" t="s">
        <v>98</v>
      </c>
      <c r="D1742" s="33" t="s">
        <v>59</v>
      </c>
      <c r="E1742" s="33" t="s">
        <v>84</v>
      </c>
      <c r="F1742" s="33" t="s">
        <v>4847</v>
      </c>
      <c r="G1742" s="33" t="s">
        <v>9</v>
      </c>
      <c r="H1742" s="33" t="n">
        <v>60</v>
      </c>
    </row>
    <row r="1743" customFormat="false" ht="54" hidden="false" customHeight="true" outlineLevel="0" collapsed="false">
      <c r="A1743" s="32" t="s">
        <v>11771</v>
      </c>
      <c r="B1743" s="32" t="s">
        <v>2656</v>
      </c>
      <c r="C1743" s="33" t="s">
        <v>98</v>
      </c>
      <c r="D1743" s="33" t="s">
        <v>59</v>
      </c>
      <c r="E1743" s="33" t="s">
        <v>82</v>
      </c>
      <c r="F1743" s="33" t="s">
        <v>11772</v>
      </c>
      <c r="G1743" s="33" t="s">
        <v>9</v>
      </c>
      <c r="H1743" s="33" t="n">
        <v>40</v>
      </c>
    </row>
    <row r="1744" customFormat="false" ht="54" hidden="false" customHeight="true" outlineLevel="0" collapsed="false">
      <c r="A1744" s="32" t="s">
        <v>11773</v>
      </c>
      <c r="B1744" s="32" t="s">
        <v>2656</v>
      </c>
      <c r="C1744" s="33" t="s">
        <v>98</v>
      </c>
      <c r="D1744" s="33" t="s">
        <v>59</v>
      </c>
      <c r="E1744" s="33" t="s">
        <v>82</v>
      </c>
      <c r="F1744" s="33" t="s">
        <v>4870</v>
      </c>
      <c r="G1744" s="33" t="s">
        <v>9</v>
      </c>
      <c r="H1744" s="33" t="n">
        <v>40</v>
      </c>
    </row>
    <row r="1745" customFormat="false" ht="54" hidden="false" customHeight="true" outlineLevel="0" collapsed="false">
      <c r="A1745" s="32" t="s">
        <v>11774</v>
      </c>
      <c r="B1745" s="32" t="s">
        <v>2656</v>
      </c>
      <c r="C1745" s="33" t="s">
        <v>98</v>
      </c>
      <c r="D1745" s="33" t="s">
        <v>59</v>
      </c>
      <c r="E1745" s="33" t="s">
        <v>82</v>
      </c>
      <c r="F1745" s="33" t="s">
        <v>11775</v>
      </c>
      <c r="G1745" s="33" t="s">
        <v>9</v>
      </c>
      <c r="H1745" s="33" t="n">
        <v>40</v>
      </c>
    </row>
    <row r="1746" customFormat="false" ht="54" hidden="false" customHeight="true" outlineLevel="0" collapsed="false">
      <c r="A1746" s="32" t="s">
        <v>11776</v>
      </c>
      <c r="B1746" s="32" t="s">
        <v>2656</v>
      </c>
      <c r="C1746" s="33" t="s">
        <v>98</v>
      </c>
      <c r="D1746" s="33" t="s">
        <v>59</v>
      </c>
      <c r="E1746" s="33" t="s">
        <v>84</v>
      </c>
      <c r="F1746" s="33" t="s">
        <v>4870</v>
      </c>
      <c r="G1746" s="33" t="s">
        <v>9</v>
      </c>
      <c r="H1746" s="33" t="n">
        <v>40</v>
      </c>
    </row>
    <row r="1747" customFormat="false" ht="54" hidden="false" customHeight="true" outlineLevel="0" collapsed="false">
      <c r="A1747" s="32" t="s">
        <v>11777</v>
      </c>
      <c r="B1747" s="32" t="s">
        <v>2656</v>
      </c>
      <c r="C1747" s="33" t="s">
        <v>98</v>
      </c>
      <c r="D1747" s="33" t="s">
        <v>59</v>
      </c>
      <c r="E1747" s="33" t="s">
        <v>85</v>
      </c>
      <c r="F1747" s="33" t="s">
        <v>4871</v>
      </c>
      <c r="G1747" s="33" t="s">
        <v>9</v>
      </c>
      <c r="H1747" s="33" t="n">
        <v>40</v>
      </c>
    </row>
    <row r="1748" customFormat="false" ht="54" hidden="false" customHeight="true" outlineLevel="0" collapsed="false">
      <c r="A1748" s="32" t="s">
        <v>11778</v>
      </c>
      <c r="B1748" s="32" t="s">
        <v>4875</v>
      </c>
      <c r="C1748" s="33" t="s">
        <v>98</v>
      </c>
      <c r="D1748" s="33" t="s">
        <v>59</v>
      </c>
      <c r="E1748" s="33" t="s">
        <v>83</v>
      </c>
      <c r="F1748" s="33" t="s">
        <v>4883</v>
      </c>
      <c r="G1748" s="33" t="s">
        <v>9</v>
      </c>
      <c r="H1748" s="33" t="n">
        <v>40</v>
      </c>
    </row>
    <row r="1749" customFormat="false" ht="54" hidden="false" customHeight="true" outlineLevel="0" collapsed="false">
      <c r="A1749" s="32" t="s">
        <v>11779</v>
      </c>
      <c r="B1749" s="32" t="s">
        <v>4875</v>
      </c>
      <c r="C1749" s="33" t="s">
        <v>98</v>
      </c>
      <c r="D1749" s="33" t="s">
        <v>59</v>
      </c>
      <c r="E1749" s="33" t="s">
        <v>84</v>
      </c>
      <c r="F1749" s="33" t="s">
        <v>4884</v>
      </c>
      <c r="G1749" s="33" t="s">
        <v>9</v>
      </c>
      <c r="H1749" s="33" t="n">
        <v>40</v>
      </c>
    </row>
    <row r="1750" customFormat="false" ht="54" hidden="false" customHeight="true" outlineLevel="0" collapsed="false">
      <c r="A1750" s="32" t="s">
        <v>11780</v>
      </c>
      <c r="B1750" s="32" t="s">
        <v>4875</v>
      </c>
      <c r="C1750" s="33" t="s">
        <v>98</v>
      </c>
      <c r="D1750" s="33" t="s">
        <v>59</v>
      </c>
      <c r="E1750" s="33" t="s">
        <v>86</v>
      </c>
      <c r="F1750" s="33" t="s">
        <v>4885</v>
      </c>
      <c r="G1750" s="33" t="s">
        <v>9</v>
      </c>
      <c r="H1750" s="33" t="n">
        <v>40</v>
      </c>
    </row>
    <row r="1751" customFormat="false" ht="54" hidden="false" customHeight="true" outlineLevel="0" collapsed="false">
      <c r="A1751" s="32" t="s">
        <v>11781</v>
      </c>
      <c r="B1751" s="32" t="s">
        <v>4888</v>
      </c>
      <c r="C1751" s="33" t="s">
        <v>1396</v>
      </c>
      <c r="D1751" s="33" t="s">
        <v>55</v>
      </c>
      <c r="E1751" s="33" t="s">
        <v>81</v>
      </c>
      <c r="F1751" s="33" t="s">
        <v>4895</v>
      </c>
      <c r="G1751" s="33" t="s">
        <v>9</v>
      </c>
      <c r="H1751" s="33" t="n">
        <v>40</v>
      </c>
    </row>
    <row r="1752" customFormat="false" ht="54" hidden="false" customHeight="true" outlineLevel="0" collapsed="false">
      <c r="A1752" s="32" t="s">
        <v>11782</v>
      </c>
      <c r="B1752" s="32" t="s">
        <v>4888</v>
      </c>
      <c r="C1752" s="33" t="s">
        <v>1396</v>
      </c>
      <c r="D1752" s="33" t="s">
        <v>55</v>
      </c>
      <c r="E1752" s="33" t="s">
        <v>82</v>
      </c>
      <c r="F1752" s="33" t="s">
        <v>11783</v>
      </c>
      <c r="G1752" s="33" t="s">
        <v>9</v>
      </c>
      <c r="H1752" s="33" t="n">
        <v>40</v>
      </c>
    </row>
    <row r="1753" customFormat="false" ht="54" hidden="false" customHeight="true" outlineLevel="0" collapsed="false">
      <c r="A1753" s="32" t="s">
        <v>11784</v>
      </c>
      <c r="B1753" s="32" t="s">
        <v>4888</v>
      </c>
      <c r="C1753" s="33" t="s">
        <v>1396</v>
      </c>
      <c r="D1753" s="33" t="s">
        <v>55</v>
      </c>
      <c r="E1753" s="33" t="s">
        <v>82</v>
      </c>
      <c r="F1753" s="33" t="s">
        <v>11785</v>
      </c>
      <c r="G1753" s="33" t="s">
        <v>9</v>
      </c>
      <c r="H1753" s="33" t="n">
        <v>40</v>
      </c>
    </row>
    <row r="1754" customFormat="false" ht="54" hidden="false" customHeight="true" outlineLevel="0" collapsed="false">
      <c r="A1754" s="32" t="s">
        <v>11786</v>
      </c>
      <c r="B1754" s="32" t="s">
        <v>4888</v>
      </c>
      <c r="C1754" s="33" t="s">
        <v>1396</v>
      </c>
      <c r="D1754" s="33" t="s">
        <v>55</v>
      </c>
      <c r="E1754" s="33" t="s">
        <v>82</v>
      </c>
      <c r="F1754" s="33" t="s">
        <v>11787</v>
      </c>
      <c r="G1754" s="33" t="s">
        <v>9</v>
      </c>
      <c r="H1754" s="33" t="n">
        <v>40</v>
      </c>
    </row>
    <row r="1755" customFormat="false" ht="54" hidden="false" customHeight="true" outlineLevel="0" collapsed="false">
      <c r="A1755" s="32" t="s">
        <v>11788</v>
      </c>
      <c r="B1755" s="32" t="s">
        <v>4888</v>
      </c>
      <c r="C1755" s="33" t="s">
        <v>1396</v>
      </c>
      <c r="D1755" s="33" t="s">
        <v>55</v>
      </c>
      <c r="E1755" s="33" t="s">
        <v>82</v>
      </c>
      <c r="F1755" s="33" t="s">
        <v>11789</v>
      </c>
      <c r="G1755" s="33" t="s">
        <v>9</v>
      </c>
      <c r="H1755" s="33" t="n">
        <v>40</v>
      </c>
    </row>
    <row r="1756" customFormat="false" ht="54" hidden="false" customHeight="true" outlineLevel="0" collapsed="false">
      <c r="A1756" s="32" t="s">
        <v>11790</v>
      </c>
      <c r="B1756" s="32" t="s">
        <v>4888</v>
      </c>
      <c r="C1756" s="33" t="s">
        <v>1396</v>
      </c>
      <c r="D1756" s="33" t="s">
        <v>55</v>
      </c>
      <c r="E1756" s="33" t="s">
        <v>82</v>
      </c>
      <c r="F1756" s="33" t="s">
        <v>4895</v>
      </c>
      <c r="G1756" s="33" t="s">
        <v>9</v>
      </c>
      <c r="H1756" s="33" t="n">
        <v>40</v>
      </c>
    </row>
    <row r="1757" customFormat="false" ht="54" hidden="false" customHeight="true" outlineLevel="0" collapsed="false">
      <c r="A1757" s="32" t="s">
        <v>11791</v>
      </c>
      <c r="B1757" s="32" t="s">
        <v>4888</v>
      </c>
      <c r="C1757" s="33" t="s">
        <v>1396</v>
      </c>
      <c r="D1757" s="33" t="s">
        <v>55</v>
      </c>
      <c r="E1757" s="33" t="s">
        <v>82</v>
      </c>
      <c r="F1757" s="33" t="s">
        <v>4897</v>
      </c>
      <c r="G1757" s="33" t="s">
        <v>9</v>
      </c>
      <c r="H1757" s="33" t="n">
        <v>40</v>
      </c>
    </row>
    <row r="1758" customFormat="false" ht="54" hidden="false" customHeight="true" outlineLevel="0" collapsed="false">
      <c r="A1758" s="32" t="s">
        <v>11792</v>
      </c>
      <c r="B1758" s="32" t="s">
        <v>4888</v>
      </c>
      <c r="C1758" s="33" t="s">
        <v>1396</v>
      </c>
      <c r="D1758" s="33" t="s">
        <v>55</v>
      </c>
      <c r="E1758" s="33" t="s">
        <v>82</v>
      </c>
      <c r="F1758" s="33" t="s">
        <v>11793</v>
      </c>
      <c r="G1758" s="33" t="s">
        <v>9</v>
      </c>
      <c r="H1758" s="33" t="n">
        <v>40</v>
      </c>
    </row>
    <row r="1759" customFormat="false" ht="54" hidden="false" customHeight="true" outlineLevel="0" collapsed="false">
      <c r="A1759" s="32" t="s">
        <v>11794</v>
      </c>
      <c r="B1759" s="32" t="s">
        <v>4888</v>
      </c>
      <c r="C1759" s="33" t="s">
        <v>1396</v>
      </c>
      <c r="D1759" s="33" t="s">
        <v>55</v>
      </c>
      <c r="E1759" s="33" t="s">
        <v>84</v>
      </c>
      <c r="F1759" s="33" t="s">
        <v>4897</v>
      </c>
      <c r="G1759" s="33" t="s">
        <v>9</v>
      </c>
      <c r="H1759" s="33" t="n">
        <v>40</v>
      </c>
    </row>
    <row r="1760" customFormat="false" ht="54" hidden="false" customHeight="true" outlineLevel="0" collapsed="false">
      <c r="A1760" s="32" t="s">
        <v>11795</v>
      </c>
      <c r="B1760" s="32" t="s">
        <v>4901</v>
      </c>
      <c r="C1760" s="33" t="s">
        <v>98</v>
      </c>
      <c r="D1760" s="33" t="s">
        <v>59</v>
      </c>
      <c r="E1760" s="33" t="s">
        <v>81</v>
      </c>
      <c r="F1760" s="33" t="s">
        <v>4895</v>
      </c>
      <c r="G1760" s="33" t="s">
        <v>9</v>
      </c>
      <c r="H1760" s="33" t="n">
        <v>40</v>
      </c>
    </row>
    <row r="1761" customFormat="false" ht="54" hidden="false" customHeight="true" outlineLevel="0" collapsed="false">
      <c r="A1761" s="32" t="s">
        <v>11796</v>
      </c>
      <c r="B1761" s="32" t="s">
        <v>4901</v>
      </c>
      <c r="C1761" s="33" t="s">
        <v>98</v>
      </c>
      <c r="D1761" s="33" t="s">
        <v>59</v>
      </c>
      <c r="E1761" s="33" t="s">
        <v>82</v>
      </c>
      <c r="F1761" s="33" t="s">
        <v>11797</v>
      </c>
      <c r="G1761" s="33" t="s">
        <v>9</v>
      </c>
      <c r="H1761" s="33" t="n">
        <v>40</v>
      </c>
    </row>
    <row r="1762" customFormat="false" ht="54" hidden="false" customHeight="true" outlineLevel="0" collapsed="false">
      <c r="A1762" s="32" t="s">
        <v>11798</v>
      </c>
      <c r="B1762" s="32" t="s">
        <v>4901</v>
      </c>
      <c r="C1762" s="33" t="s">
        <v>98</v>
      </c>
      <c r="D1762" s="33" t="s">
        <v>59</v>
      </c>
      <c r="E1762" s="33" t="s">
        <v>82</v>
      </c>
      <c r="F1762" s="33" t="s">
        <v>11799</v>
      </c>
      <c r="G1762" s="33" t="s">
        <v>9</v>
      </c>
      <c r="H1762" s="33" t="n">
        <v>40</v>
      </c>
    </row>
    <row r="1763" customFormat="false" ht="54" hidden="false" customHeight="true" outlineLevel="0" collapsed="false">
      <c r="A1763" s="32" t="s">
        <v>11800</v>
      </c>
      <c r="B1763" s="32" t="s">
        <v>4901</v>
      </c>
      <c r="C1763" s="33" t="s">
        <v>98</v>
      </c>
      <c r="D1763" s="33" t="s">
        <v>59</v>
      </c>
      <c r="E1763" s="33" t="s">
        <v>82</v>
      </c>
      <c r="F1763" s="33" t="s">
        <v>11801</v>
      </c>
      <c r="G1763" s="33" t="s">
        <v>9</v>
      </c>
      <c r="H1763" s="33" t="n">
        <v>40</v>
      </c>
    </row>
    <row r="1764" customFormat="false" ht="54" hidden="false" customHeight="true" outlineLevel="0" collapsed="false">
      <c r="A1764" s="32" t="s">
        <v>11802</v>
      </c>
      <c r="B1764" s="32" t="s">
        <v>4901</v>
      </c>
      <c r="C1764" s="33" t="s">
        <v>98</v>
      </c>
      <c r="D1764" s="33" t="s">
        <v>59</v>
      </c>
      <c r="E1764" s="33" t="s">
        <v>82</v>
      </c>
      <c r="F1764" s="33" t="s">
        <v>4895</v>
      </c>
      <c r="G1764" s="33" t="s">
        <v>9</v>
      </c>
      <c r="H1764" s="33" t="n">
        <v>40</v>
      </c>
    </row>
    <row r="1765" customFormat="false" ht="54" hidden="false" customHeight="true" outlineLevel="0" collapsed="false">
      <c r="A1765" s="32" t="s">
        <v>11803</v>
      </c>
      <c r="B1765" s="32" t="s">
        <v>4901</v>
      </c>
      <c r="C1765" s="33" t="s">
        <v>98</v>
      </c>
      <c r="D1765" s="33" t="s">
        <v>59</v>
      </c>
      <c r="E1765" s="33" t="s">
        <v>82</v>
      </c>
      <c r="F1765" s="33" t="s">
        <v>4912</v>
      </c>
      <c r="G1765" s="33" t="s">
        <v>9</v>
      </c>
      <c r="H1765" s="33" t="n">
        <v>40</v>
      </c>
    </row>
    <row r="1766" customFormat="false" ht="54" hidden="false" customHeight="true" outlineLevel="0" collapsed="false">
      <c r="A1766" s="32" t="s">
        <v>11804</v>
      </c>
      <c r="B1766" s="32" t="s">
        <v>4901</v>
      </c>
      <c r="C1766" s="33" t="s">
        <v>98</v>
      </c>
      <c r="D1766" s="33" t="s">
        <v>59</v>
      </c>
      <c r="E1766" s="33" t="s">
        <v>82</v>
      </c>
      <c r="F1766" s="33" t="s">
        <v>11805</v>
      </c>
      <c r="G1766" s="33" t="s">
        <v>9</v>
      </c>
      <c r="H1766" s="33" t="n">
        <v>40</v>
      </c>
    </row>
    <row r="1767" customFormat="false" ht="54" hidden="false" customHeight="true" outlineLevel="0" collapsed="false">
      <c r="A1767" s="32" t="s">
        <v>11806</v>
      </c>
      <c r="B1767" s="32" t="s">
        <v>4901</v>
      </c>
      <c r="C1767" s="33" t="s">
        <v>98</v>
      </c>
      <c r="D1767" s="33" t="s">
        <v>59</v>
      </c>
      <c r="E1767" s="33" t="s">
        <v>83</v>
      </c>
      <c r="F1767" s="33" t="s">
        <v>11807</v>
      </c>
      <c r="G1767" s="33" t="s">
        <v>9</v>
      </c>
      <c r="H1767" s="33" t="n">
        <v>40</v>
      </c>
    </row>
    <row r="1768" customFormat="false" ht="54" hidden="false" customHeight="true" outlineLevel="0" collapsed="false">
      <c r="A1768" s="32" t="s">
        <v>11808</v>
      </c>
      <c r="B1768" s="32" t="s">
        <v>4901</v>
      </c>
      <c r="C1768" s="33" t="s">
        <v>98</v>
      </c>
      <c r="D1768" s="33" t="s">
        <v>59</v>
      </c>
      <c r="E1768" s="33" t="s">
        <v>83</v>
      </c>
      <c r="F1768" s="33" t="s">
        <v>4912</v>
      </c>
      <c r="G1768" s="33" t="s">
        <v>9</v>
      </c>
      <c r="H1768" s="33" t="n">
        <v>40</v>
      </c>
    </row>
    <row r="1769" customFormat="false" ht="54" hidden="false" customHeight="true" outlineLevel="0" collapsed="false">
      <c r="A1769" s="32" t="s">
        <v>11809</v>
      </c>
      <c r="B1769" s="32" t="s">
        <v>4901</v>
      </c>
      <c r="C1769" s="33" t="s">
        <v>98</v>
      </c>
      <c r="D1769" s="33" t="s">
        <v>59</v>
      </c>
      <c r="E1769" s="33" t="s">
        <v>83</v>
      </c>
      <c r="F1769" s="33" t="s">
        <v>11805</v>
      </c>
      <c r="G1769" s="33" t="s">
        <v>9</v>
      </c>
      <c r="H1769" s="33" t="n">
        <v>40</v>
      </c>
    </row>
    <row r="1770" customFormat="false" ht="54" hidden="false" customHeight="true" outlineLevel="0" collapsed="false">
      <c r="A1770" s="32" t="s">
        <v>11810</v>
      </c>
      <c r="B1770" s="32" t="s">
        <v>4901</v>
      </c>
      <c r="C1770" s="33" t="s">
        <v>98</v>
      </c>
      <c r="D1770" s="33" t="s">
        <v>59</v>
      </c>
      <c r="E1770" s="33" t="s">
        <v>83</v>
      </c>
      <c r="F1770" s="33" t="s">
        <v>11811</v>
      </c>
      <c r="G1770" s="33" t="s">
        <v>9</v>
      </c>
      <c r="H1770" s="33" t="n">
        <v>40</v>
      </c>
    </row>
    <row r="1771" customFormat="false" ht="54" hidden="false" customHeight="true" outlineLevel="0" collapsed="false">
      <c r="A1771" s="32" t="s">
        <v>11812</v>
      </c>
      <c r="B1771" s="32" t="s">
        <v>4901</v>
      </c>
      <c r="C1771" s="33" t="s">
        <v>98</v>
      </c>
      <c r="D1771" s="33" t="s">
        <v>59</v>
      </c>
      <c r="E1771" s="33" t="s">
        <v>84</v>
      </c>
      <c r="F1771" s="33" t="s">
        <v>4912</v>
      </c>
      <c r="G1771" s="33" t="s">
        <v>9</v>
      </c>
      <c r="H1771" s="33" t="n">
        <v>40</v>
      </c>
    </row>
    <row r="1772" customFormat="false" ht="54" hidden="false" customHeight="true" outlineLevel="0" collapsed="false">
      <c r="A1772" s="32" t="s">
        <v>11813</v>
      </c>
      <c r="B1772" s="32" t="s">
        <v>4916</v>
      </c>
      <c r="C1772" s="33" t="s">
        <v>1396</v>
      </c>
      <c r="D1772" s="33" t="s">
        <v>55</v>
      </c>
      <c r="E1772" s="33" t="s">
        <v>84</v>
      </c>
      <c r="F1772" s="33" t="s">
        <v>4925</v>
      </c>
      <c r="G1772" s="33" t="s">
        <v>9</v>
      </c>
      <c r="H1772" s="33" t="n">
        <v>40</v>
      </c>
    </row>
    <row r="1773" customFormat="false" ht="54" hidden="false" customHeight="true" outlineLevel="0" collapsed="false">
      <c r="A1773" s="32" t="s">
        <v>11814</v>
      </c>
      <c r="B1773" s="32" t="s">
        <v>4916</v>
      </c>
      <c r="C1773" s="33" t="s">
        <v>1396</v>
      </c>
      <c r="D1773" s="33" t="s">
        <v>55</v>
      </c>
      <c r="E1773" s="33" t="s">
        <v>86</v>
      </c>
      <c r="F1773" s="33" t="s">
        <v>4926</v>
      </c>
      <c r="G1773" s="33" t="s">
        <v>9</v>
      </c>
      <c r="H1773" s="33" t="n">
        <v>40</v>
      </c>
    </row>
    <row r="1774" customFormat="false" ht="54" hidden="false" customHeight="true" outlineLevel="0" collapsed="false">
      <c r="A1774" s="32" t="s">
        <v>11815</v>
      </c>
      <c r="B1774" s="32" t="s">
        <v>4929</v>
      </c>
      <c r="C1774" s="33" t="s">
        <v>98</v>
      </c>
      <c r="D1774" s="33" t="s">
        <v>59</v>
      </c>
      <c r="E1774" s="33" t="s">
        <v>80</v>
      </c>
      <c r="F1774" s="33" t="s">
        <v>11816</v>
      </c>
      <c r="G1774" s="33" t="s">
        <v>9</v>
      </c>
      <c r="H1774" s="33" t="n">
        <v>40</v>
      </c>
    </row>
    <row r="1775" customFormat="false" ht="54" hidden="false" customHeight="true" outlineLevel="0" collapsed="false">
      <c r="A1775" s="32" t="s">
        <v>11817</v>
      </c>
      <c r="B1775" s="32" t="s">
        <v>4929</v>
      </c>
      <c r="C1775" s="33" t="s">
        <v>98</v>
      </c>
      <c r="D1775" s="33" t="s">
        <v>59</v>
      </c>
      <c r="E1775" s="33" t="s">
        <v>80</v>
      </c>
      <c r="F1775" s="33" t="s">
        <v>11818</v>
      </c>
      <c r="G1775" s="33" t="s">
        <v>9</v>
      </c>
      <c r="H1775" s="33" t="n">
        <v>40</v>
      </c>
    </row>
    <row r="1776" customFormat="false" ht="54" hidden="false" customHeight="true" outlineLevel="0" collapsed="false">
      <c r="A1776" s="32" t="s">
        <v>11819</v>
      </c>
      <c r="B1776" s="32" t="s">
        <v>4929</v>
      </c>
      <c r="C1776" s="33" t="s">
        <v>98</v>
      </c>
      <c r="D1776" s="33" t="s">
        <v>59</v>
      </c>
      <c r="E1776" s="33" t="s">
        <v>80</v>
      </c>
      <c r="F1776" s="33" t="s">
        <v>4937</v>
      </c>
      <c r="G1776" s="33" t="s">
        <v>9</v>
      </c>
      <c r="H1776" s="33" t="n">
        <v>40</v>
      </c>
    </row>
    <row r="1777" customFormat="false" ht="54" hidden="false" customHeight="true" outlineLevel="0" collapsed="false">
      <c r="A1777" s="32" t="s">
        <v>11820</v>
      </c>
      <c r="B1777" s="32" t="s">
        <v>4929</v>
      </c>
      <c r="C1777" s="33" t="s">
        <v>98</v>
      </c>
      <c r="D1777" s="33" t="s">
        <v>59</v>
      </c>
      <c r="E1777" s="33" t="s">
        <v>80</v>
      </c>
      <c r="F1777" s="33" t="s">
        <v>11821</v>
      </c>
      <c r="G1777" s="33" t="s">
        <v>9</v>
      </c>
      <c r="H1777" s="33" t="n">
        <v>40</v>
      </c>
    </row>
    <row r="1778" customFormat="false" ht="54" hidden="false" customHeight="true" outlineLevel="0" collapsed="false">
      <c r="A1778" s="32" t="s">
        <v>11822</v>
      </c>
      <c r="B1778" s="32" t="s">
        <v>4929</v>
      </c>
      <c r="C1778" s="33" t="s">
        <v>98</v>
      </c>
      <c r="D1778" s="33" t="s">
        <v>59</v>
      </c>
      <c r="E1778" s="33" t="s">
        <v>80</v>
      </c>
      <c r="F1778" s="33" t="s">
        <v>11823</v>
      </c>
      <c r="G1778" s="33" t="s">
        <v>9</v>
      </c>
      <c r="H1778" s="33" t="n">
        <v>40</v>
      </c>
    </row>
    <row r="1779" customFormat="false" ht="54" hidden="false" customHeight="true" outlineLevel="0" collapsed="false">
      <c r="A1779" s="32" t="s">
        <v>11824</v>
      </c>
      <c r="B1779" s="32" t="s">
        <v>4929</v>
      </c>
      <c r="C1779" s="33" t="s">
        <v>98</v>
      </c>
      <c r="D1779" s="33" t="s">
        <v>59</v>
      </c>
      <c r="E1779" s="33" t="s">
        <v>82</v>
      </c>
      <c r="F1779" s="33" t="s">
        <v>11821</v>
      </c>
      <c r="G1779" s="33" t="s">
        <v>9</v>
      </c>
      <c r="H1779" s="33" t="n">
        <v>40</v>
      </c>
    </row>
    <row r="1780" customFormat="false" ht="54" hidden="false" customHeight="true" outlineLevel="0" collapsed="false">
      <c r="A1780" s="32" t="s">
        <v>11825</v>
      </c>
      <c r="B1780" s="32" t="s">
        <v>4929</v>
      </c>
      <c r="C1780" s="33" t="s">
        <v>98</v>
      </c>
      <c r="D1780" s="33" t="s">
        <v>59</v>
      </c>
      <c r="E1780" s="33" t="s">
        <v>82</v>
      </c>
      <c r="F1780" s="33" t="s">
        <v>11826</v>
      </c>
      <c r="G1780" s="33" t="s">
        <v>9</v>
      </c>
      <c r="H1780" s="33" t="n">
        <v>40</v>
      </c>
    </row>
    <row r="1781" customFormat="false" ht="54" hidden="false" customHeight="true" outlineLevel="0" collapsed="false">
      <c r="A1781" s="32" t="s">
        <v>11827</v>
      </c>
      <c r="B1781" s="32" t="s">
        <v>4929</v>
      </c>
      <c r="C1781" s="33" t="s">
        <v>98</v>
      </c>
      <c r="D1781" s="33" t="s">
        <v>59</v>
      </c>
      <c r="E1781" s="33" t="s">
        <v>84</v>
      </c>
      <c r="F1781" s="33" t="s">
        <v>11816</v>
      </c>
      <c r="G1781" s="33" t="s">
        <v>9</v>
      </c>
      <c r="H1781" s="33" t="n">
        <v>40</v>
      </c>
    </row>
    <row r="1782" customFormat="false" ht="54" hidden="false" customHeight="true" outlineLevel="0" collapsed="false">
      <c r="A1782" s="32" t="s">
        <v>11828</v>
      </c>
      <c r="B1782" s="32" t="s">
        <v>4929</v>
      </c>
      <c r="C1782" s="33" t="s">
        <v>98</v>
      </c>
      <c r="D1782" s="33" t="s">
        <v>59</v>
      </c>
      <c r="E1782" s="33" t="s">
        <v>84</v>
      </c>
      <c r="F1782" s="33" t="s">
        <v>11818</v>
      </c>
      <c r="G1782" s="33" t="s">
        <v>9</v>
      </c>
      <c r="H1782" s="33" t="n">
        <v>40</v>
      </c>
    </row>
    <row r="1783" customFormat="false" ht="54" hidden="false" customHeight="true" outlineLevel="0" collapsed="false">
      <c r="A1783" s="32" t="s">
        <v>11829</v>
      </c>
      <c r="B1783" s="32" t="s">
        <v>4929</v>
      </c>
      <c r="C1783" s="33" t="s">
        <v>98</v>
      </c>
      <c r="D1783" s="33" t="s">
        <v>59</v>
      </c>
      <c r="E1783" s="33" t="s">
        <v>84</v>
      </c>
      <c r="F1783" s="33" t="s">
        <v>4937</v>
      </c>
      <c r="G1783" s="33" t="s">
        <v>9</v>
      </c>
      <c r="H1783" s="33" t="n">
        <v>40</v>
      </c>
    </row>
    <row r="1784" customFormat="false" ht="54" hidden="false" customHeight="true" outlineLevel="0" collapsed="false">
      <c r="A1784" s="32" t="s">
        <v>11830</v>
      </c>
      <c r="B1784" s="32" t="s">
        <v>4929</v>
      </c>
      <c r="C1784" s="33" t="s">
        <v>98</v>
      </c>
      <c r="D1784" s="33" t="s">
        <v>59</v>
      </c>
      <c r="E1784" s="33" t="s">
        <v>84</v>
      </c>
      <c r="F1784" s="33" t="s">
        <v>11122</v>
      </c>
      <c r="G1784" s="33" t="s">
        <v>9</v>
      </c>
      <c r="H1784" s="33" t="n">
        <v>40</v>
      </c>
    </row>
    <row r="1785" customFormat="false" ht="54" hidden="false" customHeight="true" outlineLevel="0" collapsed="false">
      <c r="A1785" s="32" t="s">
        <v>11831</v>
      </c>
      <c r="B1785" s="32" t="s">
        <v>4929</v>
      </c>
      <c r="C1785" s="33" t="s">
        <v>98</v>
      </c>
      <c r="D1785" s="33" t="s">
        <v>59</v>
      </c>
      <c r="E1785" s="33" t="s">
        <v>84</v>
      </c>
      <c r="F1785" s="33" t="s">
        <v>11821</v>
      </c>
      <c r="G1785" s="33" t="s">
        <v>9</v>
      </c>
      <c r="H1785" s="33" t="n">
        <v>40</v>
      </c>
    </row>
    <row r="1786" customFormat="false" ht="54" hidden="false" customHeight="true" outlineLevel="0" collapsed="false">
      <c r="A1786" s="32" t="s">
        <v>11832</v>
      </c>
      <c r="B1786" s="32" t="s">
        <v>4929</v>
      </c>
      <c r="C1786" s="33" t="s">
        <v>98</v>
      </c>
      <c r="D1786" s="33" t="s">
        <v>59</v>
      </c>
      <c r="E1786" s="33" t="s">
        <v>84</v>
      </c>
      <c r="F1786" s="33" t="s">
        <v>11823</v>
      </c>
      <c r="G1786" s="33" t="s">
        <v>9</v>
      </c>
      <c r="H1786" s="33" t="n">
        <v>40</v>
      </c>
    </row>
    <row r="1787" customFormat="false" ht="54" hidden="false" customHeight="true" outlineLevel="0" collapsed="false">
      <c r="A1787" s="32" t="s">
        <v>11833</v>
      </c>
      <c r="B1787" s="32" t="s">
        <v>4929</v>
      </c>
      <c r="C1787" s="33" t="s">
        <v>98</v>
      </c>
      <c r="D1787" s="33" t="s">
        <v>59</v>
      </c>
      <c r="E1787" s="33" t="s">
        <v>85</v>
      </c>
      <c r="F1787" s="33" t="s">
        <v>11818</v>
      </c>
      <c r="G1787" s="33" t="s">
        <v>9</v>
      </c>
      <c r="H1787" s="33" t="n">
        <v>40</v>
      </c>
    </row>
    <row r="1788" customFormat="false" ht="54" hidden="false" customHeight="true" outlineLevel="0" collapsed="false">
      <c r="A1788" s="32" t="s">
        <v>11834</v>
      </c>
      <c r="B1788" s="32" t="s">
        <v>4929</v>
      </c>
      <c r="C1788" s="33" t="s">
        <v>98</v>
      </c>
      <c r="D1788" s="33" t="s">
        <v>59</v>
      </c>
      <c r="E1788" s="33" t="s">
        <v>85</v>
      </c>
      <c r="F1788" s="33" t="s">
        <v>11835</v>
      </c>
      <c r="G1788" s="33" t="s">
        <v>9</v>
      </c>
      <c r="H1788" s="33" t="n">
        <v>40</v>
      </c>
    </row>
    <row r="1789" customFormat="false" ht="54" hidden="false" customHeight="true" outlineLevel="0" collapsed="false">
      <c r="A1789" s="32" t="s">
        <v>11836</v>
      </c>
      <c r="B1789" s="32" t="s">
        <v>4929</v>
      </c>
      <c r="C1789" s="33" t="s">
        <v>98</v>
      </c>
      <c r="D1789" s="33" t="s">
        <v>59</v>
      </c>
      <c r="E1789" s="33" t="s">
        <v>85</v>
      </c>
      <c r="F1789" s="33" t="s">
        <v>11821</v>
      </c>
      <c r="G1789" s="33" t="s">
        <v>9</v>
      </c>
      <c r="H1789" s="33" t="n">
        <v>40</v>
      </c>
    </row>
    <row r="1790" customFormat="false" ht="54" hidden="false" customHeight="true" outlineLevel="0" collapsed="false">
      <c r="A1790" s="32" t="s">
        <v>11837</v>
      </c>
      <c r="B1790" s="32" t="s">
        <v>4929</v>
      </c>
      <c r="C1790" s="33" t="s">
        <v>98</v>
      </c>
      <c r="D1790" s="33" t="s">
        <v>59</v>
      </c>
      <c r="E1790" s="33" t="s">
        <v>85</v>
      </c>
      <c r="F1790" s="33" t="s">
        <v>11823</v>
      </c>
      <c r="G1790" s="33" t="s">
        <v>9</v>
      </c>
      <c r="H1790" s="33" t="n">
        <v>40</v>
      </c>
    </row>
    <row r="1791" customFormat="false" ht="54" hidden="false" customHeight="true" outlineLevel="0" collapsed="false">
      <c r="A1791" s="32" t="s">
        <v>11838</v>
      </c>
      <c r="B1791" s="32" t="s">
        <v>4944</v>
      </c>
      <c r="C1791" s="33" t="s">
        <v>1396</v>
      </c>
      <c r="D1791" s="33" t="s">
        <v>55</v>
      </c>
      <c r="E1791" s="33" t="s">
        <v>80</v>
      </c>
      <c r="F1791" s="33" t="s">
        <v>4947</v>
      </c>
      <c r="G1791" s="33" t="s">
        <v>9</v>
      </c>
      <c r="H1791" s="33" t="n">
        <v>40</v>
      </c>
    </row>
    <row r="1792" customFormat="false" ht="54" hidden="false" customHeight="true" outlineLevel="0" collapsed="false">
      <c r="A1792" s="32" t="s">
        <v>11839</v>
      </c>
      <c r="B1792" s="32" t="s">
        <v>4944</v>
      </c>
      <c r="C1792" s="33" t="s">
        <v>1396</v>
      </c>
      <c r="D1792" s="33" t="s">
        <v>55</v>
      </c>
      <c r="E1792" s="33" t="s">
        <v>80</v>
      </c>
      <c r="F1792" s="33" t="s">
        <v>4948</v>
      </c>
      <c r="G1792" s="33" t="s">
        <v>9</v>
      </c>
      <c r="H1792" s="33" t="n">
        <v>40</v>
      </c>
    </row>
    <row r="1793" customFormat="false" ht="54" hidden="false" customHeight="true" outlineLevel="0" collapsed="false">
      <c r="A1793" s="32" t="s">
        <v>11840</v>
      </c>
      <c r="B1793" s="32" t="s">
        <v>4944</v>
      </c>
      <c r="C1793" s="33" t="s">
        <v>1396</v>
      </c>
      <c r="D1793" s="33" t="s">
        <v>55</v>
      </c>
      <c r="E1793" s="33" t="s">
        <v>83</v>
      </c>
      <c r="F1793" s="33" t="s">
        <v>4946</v>
      </c>
      <c r="G1793" s="33" t="s">
        <v>9</v>
      </c>
      <c r="H1793" s="33" t="n">
        <v>40</v>
      </c>
    </row>
    <row r="1794" customFormat="false" ht="54" hidden="false" customHeight="true" outlineLevel="0" collapsed="false">
      <c r="A1794" s="32" t="s">
        <v>11841</v>
      </c>
      <c r="B1794" s="32" t="s">
        <v>4954</v>
      </c>
      <c r="C1794" s="33" t="s">
        <v>1396</v>
      </c>
      <c r="D1794" s="33" t="s">
        <v>55</v>
      </c>
      <c r="E1794" s="33" t="s">
        <v>84</v>
      </c>
      <c r="F1794" s="33" t="s">
        <v>4962</v>
      </c>
      <c r="G1794" s="33" t="s">
        <v>9</v>
      </c>
      <c r="H1794" s="33" t="n">
        <v>40</v>
      </c>
    </row>
    <row r="1795" customFormat="false" ht="54" hidden="false" customHeight="true" outlineLevel="0" collapsed="false">
      <c r="A1795" s="32" t="s">
        <v>11842</v>
      </c>
      <c r="B1795" s="32" t="s">
        <v>4965</v>
      </c>
      <c r="C1795" s="33" t="s">
        <v>1396</v>
      </c>
      <c r="D1795" s="33" t="s">
        <v>55</v>
      </c>
      <c r="E1795" s="33" t="s">
        <v>81</v>
      </c>
      <c r="F1795" s="33" t="s">
        <v>11843</v>
      </c>
      <c r="G1795" s="33" t="s">
        <v>9</v>
      </c>
      <c r="H1795" s="33" t="n">
        <v>40</v>
      </c>
    </row>
    <row r="1796" customFormat="false" ht="54" hidden="false" customHeight="true" outlineLevel="0" collapsed="false">
      <c r="A1796" s="32" t="s">
        <v>11844</v>
      </c>
      <c r="B1796" s="32" t="s">
        <v>4965</v>
      </c>
      <c r="C1796" s="33" t="s">
        <v>1396</v>
      </c>
      <c r="D1796" s="33" t="s">
        <v>55</v>
      </c>
      <c r="E1796" s="33" t="s">
        <v>81</v>
      </c>
      <c r="F1796" s="33" t="s">
        <v>11845</v>
      </c>
      <c r="G1796" s="33" t="s">
        <v>9</v>
      </c>
      <c r="H1796" s="33" t="n">
        <v>40</v>
      </c>
    </row>
    <row r="1797" customFormat="false" ht="54" hidden="false" customHeight="true" outlineLevel="0" collapsed="false">
      <c r="A1797" s="32" t="s">
        <v>11846</v>
      </c>
      <c r="B1797" s="32" t="s">
        <v>4965</v>
      </c>
      <c r="C1797" s="33" t="s">
        <v>1396</v>
      </c>
      <c r="D1797" s="33" t="s">
        <v>55</v>
      </c>
      <c r="E1797" s="33" t="s">
        <v>81</v>
      </c>
      <c r="F1797" s="33" t="s">
        <v>11443</v>
      </c>
      <c r="G1797" s="33" t="s">
        <v>9</v>
      </c>
      <c r="H1797" s="33" t="n">
        <v>40</v>
      </c>
    </row>
    <row r="1798" customFormat="false" ht="54" hidden="false" customHeight="true" outlineLevel="0" collapsed="false">
      <c r="A1798" s="32" t="s">
        <v>11847</v>
      </c>
      <c r="B1798" s="32" t="s">
        <v>4965</v>
      </c>
      <c r="C1798" s="33" t="s">
        <v>1396</v>
      </c>
      <c r="D1798" s="33" t="s">
        <v>55</v>
      </c>
      <c r="E1798" s="33" t="s">
        <v>81</v>
      </c>
      <c r="F1798" s="33" t="s">
        <v>4975</v>
      </c>
      <c r="G1798" s="33" t="s">
        <v>9</v>
      </c>
      <c r="H1798" s="33" t="n">
        <v>40</v>
      </c>
    </row>
    <row r="1799" customFormat="false" ht="54" hidden="false" customHeight="true" outlineLevel="0" collapsed="false">
      <c r="A1799" s="32" t="s">
        <v>11848</v>
      </c>
      <c r="B1799" s="32" t="s">
        <v>4965</v>
      </c>
      <c r="C1799" s="33" t="s">
        <v>1396</v>
      </c>
      <c r="D1799" s="33" t="s">
        <v>55</v>
      </c>
      <c r="E1799" s="33" t="s">
        <v>81</v>
      </c>
      <c r="F1799" s="33" t="s">
        <v>11849</v>
      </c>
      <c r="G1799" s="33" t="s">
        <v>9</v>
      </c>
      <c r="H1799" s="33" t="n">
        <v>40</v>
      </c>
    </row>
    <row r="1800" customFormat="false" ht="54" hidden="false" customHeight="true" outlineLevel="0" collapsed="false">
      <c r="A1800" s="32" t="s">
        <v>11850</v>
      </c>
      <c r="B1800" s="32" t="s">
        <v>4965</v>
      </c>
      <c r="C1800" s="33" t="s">
        <v>1396</v>
      </c>
      <c r="D1800" s="33" t="s">
        <v>55</v>
      </c>
      <c r="E1800" s="33" t="s">
        <v>84</v>
      </c>
      <c r="F1800" s="33" t="s">
        <v>4975</v>
      </c>
      <c r="G1800" s="33" t="s">
        <v>9</v>
      </c>
      <c r="H1800" s="33" t="n">
        <v>40</v>
      </c>
    </row>
    <row r="1801" customFormat="false" ht="54" hidden="false" customHeight="true" outlineLevel="0" collapsed="false">
      <c r="A1801" s="32" t="s">
        <v>11851</v>
      </c>
      <c r="B1801" s="32" t="s">
        <v>4978</v>
      </c>
      <c r="C1801" s="33" t="s">
        <v>98</v>
      </c>
      <c r="D1801" s="33" t="s">
        <v>59</v>
      </c>
      <c r="E1801" s="33" t="s">
        <v>84</v>
      </c>
      <c r="F1801" s="33" t="s">
        <v>4986</v>
      </c>
      <c r="G1801" s="33" t="s">
        <v>9</v>
      </c>
      <c r="H1801" s="33" t="n">
        <v>40</v>
      </c>
    </row>
    <row r="1802" customFormat="false" ht="54" hidden="false" customHeight="true" outlineLevel="0" collapsed="false">
      <c r="A1802" s="32" t="s">
        <v>11852</v>
      </c>
      <c r="B1802" s="32" t="s">
        <v>4978</v>
      </c>
      <c r="C1802" s="33" t="s">
        <v>98</v>
      </c>
      <c r="D1802" s="33" t="s">
        <v>59</v>
      </c>
      <c r="E1802" s="33" t="s">
        <v>85</v>
      </c>
      <c r="F1802" s="33" t="s">
        <v>11853</v>
      </c>
      <c r="G1802" s="33" t="s">
        <v>9</v>
      </c>
      <c r="H1802" s="33" t="n">
        <v>40</v>
      </c>
    </row>
    <row r="1803" customFormat="false" ht="54" hidden="false" customHeight="true" outlineLevel="0" collapsed="false">
      <c r="A1803" s="32" t="s">
        <v>11854</v>
      </c>
      <c r="B1803" s="32" t="s">
        <v>4978</v>
      </c>
      <c r="C1803" s="33" t="s">
        <v>98</v>
      </c>
      <c r="D1803" s="33" t="s">
        <v>59</v>
      </c>
      <c r="E1803" s="33" t="s">
        <v>85</v>
      </c>
      <c r="F1803" s="33" t="s">
        <v>11855</v>
      </c>
      <c r="G1803" s="33" t="s">
        <v>9</v>
      </c>
      <c r="H1803" s="33" t="n">
        <v>40</v>
      </c>
    </row>
    <row r="1804" customFormat="false" ht="54" hidden="false" customHeight="true" outlineLevel="0" collapsed="false">
      <c r="A1804" s="32" t="s">
        <v>11856</v>
      </c>
      <c r="B1804" s="32" t="s">
        <v>4978</v>
      </c>
      <c r="C1804" s="33" t="s">
        <v>98</v>
      </c>
      <c r="D1804" s="33" t="s">
        <v>59</v>
      </c>
      <c r="E1804" s="33" t="s">
        <v>85</v>
      </c>
      <c r="F1804" s="33" t="s">
        <v>11857</v>
      </c>
      <c r="G1804" s="33" t="s">
        <v>9</v>
      </c>
      <c r="H1804" s="33" t="n">
        <v>40</v>
      </c>
    </row>
    <row r="1805" customFormat="false" ht="54" hidden="false" customHeight="true" outlineLevel="0" collapsed="false">
      <c r="A1805" s="32" t="s">
        <v>11858</v>
      </c>
      <c r="B1805" s="32" t="s">
        <v>4990</v>
      </c>
      <c r="C1805" s="33" t="s">
        <v>98</v>
      </c>
      <c r="D1805" s="33" t="s">
        <v>59</v>
      </c>
      <c r="E1805" s="33" t="s">
        <v>80</v>
      </c>
      <c r="F1805" s="33" t="s">
        <v>11859</v>
      </c>
      <c r="G1805" s="33" t="s">
        <v>9</v>
      </c>
      <c r="H1805" s="33" t="n">
        <v>40</v>
      </c>
    </row>
    <row r="1806" customFormat="false" ht="54" hidden="false" customHeight="true" outlineLevel="0" collapsed="false">
      <c r="A1806" s="32" t="s">
        <v>11860</v>
      </c>
      <c r="B1806" s="32" t="s">
        <v>4990</v>
      </c>
      <c r="C1806" s="33" t="s">
        <v>98</v>
      </c>
      <c r="D1806" s="33" t="s">
        <v>59</v>
      </c>
      <c r="E1806" s="33" t="s">
        <v>80</v>
      </c>
      <c r="F1806" s="33" t="s">
        <v>11861</v>
      </c>
      <c r="G1806" s="33" t="s">
        <v>9</v>
      </c>
      <c r="H1806" s="33" t="n">
        <v>40</v>
      </c>
    </row>
    <row r="1807" customFormat="false" ht="54" hidden="false" customHeight="true" outlineLevel="0" collapsed="false">
      <c r="A1807" s="32" t="s">
        <v>11862</v>
      </c>
      <c r="B1807" s="32" t="s">
        <v>4990</v>
      </c>
      <c r="C1807" s="33" t="s">
        <v>98</v>
      </c>
      <c r="D1807" s="33" t="s">
        <v>59</v>
      </c>
      <c r="E1807" s="33" t="s">
        <v>80</v>
      </c>
      <c r="F1807" s="33" t="s">
        <v>11623</v>
      </c>
      <c r="G1807" s="33" t="s">
        <v>9</v>
      </c>
      <c r="H1807" s="33" t="n">
        <v>40</v>
      </c>
    </row>
    <row r="1808" customFormat="false" ht="54" hidden="false" customHeight="true" outlineLevel="0" collapsed="false">
      <c r="A1808" s="32" t="s">
        <v>11863</v>
      </c>
      <c r="B1808" s="32" t="s">
        <v>4990</v>
      </c>
      <c r="C1808" s="33" t="s">
        <v>98</v>
      </c>
      <c r="D1808" s="33" t="s">
        <v>59</v>
      </c>
      <c r="E1808" s="33" t="s">
        <v>80</v>
      </c>
      <c r="F1808" s="33" t="s">
        <v>5003</v>
      </c>
      <c r="G1808" s="33" t="s">
        <v>9</v>
      </c>
      <c r="H1808" s="33" t="n">
        <v>40</v>
      </c>
    </row>
    <row r="1809" customFormat="false" ht="54" hidden="false" customHeight="true" outlineLevel="0" collapsed="false">
      <c r="A1809" s="32" t="s">
        <v>11864</v>
      </c>
      <c r="B1809" s="32" t="s">
        <v>4990</v>
      </c>
      <c r="C1809" s="33" t="s">
        <v>98</v>
      </c>
      <c r="D1809" s="33" t="s">
        <v>59</v>
      </c>
      <c r="E1809" s="33" t="s">
        <v>80</v>
      </c>
      <c r="F1809" s="33" t="s">
        <v>11865</v>
      </c>
      <c r="G1809" s="33" t="s">
        <v>9</v>
      </c>
      <c r="H1809" s="33" t="n">
        <v>40</v>
      </c>
    </row>
    <row r="1810" customFormat="false" ht="54" hidden="false" customHeight="true" outlineLevel="0" collapsed="false">
      <c r="A1810" s="32" t="s">
        <v>11866</v>
      </c>
      <c r="B1810" s="32" t="s">
        <v>4990</v>
      </c>
      <c r="C1810" s="33" t="s">
        <v>98</v>
      </c>
      <c r="D1810" s="33" t="s">
        <v>59</v>
      </c>
      <c r="E1810" s="33" t="s">
        <v>81</v>
      </c>
      <c r="F1810" s="33" t="s">
        <v>11859</v>
      </c>
      <c r="G1810" s="33" t="s">
        <v>9</v>
      </c>
      <c r="H1810" s="33" t="n">
        <v>40</v>
      </c>
    </row>
    <row r="1811" customFormat="false" ht="54" hidden="false" customHeight="true" outlineLevel="0" collapsed="false">
      <c r="A1811" s="32" t="s">
        <v>11867</v>
      </c>
      <c r="B1811" s="32" t="s">
        <v>4990</v>
      </c>
      <c r="C1811" s="33" t="s">
        <v>98</v>
      </c>
      <c r="D1811" s="33" t="s">
        <v>59</v>
      </c>
      <c r="E1811" s="33" t="s">
        <v>81</v>
      </c>
      <c r="F1811" s="33" t="s">
        <v>11861</v>
      </c>
      <c r="G1811" s="33" t="s">
        <v>9</v>
      </c>
      <c r="H1811" s="33" t="n">
        <v>40</v>
      </c>
    </row>
    <row r="1812" customFormat="false" ht="54" hidden="false" customHeight="true" outlineLevel="0" collapsed="false">
      <c r="A1812" s="32" t="s">
        <v>11868</v>
      </c>
      <c r="B1812" s="32" t="s">
        <v>4990</v>
      </c>
      <c r="C1812" s="33" t="s">
        <v>98</v>
      </c>
      <c r="D1812" s="33" t="s">
        <v>59</v>
      </c>
      <c r="E1812" s="33" t="s">
        <v>81</v>
      </c>
      <c r="F1812" s="33" t="s">
        <v>5003</v>
      </c>
      <c r="G1812" s="33" t="s">
        <v>9</v>
      </c>
      <c r="H1812" s="33" t="n">
        <v>40</v>
      </c>
    </row>
    <row r="1813" customFormat="false" ht="54" hidden="false" customHeight="true" outlineLevel="0" collapsed="false">
      <c r="A1813" s="32" t="s">
        <v>11869</v>
      </c>
      <c r="B1813" s="32" t="s">
        <v>4990</v>
      </c>
      <c r="C1813" s="33" t="s">
        <v>98</v>
      </c>
      <c r="D1813" s="33" t="s">
        <v>59</v>
      </c>
      <c r="E1813" s="33" t="s">
        <v>81</v>
      </c>
      <c r="F1813" s="33" t="s">
        <v>11865</v>
      </c>
      <c r="G1813" s="33" t="s">
        <v>9</v>
      </c>
      <c r="H1813" s="33" t="n">
        <v>40</v>
      </c>
    </row>
    <row r="1814" customFormat="false" ht="54" hidden="false" customHeight="true" outlineLevel="0" collapsed="false">
      <c r="A1814" s="32" t="s">
        <v>11870</v>
      </c>
      <c r="B1814" s="32" t="s">
        <v>4990</v>
      </c>
      <c r="C1814" s="33" t="s">
        <v>98</v>
      </c>
      <c r="D1814" s="33" t="s">
        <v>59</v>
      </c>
      <c r="E1814" s="33" t="s">
        <v>82</v>
      </c>
      <c r="F1814" s="33" t="s">
        <v>5001</v>
      </c>
      <c r="G1814" s="33" t="s">
        <v>9</v>
      </c>
      <c r="H1814" s="33" t="n">
        <v>40</v>
      </c>
    </row>
    <row r="1815" customFormat="false" ht="54" hidden="false" customHeight="true" outlineLevel="0" collapsed="false">
      <c r="A1815" s="32" t="s">
        <v>11871</v>
      </c>
      <c r="B1815" s="32" t="s">
        <v>4990</v>
      </c>
      <c r="C1815" s="33" t="s">
        <v>98</v>
      </c>
      <c r="D1815" s="33" t="s">
        <v>59</v>
      </c>
      <c r="E1815" s="33" t="s">
        <v>83</v>
      </c>
      <c r="F1815" s="33" t="s">
        <v>11861</v>
      </c>
      <c r="G1815" s="33" t="s">
        <v>9</v>
      </c>
      <c r="H1815" s="33" t="n">
        <v>40</v>
      </c>
    </row>
    <row r="1816" customFormat="false" ht="54" hidden="false" customHeight="true" outlineLevel="0" collapsed="false">
      <c r="A1816" s="32" t="s">
        <v>11872</v>
      </c>
      <c r="B1816" s="32" t="s">
        <v>4990</v>
      </c>
      <c r="C1816" s="33" t="s">
        <v>98</v>
      </c>
      <c r="D1816" s="33" t="s">
        <v>59</v>
      </c>
      <c r="E1816" s="33" t="s">
        <v>83</v>
      </c>
      <c r="F1816" s="33" t="s">
        <v>5003</v>
      </c>
      <c r="G1816" s="33" t="s">
        <v>9</v>
      </c>
      <c r="H1816" s="33" t="n">
        <v>40</v>
      </c>
    </row>
    <row r="1817" customFormat="false" ht="54" hidden="false" customHeight="true" outlineLevel="0" collapsed="false">
      <c r="A1817" s="32" t="s">
        <v>11873</v>
      </c>
      <c r="B1817" s="32" t="s">
        <v>4990</v>
      </c>
      <c r="C1817" s="33" t="s">
        <v>98</v>
      </c>
      <c r="D1817" s="33" t="s">
        <v>59</v>
      </c>
      <c r="E1817" s="33" t="s">
        <v>83</v>
      </c>
      <c r="F1817" s="33" t="s">
        <v>11865</v>
      </c>
      <c r="G1817" s="33" t="s">
        <v>9</v>
      </c>
      <c r="H1817" s="33" t="n">
        <v>40</v>
      </c>
    </row>
    <row r="1818" customFormat="false" ht="54" hidden="false" customHeight="true" outlineLevel="0" collapsed="false">
      <c r="A1818" s="32" t="s">
        <v>11874</v>
      </c>
      <c r="B1818" s="32" t="s">
        <v>4990</v>
      </c>
      <c r="C1818" s="33" t="s">
        <v>98</v>
      </c>
      <c r="D1818" s="33" t="s">
        <v>59</v>
      </c>
      <c r="E1818" s="33" t="s">
        <v>84</v>
      </c>
      <c r="F1818" s="33" t="s">
        <v>5003</v>
      </c>
      <c r="G1818" s="33" t="s">
        <v>9</v>
      </c>
      <c r="H1818" s="33" t="n">
        <v>40</v>
      </c>
    </row>
    <row r="1819" customFormat="false" ht="54" hidden="false" customHeight="true" outlineLevel="0" collapsed="false">
      <c r="A1819" s="32" t="s">
        <v>11875</v>
      </c>
      <c r="B1819" s="32" t="s">
        <v>5006</v>
      </c>
      <c r="C1819" s="33" t="s">
        <v>1396</v>
      </c>
      <c r="D1819" s="33" t="s">
        <v>55</v>
      </c>
      <c r="E1819" s="33" t="s">
        <v>84</v>
      </c>
      <c r="F1819" s="33" t="s">
        <v>5015</v>
      </c>
      <c r="G1819" s="33" t="s">
        <v>9</v>
      </c>
      <c r="H1819" s="33" t="n">
        <v>40</v>
      </c>
    </row>
    <row r="1820" customFormat="false" ht="54" hidden="false" customHeight="true" outlineLevel="0" collapsed="false">
      <c r="A1820" s="32" t="s">
        <v>11876</v>
      </c>
      <c r="B1820" s="32" t="s">
        <v>5019</v>
      </c>
      <c r="C1820" s="33" t="s">
        <v>1396</v>
      </c>
      <c r="D1820" s="33" t="s">
        <v>55</v>
      </c>
      <c r="E1820" s="33" t="s">
        <v>81</v>
      </c>
      <c r="F1820" s="33" t="s">
        <v>11877</v>
      </c>
      <c r="G1820" s="33" t="s">
        <v>9</v>
      </c>
      <c r="H1820" s="33" t="n">
        <v>40</v>
      </c>
    </row>
    <row r="1821" customFormat="false" ht="54" hidden="false" customHeight="true" outlineLevel="0" collapsed="false">
      <c r="A1821" s="32" t="s">
        <v>11878</v>
      </c>
      <c r="B1821" s="32" t="s">
        <v>5019</v>
      </c>
      <c r="C1821" s="33" t="s">
        <v>1396</v>
      </c>
      <c r="D1821" s="33" t="s">
        <v>55</v>
      </c>
      <c r="E1821" s="33" t="s">
        <v>81</v>
      </c>
      <c r="F1821" s="33" t="s">
        <v>5025</v>
      </c>
      <c r="G1821" s="33" t="s">
        <v>9</v>
      </c>
      <c r="H1821" s="33" t="n">
        <v>40</v>
      </c>
    </row>
    <row r="1822" customFormat="false" ht="54" hidden="false" customHeight="true" outlineLevel="0" collapsed="false">
      <c r="A1822" s="32" t="s">
        <v>11879</v>
      </c>
      <c r="B1822" s="32" t="s">
        <v>5019</v>
      </c>
      <c r="C1822" s="33" t="s">
        <v>1396</v>
      </c>
      <c r="D1822" s="33" t="s">
        <v>55</v>
      </c>
      <c r="E1822" s="33" t="s">
        <v>86</v>
      </c>
      <c r="F1822" s="33" t="s">
        <v>5030</v>
      </c>
      <c r="G1822" s="33" t="s">
        <v>9</v>
      </c>
      <c r="H1822" s="33" t="n">
        <v>40</v>
      </c>
    </row>
    <row r="1823" customFormat="false" ht="54" hidden="false" customHeight="true" outlineLevel="0" collapsed="false">
      <c r="A1823" s="32" t="s">
        <v>11880</v>
      </c>
      <c r="B1823" s="32" t="s">
        <v>5033</v>
      </c>
      <c r="C1823" s="33" t="s">
        <v>98</v>
      </c>
      <c r="D1823" s="33" t="s">
        <v>59</v>
      </c>
      <c r="E1823" s="33" t="s">
        <v>80</v>
      </c>
      <c r="F1823" s="33" t="s">
        <v>11881</v>
      </c>
      <c r="G1823" s="33" t="s">
        <v>9</v>
      </c>
      <c r="H1823" s="33" t="n">
        <v>40</v>
      </c>
    </row>
    <row r="1824" customFormat="false" ht="54" hidden="false" customHeight="true" outlineLevel="0" collapsed="false">
      <c r="A1824" s="32" t="s">
        <v>11882</v>
      </c>
      <c r="B1824" s="32" t="s">
        <v>5033</v>
      </c>
      <c r="C1824" s="33" t="s">
        <v>98</v>
      </c>
      <c r="D1824" s="33" t="s">
        <v>59</v>
      </c>
      <c r="E1824" s="33" t="s">
        <v>80</v>
      </c>
      <c r="F1824" s="33" t="s">
        <v>11883</v>
      </c>
      <c r="G1824" s="33" t="s">
        <v>9</v>
      </c>
      <c r="H1824" s="33" t="n">
        <v>40</v>
      </c>
    </row>
    <row r="1825" customFormat="false" ht="54" hidden="false" customHeight="true" outlineLevel="0" collapsed="false">
      <c r="A1825" s="32" t="s">
        <v>11884</v>
      </c>
      <c r="B1825" s="32" t="s">
        <v>5033</v>
      </c>
      <c r="C1825" s="33" t="s">
        <v>98</v>
      </c>
      <c r="D1825" s="33" t="s">
        <v>59</v>
      </c>
      <c r="E1825" s="33" t="s">
        <v>80</v>
      </c>
      <c r="F1825" s="33" t="s">
        <v>11885</v>
      </c>
      <c r="G1825" s="33" t="s">
        <v>9</v>
      </c>
      <c r="H1825" s="33" t="n">
        <v>40</v>
      </c>
    </row>
    <row r="1826" customFormat="false" ht="54" hidden="false" customHeight="true" outlineLevel="0" collapsed="false">
      <c r="A1826" s="32" t="s">
        <v>11886</v>
      </c>
      <c r="B1826" s="32" t="s">
        <v>5033</v>
      </c>
      <c r="C1826" s="33" t="s">
        <v>98</v>
      </c>
      <c r="D1826" s="33" t="s">
        <v>59</v>
      </c>
      <c r="E1826" s="33" t="s">
        <v>81</v>
      </c>
      <c r="F1826" s="33" t="s">
        <v>11887</v>
      </c>
      <c r="G1826" s="33" t="s">
        <v>9</v>
      </c>
      <c r="H1826" s="33" t="n">
        <v>40</v>
      </c>
    </row>
    <row r="1827" customFormat="false" ht="54" hidden="false" customHeight="true" outlineLevel="0" collapsed="false">
      <c r="A1827" s="32" t="s">
        <v>11888</v>
      </c>
      <c r="B1827" s="32" t="s">
        <v>5033</v>
      </c>
      <c r="C1827" s="33" t="s">
        <v>98</v>
      </c>
      <c r="D1827" s="33" t="s">
        <v>59</v>
      </c>
      <c r="E1827" s="33" t="s">
        <v>81</v>
      </c>
      <c r="F1827" s="33" t="s">
        <v>11889</v>
      </c>
      <c r="G1827" s="33" t="s">
        <v>9</v>
      </c>
      <c r="H1827" s="33" t="n">
        <v>40</v>
      </c>
    </row>
    <row r="1828" customFormat="false" ht="54" hidden="false" customHeight="true" outlineLevel="0" collapsed="false">
      <c r="A1828" s="32" t="s">
        <v>11890</v>
      </c>
      <c r="B1828" s="32" t="s">
        <v>5033</v>
      </c>
      <c r="C1828" s="33" t="s">
        <v>98</v>
      </c>
      <c r="D1828" s="33" t="s">
        <v>59</v>
      </c>
      <c r="E1828" s="33" t="s">
        <v>84</v>
      </c>
      <c r="F1828" s="33" t="s">
        <v>11881</v>
      </c>
      <c r="G1828" s="33" t="s">
        <v>9</v>
      </c>
      <c r="H1828" s="33" t="n">
        <v>40</v>
      </c>
    </row>
    <row r="1829" customFormat="false" ht="54" hidden="false" customHeight="true" outlineLevel="0" collapsed="false">
      <c r="A1829" s="32" t="s">
        <v>11891</v>
      </c>
      <c r="B1829" s="32" t="s">
        <v>5033</v>
      </c>
      <c r="C1829" s="33" t="s">
        <v>98</v>
      </c>
      <c r="D1829" s="33" t="s">
        <v>59</v>
      </c>
      <c r="E1829" s="33" t="s">
        <v>84</v>
      </c>
      <c r="F1829" s="33" t="s">
        <v>11883</v>
      </c>
      <c r="G1829" s="33" t="s">
        <v>9</v>
      </c>
      <c r="H1829" s="33" t="n">
        <v>40</v>
      </c>
    </row>
    <row r="1830" customFormat="false" ht="54" hidden="false" customHeight="true" outlineLevel="0" collapsed="false">
      <c r="A1830" s="32" t="s">
        <v>11892</v>
      </c>
      <c r="B1830" s="32" t="s">
        <v>5047</v>
      </c>
      <c r="C1830" s="33" t="s">
        <v>1396</v>
      </c>
      <c r="D1830" s="33" t="s">
        <v>55</v>
      </c>
      <c r="E1830" s="33" t="s">
        <v>81</v>
      </c>
      <c r="F1830" s="33" t="s">
        <v>11893</v>
      </c>
      <c r="G1830" s="33" t="s">
        <v>9</v>
      </c>
      <c r="H1830" s="33" t="n">
        <v>40</v>
      </c>
    </row>
    <row r="1831" customFormat="false" ht="54" hidden="false" customHeight="true" outlineLevel="0" collapsed="false">
      <c r="A1831" s="32" t="s">
        <v>11894</v>
      </c>
      <c r="B1831" s="32" t="s">
        <v>5047</v>
      </c>
      <c r="C1831" s="33" t="s">
        <v>1396</v>
      </c>
      <c r="D1831" s="33" t="s">
        <v>55</v>
      </c>
      <c r="E1831" s="33" t="s">
        <v>81</v>
      </c>
      <c r="F1831" s="33" t="s">
        <v>5055</v>
      </c>
      <c r="G1831" s="33" t="s">
        <v>9</v>
      </c>
      <c r="H1831" s="33" t="n">
        <v>40</v>
      </c>
    </row>
    <row r="1832" customFormat="false" ht="54" hidden="false" customHeight="true" outlineLevel="0" collapsed="false">
      <c r="A1832" s="32" t="s">
        <v>11895</v>
      </c>
      <c r="B1832" s="32" t="s">
        <v>5047</v>
      </c>
      <c r="C1832" s="33" t="s">
        <v>1396</v>
      </c>
      <c r="D1832" s="33" t="s">
        <v>55</v>
      </c>
      <c r="E1832" s="33" t="s">
        <v>81</v>
      </c>
      <c r="F1832" s="33" t="s">
        <v>11896</v>
      </c>
      <c r="G1832" s="33" t="s">
        <v>9</v>
      </c>
      <c r="H1832" s="33" t="n">
        <v>40</v>
      </c>
    </row>
    <row r="1833" customFormat="false" ht="54" hidden="false" customHeight="true" outlineLevel="0" collapsed="false">
      <c r="A1833" s="32" t="s">
        <v>11897</v>
      </c>
      <c r="B1833" s="32" t="s">
        <v>5047</v>
      </c>
      <c r="C1833" s="33" t="s">
        <v>1396</v>
      </c>
      <c r="D1833" s="33" t="s">
        <v>55</v>
      </c>
      <c r="E1833" s="33" t="s">
        <v>81</v>
      </c>
      <c r="F1833" s="33" t="s">
        <v>11898</v>
      </c>
      <c r="G1833" s="33" t="s">
        <v>9</v>
      </c>
      <c r="H1833" s="33" t="n">
        <v>40</v>
      </c>
    </row>
    <row r="1834" customFormat="false" ht="54" hidden="false" customHeight="true" outlineLevel="0" collapsed="false">
      <c r="A1834" s="32" t="s">
        <v>11899</v>
      </c>
      <c r="B1834" s="32" t="s">
        <v>5047</v>
      </c>
      <c r="C1834" s="33" t="s">
        <v>1396</v>
      </c>
      <c r="D1834" s="33" t="s">
        <v>55</v>
      </c>
      <c r="E1834" s="33" t="s">
        <v>82</v>
      </c>
      <c r="F1834" s="33" t="s">
        <v>11893</v>
      </c>
      <c r="G1834" s="33" t="s">
        <v>9</v>
      </c>
      <c r="H1834" s="33" t="n">
        <v>40</v>
      </c>
    </row>
    <row r="1835" customFormat="false" ht="54" hidden="false" customHeight="true" outlineLevel="0" collapsed="false">
      <c r="A1835" s="32" t="s">
        <v>11900</v>
      </c>
      <c r="B1835" s="32" t="s">
        <v>5047</v>
      </c>
      <c r="C1835" s="33" t="s">
        <v>1396</v>
      </c>
      <c r="D1835" s="33" t="s">
        <v>55</v>
      </c>
      <c r="E1835" s="33" t="s">
        <v>82</v>
      </c>
      <c r="F1835" s="33" t="s">
        <v>11901</v>
      </c>
      <c r="G1835" s="33" t="s">
        <v>9</v>
      </c>
      <c r="H1835" s="33" t="n">
        <v>40</v>
      </c>
    </row>
    <row r="1836" customFormat="false" ht="54" hidden="false" customHeight="true" outlineLevel="0" collapsed="false">
      <c r="A1836" s="32" t="s">
        <v>11902</v>
      </c>
      <c r="B1836" s="32" t="s">
        <v>5047</v>
      </c>
      <c r="C1836" s="33" t="s">
        <v>1396</v>
      </c>
      <c r="D1836" s="33" t="s">
        <v>55</v>
      </c>
      <c r="E1836" s="33" t="s">
        <v>82</v>
      </c>
      <c r="F1836" s="33" t="s">
        <v>11903</v>
      </c>
      <c r="G1836" s="33" t="s">
        <v>9</v>
      </c>
      <c r="H1836" s="33" t="n">
        <v>40</v>
      </c>
    </row>
    <row r="1837" customFormat="false" ht="54" hidden="false" customHeight="true" outlineLevel="0" collapsed="false">
      <c r="A1837" s="32" t="s">
        <v>11904</v>
      </c>
      <c r="B1837" s="32" t="s">
        <v>5047</v>
      </c>
      <c r="C1837" s="33" t="s">
        <v>1396</v>
      </c>
      <c r="D1837" s="33" t="s">
        <v>55</v>
      </c>
      <c r="E1837" s="33" t="s">
        <v>82</v>
      </c>
      <c r="F1837" s="33" t="s">
        <v>11896</v>
      </c>
      <c r="G1837" s="33" t="s">
        <v>9</v>
      </c>
      <c r="H1837" s="33" t="n">
        <v>40</v>
      </c>
    </row>
    <row r="1838" customFormat="false" ht="54" hidden="false" customHeight="true" outlineLevel="0" collapsed="false">
      <c r="A1838" s="32" t="s">
        <v>11905</v>
      </c>
      <c r="B1838" s="32" t="s">
        <v>5047</v>
      </c>
      <c r="C1838" s="33" t="s">
        <v>1396</v>
      </c>
      <c r="D1838" s="33" t="s">
        <v>55</v>
      </c>
      <c r="E1838" s="33" t="s">
        <v>82</v>
      </c>
      <c r="F1838" s="33" t="s">
        <v>5058</v>
      </c>
      <c r="G1838" s="33" t="s">
        <v>9</v>
      </c>
      <c r="H1838" s="33" t="n">
        <v>40</v>
      </c>
    </row>
    <row r="1839" customFormat="false" ht="54" hidden="false" customHeight="true" outlineLevel="0" collapsed="false">
      <c r="A1839" s="32" t="s">
        <v>11906</v>
      </c>
      <c r="B1839" s="32" t="s">
        <v>5047</v>
      </c>
      <c r="C1839" s="33" t="s">
        <v>1396</v>
      </c>
      <c r="D1839" s="33" t="s">
        <v>55</v>
      </c>
      <c r="E1839" s="33" t="s">
        <v>82</v>
      </c>
      <c r="F1839" s="33" t="s">
        <v>11898</v>
      </c>
      <c r="G1839" s="33" t="s">
        <v>9</v>
      </c>
      <c r="H1839" s="33" t="n">
        <v>40</v>
      </c>
    </row>
    <row r="1840" customFormat="false" ht="54" hidden="false" customHeight="true" outlineLevel="0" collapsed="false">
      <c r="A1840" s="32" t="s">
        <v>11907</v>
      </c>
      <c r="B1840" s="32" t="s">
        <v>5047</v>
      </c>
      <c r="C1840" s="33" t="s">
        <v>1396</v>
      </c>
      <c r="D1840" s="33" t="s">
        <v>55</v>
      </c>
      <c r="E1840" s="33" t="s">
        <v>82</v>
      </c>
      <c r="F1840" s="33" t="s">
        <v>11908</v>
      </c>
      <c r="G1840" s="33" t="s">
        <v>9</v>
      </c>
      <c r="H1840" s="33" t="n">
        <v>40</v>
      </c>
    </row>
    <row r="1841" customFormat="false" ht="54" hidden="false" customHeight="true" outlineLevel="0" collapsed="false">
      <c r="A1841" s="32" t="s">
        <v>11909</v>
      </c>
      <c r="B1841" s="32" t="s">
        <v>5047</v>
      </c>
      <c r="C1841" s="33" t="s">
        <v>1396</v>
      </c>
      <c r="D1841" s="33" t="s">
        <v>55</v>
      </c>
      <c r="E1841" s="33" t="s">
        <v>84</v>
      </c>
      <c r="F1841" s="33" t="s">
        <v>5058</v>
      </c>
      <c r="G1841" s="33" t="s">
        <v>9</v>
      </c>
      <c r="H1841" s="33" t="n">
        <v>40</v>
      </c>
    </row>
    <row r="1842" customFormat="false" ht="54" hidden="false" customHeight="true" outlineLevel="0" collapsed="false">
      <c r="A1842" s="32" t="s">
        <v>11910</v>
      </c>
      <c r="B1842" s="32" t="s">
        <v>5047</v>
      </c>
      <c r="C1842" s="33" t="s">
        <v>1396</v>
      </c>
      <c r="D1842" s="33" t="s">
        <v>55</v>
      </c>
      <c r="E1842" s="33" t="s">
        <v>86</v>
      </c>
      <c r="F1842" s="33" t="s">
        <v>5059</v>
      </c>
      <c r="G1842" s="33" t="s">
        <v>9</v>
      </c>
      <c r="H1842" s="33" t="n">
        <v>40</v>
      </c>
    </row>
    <row r="1843" customFormat="false" ht="54" hidden="false" customHeight="true" outlineLevel="0" collapsed="false">
      <c r="A1843" s="32" t="s">
        <v>11911</v>
      </c>
      <c r="B1843" s="32" t="s">
        <v>5062</v>
      </c>
      <c r="C1843" s="33" t="s">
        <v>1396</v>
      </c>
      <c r="D1843" s="33" t="s">
        <v>55</v>
      </c>
      <c r="E1843" s="33" t="s">
        <v>83</v>
      </c>
      <c r="F1843" s="33" t="s">
        <v>5065</v>
      </c>
      <c r="G1843" s="33" t="s">
        <v>9</v>
      </c>
      <c r="H1843" s="33" t="n">
        <v>40</v>
      </c>
    </row>
    <row r="1844" customFormat="false" ht="54" hidden="false" customHeight="true" outlineLevel="0" collapsed="false">
      <c r="A1844" s="32" t="s">
        <v>11912</v>
      </c>
      <c r="B1844" s="32" t="s">
        <v>5062</v>
      </c>
      <c r="C1844" s="33" t="s">
        <v>1396</v>
      </c>
      <c r="D1844" s="33" t="s">
        <v>55</v>
      </c>
      <c r="E1844" s="33" t="s">
        <v>83</v>
      </c>
      <c r="F1844" s="33" t="s">
        <v>5070</v>
      </c>
      <c r="G1844" s="33" t="s">
        <v>9</v>
      </c>
      <c r="H1844" s="33" t="n">
        <v>40</v>
      </c>
    </row>
    <row r="1845" customFormat="false" ht="54" hidden="false" customHeight="true" outlineLevel="0" collapsed="false">
      <c r="A1845" s="32" t="s">
        <v>11913</v>
      </c>
      <c r="B1845" s="32" t="s">
        <v>5075</v>
      </c>
      <c r="C1845" s="33" t="s">
        <v>1396</v>
      </c>
      <c r="D1845" s="33" t="s">
        <v>55</v>
      </c>
      <c r="E1845" s="33" t="s">
        <v>81</v>
      </c>
      <c r="F1845" s="33" t="s">
        <v>5083</v>
      </c>
      <c r="G1845" s="33" t="s">
        <v>9</v>
      </c>
      <c r="H1845" s="33" t="n">
        <v>40</v>
      </c>
    </row>
    <row r="1846" customFormat="false" ht="54" hidden="false" customHeight="true" outlineLevel="0" collapsed="false">
      <c r="A1846" s="32" t="s">
        <v>11914</v>
      </c>
      <c r="B1846" s="32" t="s">
        <v>5075</v>
      </c>
      <c r="C1846" s="33" t="s">
        <v>1396</v>
      </c>
      <c r="D1846" s="33" t="s">
        <v>55</v>
      </c>
      <c r="E1846" s="33" t="s">
        <v>81</v>
      </c>
      <c r="F1846" s="33" t="s">
        <v>5085</v>
      </c>
      <c r="G1846" s="33" t="s">
        <v>9</v>
      </c>
      <c r="H1846" s="33" t="n">
        <v>40</v>
      </c>
    </row>
    <row r="1847" customFormat="false" ht="54" hidden="false" customHeight="true" outlineLevel="0" collapsed="false">
      <c r="A1847" s="32" t="s">
        <v>11915</v>
      </c>
      <c r="B1847" s="32" t="s">
        <v>5075</v>
      </c>
      <c r="C1847" s="33" t="s">
        <v>1396</v>
      </c>
      <c r="D1847" s="33" t="s">
        <v>55</v>
      </c>
      <c r="E1847" s="33" t="s">
        <v>81</v>
      </c>
      <c r="F1847" s="33" t="s">
        <v>11916</v>
      </c>
      <c r="G1847" s="33" t="s">
        <v>9</v>
      </c>
      <c r="H1847" s="33" t="n">
        <v>40</v>
      </c>
    </row>
    <row r="1848" customFormat="false" ht="54" hidden="false" customHeight="true" outlineLevel="0" collapsed="false">
      <c r="A1848" s="32" t="s">
        <v>11917</v>
      </c>
      <c r="B1848" s="32" t="s">
        <v>5075</v>
      </c>
      <c r="C1848" s="33" t="s">
        <v>1396</v>
      </c>
      <c r="D1848" s="33" t="s">
        <v>55</v>
      </c>
      <c r="E1848" s="33" t="s">
        <v>84</v>
      </c>
      <c r="F1848" s="33" t="s">
        <v>5085</v>
      </c>
      <c r="G1848" s="33" t="s">
        <v>9</v>
      </c>
      <c r="H1848" s="33" t="n">
        <v>40</v>
      </c>
    </row>
    <row r="1849" customFormat="false" ht="54" hidden="false" customHeight="true" outlineLevel="0" collapsed="false">
      <c r="A1849" s="32" t="s">
        <v>11918</v>
      </c>
      <c r="B1849" s="32" t="s">
        <v>5089</v>
      </c>
      <c r="C1849" s="33" t="s">
        <v>1396</v>
      </c>
      <c r="D1849" s="33" t="s">
        <v>55</v>
      </c>
      <c r="E1849" s="33" t="s">
        <v>80</v>
      </c>
      <c r="F1849" s="33" t="s">
        <v>11919</v>
      </c>
      <c r="G1849" s="33" t="s">
        <v>9</v>
      </c>
      <c r="H1849" s="33" t="n">
        <v>40</v>
      </c>
    </row>
    <row r="1850" customFormat="false" ht="54" hidden="false" customHeight="true" outlineLevel="0" collapsed="false">
      <c r="A1850" s="32" t="s">
        <v>11920</v>
      </c>
      <c r="B1850" s="32" t="s">
        <v>5089</v>
      </c>
      <c r="C1850" s="33" t="s">
        <v>1396</v>
      </c>
      <c r="D1850" s="33" t="s">
        <v>55</v>
      </c>
      <c r="E1850" s="33" t="s">
        <v>80</v>
      </c>
      <c r="F1850" s="33" t="s">
        <v>11921</v>
      </c>
      <c r="G1850" s="33" t="s">
        <v>9</v>
      </c>
      <c r="H1850" s="33" t="n">
        <v>40</v>
      </c>
    </row>
    <row r="1851" customFormat="false" ht="54" hidden="false" customHeight="true" outlineLevel="0" collapsed="false">
      <c r="A1851" s="32" t="s">
        <v>11922</v>
      </c>
      <c r="B1851" s="32" t="s">
        <v>5089</v>
      </c>
      <c r="C1851" s="33" t="s">
        <v>1396</v>
      </c>
      <c r="D1851" s="33" t="s">
        <v>55</v>
      </c>
      <c r="E1851" s="33" t="s">
        <v>80</v>
      </c>
      <c r="F1851" s="33" t="s">
        <v>5099</v>
      </c>
      <c r="G1851" s="33" t="s">
        <v>9</v>
      </c>
      <c r="H1851" s="33" t="n">
        <v>40</v>
      </c>
    </row>
    <row r="1852" customFormat="false" ht="54" hidden="false" customHeight="true" outlineLevel="0" collapsed="false">
      <c r="A1852" s="32" t="s">
        <v>11923</v>
      </c>
      <c r="B1852" s="32" t="s">
        <v>5089</v>
      </c>
      <c r="C1852" s="33" t="s">
        <v>1396</v>
      </c>
      <c r="D1852" s="33" t="s">
        <v>55</v>
      </c>
      <c r="E1852" s="33" t="s">
        <v>80</v>
      </c>
      <c r="F1852" s="33" t="s">
        <v>11924</v>
      </c>
      <c r="G1852" s="33" t="s">
        <v>9</v>
      </c>
      <c r="H1852" s="33" t="n">
        <v>40</v>
      </c>
    </row>
    <row r="1853" customFormat="false" ht="54" hidden="false" customHeight="true" outlineLevel="0" collapsed="false">
      <c r="A1853" s="32" t="s">
        <v>11925</v>
      </c>
      <c r="B1853" s="32" t="s">
        <v>5089</v>
      </c>
      <c r="C1853" s="33" t="s">
        <v>1396</v>
      </c>
      <c r="D1853" s="33" t="s">
        <v>55</v>
      </c>
      <c r="E1853" s="33" t="s">
        <v>81</v>
      </c>
      <c r="F1853" s="33" t="s">
        <v>11919</v>
      </c>
      <c r="G1853" s="33" t="s">
        <v>9</v>
      </c>
      <c r="H1853" s="33" t="n">
        <v>40</v>
      </c>
    </row>
    <row r="1854" customFormat="false" ht="54" hidden="false" customHeight="true" outlineLevel="0" collapsed="false">
      <c r="A1854" s="32" t="s">
        <v>11926</v>
      </c>
      <c r="B1854" s="32" t="s">
        <v>5089</v>
      </c>
      <c r="C1854" s="33" t="s">
        <v>1396</v>
      </c>
      <c r="D1854" s="33" t="s">
        <v>55</v>
      </c>
      <c r="E1854" s="33" t="s">
        <v>81</v>
      </c>
      <c r="F1854" s="33" t="s">
        <v>11921</v>
      </c>
      <c r="G1854" s="33" t="s">
        <v>9</v>
      </c>
      <c r="H1854" s="33" t="n">
        <v>40</v>
      </c>
    </row>
    <row r="1855" customFormat="false" ht="54" hidden="false" customHeight="true" outlineLevel="0" collapsed="false">
      <c r="A1855" s="32" t="s">
        <v>11927</v>
      </c>
      <c r="B1855" s="32" t="s">
        <v>5089</v>
      </c>
      <c r="C1855" s="33" t="s">
        <v>1396</v>
      </c>
      <c r="D1855" s="33" t="s">
        <v>55</v>
      </c>
      <c r="E1855" s="33" t="s">
        <v>81</v>
      </c>
      <c r="F1855" s="33" t="s">
        <v>11928</v>
      </c>
      <c r="G1855" s="33" t="s">
        <v>9</v>
      </c>
      <c r="H1855" s="33" t="n">
        <v>40</v>
      </c>
    </row>
    <row r="1856" customFormat="false" ht="54" hidden="false" customHeight="true" outlineLevel="0" collapsed="false">
      <c r="A1856" s="32" t="s">
        <v>11929</v>
      </c>
      <c r="B1856" s="32" t="s">
        <v>5089</v>
      </c>
      <c r="C1856" s="33" t="s">
        <v>1396</v>
      </c>
      <c r="D1856" s="33" t="s">
        <v>55</v>
      </c>
      <c r="E1856" s="33" t="s">
        <v>81</v>
      </c>
      <c r="F1856" s="33" t="s">
        <v>5099</v>
      </c>
      <c r="G1856" s="33" t="s">
        <v>9</v>
      </c>
      <c r="H1856" s="33" t="n">
        <v>40</v>
      </c>
    </row>
    <row r="1857" customFormat="false" ht="54" hidden="false" customHeight="true" outlineLevel="0" collapsed="false">
      <c r="A1857" s="32" t="s">
        <v>11930</v>
      </c>
      <c r="B1857" s="32" t="s">
        <v>5089</v>
      </c>
      <c r="C1857" s="33" t="s">
        <v>1396</v>
      </c>
      <c r="D1857" s="33" t="s">
        <v>55</v>
      </c>
      <c r="E1857" s="33" t="s">
        <v>81</v>
      </c>
      <c r="F1857" s="33" t="s">
        <v>11924</v>
      </c>
      <c r="G1857" s="33" t="s">
        <v>9</v>
      </c>
      <c r="H1857" s="33" t="n">
        <v>40</v>
      </c>
    </row>
    <row r="1858" customFormat="false" ht="54" hidden="false" customHeight="true" outlineLevel="0" collapsed="false">
      <c r="A1858" s="32" t="s">
        <v>11931</v>
      </c>
      <c r="B1858" s="32" t="s">
        <v>5089</v>
      </c>
      <c r="C1858" s="33" t="s">
        <v>1396</v>
      </c>
      <c r="D1858" s="33" t="s">
        <v>55</v>
      </c>
      <c r="E1858" s="33" t="s">
        <v>84</v>
      </c>
      <c r="F1858" s="33" t="s">
        <v>5099</v>
      </c>
      <c r="G1858" s="33" t="s">
        <v>9</v>
      </c>
      <c r="H1858" s="33" t="n">
        <v>40</v>
      </c>
    </row>
    <row r="1859" customFormat="false" ht="54" hidden="false" customHeight="true" outlineLevel="0" collapsed="false">
      <c r="A1859" s="32" t="s">
        <v>11932</v>
      </c>
      <c r="B1859" s="32" t="s">
        <v>5089</v>
      </c>
      <c r="C1859" s="33" t="s">
        <v>1396</v>
      </c>
      <c r="D1859" s="33" t="s">
        <v>55</v>
      </c>
      <c r="E1859" s="33" t="s">
        <v>85</v>
      </c>
      <c r="F1859" s="33" t="s">
        <v>11933</v>
      </c>
      <c r="G1859" s="33" t="s">
        <v>9</v>
      </c>
      <c r="H1859" s="33" t="n">
        <v>40</v>
      </c>
    </row>
    <row r="1860" customFormat="false" ht="54" hidden="false" customHeight="true" outlineLevel="0" collapsed="false">
      <c r="A1860" s="32" t="s">
        <v>11934</v>
      </c>
      <c r="B1860" s="32" t="s">
        <v>5089</v>
      </c>
      <c r="C1860" s="33" t="s">
        <v>1396</v>
      </c>
      <c r="D1860" s="33" t="s">
        <v>55</v>
      </c>
      <c r="E1860" s="33" t="s">
        <v>85</v>
      </c>
      <c r="F1860" s="33" t="s">
        <v>11924</v>
      </c>
      <c r="G1860" s="33" t="s">
        <v>9</v>
      </c>
      <c r="H1860" s="33" t="n">
        <v>40</v>
      </c>
    </row>
    <row r="1861" customFormat="false" ht="54" hidden="false" customHeight="true" outlineLevel="0" collapsed="false">
      <c r="A1861" s="32" t="s">
        <v>11935</v>
      </c>
      <c r="B1861" s="32" t="s">
        <v>5089</v>
      </c>
      <c r="C1861" s="33" t="s">
        <v>1396</v>
      </c>
      <c r="D1861" s="33" t="s">
        <v>55</v>
      </c>
      <c r="E1861" s="33" t="s">
        <v>85</v>
      </c>
      <c r="F1861" s="33" t="s">
        <v>11936</v>
      </c>
      <c r="G1861" s="33" t="s">
        <v>9</v>
      </c>
      <c r="H1861" s="33" t="n">
        <v>40</v>
      </c>
    </row>
    <row r="1862" customFormat="false" ht="54" hidden="false" customHeight="true" outlineLevel="0" collapsed="false">
      <c r="A1862" s="32" t="s">
        <v>11937</v>
      </c>
      <c r="B1862" s="32" t="s">
        <v>5104</v>
      </c>
      <c r="C1862" s="33" t="s">
        <v>1396</v>
      </c>
      <c r="D1862" s="33" t="s">
        <v>55</v>
      </c>
      <c r="E1862" s="33" t="s">
        <v>81</v>
      </c>
      <c r="F1862" s="33" t="s">
        <v>11938</v>
      </c>
      <c r="G1862" s="33" t="s">
        <v>9</v>
      </c>
      <c r="H1862" s="33" t="n">
        <v>40</v>
      </c>
    </row>
    <row r="1863" customFormat="false" ht="54" hidden="false" customHeight="true" outlineLevel="0" collapsed="false">
      <c r="A1863" s="32" t="s">
        <v>11939</v>
      </c>
      <c r="B1863" s="32" t="s">
        <v>5104</v>
      </c>
      <c r="C1863" s="33" t="s">
        <v>1396</v>
      </c>
      <c r="D1863" s="33" t="s">
        <v>55</v>
      </c>
      <c r="E1863" s="33" t="s">
        <v>81</v>
      </c>
      <c r="F1863" s="33" t="s">
        <v>11940</v>
      </c>
      <c r="G1863" s="33" t="s">
        <v>9</v>
      </c>
      <c r="H1863" s="33" t="n">
        <v>40</v>
      </c>
    </row>
    <row r="1864" customFormat="false" ht="54" hidden="false" customHeight="true" outlineLevel="0" collapsed="false">
      <c r="A1864" s="32" t="s">
        <v>11941</v>
      </c>
      <c r="B1864" s="32" t="s">
        <v>5104</v>
      </c>
      <c r="C1864" s="33" t="s">
        <v>1396</v>
      </c>
      <c r="D1864" s="33" t="s">
        <v>55</v>
      </c>
      <c r="E1864" s="33" t="s">
        <v>81</v>
      </c>
      <c r="F1864" s="33" t="s">
        <v>11942</v>
      </c>
      <c r="G1864" s="33" t="s">
        <v>9</v>
      </c>
      <c r="H1864" s="33" t="n">
        <v>40</v>
      </c>
    </row>
    <row r="1865" customFormat="false" ht="54" hidden="false" customHeight="true" outlineLevel="0" collapsed="false">
      <c r="A1865" s="32" t="s">
        <v>11943</v>
      </c>
      <c r="B1865" s="32" t="s">
        <v>5104</v>
      </c>
      <c r="C1865" s="33" t="s">
        <v>1396</v>
      </c>
      <c r="D1865" s="33" t="s">
        <v>55</v>
      </c>
      <c r="E1865" s="33" t="s">
        <v>81</v>
      </c>
      <c r="F1865" s="33" t="s">
        <v>11944</v>
      </c>
      <c r="G1865" s="33" t="s">
        <v>9</v>
      </c>
      <c r="H1865" s="33" t="n">
        <v>40</v>
      </c>
    </row>
    <row r="1866" customFormat="false" ht="54" hidden="false" customHeight="true" outlineLevel="0" collapsed="false">
      <c r="A1866" s="32" t="s">
        <v>11945</v>
      </c>
      <c r="B1866" s="32" t="s">
        <v>5104</v>
      </c>
      <c r="C1866" s="33" t="s">
        <v>1396</v>
      </c>
      <c r="D1866" s="33" t="s">
        <v>55</v>
      </c>
      <c r="E1866" s="33" t="s">
        <v>81</v>
      </c>
      <c r="F1866" s="33" t="s">
        <v>11946</v>
      </c>
      <c r="G1866" s="33" t="s">
        <v>9</v>
      </c>
      <c r="H1866" s="33" t="n">
        <v>40</v>
      </c>
    </row>
    <row r="1867" customFormat="false" ht="54" hidden="false" customHeight="true" outlineLevel="0" collapsed="false">
      <c r="A1867" s="32" t="s">
        <v>11947</v>
      </c>
      <c r="B1867" s="32" t="s">
        <v>5104</v>
      </c>
      <c r="C1867" s="33" t="s">
        <v>1396</v>
      </c>
      <c r="D1867" s="33" t="s">
        <v>55</v>
      </c>
      <c r="E1867" s="33" t="s">
        <v>84</v>
      </c>
      <c r="F1867" s="33" t="s">
        <v>11940</v>
      </c>
      <c r="G1867" s="33" t="s">
        <v>9</v>
      </c>
      <c r="H1867" s="33" t="n">
        <v>40</v>
      </c>
    </row>
    <row r="1868" customFormat="false" ht="54" hidden="false" customHeight="true" outlineLevel="0" collapsed="false">
      <c r="A1868" s="32" t="s">
        <v>11948</v>
      </c>
      <c r="B1868" s="32" t="s">
        <v>5104</v>
      </c>
      <c r="C1868" s="33" t="s">
        <v>1396</v>
      </c>
      <c r="D1868" s="33" t="s">
        <v>55</v>
      </c>
      <c r="E1868" s="33" t="s">
        <v>84</v>
      </c>
      <c r="F1868" s="33" t="s">
        <v>11944</v>
      </c>
      <c r="G1868" s="33" t="s">
        <v>9</v>
      </c>
      <c r="H1868" s="33" t="n">
        <v>40</v>
      </c>
    </row>
    <row r="1869" customFormat="false" ht="54" hidden="false" customHeight="true" outlineLevel="0" collapsed="false">
      <c r="A1869" s="32" t="s">
        <v>11949</v>
      </c>
      <c r="B1869" s="32" t="s">
        <v>5104</v>
      </c>
      <c r="C1869" s="33" t="s">
        <v>1396</v>
      </c>
      <c r="D1869" s="33" t="s">
        <v>55</v>
      </c>
      <c r="E1869" s="33" t="s">
        <v>86</v>
      </c>
      <c r="F1869" s="33" t="s">
        <v>5112</v>
      </c>
      <c r="G1869" s="33" t="s">
        <v>9</v>
      </c>
      <c r="H1869" s="33" t="n">
        <v>40</v>
      </c>
    </row>
    <row r="1870" customFormat="false" ht="54" hidden="false" customHeight="true" outlineLevel="0" collapsed="false">
      <c r="A1870" s="32" t="s">
        <v>11950</v>
      </c>
      <c r="B1870" s="32" t="s">
        <v>5118</v>
      </c>
      <c r="C1870" s="33" t="s">
        <v>98</v>
      </c>
      <c r="D1870" s="33" t="s">
        <v>59</v>
      </c>
      <c r="E1870" s="33" t="s">
        <v>83</v>
      </c>
      <c r="F1870" s="33" t="s">
        <v>5126</v>
      </c>
      <c r="G1870" s="33" t="s">
        <v>9</v>
      </c>
      <c r="H1870" s="33" t="n">
        <v>40</v>
      </c>
    </row>
    <row r="1871" customFormat="false" ht="54" hidden="false" customHeight="true" outlineLevel="0" collapsed="false">
      <c r="A1871" s="32" t="s">
        <v>11951</v>
      </c>
      <c r="B1871" s="32" t="s">
        <v>5118</v>
      </c>
      <c r="C1871" s="33" t="s">
        <v>98</v>
      </c>
      <c r="D1871" s="33" t="s">
        <v>59</v>
      </c>
      <c r="E1871" s="33" t="s">
        <v>84</v>
      </c>
      <c r="F1871" s="33" t="s">
        <v>11122</v>
      </c>
      <c r="G1871" s="33" t="s">
        <v>9</v>
      </c>
      <c r="H1871" s="33" t="n">
        <v>40</v>
      </c>
    </row>
    <row r="1872" customFormat="false" ht="54" hidden="false" customHeight="true" outlineLevel="0" collapsed="false">
      <c r="A1872" s="32" t="s">
        <v>11952</v>
      </c>
      <c r="B1872" s="32" t="s">
        <v>5118</v>
      </c>
      <c r="C1872" s="33" t="s">
        <v>98</v>
      </c>
      <c r="D1872" s="33" t="s">
        <v>59</v>
      </c>
      <c r="E1872" s="33" t="s">
        <v>84</v>
      </c>
      <c r="F1872" s="33" t="s">
        <v>11953</v>
      </c>
      <c r="G1872" s="33" t="s">
        <v>9</v>
      </c>
      <c r="H1872" s="33" t="n">
        <v>40</v>
      </c>
    </row>
    <row r="1873" customFormat="false" ht="54" hidden="false" customHeight="true" outlineLevel="0" collapsed="false">
      <c r="A1873" s="32" t="s">
        <v>11954</v>
      </c>
      <c r="B1873" s="32" t="s">
        <v>5118</v>
      </c>
      <c r="C1873" s="33" t="s">
        <v>98</v>
      </c>
      <c r="D1873" s="33" t="s">
        <v>59</v>
      </c>
      <c r="E1873" s="33" t="s">
        <v>84</v>
      </c>
      <c r="F1873" s="33" t="s">
        <v>11955</v>
      </c>
      <c r="G1873" s="33" t="s">
        <v>9</v>
      </c>
      <c r="H1873" s="33" t="n">
        <v>40</v>
      </c>
    </row>
    <row r="1874" customFormat="false" ht="54" hidden="false" customHeight="true" outlineLevel="0" collapsed="false">
      <c r="A1874" s="32" t="s">
        <v>11956</v>
      </c>
      <c r="B1874" s="32" t="s">
        <v>5131</v>
      </c>
      <c r="C1874" s="33" t="s">
        <v>1396</v>
      </c>
      <c r="D1874" s="33" t="s">
        <v>55</v>
      </c>
      <c r="E1874" s="33" t="s">
        <v>81</v>
      </c>
      <c r="F1874" s="33" t="s">
        <v>11957</v>
      </c>
      <c r="G1874" s="33" t="s">
        <v>9</v>
      </c>
      <c r="H1874" s="33" t="n">
        <v>40</v>
      </c>
    </row>
    <row r="1875" customFormat="false" ht="54" hidden="false" customHeight="true" outlineLevel="0" collapsed="false">
      <c r="A1875" s="32" t="s">
        <v>11958</v>
      </c>
      <c r="B1875" s="32" t="s">
        <v>5131</v>
      </c>
      <c r="C1875" s="33" t="s">
        <v>1396</v>
      </c>
      <c r="D1875" s="33" t="s">
        <v>55</v>
      </c>
      <c r="E1875" s="33" t="s">
        <v>81</v>
      </c>
      <c r="F1875" s="33" t="s">
        <v>11959</v>
      </c>
      <c r="G1875" s="33" t="s">
        <v>9</v>
      </c>
      <c r="H1875" s="33" t="n">
        <v>40</v>
      </c>
    </row>
    <row r="1876" customFormat="false" ht="54" hidden="false" customHeight="true" outlineLevel="0" collapsed="false">
      <c r="A1876" s="32" t="s">
        <v>11960</v>
      </c>
      <c r="B1876" s="32" t="s">
        <v>5131</v>
      </c>
      <c r="C1876" s="33" t="s">
        <v>1396</v>
      </c>
      <c r="D1876" s="33" t="s">
        <v>55</v>
      </c>
      <c r="E1876" s="33" t="s">
        <v>81</v>
      </c>
      <c r="F1876" s="33" t="s">
        <v>11961</v>
      </c>
      <c r="G1876" s="33" t="s">
        <v>9</v>
      </c>
      <c r="H1876" s="33" t="n">
        <v>40</v>
      </c>
    </row>
    <row r="1877" customFormat="false" ht="54" hidden="false" customHeight="true" outlineLevel="0" collapsed="false">
      <c r="A1877" s="32" t="s">
        <v>11962</v>
      </c>
      <c r="B1877" s="32" t="s">
        <v>5131</v>
      </c>
      <c r="C1877" s="33" t="s">
        <v>1396</v>
      </c>
      <c r="D1877" s="33" t="s">
        <v>55</v>
      </c>
      <c r="E1877" s="33" t="s">
        <v>84</v>
      </c>
      <c r="F1877" s="33" t="s">
        <v>5140</v>
      </c>
      <c r="G1877" s="33" t="s">
        <v>9</v>
      </c>
      <c r="H1877" s="33" t="n">
        <v>40</v>
      </c>
    </row>
    <row r="1878" customFormat="false" ht="54" hidden="false" customHeight="true" outlineLevel="0" collapsed="false">
      <c r="A1878" s="32" t="s">
        <v>11963</v>
      </c>
      <c r="B1878" s="32" t="s">
        <v>5144</v>
      </c>
      <c r="C1878" s="33" t="s">
        <v>1396</v>
      </c>
      <c r="D1878" s="33" t="s">
        <v>55</v>
      </c>
      <c r="E1878" s="33" t="s">
        <v>81</v>
      </c>
      <c r="F1878" s="33" t="s">
        <v>5152</v>
      </c>
      <c r="G1878" s="33" t="s">
        <v>9</v>
      </c>
      <c r="H1878" s="33" t="n">
        <v>40</v>
      </c>
    </row>
    <row r="1879" customFormat="false" ht="54" hidden="false" customHeight="true" outlineLevel="0" collapsed="false">
      <c r="A1879" s="32" t="s">
        <v>11964</v>
      </c>
      <c r="B1879" s="32" t="s">
        <v>5144</v>
      </c>
      <c r="C1879" s="33" t="s">
        <v>1396</v>
      </c>
      <c r="D1879" s="33" t="s">
        <v>55</v>
      </c>
      <c r="E1879" s="33" t="s">
        <v>83</v>
      </c>
      <c r="F1879" s="33" t="s">
        <v>5148</v>
      </c>
      <c r="G1879" s="33" t="s">
        <v>9</v>
      </c>
      <c r="H1879" s="33" t="n">
        <v>40</v>
      </c>
    </row>
    <row r="1880" customFormat="false" ht="54" hidden="false" customHeight="true" outlineLevel="0" collapsed="false">
      <c r="A1880" s="32" t="s">
        <v>11965</v>
      </c>
      <c r="B1880" s="32" t="s">
        <v>5144</v>
      </c>
      <c r="C1880" s="33" t="s">
        <v>1396</v>
      </c>
      <c r="D1880" s="33" t="s">
        <v>55</v>
      </c>
      <c r="E1880" s="33" t="s">
        <v>83</v>
      </c>
      <c r="F1880" s="33" t="s">
        <v>11966</v>
      </c>
      <c r="G1880" s="33" t="s">
        <v>9</v>
      </c>
      <c r="H1880" s="33" t="n">
        <v>40</v>
      </c>
    </row>
    <row r="1881" customFormat="false" ht="54" hidden="false" customHeight="true" outlineLevel="0" collapsed="false">
      <c r="A1881" s="32" t="s">
        <v>11967</v>
      </c>
      <c r="B1881" s="32" t="s">
        <v>5144</v>
      </c>
      <c r="C1881" s="33" t="s">
        <v>1396</v>
      </c>
      <c r="D1881" s="33" t="s">
        <v>55</v>
      </c>
      <c r="E1881" s="33" t="s">
        <v>84</v>
      </c>
      <c r="F1881" s="33" t="s">
        <v>5154</v>
      </c>
      <c r="G1881" s="33" t="s">
        <v>9</v>
      </c>
      <c r="H1881" s="33" t="n">
        <v>40</v>
      </c>
    </row>
    <row r="1882" customFormat="false" ht="54" hidden="false" customHeight="true" outlineLevel="0" collapsed="false">
      <c r="A1882" s="32" t="s">
        <v>11968</v>
      </c>
      <c r="B1882" s="32" t="s">
        <v>5158</v>
      </c>
      <c r="C1882" s="33" t="s">
        <v>5159</v>
      </c>
      <c r="D1882" s="33" t="s">
        <v>53</v>
      </c>
      <c r="E1882" s="33" t="s">
        <v>80</v>
      </c>
      <c r="F1882" s="33" t="s">
        <v>11969</v>
      </c>
      <c r="G1882" s="33" t="s">
        <v>9</v>
      </c>
      <c r="H1882" s="33" t="n">
        <v>40</v>
      </c>
    </row>
    <row r="1883" customFormat="false" ht="54" hidden="false" customHeight="true" outlineLevel="0" collapsed="false">
      <c r="A1883" s="32" t="s">
        <v>11970</v>
      </c>
      <c r="B1883" s="32" t="s">
        <v>5158</v>
      </c>
      <c r="C1883" s="33" t="s">
        <v>5159</v>
      </c>
      <c r="D1883" s="33" t="s">
        <v>53</v>
      </c>
      <c r="E1883" s="33" t="s">
        <v>80</v>
      </c>
      <c r="F1883" s="33" t="s">
        <v>11971</v>
      </c>
      <c r="G1883" s="33" t="s">
        <v>9</v>
      </c>
      <c r="H1883" s="33" t="n">
        <v>40</v>
      </c>
    </row>
    <row r="1884" customFormat="false" ht="54" hidden="false" customHeight="true" outlineLevel="0" collapsed="false">
      <c r="A1884" s="32" t="s">
        <v>11972</v>
      </c>
      <c r="B1884" s="32" t="s">
        <v>5158</v>
      </c>
      <c r="C1884" s="33" t="s">
        <v>5159</v>
      </c>
      <c r="D1884" s="33" t="s">
        <v>53</v>
      </c>
      <c r="E1884" s="33" t="s">
        <v>80</v>
      </c>
      <c r="F1884" s="33" t="s">
        <v>11973</v>
      </c>
      <c r="G1884" s="33" t="s">
        <v>9</v>
      </c>
      <c r="H1884" s="33" t="n">
        <v>40</v>
      </c>
    </row>
    <row r="1885" customFormat="false" ht="54" hidden="false" customHeight="true" outlineLevel="0" collapsed="false">
      <c r="A1885" s="32" t="s">
        <v>11974</v>
      </c>
      <c r="B1885" s="32" t="s">
        <v>5158</v>
      </c>
      <c r="C1885" s="33" t="s">
        <v>5159</v>
      </c>
      <c r="D1885" s="33" t="s">
        <v>53</v>
      </c>
      <c r="E1885" s="33" t="s">
        <v>80</v>
      </c>
      <c r="F1885" s="33" t="s">
        <v>5170</v>
      </c>
      <c r="G1885" s="33" t="s">
        <v>9</v>
      </c>
      <c r="H1885" s="33" t="n">
        <v>40</v>
      </c>
    </row>
    <row r="1886" customFormat="false" ht="54" hidden="false" customHeight="true" outlineLevel="0" collapsed="false">
      <c r="A1886" s="32" t="s">
        <v>11975</v>
      </c>
      <c r="B1886" s="32" t="s">
        <v>5158</v>
      </c>
      <c r="C1886" s="33" t="s">
        <v>5159</v>
      </c>
      <c r="D1886" s="33" t="s">
        <v>53</v>
      </c>
      <c r="E1886" s="33" t="s">
        <v>80</v>
      </c>
      <c r="F1886" s="33" t="s">
        <v>11976</v>
      </c>
      <c r="G1886" s="33" t="s">
        <v>9</v>
      </c>
      <c r="H1886" s="33" t="n">
        <v>40</v>
      </c>
    </row>
    <row r="1887" customFormat="false" ht="54" hidden="false" customHeight="true" outlineLevel="0" collapsed="false">
      <c r="A1887" s="32" t="s">
        <v>11977</v>
      </c>
      <c r="B1887" s="32" t="s">
        <v>5158</v>
      </c>
      <c r="C1887" s="33" t="s">
        <v>5159</v>
      </c>
      <c r="D1887" s="33" t="s">
        <v>53</v>
      </c>
      <c r="E1887" s="33" t="s">
        <v>81</v>
      </c>
      <c r="F1887" s="33" t="s">
        <v>11969</v>
      </c>
      <c r="G1887" s="33" t="s">
        <v>9</v>
      </c>
      <c r="H1887" s="33" t="n">
        <v>40</v>
      </c>
    </row>
    <row r="1888" customFormat="false" ht="54" hidden="false" customHeight="true" outlineLevel="0" collapsed="false">
      <c r="A1888" s="32" t="s">
        <v>11978</v>
      </c>
      <c r="B1888" s="32" t="s">
        <v>5158</v>
      </c>
      <c r="C1888" s="33" t="s">
        <v>5159</v>
      </c>
      <c r="D1888" s="33" t="s">
        <v>53</v>
      </c>
      <c r="E1888" s="33" t="s">
        <v>81</v>
      </c>
      <c r="F1888" s="33" t="s">
        <v>11971</v>
      </c>
      <c r="G1888" s="33" t="s">
        <v>9</v>
      </c>
      <c r="H1888" s="33" t="n">
        <v>40</v>
      </c>
    </row>
    <row r="1889" customFormat="false" ht="54" hidden="false" customHeight="true" outlineLevel="0" collapsed="false">
      <c r="A1889" s="32" t="s">
        <v>11979</v>
      </c>
      <c r="B1889" s="32" t="s">
        <v>5158</v>
      </c>
      <c r="C1889" s="33" t="s">
        <v>5159</v>
      </c>
      <c r="D1889" s="33" t="s">
        <v>53</v>
      </c>
      <c r="E1889" s="33" t="s">
        <v>81</v>
      </c>
      <c r="F1889" s="33" t="s">
        <v>11973</v>
      </c>
      <c r="G1889" s="33" t="s">
        <v>9</v>
      </c>
      <c r="H1889" s="33" t="n">
        <v>40</v>
      </c>
    </row>
    <row r="1890" customFormat="false" ht="54" hidden="false" customHeight="true" outlineLevel="0" collapsed="false">
      <c r="A1890" s="32" t="s">
        <v>11980</v>
      </c>
      <c r="B1890" s="32" t="s">
        <v>5158</v>
      </c>
      <c r="C1890" s="33" t="s">
        <v>5159</v>
      </c>
      <c r="D1890" s="33" t="s">
        <v>53</v>
      </c>
      <c r="E1890" s="33" t="s">
        <v>81</v>
      </c>
      <c r="F1890" s="33" t="s">
        <v>11981</v>
      </c>
      <c r="G1890" s="33" t="s">
        <v>9</v>
      </c>
      <c r="H1890" s="33" t="n">
        <v>40</v>
      </c>
    </row>
    <row r="1891" customFormat="false" ht="54" hidden="false" customHeight="true" outlineLevel="0" collapsed="false">
      <c r="A1891" s="32" t="s">
        <v>11982</v>
      </c>
      <c r="B1891" s="32" t="s">
        <v>5158</v>
      </c>
      <c r="C1891" s="33" t="s">
        <v>5159</v>
      </c>
      <c r="D1891" s="33" t="s">
        <v>53</v>
      </c>
      <c r="E1891" s="33" t="s">
        <v>81</v>
      </c>
      <c r="F1891" s="33" t="s">
        <v>5170</v>
      </c>
      <c r="G1891" s="33" t="s">
        <v>9</v>
      </c>
      <c r="H1891" s="33" t="n">
        <v>40</v>
      </c>
    </row>
    <row r="1892" customFormat="false" ht="54" hidden="false" customHeight="true" outlineLevel="0" collapsed="false">
      <c r="A1892" s="32" t="s">
        <v>11983</v>
      </c>
      <c r="B1892" s="32" t="s">
        <v>5158</v>
      </c>
      <c r="C1892" s="33" t="s">
        <v>5159</v>
      </c>
      <c r="D1892" s="33" t="s">
        <v>53</v>
      </c>
      <c r="E1892" s="33" t="s">
        <v>82</v>
      </c>
      <c r="F1892" s="33" t="s">
        <v>11984</v>
      </c>
      <c r="G1892" s="33" t="s">
        <v>9</v>
      </c>
      <c r="H1892" s="33" t="n">
        <v>40</v>
      </c>
    </row>
    <row r="1893" customFormat="false" ht="54" hidden="false" customHeight="true" outlineLevel="0" collapsed="false">
      <c r="A1893" s="32" t="s">
        <v>11985</v>
      </c>
      <c r="B1893" s="32" t="s">
        <v>5158</v>
      </c>
      <c r="C1893" s="33" t="s">
        <v>5159</v>
      </c>
      <c r="D1893" s="33" t="s">
        <v>53</v>
      </c>
      <c r="E1893" s="33" t="s">
        <v>82</v>
      </c>
      <c r="F1893" s="33" t="s">
        <v>11986</v>
      </c>
      <c r="G1893" s="33" t="s">
        <v>9</v>
      </c>
      <c r="H1893" s="33" t="n">
        <v>40</v>
      </c>
    </row>
    <row r="1894" customFormat="false" ht="54" hidden="false" customHeight="true" outlineLevel="0" collapsed="false">
      <c r="A1894" s="32" t="s">
        <v>11987</v>
      </c>
      <c r="B1894" s="32" t="s">
        <v>5158</v>
      </c>
      <c r="C1894" s="33" t="s">
        <v>5159</v>
      </c>
      <c r="D1894" s="33" t="s">
        <v>53</v>
      </c>
      <c r="E1894" s="33" t="s">
        <v>82</v>
      </c>
      <c r="F1894" s="33" t="s">
        <v>11981</v>
      </c>
      <c r="G1894" s="33" t="s">
        <v>9</v>
      </c>
      <c r="H1894" s="33" t="n">
        <v>40</v>
      </c>
    </row>
    <row r="1895" customFormat="false" ht="54" hidden="false" customHeight="true" outlineLevel="0" collapsed="false">
      <c r="A1895" s="32" t="s">
        <v>11988</v>
      </c>
      <c r="B1895" s="32" t="s">
        <v>5158</v>
      </c>
      <c r="C1895" s="33" t="s">
        <v>5159</v>
      </c>
      <c r="D1895" s="33" t="s">
        <v>53</v>
      </c>
      <c r="E1895" s="33" t="s">
        <v>82</v>
      </c>
      <c r="F1895" s="33" t="s">
        <v>5170</v>
      </c>
      <c r="G1895" s="33" t="s">
        <v>9</v>
      </c>
      <c r="H1895" s="33" t="n">
        <v>40</v>
      </c>
    </row>
    <row r="1896" customFormat="false" ht="54" hidden="false" customHeight="true" outlineLevel="0" collapsed="false">
      <c r="A1896" s="32" t="s">
        <v>11989</v>
      </c>
      <c r="B1896" s="32" t="s">
        <v>5158</v>
      </c>
      <c r="C1896" s="33" t="s">
        <v>5159</v>
      </c>
      <c r="D1896" s="33" t="s">
        <v>53</v>
      </c>
      <c r="E1896" s="33" t="s">
        <v>82</v>
      </c>
      <c r="F1896" s="33" t="s">
        <v>11976</v>
      </c>
      <c r="G1896" s="33" t="s">
        <v>9</v>
      </c>
      <c r="H1896" s="33" t="n">
        <v>40</v>
      </c>
    </row>
    <row r="1897" customFormat="false" ht="54" hidden="false" customHeight="true" outlineLevel="0" collapsed="false">
      <c r="A1897" s="32" t="s">
        <v>11990</v>
      </c>
      <c r="B1897" s="32" t="s">
        <v>5158</v>
      </c>
      <c r="C1897" s="33" t="s">
        <v>5159</v>
      </c>
      <c r="D1897" s="33" t="s">
        <v>53</v>
      </c>
      <c r="E1897" s="33" t="s">
        <v>84</v>
      </c>
      <c r="F1897" s="33" t="s">
        <v>5170</v>
      </c>
      <c r="G1897" s="33" t="s">
        <v>9</v>
      </c>
      <c r="H1897" s="33" t="n">
        <v>40</v>
      </c>
    </row>
    <row r="1898" customFormat="false" ht="54" hidden="false" customHeight="true" outlineLevel="0" collapsed="false">
      <c r="A1898" s="32" t="s">
        <v>11991</v>
      </c>
      <c r="B1898" s="32" t="s">
        <v>5158</v>
      </c>
      <c r="C1898" s="33" t="s">
        <v>5159</v>
      </c>
      <c r="D1898" s="33" t="s">
        <v>53</v>
      </c>
      <c r="E1898" s="33" t="s">
        <v>85</v>
      </c>
      <c r="F1898" s="33" t="s">
        <v>11986</v>
      </c>
      <c r="G1898" s="33" t="s">
        <v>9</v>
      </c>
      <c r="H1898" s="33" t="n">
        <v>40</v>
      </c>
    </row>
    <row r="1899" customFormat="false" ht="54" hidden="false" customHeight="true" outlineLevel="0" collapsed="false">
      <c r="A1899" s="32" t="s">
        <v>11992</v>
      </c>
      <c r="B1899" s="32" t="s">
        <v>5158</v>
      </c>
      <c r="C1899" s="33" t="s">
        <v>5159</v>
      </c>
      <c r="D1899" s="33" t="s">
        <v>53</v>
      </c>
      <c r="E1899" s="33" t="s">
        <v>85</v>
      </c>
      <c r="F1899" s="33" t="s">
        <v>5170</v>
      </c>
      <c r="G1899" s="33" t="s">
        <v>9</v>
      </c>
      <c r="H1899" s="33" t="n">
        <v>40</v>
      </c>
    </row>
    <row r="1900" customFormat="false" ht="54" hidden="false" customHeight="true" outlineLevel="0" collapsed="false">
      <c r="A1900" s="32" t="s">
        <v>11993</v>
      </c>
      <c r="B1900" s="32" t="s">
        <v>5158</v>
      </c>
      <c r="C1900" s="33" t="s">
        <v>5159</v>
      </c>
      <c r="D1900" s="33" t="s">
        <v>53</v>
      </c>
      <c r="E1900" s="33" t="s">
        <v>85</v>
      </c>
      <c r="F1900" s="33" t="s">
        <v>11976</v>
      </c>
      <c r="G1900" s="33" t="s">
        <v>9</v>
      </c>
      <c r="H1900" s="33" t="n">
        <v>40</v>
      </c>
    </row>
    <row r="1901" customFormat="false" ht="54" hidden="false" customHeight="true" outlineLevel="0" collapsed="false">
      <c r="A1901" s="32" t="s">
        <v>11994</v>
      </c>
      <c r="B1901" s="32" t="s">
        <v>5158</v>
      </c>
      <c r="C1901" s="33" t="s">
        <v>5159</v>
      </c>
      <c r="D1901" s="33" t="s">
        <v>53</v>
      </c>
      <c r="E1901" s="33" t="s">
        <v>86</v>
      </c>
      <c r="F1901" s="33" t="s">
        <v>11984</v>
      </c>
      <c r="G1901" s="33" t="s">
        <v>9</v>
      </c>
      <c r="H1901" s="33" t="n">
        <v>40</v>
      </c>
    </row>
    <row r="1902" customFormat="false" ht="54" hidden="false" customHeight="true" outlineLevel="0" collapsed="false">
      <c r="A1902" s="32" t="s">
        <v>11995</v>
      </c>
      <c r="B1902" s="32" t="s">
        <v>5158</v>
      </c>
      <c r="C1902" s="33" t="s">
        <v>5159</v>
      </c>
      <c r="D1902" s="33" t="s">
        <v>53</v>
      </c>
      <c r="E1902" s="33" t="s">
        <v>86</v>
      </c>
      <c r="F1902" s="33" t="s">
        <v>11986</v>
      </c>
      <c r="G1902" s="33" t="s">
        <v>9</v>
      </c>
      <c r="H1902" s="33" t="n">
        <v>40</v>
      </c>
    </row>
    <row r="1903" customFormat="false" ht="54" hidden="false" customHeight="true" outlineLevel="0" collapsed="false">
      <c r="A1903" s="32" t="s">
        <v>11996</v>
      </c>
      <c r="B1903" s="32" t="s">
        <v>5158</v>
      </c>
      <c r="C1903" s="33" t="s">
        <v>5159</v>
      </c>
      <c r="D1903" s="33" t="s">
        <v>53</v>
      </c>
      <c r="E1903" s="33" t="s">
        <v>86</v>
      </c>
      <c r="F1903" s="33" t="s">
        <v>5170</v>
      </c>
      <c r="G1903" s="33" t="s">
        <v>9</v>
      </c>
      <c r="H1903" s="33" t="n">
        <v>40</v>
      </c>
    </row>
    <row r="1904" customFormat="false" ht="54" hidden="false" customHeight="true" outlineLevel="0" collapsed="false">
      <c r="A1904" s="32" t="s">
        <v>11997</v>
      </c>
      <c r="B1904" s="32" t="s">
        <v>5158</v>
      </c>
      <c r="C1904" s="33" t="s">
        <v>5159</v>
      </c>
      <c r="D1904" s="33" t="s">
        <v>53</v>
      </c>
      <c r="E1904" s="33" t="s">
        <v>86</v>
      </c>
      <c r="F1904" s="33" t="s">
        <v>11976</v>
      </c>
      <c r="G1904" s="33" t="s">
        <v>9</v>
      </c>
      <c r="H1904" s="33" t="n">
        <v>40</v>
      </c>
    </row>
    <row r="1905" customFormat="false" ht="54" hidden="false" customHeight="true" outlineLevel="0" collapsed="false">
      <c r="A1905" s="32" t="s">
        <v>11998</v>
      </c>
      <c r="B1905" s="32" t="s">
        <v>5175</v>
      </c>
      <c r="C1905" s="33" t="s">
        <v>1396</v>
      </c>
      <c r="D1905" s="33" t="s">
        <v>55</v>
      </c>
      <c r="E1905" s="33" t="s">
        <v>83</v>
      </c>
      <c r="F1905" s="33" t="s">
        <v>5184</v>
      </c>
      <c r="G1905" s="33" t="s">
        <v>9</v>
      </c>
      <c r="H1905" s="33" t="n">
        <v>40</v>
      </c>
    </row>
    <row r="1906" customFormat="false" ht="54" hidden="false" customHeight="true" outlineLevel="0" collapsed="false">
      <c r="A1906" s="32" t="s">
        <v>11999</v>
      </c>
      <c r="B1906" s="32" t="s">
        <v>5175</v>
      </c>
      <c r="C1906" s="33" t="s">
        <v>1396</v>
      </c>
      <c r="D1906" s="33" t="s">
        <v>55</v>
      </c>
      <c r="E1906" s="33" t="s">
        <v>83</v>
      </c>
      <c r="F1906" s="33" t="s">
        <v>12000</v>
      </c>
      <c r="G1906" s="33" t="s">
        <v>9</v>
      </c>
      <c r="H1906" s="33" t="n">
        <v>40</v>
      </c>
    </row>
    <row r="1907" customFormat="false" ht="54" hidden="false" customHeight="true" outlineLevel="0" collapsed="false">
      <c r="A1907" s="32" t="s">
        <v>12001</v>
      </c>
      <c r="B1907" s="32" t="s">
        <v>5175</v>
      </c>
      <c r="C1907" s="33" t="s">
        <v>1396</v>
      </c>
      <c r="D1907" s="33" t="s">
        <v>55</v>
      </c>
      <c r="E1907" s="33" t="s">
        <v>84</v>
      </c>
      <c r="F1907" s="33" t="s">
        <v>5184</v>
      </c>
      <c r="G1907" s="33" t="s">
        <v>9</v>
      </c>
      <c r="H1907" s="33" t="n">
        <v>40</v>
      </c>
    </row>
    <row r="1908" customFormat="false" ht="54" hidden="false" customHeight="true" outlineLevel="0" collapsed="false">
      <c r="A1908" s="32" t="s">
        <v>12002</v>
      </c>
      <c r="B1908" s="32" t="s">
        <v>5187</v>
      </c>
      <c r="C1908" s="33" t="s">
        <v>1396</v>
      </c>
      <c r="D1908" s="33" t="s">
        <v>55</v>
      </c>
      <c r="E1908" s="33" t="s">
        <v>81</v>
      </c>
      <c r="F1908" s="33" t="s">
        <v>12003</v>
      </c>
      <c r="G1908" s="33" t="s">
        <v>9</v>
      </c>
      <c r="H1908" s="33" t="n">
        <v>40</v>
      </c>
    </row>
    <row r="1909" customFormat="false" ht="54" hidden="false" customHeight="true" outlineLevel="0" collapsed="false">
      <c r="A1909" s="32" t="s">
        <v>12004</v>
      </c>
      <c r="B1909" s="32" t="s">
        <v>5187</v>
      </c>
      <c r="C1909" s="33" t="s">
        <v>1396</v>
      </c>
      <c r="D1909" s="33" t="s">
        <v>55</v>
      </c>
      <c r="E1909" s="33" t="s">
        <v>81</v>
      </c>
      <c r="F1909" s="33" t="s">
        <v>12005</v>
      </c>
      <c r="G1909" s="33" t="s">
        <v>9</v>
      </c>
      <c r="H1909" s="33" t="n">
        <v>40</v>
      </c>
    </row>
    <row r="1910" customFormat="false" ht="54" hidden="false" customHeight="true" outlineLevel="0" collapsed="false">
      <c r="A1910" s="32" t="s">
        <v>12006</v>
      </c>
      <c r="B1910" s="32" t="s">
        <v>5187</v>
      </c>
      <c r="C1910" s="33" t="s">
        <v>1396</v>
      </c>
      <c r="D1910" s="33" t="s">
        <v>55</v>
      </c>
      <c r="E1910" s="33" t="s">
        <v>81</v>
      </c>
      <c r="F1910" s="33" t="s">
        <v>12007</v>
      </c>
      <c r="G1910" s="33" t="s">
        <v>9</v>
      </c>
      <c r="H1910" s="33" t="n">
        <v>40</v>
      </c>
    </row>
    <row r="1911" customFormat="false" ht="54" hidden="false" customHeight="true" outlineLevel="0" collapsed="false">
      <c r="A1911" s="32" t="s">
        <v>12008</v>
      </c>
      <c r="B1911" s="32" t="s">
        <v>5187</v>
      </c>
      <c r="C1911" s="33" t="s">
        <v>1396</v>
      </c>
      <c r="D1911" s="33" t="s">
        <v>55</v>
      </c>
      <c r="E1911" s="33" t="s">
        <v>81</v>
      </c>
      <c r="F1911" s="33" t="s">
        <v>5199</v>
      </c>
      <c r="G1911" s="33" t="s">
        <v>9</v>
      </c>
      <c r="H1911" s="33" t="n">
        <v>40</v>
      </c>
    </row>
    <row r="1912" customFormat="false" ht="54" hidden="false" customHeight="true" outlineLevel="0" collapsed="false">
      <c r="A1912" s="32" t="s">
        <v>12009</v>
      </c>
      <c r="B1912" s="32" t="s">
        <v>5187</v>
      </c>
      <c r="C1912" s="33" t="s">
        <v>1396</v>
      </c>
      <c r="D1912" s="33" t="s">
        <v>55</v>
      </c>
      <c r="E1912" s="33" t="s">
        <v>81</v>
      </c>
      <c r="F1912" s="33" t="s">
        <v>12010</v>
      </c>
      <c r="G1912" s="33" t="s">
        <v>9</v>
      </c>
      <c r="H1912" s="33" t="n">
        <v>40</v>
      </c>
    </row>
    <row r="1913" customFormat="false" ht="54" hidden="false" customHeight="true" outlineLevel="0" collapsed="false">
      <c r="A1913" s="32" t="s">
        <v>12011</v>
      </c>
      <c r="B1913" s="32" t="s">
        <v>5187</v>
      </c>
      <c r="C1913" s="33" t="s">
        <v>1396</v>
      </c>
      <c r="D1913" s="33" t="s">
        <v>55</v>
      </c>
      <c r="E1913" s="33" t="s">
        <v>82</v>
      </c>
      <c r="F1913" s="33" t="s">
        <v>12012</v>
      </c>
      <c r="G1913" s="33" t="s">
        <v>9</v>
      </c>
      <c r="H1913" s="33" t="n">
        <v>40</v>
      </c>
    </row>
    <row r="1914" customFormat="false" ht="54" hidden="false" customHeight="true" outlineLevel="0" collapsed="false">
      <c r="A1914" s="32" t="s">
        <v>12013</v>
      </c>
      <c r="B1914" s="32" t="s">
        <v>5187</v>
      </c>
      <c r="C1914" s="33" t="s">
        <v>1396</v>
      </c>
      <c r="D1914" s="33" t="s">
        <v>55</v>
      </c>
      <c r="E1914" s="33" t="s">
        <v>82</v>
      </c>
      <c r="F1914" s="33" t="s">
        <v>12007</v>
      </c>
      <c r="G1914" s="33" t="s">
        <v>9</v>
      </c>
      <c r="H1914" s="33" t="n">
        <v>40</v>
      </c>
    </row>
    <row r="1915" customFormat="false" ht="54" hidden="false" customHeight="true" outlineLevel="0" collapsed="false">
      <c r="A1915" s="32" t="s">
        <v>12014</v>
      </c>
      <c r="B1915" s="32" t="s">
        <v>5187</v>
      </c>
      <c r="C1915" s="33" t="s">
        <v>1396</v>
      </c>
      <c r="D1915" s="33" t="s">
        <v>55</v>
      </c>
      <c r="E1915" s="33" t="s">
        <v>83</v>
      </c>
      <c r="F1915" s="33" t="s">
        <v>12015</v>
      </c>
      <c r="G1915" s="33" t="s">
        <v>9</v>
      </c>
      <c r="H1915" s="33" t="n">
        <v>40</v>
      </c>
    </row>
    <row r="1916" customFormat="false" ht="54" hidden="false" customHeight="true" outlineLevel="0" collapsed="false">
      <c r="A1916" s="32" t="s">
        <v>12016</v>
      </c>
      <c r="B1916" s="32" t="s">
        <v>5187</v>
      </c>
      <c r="C1916" s="33" t="s">
        <v>1396</v>
      </c>
      <c r="D1916" s="33" t="s">
        <v>55</v>
      </c>
      <c r="E1916" s="33" t="s">
        <v>83</v>
      </c>
      <c r="F1916" s="33" t="s">
        <v>12010</v>
      </c>
      <c r="G1916" s="33" t="s">
        <v>9</v>
      </c>
      <c r="H1916" s="33" t="n">
        <v>40</v>
      </c>
    </row>
    <row r="1917" customFormat="false" ht="54" hidden="false" customHeight="true" outlineLevel="0" collapsed="false">
      <c r="A1917" s="32" t="s">
        <v>12017</v>
      </c>
      <c r="B1917" s="32" t="s">
        <v>5187</v>
      </c>
      <c r="C1917" s="33" t="s">
        <v>1396</v>
      </c>
      <c r="D1917" s="33" t="s">
        <v>55</v>
      </c>
      <c r="E1917" s="33" t="s">
        <v>84</v>
      </c>
      <c r="F1917" s="33" t="s">
        <v>5199</v>
      </c>
      <c r="G1917" s="33" t="s">
        <v>9</v>
      </c>
      <c r="H1917" s="33" t="n">
        <v>40</v>
      </c>
    </row>
    <row r="1918" customFormat="false" ht="54" hidden="false" customHeight="true" outlineLevel="0" collapsed="false">
      <c r="A1918" s="32" t="s">
        <v>12018</v>
      </c>
      <c r="B1918" s="32" t="s">
        <v>5187</v>
      </c>
      <c r="C1918" s="33" t="s">
        <v>1396</v>
      </c>
      <c r="D1918" s="33" t="s">
        <v>55</v>
      </c>
      <c r="E1918" s="33" t="s">
        <v>86</v>
      </c>
      <c r="F1918" s="33" t="s">
        <v>12003</v>
      </c>
      <c r="G1918" s="33" t="s">
        <v>9</v>
      </c>
      <c r="H1918" s="33" t="n">
        <v>40</v>
      </c>
    </row>
    <row r="1919" customFormat="false" ht="54" hidden="false" customHeight="true" outlineLevel="0" collapsed="false">
      <c r="A1919" s="32" t="s">
        <v>12019</v>
      </c>
      <c r="B1919" s="32" t="s">
        <v>5187</v>
      </c>
      <c r="C1919" s="33" t="s">
        <v>1396</v>
      </c>
      <c r="D1919" s="33" t="s">
        <v>55</v>
      </c>
      <c r="E1919" s="33" t="s">
        <v>86</v>
      </c>
      <c r="F1919" s="33" t="s">
        <v>5199</v>
      </c>
      <c r="G1919" s="33" t="s">
        <v>9</v>
      </c>
      <c r="H1919" s="33" t="n">
        <v>40</v>
      </c>
    </row>
    <row r="1920" customFormat="false" ht="54" hidden="false" customHeight="true" outlineLevel="0" collapsed="false">
      <c r="A1920" s="32" t="s">
        <v>12020</v>
      </c>
      <c r="B1920" s="32" t="s">
        <v>5187</v>
      </c>
      <c r="C1920" s="33" t="s">
        <v>1396</v>
      </c>
      <c r="D1920" s="33" t="s">
        <v>55</v>
      </c>
      <c r="E1920" s="33" t="s">
        <v>86</v>
      </c>
      <c r="F1920" s="33" t="s">
        <v>12010</v>
      </c>
      <c r="G1920" s="33" t="s">
        <v>9</v>
      </c>
      <c r="H1920" s="33" t="n">
        <v>40</v>
      </c>
    </row>
    <row r="1921" customFormat="false" ht="54" hidden="false" customHeight="true" outlineLevel="0" collapsed="false">
      <c r="A1921" s="32" t="s">
        <v>12021</v>
      </c>
      <c r="B1921" s="32" t="s">
        <v>5203</v>
      </c>
      <c r="C1921" s="33" t="s">
        <v>1396</v>
      </c>
      <c r="D1921" s="33" t="s">
        <v>55</v>
      </c>
      <c r="E1921" s="33" t="s">
        <v>84</v>
      </c>
      <c r="F1921" s="33" t="s">
        <v>10935</v>
      </c>
      <c r="G1921" s="33" t="s">
        <v>9</v>
      </c>
      <c r="H1921" s="33" t="n">
        <v>40</v>
      </c>
    </row>
    <row r="1922" customFormat="false" ht="54" hidden="false" customHeight="true" outlineLevel="0" collapsed="false">
      <c r="A1922" s="32" t="s">
        <v>12022</v>
      </c>
      <c r="B1922" s="32" t="s">
        <v>5203</v>
      </c>
      <c r="C1922" s="33" t="s">
        <v>1396</v>
      </c>
      <c r="D1922" s="33" t="s">
        <v>55</v>
      </c>
      <c r="E1922" s="33" t="s">
        <v>84</v>
      </c>
      <c r="F1922" s="33" t="s">
        <v>12023</v>
      </c>
      <c r="G1922" s="33" t="s">
        <v>9</v>
      </c>
      <c r="H1922" s="33" t="n">
        <v>40</v>
      </c>
    </row>
    <row r="1923" customFormat="false" ht="54" hidden="false" customHeight="true" outlineLevel="0" collapsed="false">
      <c r="A1923" s="32" t="s">
        <v>12024</v>
      </c>
      <c r="B1923" s="32" t="s">
        <v>5203</v>
      </c>
      <c r="C1923" s="33" t="s">
        <v>1396</v>
      </c>
      <c r="D1923" s="33" t="s">
        <v>55</v>
      </c>
      <c r="E1923" s="33" t="s">
        <v>85</v>
      </c>
      <c r="F1923" s="33" t="s">
        <v>12025</v>
      </c>
      <c r="G1923" s="33" t="s">
        <v>9</v>
      </c>
      <c r="H1923" s="33" t="n">
        <v>40</v>
      </c>
    </row>
    <row r="1924" customFormat="false" ht="54" hidden="false" customHeight="true" outlineLevel="0" collapsed="false">
      <c r="A1924" s="32" t="s">
        <v>12026</v>
      </c>
      <c r="B1924" s="32" t="s">
        <v>5203</v>
      </c>
      <c r="C1924" s="33" t="s">
        <v>1396</v>
      </c>
      <c r="D1924" s="33" t="s">
        <v>55</v>
      </c>
      <c r="E1924" s="33" t="s">
        <v>85</v>
      </c>
      <c r="F1924" s="33" t="s">
        <v>12023</v>
      </c>
      <c r="G1924" s="33" t="s">
        <v>9</v>
      </c>
      <c r="H1924" s="33" t="n">
        <v>40</v>
      </c>
    </row>
    <row r="1925" customFormat="false" ht="54" hidden="false" customHeight="true" outlineLevel="0" collapsed="false">
      <c r="A1925" s="32" t="s">
        <v>12027</v>
      </c>
      <c r="B1925" s="32" t="s">
        <v>5203</v>
      </c>
      <c r="C1925" s="33" t="s">
        <v>1396</v>
      </c>
      <c r="D1925" s="33" t="s">
        <v>55</v>
      </c>
      <c r="E1925" s="33" t="s">
        <v>85</v>
      </c>
      <c r="F1925" s="33" t="s">
        <v>12028</v>
      </c>
      <c r="G1925" s="33" t="s">
        <v>9</v>
      </c>
      <c r="H1925" s="33" t="n">
        <v>40</v>
      </c>
    </row>
    <row r="1926" customFormat="false" ht="54" hidden="false" customHeight="true" outlineLevel="0" collapsed="false">
      <c r="A1926" s="32" t="s">
        <v>12029</v>
      </c>
      <c r="B1926" s="32" t="s">
        <v>5217</v>
      </c>
      <c r="C1926" s="33" t="s">
        <v>1396</v>
      </c>
      <c r="D1926" s="33" t="s">
        <v>55</v>
      </c>
      <c r="E1926" s="33" t="s">
        <v>80</v>
      </c>
      <c r="F1926" s="33" t="s">
        <v>12030</v>
      </c>
      <c r="G1926" s="33" t="s">
        <v>9</v>
      </c>
      <c r="H1926" s="33" t="n">
        <v>40</v>
      </c>
    </row>
    <row r="1927" customFormat="false" ht="54" hidden="false" customHeight="true" outlineLevel="0" collapsed="false">
      <c r="A1927" s="32" t="s">
        <v>12031</v>
      </c>
      <c r="B1927" s="32" t="s">
        <v>5217</v>
      </c>
      <c r="C1927" s="33" t="s">
        <v>1396</v>
      </c>
      <c r="D1927" s="33" t="s">
        <v>55</v>
      </c>
      <c r="E1927" s="33" t="s">
        <v>80</v>
      </c>
      <c r="F1927" s="33" t="s">
        <v>12032</v>
      </c>
      <c r="G1927" s="33" t="s">
        <v>9</v>
      </c>
      <c r="H1927" s="33" t="n">
        <v>40</v>
      </c>
    </row>
    <row r="1928" customFormat="false" ht="54" hidden="false" customHeight="true" outlineLevel="0" collapsed="false">
      <c r="A1928" s="32" t="s">
        <v>12033</v>
      </c>
      <c r="B1928" s="32" t="s">
        <v>5217</v>
      </c>
      <c r="C1928" s="33" t="s">
        <v>1396</v>
      </c>
      <c r="D1928" s="33" t="s">
        <v>55</v>
      </c>
      <c r="E1928" s="33" t="s">
        <v>81</v>
      </c>
      <c r="F1928" s="33" t="s">
        <v>5220</v>
      </c>
      <c r="G1928" s="33" t="s">
        <v>9</v>
      </c>
      <c r="H1928" s="33" t="n">
        <v>40</v>
      </c>
    </row>
    <row r="1929" customFormat="false" ht="54" hidden="false" customHeight="true" outlineLevel="0" collapsed="false">
      <c r="A1929" s="32" t="s">
        <v>12034</v>
      </c>
      <c r="B1929" s="32" t="s">
        <v>5217</v>
      </c>
      <c r="C1929" s="33" t="s">
        <v>1396</v>
      </c>
      <c r="D1929" s="33" t="s">
        <v>55</v>
      </c>
      <c r="E1929" s="33" t="s">
        <v>81</v>
      </c>
      <c r="F1929" s="33" t="s">
        <v>12035</v>
      </c>
      <c r="G1929" s="33" t="s">
        <v>9</v>
      </c>
      <c r="H1929" s="33" t="n">
        <v>40</v>
      </c>
    </row>
    <row r="1930" customFormat="false" ht="54" hidden="false" customHeight="true" outlineLevel="0" collapsed="false">
      <c r="A1930" s="32" t="s">
        <v>12036</v>
      </c>
      <c r="B1930" s="32" t="s">
        <v>5217</v>
      </c>
      <c r="C1930" s="33" t="s">
        <v>1396</v>
      </c>
      <c r="D1930" s="33" t="s">
        <v>55</v>
      </c>
      <c r="E1930" s="33" t="s">
        <v>81</v>
      </c>
      <c r="F1930" s="33" t="s">
        <v>12037</v>
      </c>
      <c r="G1930" s="33" t="s">
        <v>9</v>
      </c>
      <c r="H1930" s="33" t="n">
        <v>40</v>
      </c>
    </row>
    <row r="1931" customFormat="false" ht="54" hidden="false" customHeight="true" outlineLevel="0" collapsed="false">
      <c r="A1931" s="32" t="s">
        <v>12038</v>
      </c>
      <c r="B1931" s="32" t="s">
        <v>5217</v>
      </c>
      <c r="C1931" s="33" t="s">
        <v>1396</v>
      </c>
      <c r="D1931" s="33" t="s">
        <v>55</v>
      </c>
      <c r="E1931" s="33" t="s">
        <v>81</v>
      </c>
      <c r="F1931" s="33" t="s">
        <v>12039</v>
      </c>
      <c r="G1931" s="33" t="s">
        <v>9</v>
      </c>
      <c r="H1931" s="33" t="n">
        <v>40</v>
      </c>
    </row>
    <row r="1932" customFormat="false" ht="54" hidden="false" customHeight="true" outlineLevel="0" collapsed="false">
      <c r="A1932" s="32" t="s">
        <v>12040</v>
      </c>
      <c r="B1932" s="32" t="s">
        <v>5217</v>
      </c>
      <c r="C1932" s="33" t="s">
        <v>1396</v>
      </c>
      <c r="D1932" s="33" t="s">
        <v>55</v>
      </c>
      <c r="E1932" s="33" t="s">
        <v>81</v>
      </c>
      <c r="F1932" s="33" t="s">
        <v>12041</v>
      </c>
      <c r="G1932" s="33" t="s">
        <v>9</v>
      </c>
      <c r="H1932" s="33" t="n">
        <v>40</v>
      </c>
    </row>
    <row r="1933" customFormat="false" ht="54" hidden="false" customHeight="true" outlineLevel="0" collapsed="false">
      <c r="A1933" s="32" t="s">
        <v>12042</v>
      </c>
      <c r="B1933" s="32" t="s">
        <v>5217</v>
      </c>
      <c r="C1933" s="33" t="s">
        <v>1396</v>
      </c>
      <c r="D1933" s="33" t="s">
        <v>55</v>
      </c>
      <c r="E1933" s="33" t="s">
        <v>83</v>
      </c>
      <c r="F1933" s="33" t="s">
        <v>5227</v>
      </c>
      <c r="G1933" s="33" t="s">
        <v>9</v>
      </c>
      <c r="H1933" s="33" t="n">
        <v>40</v>
      </c>
    </row>
    <row r="1934" customFormat="false" ht="54" hidden="false" customHeight="true" outlineLevel="0" collapsed="false">
      <c r="A1934" s="32" t="s">
        <v>12043</v>
      </c>
      <c r="B1934" s="32" t="s">
        <v>5217</v>
      </c>
      <c r="C1934" s="33" t="s">
        <v>1396</v>
      </c>
      <c r="D1934" s="33" t="s">
        <v>55</v>
      </c>
      <c r="E1934" s="33" t="s">
        <v>84</v>
      </c>
      <c r="F1934" s="33" t="s">
        <v>10935</v>
      </c>
      <c r="G1934" s="33" t="s">
        <v>9</v>
      </c>
      <c r="H1934" s="33" t="n">
        <v>40</v>
      </c>
    </row>
    <row r="1935" customFormat="false" ht="54" hidden="false" customHeight="true" outlineLevel="0" collapsed="false">
      <c r="A1935" s="32" t="s">
        <v>12044</v>
      </c>
      <c r="B1935" s="32" t="s">
        <v>5217</v>
      </c>
      <c r="C1935" s="33" t="s">
        <v>1396</v>
      </c>
      <c r="D1935" s="33" t="s">
        <v>55</v>
      </c>
      <c r="E1935" s="33" t="s">
        <v>84</v>
      </c>
      <c r="F1935" s="33" t="s">
        <v>12030</v>
      </c>
      <c r="G1935" s="33" t="s">
        <v>9</v>
      </c>
      <c r="H1935" s="33" t="n">
        <v>40</v>
      </c>
    </row>
    <row r="1936" customFormat="false" ht="54" hidden="false" customHeight="true" outlineLevel="0" collapsed="false">
      <c r="A1936" s="32" t="s">
        <v>12045</v>
      </c>
      <c r="B1936" s="32" t="s">
        <v>5217</v>
      </c>
      <c r="C1936" s="33" t="s">
        <v>1396</v>
      </c>
      <c r="D1936" s="33" t="s">
        <v>55</v>
      </c>
      <c r="E1936" s="33" t="s">
        <v>84</v>
      </c>
      <c r="F1936" s="33" t="s">
        <v>12032</v>
      </c>
      <c r="G1936" s="33" t="s">
        <v>9</v>
      </c>
      <c r="H1936" s="33" t="n">
        <v>40</v>
      </c>
    </row>
    <row r="1937" customFormat="false" ht="54" hidden="false" customHeight="true" outlineLevel="0" collapsed="false">
      <c r="A1937" s="32" t="s">
        <v>12046</v>
      </c>
      <c r="B1937" s="32" t="s">
        <v>5217</v>
      </c>
      <c r="C1937" s="33" t="s">
        <v>1396</v>
      </c>
      <c r="D1937" s="33" t="s">
        <v>55</v>
      </c>
      <c r="E1937" s="33" t="s">
        <v>85</v>
      </c>
      <c r="F1937" s="33" t="s">
        <v>12035</v>
      </c>
      <c r="G1937" s="33" t="s">
        <v>9</v>
      </c>
      <c r="H1937" s="33" t="n">
        <v>40</v>
      </c>
    </row>
    <row r="1938" customFormat="false" ht="54" hidden="false" customHeight="true" outlineLevel="0" collapsed="false">
      <c r="A1938" s="32" t="s">
        <v>12047</v>
      </c>
      <c r="B1938" s="32" t="s">
        <v>5217</v>
      </c>
      <c r="C1938" s="33" t="s">
        <v>1396</v>
      </c>
      <c r="D1938" s="33" t="s">
        <v>55</v>
      </c>
      <c r="E1938" s="33" t="s">
        <v>85</v>
      </c>
      <c r="F1938" s="33" t="s">
        <v>12039</v>
      </c>
      <c r="G1938" s="33" t="s">
        <v>9</v>
      </c>
      <c r="H1938" s="33" t="n">
        <v>40</v>
      </c>
    </row>
    <row r="1939" customFormat="false" ht="54" hidden="false" customHeight="true" outlineLevel="0" collapsed="false">
      <c r="A1939" s="32" t="s">
        <v>12048</v>
      </c>
      <c r="B1939" s="32" t="s">
        <v>5232</v>
      </c>
      <c r="C1939" s="33" t="s">
        <v>1396</v>
      </c>
      <c r="D1939" s="33" t="s">
        <v>55</v>
      </c>
      <c r="E1939" s="33" t="s">
        <v>81</v>
      </c>
      <c r="F1939" s="33" t="s">
        <v>5235</v>
      </c>
      <c r="G1939" s="33" t="s">
        <v>9</v>
      </c>
      <c r="H1939" s="33" t="n">
        <v>40</v>
      </c>
    </row>
    <row r="1940" customFormat="false" ht="54" hidden="false" customHeight="true" outlineLevel="0" collapsed="false">
      <c r="A1940" s="32" t="s">
        <v>12049</v>
      </c>
      <c r="B1940" s="32" t="s">
        <v>5232</v>
      </c>
      <c r="C1940" s="33" t="s">
        <v>1396</v>
      </c>
      <c r="D1940" s="33" t="s">
        <v>55</v>
      </c>
      <c r="E1940" s="33" t="s">
        <v>81</v>
      </c>
      <c r="F1940" s="33" t="s">
        <v>12050</v>
      </c>
      <c r="G1940" s="33" t="s">
        <v>9</v>
      </c>
      <c r="H1940" s="33" t="n">
        <v>40</v>
      </c>
    </row>
    <row r="1941" customFormat="false" ht="54" hidden="false" customHeight="true" outlineLevel="0" collapsed="false">
      <c r="A1941" s="32" t="s">
        <v>12051</v>
      </c>
      <c r="B1941" s="32" t="s">
        <v>5232</v>
      </c>
      <c r="C1941" s="33" t="s">
        <v>1396</v>
      </c>
      <c r="D1941" s="33" t="s">
        <v>55</v>
      </c>
      <c r="E1941" s="33" t="s">
        <v>81</v>
      </c>
      <c r="F1941" s="33" t="s">
        <v>12052</v>
      </c>
      <c r="G1941" s="33" t="s">
        <v>9</v>
      </c>
      <c r="H1941" s="33" t="n">
        <v>40</v>
      </c>
    </row>
    <row r="1942" customFormat="false" ht="54" hidden="false" customHeight="true" outlineLevel="0" collapsed="false">
      <c r="A1942" s="32" t="s">
        <v>12053</v>
      </c>
      <c r="B1942" s="32" t="s">
        <v>5232</v>
      </c>
      <c r="C1942" s="33" t="s">
        <v>1396</v>
      </c>
      <c r="D1942" s="33" t="s">
        <v>55</v>
      </c>
      <c r="E1942" s="33" t="s">
        <v>81</v>
      </c>
      <c r="F1942" s="33" t="s">
        <v>12054</v>
      </c>
      <c r="G1942" s="33" t="s">
        <v>9</v>
      </c>
      <c r="H1942" s="33" t="n">
        <v>40</v>
      </c>
    </row>
    <row r="1943" customFormat="false" ht="54" hidden="false" customHeight="true" outlineLevel="0" collapsed="false">
      <c r="A1943" s="32" t="s">
        <v>12055</v>
      </c>
      <c r="B1943" s="32" t="s">
        <v>5232</v>
      </c>
      <c r="C1943" s="33" t="s">
        <v>1396</v>
      </c>
      <c r="D1943" s="33" t="s">
        <v>55</v>
      </c>
      <c r="E1943" s="33" t="s">
        <v>81</v>
      </c>
      <c r="F1943" s="33" t="s">
        <v>12056</v>
      </c>
      <c r="G1943" s="33" t="s">
        <v>9</v>
      </c>
      <c r="H1943" s="33" t="n">
        <v>40</v>
      </c>
    </row>
    <row r="1944" customFormat="false" ht="54" hidden="false" customHeight="true" outlineLevel="0" collapsed="false">
      <c r="A1944" s="32" t="s">
        <v>12057</v>
      </c>
      <c r="B1944" s="32" t="s">
        <v>5232</v>
      </c>
      <c r="C1944" s="33" t="s">
        <v>1396</v>
      </c>
      <c r="D1944" s="33" t="s">
        <v>55</v>
      </c>
      <c r="E1944" s="33" t="s">
        <v>84</v>
      </c>
      <c r="F1944" s="33" t="s">
        <v>12058</v>
      </c>
      <c r="G1944" s="33" t="s">
        <v>9</v>
      </c>
      <c r="H1944" s="33" t="n">
        <v>40</v>
      </c>
    </row>
    <row r="1945" customFormat="false" ht="54" hidden="false" customHeight="true" outlineLevel="0" collapsed="false">
      <c r="A1945" s="32" t="s">
        <v>12059</v>
      </c>
      <c r="B1945" s="32" t="s">
        <v>5232</v>
      </c>
      <c r="C1945" s="33" t="s">
        <v>1396</v>
      </c>
      <c r="D1945" s="33" t="s">
        <v>55</v>
      </c>
      <c r="E1945" s="33" t="s">
        <v>84</v>
      </c>
      <c r="F1945" s="33" t="s">
        <v>12052</v>
      </c>
      <c r="G1945" s="33" t="s">
        <v>9</v>
      </c>
      <c r="H1945" s="33" t="n">
        <v>40</v>
      </c>
    </row>
    <row r="1946" customFormat="false" ht="54" hidden="false" customHeight="true" outlineLevel="0" collapsed="false">
      <c r="A1946" s="32" t="s">
        <v>12060</v>
      </c>
      <c r="B1946" s="32" t="s">
        <v>5245</v>
      </c>
      <c r="C1946" s="33" t="s">
        <v>1396</v>
      </c>
      <c r="D1946" s="33" t="s">
        <v>55</v>
      </c>
      <c r="E1946" s="33" t="s">
        <v>80</v>
      </c>
      <c r="F1946" s="33" t="s">
        <v>5253</v>
      </c>
      <c r="G1946" s="33" t="s">
        <v>9</v>
      </c>
      <c r="H1946" s="33" t="n">
        <v>40</v>
      </c>
    </row>
    <row r="1947" customFormat="false" ht="54" hidden="false" customHeight="true" outlineLevel="0" collapsed="false">
      <c r="A1947" s="32" t="s">
        <v>12061</v>
      </c>
      <c r="B1947" s="32" t="s">
        <v>5245</v>
      </c>
      <c r="C1947" s="33" t="s">
        <v>1396</v>
      </c>
      <c r="D1947" s="33" t="s">
        <v>55</v>
      </c>
      <c r="E1947" s="33" t="s">
        <v>81</v>
      </c>
      <c r="F1947" s="33" t="s">
        <v>5254</v>
      </c>
      <c r="G1947" s="33" t="s">
        <v>9</v>
      </c>
      <c r="H1947" s="33" t="n">
        <v>40</v>
      </c>
    </row>
    <row r="1948" customFormat="false" ht="54" hidden="false" customHeight="true" outlineLevel="0" collapsed="false">
      <c r="A1948" s="32" t="s">
        <v>12062</v>
      </c>
      <c r="B1948" s="32" t="s">
        <v>5245</v>
      </c>
      <c r="C1948" s="33" t="s">
        <v>1396</v>
      </c>
      <c r="D1948" s="33" t="s">
        <v>55</v>
      </c>
      <c r="E1948" s="33" t="s">
        <v>84</v>
      </c>
      <c r="F1948" s="33" t="s">
        <v>5253</v>
      </c>
      <c r="G1948" s="33" t="s">
        <v>9</v>
      </c>
      <c r="H1948" s="33" t="n">
        <v>40</v>
      </c>
    </row>
    <row r="1949" customFormat="false" ht="54" hidden="false" customHeight="true" outlineLevel="0" collapsed="false">
      <c r="A1949" s="32" t="s">
        <v>12063</v>
      </c>
      <c r="B1949" s="32" t="s">
        <v>5257</v>
      </c>
      <c r="C1949" s="33" t="s">
        <v>1396</v>
      </c>
      <c r="D1949" s="33" t="s">
        <v>55</v>
      </c>
      <c r="E1949" s="33" t="s">
        <v>80</v>
      </c>
      <c r="F1949" s="33" t="s">
        <v>12064</v>
      </c>
      <c r="G1949" s="33" t="s">
        <v>9</v>
      </c>
      <c r="H1949" s="33" t="n">
        <v>40</v>
      </c>
    </row>
    <row r="1950" customFormat="false" ht="54" hidden="false" customHeight="true" outlineLevel="0" collapsed="false">
      <c r="A1950" s="32" t="s">
        <v>12065</v>
      </c>
      <c r="B1950" s="32" t="s">
        <v>5257</v>
      </c>
      <c r="C1950" s="33" t="s">
        <v>1396</v>
      </c>
      <c r="D1950" s="33" t="s">
        <v>55</v>
      </c>
      <c r="E1950" s="33" t="s">
        <v>80</v>
      </c>
      <c r="F1950" s="33" t="s">
        <v>10500</v>
      </c>
      <c r="G1950" s="33" t="s">
        <v>9</v>
      </c>
      <c r="H1950" s="33" t="n">
        <v>40</v>
      </c>
    </row>
    <row r="1951" customFormat="false" ht="54" hidden="false" customHeight="true" outlineLevel="0" collapsed="false">
      <c r="A1951" s="32" t="s">
        <v>12066</v>
      </c>
      <c r="B1951" s="32" t="s">
        <v>5257</v>
      </c>
      <c r="C1951" s="33" t="s">
        <v>1396</v>
      </c>
      <c r="D1951" s="33" t="s">
        <v>55</v>
      </c>
      <c r="E1951" s="33" t="s">
        <v>80</v>
      </c>
      <c r="F1951" s="33" t="s">
        <v>12067</v>
      </c>
      <c r="G1951" s="33" t="s">
        <v>9</v>
      </c>
      <c r="H1951" s="33" t="n">
        <v>40</v>
      </c>
    </row>
    <row r="1952" customFormat="false" ht="54" hidden="false" customHeight="true" outlineLevel="0" collapsed="false">
      <c r="A1952" s="32" t="s">
        <v>12068</v>
      </c>
      <c r="B1952" s="32" t="s">
        <v>5257</v>
      </c>
      <c r="C1952" s="33" t="s">
        <v>1396</v>
      </c>
      <c r="D1952" s="33" t="s">
        <v>55</v>
      </c>
      <c r="E1952" s="33" t="s">
        <v>80</v>
      </c>
      <c r="F1952" s="33" t="s">
        <v>12069</v>
      </c>
      <c r="G1952" s="33" t="s">
        <v>9</v>
      </c>
      <c r="H1952" s="33" t="n">
        <v>40</v>
      </c>
    </row>
    <row r="1953" customFormat="false" ht="54" hidden="false" customHeight="true" outlineLevel="0" collapsed="false">
      <c r="A1953" s="32" t="s">
        <v>12070</v>
      </c>
      <c r="B1953" s="32" t="s">
        <v>5257</v>
      </c>
      <c r="C1953" s="33" t="s">
        <v>1396</v>
      </c>
      <c r="D1953" s="33" t="s">
        <v>55</v>
      </c>
      <c r="E1953" s="33" t="s">
        <v>80</v>
      </c>
      <c r="F1953" s="33" t="s">
        <v>12071</v>
      </c>
      <c r="G1953" s="33" t="s">
        <v>9</v>
      </c>
      <c r="H1953" s="33" t="n">
        <v>40</v>
      </c>
    </row>
    <row r="1954" customFormat="false" ht="54" hidden="false" customHeight="true" outlineLevel="0" collapsed="false">
      <c r="A1954" s="32" t="s">
        <v>12072</v>
      </c>
      <c r="B1954" s="32" t="s">
        <v>5257</v>
      </c>
      <c r="C1954" s="33" t="s">
        <v>1396</v>
      </c>
      <c r="D1954" s="33" t="s">
        <v>55</v>
      </c>
      <c r="E1954" s="33" t="s">
        <v>81</v>
      </c>
      <c r="F1954" s="33" t="s">
        <v>12064</v>
      </c>
      <c r="G1954" s="33" t="s">
        <v>9</v>
      </c>
      <c r="H1954" s="33" t="n">
        <v>40</v>
      </c>
    </row>
    <row r="1955" customFormat="false" ht="54" hidden="false" customHeight="true" outlineLevel="0" collapsed="false">
      <c r="A1955" s="32" t="s">
        <v>12073</v>
      </c>
      <c r="B1955" s="32" t="s">
        <v>5257</v>
      </c>
      <c r="C1955" s="33" t="s">
        <v>1396</v>
      </c>
      <c r="D1955" s="33" t="s">
        <v>55</v>
      </c>
      <c r="E1955" s="33" t="s">
        <v>81</v>
      </c>
      <c r="F1955" s="33" t="s">
        <v>12067</v>
      </c>
      <c r="G1955" s="33" t="s">
        <v>9</v>
      </c>
      <c r="H1955" s="33" t="n">
        <v>40</v>
      </c>
    </row>
    <row r="1956" customFormat="false" ht="54" hidden="false" customHeight="true" outlineLevel="0" collapsed="false">
      <c r="A1956" s="32" t="s">
        <v>12074</v>
      </c>
      <c r="B1956" s="32" t="s">
        <v>5257</v>
      </c>
      <c r="C1956" s="33" t="s">
        <v>1396</v>
      </c>
      <c r="D1956" s="33" t="s">
        <v>55</v>
      </c>
      <c r="E1956" s="33" t="s">
        <v>81</v>
      </c>
      <c r="F1956" s="33" t="s">
        <v>12069</v>
      </c>
      <c r="G1956" s="33" t="s">
        <v>9</v>
      </c>
      <c r="H1956" s="33" t="n">
        <v>40</v>
      </c>
    </row>
    <row r="1957" customFormat="false" ht="54" hidden="false" customHeight="true" outlineLevel="0" collapsed="false">
      <c r="A1957" s="32" t="s">
        <v>12075</v>
      </c>
      <c r="B1957" s="32" t="s">
        <v>5257</v>
      </c>
      <c r="C1957" s="33" t="s">
        <v>1396</v>
      </c>
      <c r="D1957" s="33" t="s">
        <v>55</v>
      </c>
      <c r="E1957" s="33" t="s">
        <v>81</v>
      </c>
      <c r="F1957" s="33" t="s">
        <v>12076</v>
      </c>
      <c r="G1957" s="33" t="s">
        <v>9</v>
      </c>
      <c r="H1957" s="33" t="n">
        <v>40</v>
      </c>
    </row>
    <row r="1958" customFormat="false" ht="54" hidden="false" customHeight="true" outlineLevel="0" collapsed="false">
      <c r="A1958" s="32" t="s">
        <v>12077</v>
      </c>
      <c r="B1958" s="32" t="s">
        <v>5257</v>
      </c>
      <c r="C1958" s="33" t="s">
        <v>1396</v>
      </c>
      <c r="D1958" s="33" t="s">
        <v>55</v>
      </c>
      <c r="E1958" s="33" t="s">
        <v>84</v>
      </c>
      <c r="F1958" s="33" t="s">
        <v>12067</v>
      </c>
      <c r="G1958" s="33" t="s">
        <v>9</v>
      </c>
      <c r="H1958" s="33" t="n">
        <v>40</v>
      </c>
    </row>
    <row r="1959" customFormat="false" ht="54" hidden="false" customHeight="true" outlineLevel="0" collapsed="false">
      <c r="A1959" s="32" t="s">
        <v>12078</v>
      </c>
      <c r="B1959" s="32" t="s">
        <v>5257</v>
      </c>
      <c r="C1959" s="33" t="s">
        <v>1396</v>
      </c>
      <c r="D1959" s="33" t="s">
        <v>55</v>
      </c>
      <c r="E1959" s="33" t="s">
        <v>84</v>
      </c>
      <c r="F1959" s="33" t="s">
        <v>12071</v>
      </c>
      <c r="G1959" s="33" t="s">
        <v>9</v>
      </c>
      <c r="H1959" s="33" t="n">
        <v>40</v>
      </c>
    </row>
    <row r="1960" customFormat="false" ht="54" hidden="false" customHeight="true" outlineLevel="0" collapsed="false">
      <c r="A1960" s="32" t="s">
        <v>12079</v>
      </c>
      <c r="B1960" s="32" t="s">
        <v>5257</v>
      </c>
      <c r="C1960" s="33" t="s">
        <v>1396</v>
      </c>
      <c r="D1960" s="33" t="s">
        <v>55</v>
      </c>
      <c r="E1960" s="33" t="s">
        <v>85</v>
      </c>
      <c r="F1960" s="33" t="s">
        <v>12080</v>
      </c>
      <c r="G1960" s="33" t="s">
        <v>9</v>
      </c>
      <c r="H1960" s="33" t="n">
        <v>40</v>
      </c>
    </row>
    <row r="1961" customFormat="false" ht="54" hidden="false" customHeight="true" outlineLevel="0" collapsed="false">
      <c r="A1961" s="32" t="s">
        <v>12081</v>
      </c>
      <c r="B1961" s="32" t="s">
        <v>5257</v>
      </c>
      <c r="C1961" s="33" t="s">
        <v>1396</v>
      </c>
      <c r="D1961" s="33" t="s">
        <v>55</v>
      </c>
      <c r="E1961" s="33" t="s">
        <v>85</v>
      </c>
      <c r="F1961" s="33" t="s">
        <v>12082</v>
      </c>
      <c r="G1961" s="33" t="s">
        <v>9</v>
      </c>
      <c r="H1961" s="33" t="n">
        <v>40</v>
      </c>
    </row>
    <row r="1962" customFormat="false" ht="54" hidden="false" customHeight="true" outlineLevel="0" collapsed="false">
      <c r="A1962" s="32" t="s">
        <v>12083</v>
      </c>
      <c r="B1962" s="32" t="s">
        <v>5257</v>
      </c>
      <c r="C1962" s="33" t="s">
        <v>1396</v>
      </c>
      <c r="D1962" s="33" t="s">
        <v>55</v>
      </c>
      <c r="E1962" s="33" t="s">
        <v>85</v>
      </c>
      <c r="F1962" s="33" t="s">
        <v>12067</v>
      </c>
      <c r="G1962" s="33" t="s">
        <v>9</v>
      </c>
      <c r="H1962" s="33" t="n">
        <v>40</v>
      </c>
    </row>
    <row r="1963" customFormat="false" ht="54" hidden="false" customHeight="true" outlineLevel="0" collapsed="false">
      <c r="A1963" s="32" t="s">
        <v>12084</v>
      </c>
      <c r="B1963" s="32" t="s">
        <v>5257</v>
      </c>
      <c r="C1963" s="33" t="s">
        <v>1396</v>
      </c>
      <c r="D1963" s="33" t="s">
        <v>55</v>
      </c>
      <c r="E1963" s="33" t="s">
        <v>85</v>
      </c>
      <c r="F1963" s="33" t="s">
        <v>12069</v>
      </c>
      <c r="G1963" s="33" t="s">
        <v>9</v>
      </c>
      <c r="H1963" s="33" t="n">
        <v>40</v>
      </c>
    </row>
    <row r="1964" customFormat="false" ht="54" hidden="false" customHeight="true" outlineLevel="0" collapsed="false">
      <c r="A1964" s="32" t="s">
        <v>12085</v>
      </c>
      <c r="B1964" s="32" t="s">
        <v>5271</v>
      </c>
      <c r="C1964" s="33" t="s">
        <v>1396</v>
      </c>
      <c r="D1964" s="33" t="s">
        <v>55</v>
      </c>
      <c r="E1964" s="33" t="s">
        <v>80</v>
      </c>
      <c r="F1964" s="33" t="s">
        <v>12086</v>
      </c>
      <c r="G1964" s="33" t="s">
        <v>9</v>
      </c>
      <c r="H1964" s="33" t="n">
        <v>40</v>
      </c>
    </row>
    <row r="1965" customFormat="false" ht="54" hidden="false" customHeight="true" outlineLevel="0" collapsed="false">
      <c r="A1965" s="32" t="s">
        <v>12087</v>
      </c>
      <c r="B1965" s="32" t="s">
        <v>5271</v>
      </c>
      <c r="C1965" s="33" t="s">
        <v>1396</v>
      </c>
      <c r="D1965" s="33" t="s">
        <v>55</v>
      </c>
      <c r="E1965" s="33" t="s">
        <v>80</v>
      </c>
      <c r="F1965" s="33" t="s">
        <v>12088</v>
      </c>
      <c r="G1965" s="33" t="s">
        <v>9</v>
      </c>
      <c r="H1965" s="33" t="n">
        <v>40</v>
      </c>
    </row>
    <row r="1966" customFormat="false" ht="54" hidden="false" customHeight="true" outlineLevel="0" collapsed="false">
      <c r="A1966" s="32" t="s">
        <v>12089</v>
      </c>
      <c r="B1966" s="32" t="s">
        <v>5271</v>
      </c>
      <c r="C1966" s="33" t="s">
        <v>1396</v>
      </c>
      <c r="D1966" s="33" t="s">
        <v>55</v>
      </c>
      <c r="E1966" s="33" t="s">
        <v>80</v>
      </c>
      <c r="F1966" s="33" t="s">
        <v>12090</v>
      </c>
      <c r="G1966" s="33" t="s">
        <v>9</v>
      </c>
      <c r="H1966" s="33" t="n">
        <v>40</v>
      </c>
    </row>
    <row r="1967" customFormat="false" ht="54" hidden="false" customHeight="true" outlineLevel="0" collapsed="false">
      <c r="A1967" s="32" t="s">
        <v>12091</v>
      </c>
      <c r="B1967" s="32" t="s">
        <v>5271</v>
      </c>
      <c r="C1967" s="33" t="s">
        <v>1396</v>
      </c>
      <c r="D1967" s="33" t="s">
        <v>55</v>
      </c>
      <c r="E1967" s="33" t="s">
        <v>80</v>
      </c>
      <c r="F1967" s="33" t="s">
        <v>12092</v>
      </c>
      <c r="G1967" s="33" t="s">
        <v>9</v>
      </c>
      <c r="H1967" s="33" t="n">
        <v>40</v>
      </c>
    </row>
    <row r="1968" customFormat="false" ht="54" hidden="false" customHeight="true" outlineLevel="0" collapsed="false">
      <c r="A1968" s="32" t="s">
        <v>12093</v>
      </c>
      <c r="B1968" s="32" t="s">
        <v>5271</v>
      </c>
      <c r="C1968" s="33" t="s">
        <v>1396</v>
      </c>
      <c r="D1968" s="33" t="s">
        <v>55</v>
      </c>
      <c r="E1968" s="33" t="s">
        <v>80</v>
      </c>
      <c r="F1968" s="33" t="s">
        <v>12094</v>
      </c>
      <c r="G1968" s="33" t="s">
        <v>9</v>
      </c>
      <c r="H1968" s="33" t="n">
        <v>40</v>
      </c>
    </row>
    <row r="1969" customFormat="false" ht="54" hidden="false" customHeight="true" outlineLevel="0" collapsed="false">
      <c r="A1969" s="32" t="s">
        <v>12095</v>
      </c>
      <c r="B1969" s="32" t="s">
        <v>5271</v>
      </c>
      <c r="C1969" s="33" t="s">
        <v>1396</v>
      </c>
      <c r="D1969" s="33" t="s">
        <v>55</v>
      </c>
      <c r="E1969" s="33" t="s">
        <v>81</v>
      </c>
      <c r="F1969" s="33" t="s">
        <v>12086</v>
      </c>
      <c r="G1969" s="33" t="s">
        <v>9</v>
      </c>
      <c r="H1969" s="33" t="n">
        <v>40</v>
      </c>
    </row>
    <row r="1970" customFormat="false" ht="54" hidden="false" customHeight="true" outlineLevel="0" collapsed="false">
      <c r="A1970" s="32" t="s">
        <v>12096</v>
      </c>
      <c r="B1970" s="32" t="s">
        <v>5271</v>
      </c>
      <c r="C1970" s="33" t="s">
        <v>1396</v>
      </c>
      <c r="D1970" s="33" t="s">
        <v>55</v>
      </c>
      <c r="E1970" s="33" t="s">
        <v>81</v>
      </c>
      <c r="F1970" s="33" t="s">
        <v>12090</v>
      </c>
      <c r="G1970" s="33" t="s">
        <v>9</v>
      </c>
      <c r="H1970" s="33" t="n">
        <v>40</v>
      </c>
    </row>
    <row r="1971" customFormat="false" ht="54" hidden="false" customHeight="true" outlineLevel="0" collapsed="false">
      <c r="A1971" s="32" t="s">
        <v>12097</v>
      </c>
      <c r="B1971" s="32" t="s">
        <v>5271</v>
      </c>
      <c r="C1971" s="33" t="s">
        <v>1396</v>
      </c>
      <c r="D1971" s="33" t="s">
        <v>55</v>
      </c>
      <c r="E1971" s="33" t="s">
        <v>81</v>
      </c>
      <c r="F1971" s="33" t="s">
        <v>12092</v>
      </c>
      <c r="G1971" s="33" t="s">
        <v>9</v>
      </c>
      <c r="H1971" s="33" t="n">
        <v>40</v>
      </c>
    </row>
    <row r="1972" customFormat="false" ht="54" hidden="false" customHeight="true" outlineLevel="0" collapsed="false">
      <c r="A1972" s="32" t="s">
        <v>12098</v>
      </c>
      <c r="B1972" s="32" t="s">
        <v>5271</v>
      </c>
      <c r="C1972" s="33" t="s">
        <v>1396</v>
      </c>
      <c r="D1972" s="33" t="s">
        <v>55</v>
      </c>
      <c r="E1972" s="33" t="s">
        <v>81</v>
      </c>
      <c r="F1972" s="33" t="s">
        <v>12094</v>
      </c>
      <c r="G1972" s="33" t="s">
        <v>9</v>
      </c>
      <c r="H1972" s="33" t="n">
        <v>40</v>
      </c>
    </row>
    <row r="1973" customFormat="false" ht="54" hidden="false" customHeight="true" outlineLevel="0" collapsed="false">
      <c r="A1973" s="32" t="s">
        <v>12099</v>
      </c>
      <c r="B1973" s="32" t="s">
        <v>5271</v>
      </c>
      <c r="C1973" s="33" t="s">
        <v>1396</v>
      </c>
      <c r="D1973" s="33" t="s">
        <v>55</v>
      </c>
      <c r="E1973" s="33" t="s">
        <v>81</v>
      </c>
      <c r="F1973" s="33" t="s">
        <v>12100</v>
      </c>
      <c r="G1973" s="33" t="s">
        <v>9</v>
      </c>
      <c r="H1973" s="33" t="n">
        <v>40</v>
      </c>
    </row>
    <row r="1974" customFormat="false" ht="54" hidden="false" customHeight="true" outlineLevel="0" collapsed="false">
      <c r="A1974" s="32" t="s">
        <v>12101</v>
      </c>
      <c r="B1974" s="32" t="s">
        <v>5271</v>
      </c>
      <c r="C1974" s="33" t="s">
        <v>1396</v>
      </c>
      <c r="D1974" s="33" t="s">
        <v>55</v>
      </c>
      <c r="E1974" s="33" t="s">
        <v>84</v>
      </c>
      <c r="F1974" s="33" t="s">
        <v>12086</v>
      </c>
      <c r="G1974" s="33" t="s">
        <v>9</v>
      </c>
      <c r="H1974" s="33" t="n">
        <v>40</v>
      </c>
    </row>
    <row r="1975" customFormat="false" ht="54" hidden="false" customHeight="true" outlineLevel="0" collapsed="false">
      <c r="A1975" s="32" t="s">
        <v>12102</v>
      </c>
      <c r="B1975" s="32" t="s">
        <v>5271</v>
      </c>
      <c r="C1975" s="33" t="s">
        <v>1396</v>
      </c>
      <c r="D1975" s="33" t="s">
        <v>55</v>
      </c>
      <c r="E1975" s="33" t="s">
        <v>84</v>
      </c>
      <c r="F1975" s="33" t="s">
        <v>12088</v>
      </c>
      <c r="G1975" s="33" t="s">
        <v>9</v>
      </c>
      <c r="H1975" s="33" t="n">
        <v>40</v>
      </c>
    </row>
    <row r="1976" customFormat="false" ht="54" hidden="false" customHeight="true" outlineLevel="0" collapsed="false">
      <c r="A1976" s="32" t="s">
        <v>12103</v>
      </c>
      <c r="B1976" s="32" t="s">
        <v>5271</v>
      </c>
      <c r="C1976" s="33" t="s">
        <v>1396</v>
      </c>
      <c r="D1976" s="33" t="s">
        <v>55</v>
      </c>
      <c r="E1976" s="33" t="s">
        <v>84</v>
      </c>
      <c r="F1976" s="33" t="s">
        <v>12090</v>
      </c>
      <c r="G1976" s="33" t="s">
        <v>9</v>
      </c>
      <c r="H1976" s="33" t="n">
        <v>40</v>
      </c>
    </row>
    <row r="1977" customFormat="false" ht="54" hidden="false" customHeight="true" outlineLevel="0" collapsed="false">
      <c r="A1977" s="32" t="s">
        <v>12104</v>
      </c>
      <c r="B1977" s="32" t="s">
        <v>5271</v>
      </c>
      <c r="C1977" s="33" t="s">
        <v>1396</v>
      </c>
      <c r="D1977" s="33" t="s">
        <v>55</v>
      </c>
      <c r="E1977" s="33" t="s">
        <v>84</v>
      </c>
      <c r="F1977" s="33" t="s">
        <v>12092</v>
      </c>
      <c r="G1977" s="33" t="s">
        <v>9</v>
      </c>
      <c r="H1977" s="33" t="n">
        <v>40</v>
      </c>
    </row>
    <row r="1978" customFormat="false" ht="54" hidden="false" customHeight="true" outlineLevel="0" collapsed="false">
      <c r="A1978" s="32" t="s">
        <v>12105</v>
      </c>
      <c r="B1978" s="32" t="s">
        <v>5271</v>
      </c>
      <c r="C1978" s="33" t="s">
        <v>1396</v>
      </c>
      <c r="D1978" s="33" t="s">
        <v>55</v>
      </c>
      <c r="E1978" s="33" t="s">
        <v>84</v>
      </c>
      <c r="F1978" s="33" t="s">
        <v>12094</v>
      </c>
      <c r="G1978" s="33" t="s">
        <v>9</v>
      </c>
      <c r="H1978" s="33" t="n">
        <v>40</v>
      </c>
    </row>
    <row r="1979" customFormat="false" ht="54" hidden="false" customHeight="true" outlineLevel="0" collapsed="false">
      <c r="A1979" s="32" t="s">
        <v>12106</v>
      </c>
      <c r="B1979" s="32" t="s">
        <v>5271</v>
      </c>
      <c r="C1979" s="33" t="s">
        <v>1396</v>
      </c>
      <c r="D1979" s="33" t="s">
        <v>55</v>
      </c>
      <c r="E1979" s="33" t="s">
        <v>84</v>
      </c>
      <c r="F1979" s="33" t="s">
        <v>12100</v>
      </c>
      <c r="G1979" s="33" t="s">
        <v>9</v>
      </c>
      <c r="H1979" s="33" t="n">
        <v>40</v>
      </c>
    </row>
    <row r="1980" customFormat="false" ht="54" hidden="false" customHeight="true" outlineLevel="0" collapsed="false">
      <c r="A1980" s="32" t="s">
        <v>12107</v>
      </c>
      <c r="B1980" s="32" t="s">
        <v>5285</v>
      </c>
      <c r="C1980" s="33" t="s">
        <v>98</v>
      </c>
      <c r="D1980" s="33" t="s">
        <v>59</v>
      </c>
      <c r="E1980" s="33" t="s">
        <v>80</v>
      </c>
      <c r="F1980" s="33" t="s">
        <v>12108</v>
      </c>
      <c r="G1980" s="33" t="s">
        <v>9</v>
      </c>
      <c r="H1980" s="33" t="n">
        <v>40</v>
      </c>
    </row>
    <row r="1981" customFormat="false" ht="54" hidden="false" customHeight="true" outlineLevel="0" collapsed="false">
      <c r="A1981" s="32" t="s">
        <v>12109</v>
      </c>
      <c r="B1981" s="32" t="s">
        <v>5285</v>
      </c>
      <c r="C1981" s="33" t="s">
        <v>98</v>
      </c>
      <c r="D1981" s="33" t="s">
        <v>59</v>
      </c>
      <c r="E1981" s="33" t="s">
        <v>80</v>
      </c>
      <c r="F1981" s="33" t="s">
        <v>12110</v>
      </c>
      <c r="G1981" s="33" t="s">
        <v>9</v>
      </c>
      <c r="H1981" s="33" t="n">
        <v>40</v>
      </c>
    </row>
    <row r="1982" customFormat="false" ht="54" hidden="false" customHeight="true" outlineLevel="0" collapsed="false">
      <c r="A1982" s="32" t="s">
        <v>12111</v>
      </c>
      <c r="B1982" s="32" t="s">
        <v>5285</v>
      </c>
      <c r="C1982" s="33" t="s">
        <v>98</v>
      </c>
      <c r="D1982" s="33" t="s">
        <v>59</v>
      </c>
      <c r="E1982" s="33" t="s">
        <v>80</v>
      </c>
      <c r="F1982" s="33" t="s">
        <v>12112</v>
      </c>
      <c r="G1982" s="33" t="s">
        <v>9</v>
      </c>
      <c r="H1982" s="33" t="n">
        <v>40</v>
      </c>
    </row>
    <row r="1983" customFormat="false" ht="54" hidden="false" customHeight="true" outlineLevel="0" collapsed="false">
      <c r="A1983" s="32" t="s">
        <v>12113</v>
      </c>
      <c r="B1983" s="32" t="s">
        <v>5285</v>
      </c>
      <c r="C1983" s="33" t="s">
        <v>98</v>
      </c>
      <c r="D1983" s="33" t="s">
        <v>59</v>
      </c>
      <c r="E1983" s="33" t="s">
        <v>80</v>
      </c>
      <c r="F1983" s="33" t="s">
        <v>12114</v>
      </c>
      <c r="G1983" s="33" t="s">
        <v>9</v>
      </c>
      <c r="H1983" s="33" t="n">
        <v>40</v>
      </c>
    </row>
    <row r="1984" customFormat="false" ht="54" hidden="false" customHeight="true" outlineLevel="0" collapsed="false">
      <c r="A1984" s="32" t="s">
        <v>12115</v>
      </c>
      <c r="B1984" s="32" t="s">
        <v>5285</v>
      </c>
      <c r="C1984" s="33" t="s">
        <v>98</v>
      </c>
      <c r="D1984" s="33" t="s">
        <v>59</v>
      </c>
      <c r="E1984" s="33" t="s">
        <v>80</v>
      </c>
      <c r="F1984" s="33" t="s">
        <v>12116</v>
      </c>
      <c r="G1984" s="33" t="s">
        <v>9</v>
      </c>
      <c r="H1984" s="33" t="n">
        <v>40</v>
      </c>
    </row>
    <row r="1985" customFormat="false" ht="54" hidden="false" customHeight="true" outlineLevel="0" collapsed="false">
      <c r="A1985" s="32" t="s">
        <v>12117</v>
      </c>
      <c r="B1985" s="32" t="s">
        <v>5285</v>
      </c>
      <c r="C1985" s="33" t="s">
        <v>98</v>
      </c>
      <c r="D1985" s="33" t="s">
        <v>59</v>
      </c>
      <c r="E1985" s="33" t="s">
        <v>81</v>
      </c>
      <c r="F1985" s="33" t="s">
        <v>12110</v>
      </c>
      <c r="G1985" s="33" t="s">
        <v>9</v>
      </c>
      <c r="H1985" s="33" t="n">
        <v>40</v>
      </c>
    </row>
    <row r="1986" customFormat="false" ht="54" hidden="false" customHeight="true" outlineLevel="0" collapsed="false">
      <c r="A1986" s="32" t="s">
        <v>12118</v>
      </c>
      <c r="B1986" s="32" t="s">
        <v>5285</v>
      </c>
      <c r="C1986" s="33" t="s">
        <v>98</v>
      </c>
      <c r="D1986" s="33" t="s">
        <v>59</v>
      </c>
      <c r="E1986" s="33" t="s">
        <v>81</v>
      </c>
      <c r="F1986" s="33" t="s">
        <v>12119</v>
      </c>
      <c r="G1986" s="33" t="s">
        <v>9</v>
      </c>
      <c r="H1986" s="33" t="n">
        <v>40</v>
      </c>
    </row>
    <row r="1987" customFormat="false" ht="54" hidden="false" customHeight="true" outlineLevel="0" collapsed="false">
      <c r="A1987" s="32" t="s">
        <v>12120</v>
      </c>
      <c r="B1987" s="32" t="s">
        <v>5285</v>
      </c>
      <c r="C1987" s="33" t="s">
        <v>98</v>
      </c>
      <c r="D1987" s="33" t="s">
        <v>59</v>
      </c>
      <c r="E1987" s="33" t="s">
        <v>81</v>
      </c>
      <c r="F1987" s="33" t="s">
        <v>12112</v>
      </c>
      <c r="G1987" s="33" t="s">
        <v>9</v>
      </c>
      <c r="H1987" s="33" t="n">
        <v>40</v>
      </c>
    </row>
    <row r="1988" customFormat="false" ht="54" hidden="false" customHeight="true" outlineLevel="0" collapsed="false">
      <c r="A1988" s="32" t="s">
        <v>12121</v>
      </c>
      <c r="B1988" s="32" t="s">
        <v>5285</v>
      </c>
      <c r="C1988" s="33" t="s">
        <v>98</v>
      </c>
      <c r="D1988" s="33" t="s">
        <v>59</v>
      </c>
      <c r="E1988" s="33" t="s">
        <v>81</v>
      </c>
      <c r="F1988" s="33" t="s">
        <v>12114</v>
      </c>
      <c r="G1988" s="33" t="s">
        <v>9</v>
      </c>
      <c r="H1988" s="33" t="n">
        <v>40</v>
      </c>
    </row>
    <row r="1989" customFormat="false" ht="54" hidden="false" customHeight="true" outlineLevel="0" collapsed="false">
      <c r="A1989" s="32" t="s">
        <v>12122</v>
      </c>
      <c r="B1989" s="32" t="s">
        <v>5285</v>
      </c>
      <c r="C1989" s="33" t="s">
        <v>98</v>
      </c>
      <c r="D1989" s="33" t="s">
        <v>59</v>
      </c>
      <c r="E1989" s="33" t="s">
        <v>81</v>
      </c>
      <c r="F1989" s="33" t="s">
        <v>12116</v>
      </c>
      <c r="G1989" s="33" t="s">
        <v>9</v>
      </c>
      <c r="H1989" s="33" t="n">
        <v>40</v>
      </c>
    </row>
    <row r="1990" customFormat="false" ht="54" hidden="false" customHeight="true" outlineLevel="0" collapsed="false">
      <c r="A1990" s="32" t="s">
        <v>12123</v>
      </c>
      <c r="B1990" s="32" t="s">
        <v>5285</v>
      </c>
      <c r="C1990" s="33" t="s">
        <v>98</v>
      </c>
      <c r="D1990" s="33" t="s">
        <v>59</v>
      </c>
      <c r="E1990" s="33" t="s">
        <v>83</v>
      </c>
      <c r="F1990" s="33" t="s">
        <v>12124</v>
      </c>
      <c r="G1990" s="33" t="s">
        <v>9</v>
      </c>
      <c r="H1990" s="33" t="n">
        <v>40</v>
      </c>
    </row>
    <row r="1991" customFormat="false" ht="54" hidden="false" customHeight="true" outlineLevel="0" collapsed="false">
      <c r="A1991" s="32" t="s">
        <v>12125</v>
      </c>
      <c r="B1991" s="32" t="s">
        <v>5285</v>
      </c>
      <c r="C1991" s="33" t="s">
        <v>98</v>
      </c>
      <c r="D1991" s="33" t="s">
        <v>59</v>
      </c>
      <c r="E1991" s="33" t="s">
        <v>83</v>
      </c>
      <c r="F1991" s="33" t="s">
        <v>12114</v>
      </c>
      <c r="G1991" s="33" t="s">
        <v>9</v>
      </c>
      <c r="H1991" s="33" t="n">
        <v>40</v>
      </c>
    </row>
    <row r="1992" customFormat="false" ht="54" hidden="false" customHeight="true" outlineLevel="0" collapsed="false">
      <c r="A1992" s="32" t="s">
        <v>12126</v>
      </c>
      <c r="B1992" s="32" t="s">
        <v>5285</v>
      </c>
      <c r="C1992" s="33" t="s">
        <v>98</v>
      </c>
      <c r="D1992" s="33" t="s">
        <v>59</v>
      </c>
      <c r="E1992" s="33" t="s">
        <v>83</v>
      </c>
      <c r="F1992" s="33" t="s">
        <v>12116</v>
      </c>
      <c r="G1992" s="33" t="s">
        <v>9</v>
      </c>
      <c r="H1992" s="33" t="n">
        <v>40</v>
      </c>
    </row>
    <row r="1993" customFormat="false" ht="54" hidden="false" customHeight="true" outlineLevel="0" collapsed="false">
      <c r="A1993" s="32" t="s">
        <v>12127</v>
      </c>
      <c r="B1993" s="32" t="s">
        <v>5285</v>
      </c>
      <c r="C1993" s="33" t="s">
        <v>98</v>
      </c>
      <c r="D1993" s="33" t="s">
        <v>59</v>
      </c>
      <c r="E1993" s="33" t="s">
        <v>84</v>
      </c>
      <c r="F1993" s="33" t="s">
        <v>12108</v>
      </c>
      <c r="G1993" s="33" t="s">
        <v>9</v>
      </c>
      <c r="H1993" s="33" t="n">
        <v>40</v>
      </c>
    </row>
    <row r="1994" customFormat="false" ht="54" hidden="false" customHeight="true" outlineLevel="0" collapsed="false">
      <c r="A1994" s="32" t="s">
        <v>12128</v>
      </c>
      <c r="B1994" s="32" t="s">
        <v>5285</v>
      </c>
      <c r="C1994" s="33" t="s">
        <v>98</v>
      </c>
      <c r="D1994" s="33" t="s">
        <v>59</v>
      </c>
      <c r="E1994" s="33" t="s">
        <v>84</v>
      </c>
      <c r="F1994" s="33" t="s">
        <v>12110</v>
      </c>
      <c r="G1994" s="33" t="s">
        <v>9</v>
      </c>
      <c r="H1994" s="33" t="n">
        <v>40</v>
      </c>
    </row>
    <row r="1995" customFormat="false" ht="54" hidden="false" customHeight="true" outlineLevel="0" collapsed="false">
      <c r="A1995" s="32" t="s">
        <v>12129</v>
      </c>
      <c r="B1995" s="32" t="s">
        <v>5285</v>
      </c>
      <c r="C1995" s="33" t="s">
        <v>98</v>
      </c>
      <c r="D1995" s="33" t="s">
        <v>59</v>
      </c>
      <c r="E1995" s="33" t="s">
        <v>84</v>
      </c>
      <c r="F1995" s="33" t="s">
        <v>12112</v>
      </c>
      <c r="G1995" s="33" t="s">
        <v>9</v>
      </c>
      <c r="H1995" s="33" t="n">
        <v>40</v>
      </c>
    </row>
    <row r="1996" customFormat="false" ht="54" hidden="false" customHeight="true" outlineLevel="0" collapsed="false">
      <c r="A1996" s="32" t="s">
        <v>12130</v>
      </c>
      <c r="B1996" s="32" t="s">
        <v>5285</v>
      </c>
      <c r="C1996" s="33" t="s">
        <v>98</v>
      </c>
      <c r="D1996" s="33" t="s">
        <v>59</v>
      </c>
      <c r="E1996" s="33" t="s">
        <v>84</v>
      </c>
      <c r="F1996" s="33" t="s">
        <v>12114</v>
      </c>
      <c r="G1996" s="33" t="s">
        <v>9</v>
      </c>
      <c r="H1996" s="33" t="n">
        <v>40</v>
      </c>
    </row>
    <row r="1997" customFormat="false" ht="54" hidden="false" customHeight="true" outlineLevel="0" collapsed="false">
      <c r="A1997" s="32" t="s">
        <v>12131</v>
      </c>
      <c r="B1997" s="32" t="s">
        <v>5285</v>
      </c>
      <c r="C1997" s="33" t="s">
        <v>98</v>
      </c>
      <c r="D1997" s="33" t="s">
        <v>59</v>
      </c>
      <c r="E1997" s="33" t="s">
        <v>84</v>
      </c>
      <c r="F1997" s="33" t="s">
        <v>12116</v>
      </c>
      <c r="G1997" s="33" t="s">
        <v>9</v>
      </c>
      <c r="H1997" s="33" t="n">
        <v>40</v>
      </c>
    </row>
    <row r="1998" customFormat="false" ht="54" hidden="false" customHeight="true" outlineLevel="0" collapsed="false">
      <c r="A1998" s="32" t="s">
        <v>12132</v>
      </c>
      <c r="B1998" s="32" t="s">
        <v>5285</v>
      </c>
      <c r="C1998" s="33" t="s">
        <v>98</v>
      </c>
      <c r="D1998" s="33" t="s">
        <v>59</v>
      </c>
      <c r="E1998" s="33" t="s">
        <v>84</v>
      </c>
      <c r="F1998" s="33" t="s">
        <v>5293</v>
      </c>
      <c r="G1998" s="33" t="s">
        <v>9</v>
      </c>
      <c r="H1998" s="33" t="n">
        <v>40</v>
      </c>
    </row>
    <row r="1999" customFormat="false" ht="54" hidden="false" customHeight="true" outlineLevel="0" collapsed="false">
      <c r="A1999" s="32" t="s">
        <v>12133</v>
      </c>
      <c r="B1999" s="32" t="s">
        <v>5300</v>
      </c>
      <c r="C1999" s="33" t="s">
        <v>1396</v>
      </c>
      <c r="D1999" s="33" t="s">
        <v>55</v>
      </c>
      <c r="E1999" s="33" t="s">
        <v>80</v>
      </c>
      <c r="F1999" s="33" t="s">
        <v>12134</v>
      </c>
      <c r="G1999" s="33" t="s">
        <v>9</v>
      </c>
      <c r="H1999" s="33" t="n">
        <v>40</v>
      </c>
    </row>
    <row r="2000" customFormat="false" ht="54" hidden="false" customHeight="true" outlineLevel="0" collapsed="false">
      <c r="A2000" s="32" t="s">
        <v>12135</v>
      </c>
      <c r="B2000" s="32" t="s">
        <v>5300</v>
      </c>
      <c r="C2000" s="33" t="s">
        <v>1396</v>
      </c>
      <c r="D2000" s="33" t="s">
        <v>55</v>
      </c>
      <c r="E2000" s="33" t="s">
        <v>80</v>
      </c>
      <c r="F2000" s="33" t="s">
        <v>12136</v>
      </c>
      <c r="G2000" s="33" t="s">
        <v>9</v>
      </c>
      <c r="H2000" s="33" t="n">
        <v>40</v>
      </c>
    </row>
    <row r="2001" customFormat="false" ht="54" hidden="false" customHeight="true" outlineLevel="0" collapsed="false">
      <c r="A2001" s="32" t="s">
        <v>12137</v>
      </c>
      <c r="B2001" s="32" t="s">
        <v>5300</v>
      </c>
      <c r="C2001" s="33" t="s">
        <v>1396</v>
      </c>
      <c r="D2001" s="33" t="s">
        <v>55</v>
      </c>
      <c r="E2001" s="33" t="s">
        <v>81</v>
      </c>
      <c r="F2001" s="33" t="s">
        <v>12134</v>
      </c>
      <c r="G2001" s="33" t="s">
        <v>9</v>
      </c>
      <c r="H2001" s="33" t="n">
        <v>40</v>
      </c>
    </row>
    <row r="2002" customFormat="false" ht="54" hidden="false" customHeight="true" outlineLevel="0" collapsed="false">
      <c r="A2002" s="32" t="s">
        <v>12138</v>
      </c>
      <c r="B2002" s="32" t="s">
        <v>5300</v>
      </c>
      <c r="C2002" s="33" t="s">
        <v>1396</v>
      </c>
      <c r="D2002" s="33" t="s">
        <v>55</v>
      </c>
      <c r="E2002" s="33" t="s">
        <v>81</v>
      </c>
      <c r="F2002" s="33" t="s">
        <v>12136</v>
      </c>
      <c r="G2002" s="33" t="s">
        <v>9</v>
      </c>
      <c r="H2002" s="33" t="n">
        <v>40</v>
      </c>
    </row>
    <row r="2003" customFormat="false" ht="54" hidden="false" customHeight="true" outlineLevel="0" collapsed="false">
      <c r="A2003" s="32" t="s">
        <v>12139</v>
      </c>
      <c r="B2003" s="32" t="s">
        <v>5300</v>
      </c>
      <c r="C2003" s="33" t="s">
        <v>1396</v>
      </c>
      <c r="D2003" s="33" t="s">
        <v>55</v>
      </c>
      <c r="E2003" s="33" t="s">
        <v>83</v>
      </c>
      <c r="F2003" s="33" t="s">
        <v>5308</v>
      </c>
      <c r="G2003" s="33" t="s">
        <v>9</v>
      </c>
      <c r="H2003" s="33" t="n">
        <v>40</v>
      </c>
    </row>
    <row r="2004" customFormat="false" ht="54" hidden="false" customHeight="true" outlineLevel="0" collapsed="false">
      <c r="A2004" s="32" t="s">
        <v>12140</v>
      </c>
      <c r="B2004" s="32" t="s">
        <v>5300</v>
      </c>
      <c r="C2004" s="33" t="s">
        <v>1396</v>
      </c>
      <c r="D2004" s="33" t="s">
        <v>55</v>
      </c>
      <c r="E2004" s="33" t="s">
        <v>84</v>
      </c>
      <c r="F2004" s="33" t="s">
        <v>12134</v>
      </c>
      <c r="G2004" s="33" t="s">
        <v>9</v>
      </c>
      <c r="H2004" s="33" t="n">
        <v>40</v>
      </c>
    </row>
    <row r="2005" customFormat="false" ht="54" hidden="false" customHeight="true" outlineLevel="0" collapsed="false">
      <c r="A2005" s="32" t="s">
        <v>12141</v>
      </c>
      <c r="B2005" s="32" t="s">
        <v>5300</v>
      </c>
      <c r="C2005" s="33" t="s">
        <v>1396</v>
      </c>
      <c r="D2005" s="33" t="s">
        <v>55</v>
      </c>
      <c r="E2005" s="33" t="s">
        <v>84</v>
      </c>
      <c r="F2005" s="33" t="s">
        <v>12136</v>
      </c>
      <c r="G2005" s="33" t="s">
        <v>9</v>
      </c>
      <c r="H2005" s="33" t="n">
        <v>40</v>
      </c>
    </row>
    <row r="2006" customFormat="false" ht="54" hidden="false" customHeight="true" outlineLevel="0" collapsed="false">
      <c r="A2006" s="32" t="s">
        <v>12142</v>
      </c>
      <c r="B2006" s="32" t="s">
        <v>5300</v>
      </c>
      <c r="C2006" s="33" t="s">
        <v>1396</v>
      </c>
      <c r="D2006" s="33" t="s">
        <v>55</v>
      </c>
      <c r="E2006" s="33" t="s">
        <v>85</v>
      </c>
      <c r="F2006" s="33" t="s">
        <v>5310</v>
      </c>
      <c r="G2006" s="33" t="s">
        <v>9</v>
      </c>
      <c r="H2006" s="33" t="n">
        <v>40</v>
      </c>
    </row>
    <row r="2007" customFormat="false" ht="54" hidden="false" customHeight="true" outlineLevel="0" collapsed="false">
      <c r="A2007" s="32" t="s">
        <v>12143</v>
      </c>
      <c r="B2007" s="32" t="s">
        <v>5300</v>
      </c>
      <c r="C2007" s="33" t="s">
        <v>1396</v>
      </c>
      <c r="D2007" s="33" t="s">
        <v>55</v>
      </c>
      <c r="E2007" s="33" t="s">
        <v>86</v>
      </c>
      <c r="F2007" s="33" t="s">
        <v>5310</v>
      </c>
      <c r="G2007" s="33" t="s">
        <v>9</v>
      </c>
      <c r="H2007" s="33" t="n">
        <v>40</v>
      </c>
    </row>
    <row r="2008" customFormat="false" ht="54" hidden="false" customHeight="true" outlineLevel="0" collapsed="false">
      <c r="A2008" s="32" t="s">
        <v>12144</v>
      </c>
      <c r="B2008" s="32" t="s">
        <v>5300</v>
      </c>
      <c r="C2008" s="33" t="s">
        <v>1396</v>
      </c>
      <c r="D2008" s="33" t="s">
        <v>55</v>
      </c>
      <c r="E2008" s="33" t="s">
        <v>86</v>
      </c>
      <c r="F2008" s="33" t="s">
        <v>12134</v>
      </c>
      <c r="G2008" s="33" t="s">
        <v>9</v>
      </c>
      <c r="H2008" s="33" t="n">
        <v>40</v>
      </c>
    </row>
    <row r="2009" customFormat="false" ht="54" hidden="false" customHeight="true" outlineLevel="0" collapsed="false">
      <c r="A2009" s="32" t="s">
        <v>12145</v>
      </c>
      <c r="B2009" s="32" t="s">
        <v>5300</v>
      </c>
      <c r="C2009" s="33" t="s">
        <v>1396</v>
      </c>
      <c r="D2009" s="33" t="s">
        <v>55</v>
      </c>
      <c r="E2009" s="33" t="s">
        <v>86</v>
      </c>
      <c r="F2009" s="33" t="s">
        <v>12136</v>
      </c>
      <c r="G2009" s="33" t="s">
        <v>9</v>
      </c>
      <c r="H2009" s="33" t="n">
        <v>40</v>
      </c>
    </row>
    <row r="2010" customFormat="false" ht="54" hidden="false" customHeight="true" outlineLevel="0" collapsed="false">
      <c r="A2010" s="32" t="s">
        <v>12146</v>
      </c>
      <c r="B2010" s="32" t="s">
        <v>5314</v>
      </c>
      <c r="C2010" s="33" t="s">
        <v>1396</v>
      </c>
      <c r="D2010" s="33" t="s">
        <v>55</v>
      </c>
      <c r="E2010" s="33" t="s">
        <v>80</v>
      </c>
      <c r="F2010" s="33" t="s">
        <v>5319</v>
      </c>
      <c r="G2010" s="33" t="s">
        <v>9</v>
      </c>
      <c r="H2010" s="33" t="n">
        <v>50</v>
      </c>
    </row>
    <row r="2011" customFormat="false" ht="54" hidden="false" customHeight="true" outlineLevel="0" collapsed="false">
      <c r="A2011" s="32" t="s">
        <v>12147</v>
      </c>
      <c r="B2011" s="32" t="s">
        <v>5314</v>
      </c>
      <c r="C2011" s="33" t="s">
        <v>1396</v>
      </c>
      <c r="D2011" s="33" t="s">
        <v>55</v>
      </c>
      <c r="E2011" s="33" t="s">
        <v>80</v>
      </c>
      <c r="F2011" s="33" t="s">
        <v>12148</v>
      </c>
      <c r="G2011" s="33" t="s">
        <v>9</v>
      </c>
      <c r="H2011" s="33" t="n">
        <v>50</v>
      </c>
    </row>
    <row r="2012" customFormat="false" ht="54" hidden="false" customHeight="true" outlineLevel="0" collapsed="false">
      <c r="A2012" s="32" t="s">
        <v>12149</v>
      </c>
      <c r="B2012" s="32" t="s">
        <v>5314</v>
      </c>
      <c r="C2012" s="33" t="s">
        <v>1396</v>
      </c>
      <c r="D2012" s="33" t="s">
        <v>55</v>
      </c>
      <c r="E2012" s="33" t="s">
        <v>80</v>
      </c>
      <c r="F2012" s="33" t="s">
        <v>12150</v>
      </c>
      <c r="G2012" s="33" t="s">
        <v>9</v>
      </c>
      <c r="H2012" s="33" t="n">
        <v>50</v>
      </c>
    </row>
    <row r="2013" customFormat="false" ht="54" hidden="false" customHeight="true" outlineLevel="0" collapsed="false">
      <c r="A2013" s="32" t="s">
        <v>12151</v>
      </c>
      <c r="B2013" s="32" t="s">
        <v>5314</v>
      </c>
      <c r="C2013" s="33" t="s">
        <v>1396</v>
      </c>
      <c r="D2013" s="33" t="s">
        <v>55</v>
      </c>
      <c r="E2013" s="33" t="s">
        <v>80</v>
      </c>
      <c r="F2013" s="33" t="s">
        <v>12152</v>
      </c>
      <c r="G2013" s="33" t="s">
        <v>9</v>
      </c>
      <c r="H2013" s="33" t="n">
        <v>50</v>
      </c>
    </row>
    <row r="2014" customFormat="false" ht="54" hidden="false" customHeight="true" outlineLevel="0" collapsed="false">
      <c r="A2014" s="32" t="s">
        <v>12153</v>
      </c>
      <c r="B2014" s="32" t="s">
        <v>5314</v>
      </c>
      <c r="C2014" s="33" t="s">
        <v>1396</v>
      </c>
      <c r="D2014" s="33" t="s">
        <v>55</v>
      </c>
      <c r="E2014" s="33" t="s">
        <v>84</v>
      </c>
      <c r="F2014" s="33" t="s">
        <v>12150</v>
      </c>
      <c r="G2014" s="33" t="s">
        <v>9</v>
      </c>
      <c r="H2014" s="33" t="n">
        <v>50</v>
      </c>
    </row>
    <row r="2015" customFormat="false" ht="54" hidden="false" customHeight="true" outlineLevel="0" collapsed="false">
      <c r="A2015" s="32" t="s">
        <v>12154</v>
      </c>
      <c r="B2015" s="32" t="s">
        <v>5314</v>
      </c>
      <c r="C2015" s="33" t="s">
        <v>1396</v>
      </c>
      <c r="D2015" s="33" t="s">
        <v>55</v>
      </c>
      <c r="E2015" s="33" t="s">
        <v>84</v>
      </c>
      <c r="F2015" s="33" t="s">
        <v>12152</v>
      </c>
      <c r="G2015" s="33" t="s">
        <v>9</v>
      </c>
      <c r="H2015" s="33" t="n">
        <v>50</v>
      </c>
    </row>
    <row r="2016" customFormat="false" ht="54" hidden="false" customHeight="true" outlineLevel="0" collapsed="false">
      <c r="A2016" s="32" t="s">
        <v>12155</v>
      </c>
      <c r="B2016" s="32" t="s">
        <v>5330</v>
      </c>
      <c r="C2016" s="33" t="s">
        <v>1396</v>
      </c>
      <c r="D2016" s="33" t="s">
        <v>55</v>
      </c>
      <c r="E2016" s="33" t="s">
        <v>81</v>
      </c>
      <c r="F2016" s="33" t="s">
        <v>12156</v>
      </c>
      <c r="G2016" s="33" t="s">
        <v>9</v>
      </c>
      <c r="H2016" s="33" t="n">
        <v>50</v>
      </c>
    </row>
    <row r="2017" customFormat="false" ht="54" hidden="false" customHeight="true" outlineLevel="0" collapsed="false">
      <c r="A2017" s="32" t="s">
        <v>12157</v>
      </c>
      <c r="B2017" s="32" t="s">
        <v>5330</v>
      </c>
      <c r="C2017" s="33" t="s">
        <v>1396</v>
      </c>
      <c r="D2017" s="33" t="s">
        <v>55</v>
      </c>
      <c r="E2017" s="33" t="s">
        <v>81</v>
      </c>
      <c r="F2017" s="33" t="s">
        <v>12158</v>
      </c>
      <c r="G2017" s="33" t="s">
        <v>9</v>
      </c>
      <c r="H2017" s="33" t="n">
        <v>50</v>
      </c>
    </row>
    <row r="2018" customFormat="false" ht="54" hidden="false" customHeight="true" outlineLevel="0" collapsed="false">
      <c r="A2018" s="32" t="s">
        <v>12159</v>
      </c>
      <c r="B2018" s="32" t="s">
        <v>5330</v>
      </c>
      <c r="C2018" s="33" t="s">
        <v>1396</v>
      </c>
      <c r="D2018" s="33" t="s">
        <v>55</v>
      </c>
      <c r="E2018" s="33" t="s">
        <v>81</v>
      </c>
      <c r="F2018" s="33" t="s">
        <v>12160</v>
      </c>
      <c r="G2018" s="33" t="s">
        <v>9</v>
      </c>
      <c r="H2018" s="33" t="n">
        <v>50</v>
      </c>
    </row>
    <row r="2019" customFormat="false" ht="54" hidden="false" customHeight="true" outlineLevel="0" collapsed="false">
      <c r="A2019" s="32" t="s">
        <v>12161</v>
      </c>
      <c r="B2019" s="32" t="s">
        <v>5330</v>
      </c>
      <c r="C2019" s="33" t="s">
        <v>1396</v>
      </c>
      <c r="D2019" s="33" t="s">
        <v>55</v>
      </c>
      <c r="E2019" s="33" t="s">
        <v>81</v>
      </c>
      <c r="F2019" s="33" t="s">
        <v>12162</v>
      </c>
      <c r="G2019" s="33" t="s">
        <v>9</v>
      </c>
      <c r="H2019" s="33" t="n">
        <v>50</v>
      </c>
    </row>
    <row r="2020" customFormat="false" ht="54" hidden="false" customHeight="true" outlineLevel="0" collapsed="false">
      <c r="A2020" s="32" t="s">
        <v>12163</v>
      </c>
      <c r="B2020" s="32" t="s">
        <v>5330</v>
      </c>
      <c r="C2020" s="33" t="s">
        <v>1396</v>
      </c>
      <c r="D2020" s="33" t="s">
        <v>55</v>
      </c>
      <c r="E2020" s="33" t="s">
        <v>81</v>
      </c>
      <c r="F2020" s="33" t="s">
        <v>12164</v>
      </c>
      <c r="G2020" s="33" t="s">
        <v>9</v>
      </c>
      <c r="H2020" s="33" t="n">
        <v>50</v>
      </c>
    </row>
    <row r="2021" customFormat="false" ht="54" hidden="false" customHeight="true" outlineLevel="0" collapsed="false">
      <c r="A2021" s="32" t="s">
        <v>12165</v>
      </c>
      <c r="B2021" s="32" t="s">
        <v>5330</v>
      </c>
      <c r="C2021" s="33" t="s">
        <v>1396</v>
      </c>
      <c r="D2021" s="33" t="s">
        <v>55</v>
      </c>
      <c r="E2021" s="33" t="s">
        <v>82</v>
      </c>
      <c r="F2021" s="33" t="s">
        <v>12166</v>
      </c>
      <c r="G2021" s="33" t="s">
        <v>9</v>
      </c>
      <c r="H2021" s="33" t="n">
        <v>50</v>
      </c>
    </row>
    <row r="2022" customFormat="false" ht="54" hidden="false" customHeight="true" outlineLevel="0" collapsed="false">
      <c r="A2022" s="32" t="s">
        <v>12167</v>
      </c>
      <c r="B2022" s="32" t="s">
        <v>5330</v>
      </c>
      <c r="C2022" s="33" t="s">
        <v>1396</v>
      </c>
      <c r="D2022" s="33" t="s">
        <v>55</v>
      </c>
      <c r="E2022" s="33" t="s">
        <v>82</v>
      </c>
      <c r="F2022" s="33" t="s">
        <v>12168</v>
      </c>
      <c r="G2022" s="33" t="s">
        <v>9</v>
      </c>
      <c r="H2022" s="33" t="n">
        <v>50</v>
      </c>
    </row>
    <row r="2023" customFormat="false" ht="54" hidden="false" customHeight="true" outlineLevel="0" collapsed="false">
      <c r="A2023" s="32" t="s">
        <v>12169</v>
      </c>
      <c r="B2023" s="32" t="s">
        <v>5330</v>
      </c>
      <c r="C2023" s="33" t="s">
        <v>1396</v>
      </c>
      <c r="D2023" s="33" t="s">
        <v>55</v>
      </c>
      <c r="E2023" s="33" t="s">
        <v>82</v>
      </c>
      <c r="F2023" s="33" t="s">
        <v>12164</v>
      </c>
      <c r="G2023" s="33" t="s">
        <v>9</v>
      </c>
      <c r="H2023" s="33" t="n">
        <v>50</v>
      </c>
    </row>
    <row r="2024" customFormat="false" ht="54" hidden="false" customHeight="true" outlineLevel="0" collapsed="false">
      <c r="A2024" s="32" t="s">
        <v>12170</v>
      </c>
      <c r="B2024" s="32" t="s">
        <v>5330</v>
      </c>
      <c r="C2024" s="33" t="s">
        <v>1396</v>
      </c>
      <c r="D2024" s="33" t="s">
        <v>55</v>
      </c>
      <c r="E2024" s="33" t="s">
        <v>82</v>
      </c>
      <c r="F2024" s="33" t="s">
        <v>12171</v>
      </c>
      <c r="G2024" s="33" t="s">
        <v>9</v>
      </c>
      <c r="H2024" s="33" t="n">
        <v>50</v>
      </c>
    </row>
    <row r="2025" customFormat="false" ht="54" hidden="false" customHeight="true" outlineLevel="0" collapsed="false">
      <c r="A2025" s="32" t="s">
        <v>12172</v>
      </c>
      <c r="B2025" s="32" t="s">
        <v>5330</v>
      </c>
      <c r="C2025" s="33" t="s">
        <v>1396</v>
      </c>
      <c r="D2025" s="33" t="s">
        <v>55</v>
      </c>
      <c r="E2025" s="33" t="s">
        <v>82</v>
      </c>
      <c r="F2025" s="33" t="s">
        <v>12173</v>
      </c>
      <c r="G2025" s="33" t="s">
        <v>9</v>
      </c>
      <c r="H2025" s="33" t="n">
        <v>50</v>
      </c>
    </row>
    <row r="2026" customFormat="false" ht="54" hidden="false" customHeight="true" outlineLevel="0" collapsed="false">
      <c r="A2026" s="32" t="s">
        <v>12174</v>
      </c>
      <c r="B2026" s="32" t="s">
        <v>5330</v>
      </c>
      <c r="C2026" s="33" t="s">
        <v>1396</v>
      </c>
      <c r="D2026" s="33" t="s">
        <v>55</v>
      </c>
      <c r="E2026" s="33" t="s">
        <v>83</v>
      </c>
      <c r="F2026" s="33" t="s">
        <v>12168</v>
      </c>
      <c r="G2026" s="33" t="s">
        <v>9</v>
      </c>
      <c r="H2026" s="33" t="n">
        <v>50</v>
      </c>
    </row>
    <row r="2027" customFormat="false" ht="54" hidden="false" customHeight="true" outlineLevel="0" collapsed="false">
      <c r="A2027" s="32" t="s">
        <v>12175</v>
      </c>
      <c r="B2027" s="32" t="s">
        <v>5330</v>
      </c>
      <c r="C2027" s="33" t="s">
        <v>1396</v>
      </c>
      <c r="D2027" s="33" t="s">
        <v>55</v>
      </c>
      <c r="E2027" s="33" t="s">
        <v>83</v>
      </c>
      <c r="F2027" s="33" t="s">
        <v>12171</v>
      </c>
      <c r="G2027" s="33" t="s">
        <v>9</v>
      </c>
      <c r="H2027" s="33" t="n">
        <v>50</v>
      </c>
    </row>
    <row r="2028" customFormat="false" ht="54" hidden="false" customHeight="true" outlineLevel="0" collapsed="false">
      <c r="A2028" s="32" t="s">
        <v>12176</v>
      </c>
      <c r="B2028" s="32" t="s">
        <v>5330</v>
      </c>
      <c r="C2028" s="33" t="s">
        <v>1396</v>
      </c>
      <c r="D2028" s="33" t="s">
        <v>55</v>
      </c>
      <c r="E2028" s="33" t="s">
        <v>83</v>
      </c>
      <c r="F2028" s="33" t="s">
        <v>12173</v>
      </c>
      <c r="G2028" s="33" t="s">
        <v>9</v>
      </c>
      <c r="H2028" s="33" t="n">
        <v>50</v>
      </c>
    </row>
    <row r="2029" customFormat="false" ht="54" hidden="false" customHeight="true" outlineLevel="0" collapsed="false">
      <c r="A2029" s="32" t="s">
        <v>12177</v>
      </c>
      <c r="B2029" s="32" t="s">
        <v>5330</v>
      </c>
      <c r="C2029" s="33" t="s">
        <v>1396</v>
      </c>
      <c r="D2029" s="33" t="s">
        <v>55</v>
      </c>
      <c r="E2029" s="33" t="s">
        <v>84</v>
      </c>
      <c r="F2029" s="33" t="s">
        <v>12178</v>
      </c>
      <c r="G2029" s="33" t="s">
        <v>9</v>
      </c>
      <c r="H2029" s="33" t="n">
        <v>50</v>
      </c>
    </row>
    <row r="2030" customFormat="false" ht="54" hidden="false" customHeight="true" outlineLevel="0" collapsed="false">
      <c r="A2030" s="32" t="s">
        <v>12179</v>
      </c>
      <c r="B2030" s="32" t="s">
        <v>5330</v>
      </c>
      <c r="C2030" s="33" t="s">
        <v>1396</v>
      </c>
      <c r="D2030" s="33" t="s">
        <v>55</v>
      </c>
      <c r="E2030" s="33" t="s">
        <v>84</v>
      </c>
      <c r="F2030" s="33" t="s">
        <v>12171</v>
      </c>
      <c r="G2030" s="33" t="s">
        <v>9</v>
      </c>
      <c r="H2030" s="33" t="n">
        <v>50</v>
      </c>
    </row>
    <row r="2031" customFormat="false" ht="54" hidden="false" customHeight="true" outlineLevel="0" collapsed="false">
      <c r="A2031" s="32" t="s">
        <v>12180</v>
      </c>
      <c r="B2031" s="32" t="s">
        <v>5345</v>
      </c>
      <c r="C2031" s="33" t="s">
        <v>1396</v>
      </c>
      <c r="D2031" s="33" t="s">
        <v>55</v>
      </c>
      <c r="E2031" s="33" t="s">
        <v>80</v>
      </c>
      <c r="F2031" s="33" t="s">
        <v>12181</v>
      </c>
      <c r="G2031" s="33" t="s">
        <v>9</v>
      </c>
      <c r="H2031" s="33" t="n">
        <v>50</v>
      </c>
    </row>
    <row r="2032" customFormat="false" ht="54" hidden="false" customHeight="true" outlineLevel="0" collapsed="false">
      <c r="A2032" s="32" t="s">
        <v>12182</v>
      </c>
      <c r="B2032" s="32" t="s">
        <v>5345</v>
      </c>
      <c r="C2032" s="33" t="s">
        <v>1396</v>
      </c>
      <c r="D2032" s="33" t="s">
        <v>55</v>
      </c>
      <c r="E2032" s="33" t="s">
        <v>80</v>
      </c>
      <c r="F2032" s="33" t="s">
        <v>5357</v>
      </c>
      <c r="G2032" s="33" t="s">
        <v>9</v>
      </c>
      <c r="H2032" s="33" t="n">
        <v>50</v>
      </c>
    </row>
    <row r="2033" customFormat="false" ht="54" hidden="false" customHeight="true" outlineLevel="0" collapsed="false">
      <c r="A2033" s="32" t="s">
        <v>12183</v>
      </c>
      <c r="B2033" s="32" t="s">
        <v>5345</v>
      </c>
      <c r="C2033" s="33" t="s">
        <v>1396</v>
      </c>
      <c r="D2033" s="33" t="s">
        <v>55</v>
      </c>
      <c r="E2033" s="33" t="s">
        <v>80</v>
      </c>
      <c r="F2033" s="33" t="s">
        <v>5350</v>
      </c>
      <c r="G2033" s="33" t="s">
        <v>9</v>
      </c>
      <c r="H2033" s="33" t="n">
        <v>50</v>
      </c>
    </row>
    <row r="2034" customFormat="false" ht="54" hidden="false" customHeight="true" outlineLevel="0" collapsed="false">
      <c r="A2034" s="32" t="s">
        <v>12184</v>
      </c>
      <c r="B2034" s="32" t="s">
        <v>5345</v>
      </c>
      <c r="C2034" s="33" t="s">
        <v>1396</v>
      </c>
      <c r="D2034" s="33" t="s">
        <v>55</v>
      </c>
      <c r="E2034" s="33" t="s">
        <v>80</v>
      </c>
      <c r="F2034" s="33" t="s">
        <v>12185</v>
      </c>
      <c r="G2034" s="33" t="s">
        <v>9</v>
      </c>
      <c r="H2034" s="33" t="n">
        <v>50</v>
      </c>
    </row>
    <row r="2035" customFormat="false" ht="54" hidden="false" customHeight="true" outlineLevel="0" collapsed="false">
      <c r="A2035" s="32" t="s">
        <v>12186</v>
      </c>
      <c r="B2035" s="32" t="s">
        <v>5345</v>
      </c>
      <c r="C2035" s="33" t="s">
        <v>1396</v>
      </c>
      <c r="D2035" s="33" t="s">
        <v>55</v>
      </c>
      <c r="E2035" s="33" t="s">
        <v>80</v>
      </c>
      <c r="F2035" s="33" t="s">
        <v>12187</v>
      </c>
      <c r="G2035" s="33" t="s">
        <v>9</v>
      </c>
      <c r="H2035" s="33" t="n">
        <v>50</v>
      </c>
    </row>
    <row r="2036" customFormat="false" ht="54" hidden="false" customHeight="true" outlineLevel="0" collapsed="false">
      <c r="A2036" s="32" t="s">
        <v>12188</v>
      </c>
      <c r="B2036" s="32" t="s">
        <v>5345</v>
      </c>
      <c r="C2036" s="33" t="s">
        <v>1396</v>
      </c>
      <c r="D2036" s="33" t="s">
        <v>55</v>
      </c>
      <c r="E2036" s="33" t="s">
        <v>81</v>
      </c>
      <c r="F2036" s="33" t="s">
        <v>5357</v>
      </c>
      <c r="G2036" s="33" t="s">
        <v>9</v>
      </c>
      <c r="H2036" s="33" t="n">
        <v>50</v>
      </c>
    </row>
    <row r="2037" customFormat="false" ht="54" hidden="false" customHeight="true" outlineLevel="0" collapsed="false">
      <c r="A2037" s="32" t="s">
        <v>12189</v>
      </c>
      <c r="B2037" s="32" t="s">
        <v>5345</v>
      </c>
      <c r="C2037" s="33" t="s">
        <v>1396</v>
      </c>
      <c r="D2037" s="33" t="s">
        <v>55</v>
      </c>
      <c r="E2037" s="33" t="s">
        <v>81</v>
      </c>
      <c r="F2037" s="33" t="s">
        <v>5350</v>
      </c>
      <c r="G2037" s="33" t="s">
        <v>9</v>
      </c>
      <c r="H2037" s="33" t="n">
        <v>50</v>
      </c>
    </row>
    <row r="2038" customFormat="false" ht="54" hidden="false" customHeight="true" outlineLevel="0" collapsed="false">
      <c r="A2038" s="32" t="s">
        <v>12190</v>
      </c>
      <c r="B2038" s="32" t="s">
        <v>5345</v>
      </c>
      <c r="C2038" s="33" t="s">
        <v>1396</v>
      </c>
      <c r="D2038" s="33" t="s">
        <v>55</v>
      </c>
      <c r="E2038" s="33" t="s">
        <v>81</v>
      </c>
      <c r="F2038" s="33" t="s">
        <v>12185</v>
      </c>
      <c r="G2038" s="33" t="s">
        <v>9</v>
      </c>
      <c r="H2038" s="33" t="n">
        <v>50</v>
      </c>
    </row>
    <row r="2039" customFormat="false" ht="54" hidden="false" customHeight="true" outlineLevel="0" collapsed="false">
      <c r="A2039" s="32" t="s">
        <v>12191</v>
      </c>
      <c r="B2039" s="32" t="s">
        <v>5345</v>
      </c>
      <c r="C2039" s="33" t="s">
        <v>1396</v>
      </c>
      <c r="D2039" s="33" t="s">
        <v>55</v>
      </c>
      <c r="E2039" s="33" t="s">
        <v>81</v>
      </c>
      <c r="F2039" s="33" t="s">
        <v>12187</v>
      </c>
      <c r="G2039" s="33" t="s">
        <v>9</v>
      </c>
      <c r="H2039" s="33" t="n">
        <v>50</v>
      </c>
    </row>
    <row r="2040" customFormat="false" ht="54" hidden="false" customHeight="true" outlineLevel="0" collapsed="false">
      <c r="A2040" s="32" t="s">
        <v>12192</v>
      </c>
      <c r="B2040" s="32" t="s">
        <v>5345</v>
      </c>
      <c r="C2040" s="33" t="s">
        <v>1396</v>
      </c>
      <c r="D2040" s="33" t="s">
        <v>55</v>
      </c>
      <c r="E2040" s="33" t="s">
        <v>81</v>
      </c>
      <c r="F2040" s="33" t="s">
        <v>12193</v>
      </c>
      <c r="G2040" s="33" t="s">
        <v>9</v>
      </c>
      <c r="H2040" s="33" t="n">
        <v>50</v>
      </c>
    </row>
    <row r="2041" customFormat="false" ht="54" hidden="false" customHeight="true" outlineLevel="0" collapsed="false">
      <c r="A2041" s="32" t="s">
        <v>12194</v>
      </c>
      <c r="B2041" s="32" t="s">
        <v>5345</v>
      </c>
      <c r="C2041" s="33" t="s">
        <v>1396</v>
      </c>
      <c r="D2041" s="33" t="s">
        <v>55</v>
      </c>
      <c r="E2041" s="33" t="s">
        <v>82</v>
      </c>
      <c r="F2041" s="33" t="s">
        <v>5357</v>
      </c>
      <c r="G2041" s="33" t="s">
        <v>9</v>
      </c>
      <c r="H2041" s="33" t="n">
        <v>50</v>
      </c>
    </row>
    <row r="2042" customFormat="false" ht="54" hidden="false" customHeight="true" outlineLevel="0" collapsed="false">
      <c r="A2042" s="32" t="s">
        <v>12195</v>
      </c>
      <c r="B2042" s="32" t="s">
        <v>5345</v>
      </c>
      <c r="C2042" s="33" t="s">
        <v>1396</v>
      </c>
      <c r="D2042" s="33" t="s">
        <v>55</v>
      </c>
      <c r="E2042" s="33" t="s">
        <v>84</v>
      </c>
      <c r="F2042" s="33" t="s">
        <v>12181</v>
      </c>
      <c r="G2042" s="33" t="s">
        <v>9</v>
      </c>
      <c r="H2042" s="33" t="n">
        <v>50</v>
      </c>
    </row>
    <row r="2043" customFormat="false" ht="54" hidden="false" customHeight="true" outlineLevel="0" collapsed="false">
      <c r="A2043" s="32" t="s">
        <v>12196</v>
      </c>
      <c r="B2043" s="32" t="s">
        <v>5345</v>
      </c>
      <c r="C2043" s="33" t="s">
        <v>1396</v>
      </c>
      <c r="D2043" s="33" t="s">
        <v>55</v>
      </c>
      <c r="E2043" s="33" t="s">
        <v>84</v>
      </c>
      <c r="F2043" s="33" t="s">
        <v>5357</v>
      </c>
      <c r="G2043" s="33" t="s">
        <v>9</v>
      </c>
      <c r="H2043" s="33" t="n">
        <v>50</v>
      </c>
    </row>
    <row r="2044" customFormat="false" ht="54" hidden="false" customHeight="true" outlineLevel="0" collapsed="false">
      <c r="A2044" s="32" t="s">
        <v>12197</v>
      </c>
      <c r="B2044" s="32" t="s">
        <v>5345</v>
      </c>
      <c r="C2044" s="33" t="s">
        <v>1396</v>
      </c>
      <c r="D2044" s="33" t="s">
        <v>55</v>
      </c>
      <c r="E2044" s="33" t="s">
        <v>84</v>
      </c>
      <c r="F2044" s="33" t="s">
        <v>5350</v>
      </c>
      <c r="G2044" s="33" t="s">
        <v>9</v>
      </c>
      <c r="H2044" s="33" t="n">
        <v>50</v>
      </c>
    </row>
    <row r="2045" customFormat="false" ht="54" hidden="false" customHeight="true" outlineLevel="0" collapsed="false">
      <c r="A2045" s="32" t="s">
        <v>12198</v>
      </c>
      <c r="B2045" s="32" t="s">
        <v>5345</v>
      </c>
      <c r="C2045" s="33" t="s">
        <v>1396</v>
      </c>
      <c r="D2045" s="33" t="s">
        <v>55</v>
      </c>
      <c r="E2045" s="33" t="s">
        <v>84</v>
      </c>
      <c r="F2045" s="33" t="s">
        <v>12185</v>
      </c>
      <c r="G2045" s="33" t="s">
        <v>9</v>
      </c>
      <c r="H2045" s="33" t="n">
        <v>50</v>
      </c>
    </row>
    <row r="2046" customFormat="false" ht="54" hidden="false" customHeight="true" outlineLevel="0" collapsed="false">
      <c r="A2046" s="32" t="s">
        <v>12199</v>
      </c>
      <c r="B2046" s="32" t="s">
        <v>5345</v>
      </c>
      <c r="C2046" s="33" t="s">
        <v>1396</v>
      </c>
      <c r="D2046" s="33" t="s">
        <v>55</v>
      </c>
      <c r="E2046" s="33" t="s">
        <v>84</v>
      </c>
      <c r="F2046" s="33" t="s">
        <v>12187</v>
      </c>
      <c r="G2046" s="33" t="s">
        <v>9</v>
      </c>
      <c r="H2046" s="33" t="n">
        <v>50</v>
      </c>
    </row>
    <row r="2047" customFormat="false" ht="54" hidden="false" customHeight="true" outlineLevel="0" collapsed="false">
      <c r="A2047" s="32" t="s">
        <v>12200</v>
      </c>
      <c r="B2047" s="32" t="s">
        <v>5345</v>
      </c>
      <c r="C2047" s="33" t="s">
        <v>1396</v>
      </c>
      <c r="D2047" s="33" t="s">
        <v>55</v>
      </c>
      <c r="E2047" s="33" t="s">
        <v>84</v>
      </c>
      <c r="F2047" s="33" t="s">
        <v>12193</v>
      </c>
      <c r="G2047" s="33" t="s">
        <v>9</v>
      </c>
      <c r="H2047" s="33" t="n">
        <v>50</v>
      </c>
    </row>
    <row r="2048" customFormat="false" ht="54" hidden="false" customHeight="true" outlineLevel="0" collapsed="false">
      <c r="A2048" s="32" t="s">
        <v>12201</v>
      </c>
      <c r="B2048" s="32" t="s">
        <v>5361</v>
      </c>
      <c r="C2048" s="33" t="s">
        <v>98</v>
      </c>
      <c r="D2048" s="33" t="s">
        <v>59</v>
      </c>
      <c r="E2048" s="33" t="s">
        <v>80</v>
      </c>
      <c r="F2048" s="33" t="s">
        <v>183</v>
      </c>
      <c r="G2048" s="33" t="s">
        <v>12</v>
      </c>
      <c r="H2048" s="33" t="n">
        <v>10</v>
      </c>
    </row>
    <row r="2049" customFormat="false" ht="54" hidden="false" customHeight="true" outlineLevel="0" collapsed="false">
      <c r="A2049" s="32" t="s">
        <v>12202</v>
      </c>
      <c r="B2049" s="32" t="s">
        <v>5361</v>
      </c>
      <c r="C2049" s="33" t="s">
        <v>98</v>
      </c>
      <c r="D2049" s="33" t="s">
        <v>59</v>
      </c>
      <c r="E2049" s="33" t="s">
        <v>80</v>
      </c>
      <c r="F2049" s="33" t="s">
        <v>12203</v>
      </c>
      <c r="G2049" s="33" t="s">
        <v>12</v>
      </c>
      <c r="H2049" s="33" t="n">
        <v>10</v>
      </c>
    </row>
    <row r="2050" customFormat="false" ht="54" hidden="false" customHeight="true" outlineLevel="0" collapsed="false">
      <c r="A2050" s="32" t="s">
        <v>12204</v>
      </c>
      <c r="B2050" s="32" t="s">
        <v>5361</v>
      </c>
      <c r="C2050" s="33" t="s">
        <v>98</v>
      </c>
      <c r="D2050" s="33" t="s">
        <v>59</v>
      </c>
      <c r="E2050" s="33" t="s">
        <v>82</v>
      </c>
      <c r="F2050" s="33" t="s">
        <v>12205</v>
      </c>
      <c r="G2050" s="33" t="s">
        <v>12</v>
      </c>
      <c r="H2050" s="33" t="n">
        <v>10</v>
      </c>
    </row>
    <row r="2051" customFormat="false" ht="54" hidden="false" customHeight="true" outlineLevel="0" collapsed="false">
      <c r="A2051" s="32" t="s">
        <v>12206</v>
      </c>
      <c r="B2051" s="32" t="s">
        <v>5361</v>
      </c>
      <c r="C2051" s="33" t="s">
        <v>98</v>
      </c>
      <c r="D2051" s="33" t="s">
        <v>59</v>
      </c>
      <c r="E2051" s="33" t="s">
        <v>82</v>
      </c>
      <c r="F2051" s="33" t="s">
        <v>12207</v>
      </c>
      <c r="G2051" s="33" t="s">
        <v>12</v>
      </c>
      <c r="H2051" s="33" t="n">
        <v>10</v>
      </c>
    </row>
    <row r="2052" customFormat="false" ht="54" hidden="false" customHeight="true" outlineLevel="0" collapsed="false">
      <c r="A2052" s="32" t="s">
        <v>12208</v>
      </c>
      <c r="B2052" s="32" t="s">
        <v>5361</v>
      </c>
      <c r="C2052" s="33" t="s">
        <v>98</v>
      </c>
      <c r="D2052" s="33" t="s">
        <v>59</v>
      </c>
      <c r="E2052" s="33" t="s">
        <v>84</v>
      </c>
      <c r="F2052" s="33" t="s">
        <v>5367</v>
      </c>
      <c r="G2052" s="33" t="s">
        <v>12</v>
      </c>
      <c r="H2052" s="33" t="n">
        <v>10</v>
      </c>
    </row>
    <row r="2053" customFormat="false" ht="54" hidden="false" customHeight="true" outlineLevel="0" collapsed="false">
      <c r="A2053" s="32" t="s">
        <v>12209</v>
      </c>
      <c r="B2053" s="32" t="s">
        <v>5361</v>
      </c>
      <c r="C2053" s="33" t="s">
        <v>98</v>
      </c>
      <c r="D2053" s="33" t="s">
        <v>59</v>
      </c>
      <c r="E2053" s="33" t="s">
        <v>84</v>
      </c>
      <c r="F2053" s="33" t="s">
        <v>5368</v>
      </c>
      <c r="G2053" s="33" t="s">
        <v>12</v>
      </c>
      <c r="H2053" s="33" t="n">
        <v>10</v>
      </c>
    </row>
    <row r="2054" customFormat="false" ht="54" hidden="false" customHeight="true" outlineLevel="0" collapsed="false">
      <c r="A2054" s="32" t="s">
        <v>12210</v>
      </c>
      <c r="B2054" s="32" t="s">
        <v>5361</v>
      </c>
      <c r="C2054" s="33" t="s">
        <v>98</v>
      </c>
      <c r="D2054" s="33" t="s">
        <v>59</v>
      </c>
      <c r="E2054" s="33" t="s">
        <v>84</v>
      </c>
      <c r="F2054" s="33" t="s">
        <v>5369</v>
      </c>
      <c r="G2054" s="33" t="s">
        <v>12</v>
      </c>
      <c r="H2054" s="33" t="n">
        <v>10</v>
      </c>
    </row>
    <row r="2055" customFormat="false" ht="54" hidden="false" customHeight="true" outlineLevel="0" collapsed="false">
      <c r="A2055" s="32" t="s">
        <v>12211</v>
      </c>
      <c r="B2055" s="32" t="s">
        <v>5361</v>
      </c>
      <c r="C2055" s="33" t="s">
        <v>98</v>
      </c>
      <c r="D2055" s="33" t="s">
        <v>59</v>
      </c>
      <c r="E2055" s="33" t="s">
        <v>84</v>
      </c>
      <c r="F2055" s="33" t="s">
        <v>183</v>
      </c>
      <c r="G2055" s="33" t="s">
        <v>12</v>
      </c>
      <c r="H2055" s="33" t="n">
        <v>10</v>
      </c>
    </row>
    <row r="2056" customFormat="false" ht="54" hidden="false" customHeight="true" outlineLevel="0" collapsed="false">
      <c r="A2056" s="32" t="s">
        <v>12212</v>
      </c>
      <c r="B2056" s="32" t="s">
        <v>5361</v>
      </c>
      <c r="C2056" s="33" t="s">
        <v>98</v>
      </c>
      <c r="D2056" s="33" t="s">
        <v>59</v>
      </c>
      <c r="E2056" s="33" t="s">
        <v>84</v>
      </c>
      <c r="F2056" s="33" t="s">
        <v>12205</v>
      </c>
      <c r="G2056" s="33" t="s">
        <v>12</v>
      </c>
      <c r="H2056" s="33" t="n">
        <v>10</v>
      </c>
    </row>
    <row r="2057" customFormat="false" ht="54" hidden="false" customHeight="true" outlineLevel="0" collapsed="false">
      <c r="A2057" s="32" t="s">
        <v>12213</v>
      </c>
      <c r="B2057" s="32" t="s">
        <v>5361</v>
      </c>
      <c r="C2057" s="33" t="s">
        <v>98</v>
      </c>
      <c r="D2057" s="33" t="s">
        <v>59</v>
      </c>
      <c r="E2057" s="33" t="s">
        <v>84</v>
      </c>
      <c r="F2057" s="33" t="s">
        <v>12203</v>
      </c>
      <c r="G2057" s="33" t="s">
        <v>12</v>
      </c>
      <c r="H2057" s="33" t="n">
        <v>10</v>
      </c>
    </row>
    <row r="2058" customFormat="false" ht="54" hidden="false" customHeight="true" outlineLevel="0" collapsed="false">
      <c r="A2058" s="32" t="s">
        <v>12214</v>
      </c>
      <c r="B2058" s="32" t="s">
        <v>5378</v>
      </c>
      <c r="C2058" s="33" t="s">
        <v>98</v>
      </c>
      <c r="D2058" s="33" t="s">
        <v>59</v>
      </c>
      <c r="E2058" s="33" t="s">
        <v>80</v>
      </c>
      <c r="F2058" s="33" t="s">
        <v>5383</v>
      </c>
      <c r="G2058" s="33" t="s">
        <v>12</v>
      </c>
      <c r="H2058" s="33" t="n">
        <v>10</v>
      </c>
    </row>
    <row r="2059" customFormat="false" ht="54" hidden="false" customHeight="true" outlineLevel="0" collapsed="false">
      <c r="A2059" s="32" t="s">
        <v>12215</v>
      </c>
      <c r="B2059" s="32" t="s">
        <v>5378</v>
      </c>
      <c r="C2059" s="33" t="s">
        <v>98</v>
      </c>
      <c r="D2059" s="33" t="s">
        <v>59</v>
      </c>
      <c r="E2059" s="33" t="s">
        <v>80</v>
      </c>
      <c r="F2059" s="33" t="s">
        <v>183</v>
      </c>
      <c r="G2059" s="33" t="s">
        <v>12</v>
      </c>
      <c r="H2059" s="33" t="n">
        <v>10</v>
      </c>
    </row>
    <row r="2060" customFormat="false" ht="54" hidden="false" customHeight="true" outlineLevel="0" collapsed="false">
      <c r="A2060" s="32" t="s">
        <v>12216</v>
      </c>
      <c r="B2060" s="32" t="s">
        <v>5378</v>
      </c>
      <c r="C2060" s="33" t="s">
        <v>98</v>
      </c>
      <c r="D2060" s="33" t="s">
        <v>59</v>
      </c>
      <c r="E2060" s="33" t="s">
        <v>80</v>
      </c>
      <c r="F2060" s="33" t="s">
        <v>12217</v>
      </c>
      <c r="G2060" s="33" t="s">
        <v>12</v>
      </c>
      <c r="H2060" s="33" t="n">
        <v>10</v>
      </c>
    </row>
    <row r="2061" customFormat="false" ht="54" hidden="false" customHeight="true" outlineLevel="0" collapsed="false">
      <c r="A2061" s="32" t="s">
        <v>12218</v>
      </c>
      <c r="B2061" s="32" t="s">
        <v>5378</v>
      </c>
      <c r="C2061" s="33" t="s">
        <v>98</v>
      </c>
      <c r="D2061" s="33" t="s">
        <v>59</v>
      </c>
      <c r="E2061" s="33" t="s">
        <v>80</v>
      </c>
      <c r="F2061" s="33" t="s">
        <v>12219</v>
      </c>
      <c r="G2061" s="33" t="s">
        <v>12</v>
      </c>
      <c r="H2061" s="33" t="n">
        <v>10</v>
      </c>
    </row>
    <row r="2062" customFormat="false" ht="54" hidden="false" customHeight="true" outlineLevel="0" collapsed="false">
      <c r="A2062" s="32" t="s">
        <v>12220</v>
      </c>
      <c r="B2062" s="32" t="s">
        <v>5378</v>
      </c>
      <c r="C2062" s="33" t="s">
        <v>98</v>
      </c>
      <c r="D2062" s="33" t="s">
        <v>59</v>
      </c>
      <c r="E2062" s="33" t="s">
        <v>82</v>
      </c>
      <c r="F2062" s="33" t="s">
        <v>12217</v>
      </c>
      <c r="G2062" s="33" t="s">
        <v>12</v>
      </c>
      <c r="H2062" s="33" t="n">
        <v>10</v>
      </c>
    </row>
    <row r="2063" customFormat="false" ht="54" hidden="false" customHeight="true" outlineLevel="0" collapsed="false">
      <c r="A2063" s="32" t="s">
        <v>12221</v>
      </c>
      <c r="B2063" s="32" t="s">
        <v>5378</v>
      </c>
      <c r="C2063" s="33" t="s">
        <v>98</v>
      </c>
      <c r="D2063" s="33" t="s">
        <v>59</v>
      </c>
      <c r="E2063" s="33" t="s">
        <v>82</v>
      </c>
      <c r="F2063" s="33" t="s">
        <v>12207</v>
      </c>
      <c r="G2063" s="33" t="s">
        <v>12</v>
      </c>
      <c r="H2063" s="33" t="n">
        <v>10</v>
      </c>
    </row>
    <row r="2064" customFormat="false" ht="54" hidden="false" customHeight="true" outlineLevel="0" collapsed="false">
      <c r="A2064" s="32" t="s">
        <v>12222</v>
      </c>
      <c r="B2064" s="32" t="s">
        <v>5378</v>
      </c>
      <c r="C2064" s="33" t="s">
        <v>98</v>
      </c>
      <c r="D2064" s="33" t="s">
        <v>59</v>
      </c>
      <c r="E2064" s="33" t="s">
        <v>84</v>
      </c>
      <c r="F2064" s="33" t="s">
        <v>5382</v>
      </c>
      <c r="G2064" s="33" t="s">
        <v>12</v>
      </c>
      <c r="H2064" s="33" t="n">
        <v>10</v>
      </c>
    </row>
    <row r="2065" customFormat="false" ht="54" hidden="false" customHeight="true" outlineLevel="0" collapsed="false">
      <c r="A2065" s="32" t="s">
        <v>12223</v>
      </c>
      <c r="B2065" s="32" t="s">
        <v>5378</v>
      </c>
      <c r="C2065" s="33" t="s">
        <v>98</v>
      </c>
      <c r="D2065" s="33" t="s">
        <v>59</v>
      </c>
      <c r="E2065" s="33" t="s">
        <v>84</v>
      </c>
      <c r="F2065" s="33" t="s">
        <v>5383</v>
      </c>
      <c r="G2065" s="33" t="s">
        <v>12</v>
      </c>
      <c r="H2065" s="33" t="n">
        <v>10</v>
      </c>
    </row>
    <row r="2066" customFormat="false" ht="54" hidden="false" customHeight="true" outlineLevel="0" collapsed="false">
      <c r="A2066" s="32" t="s">
        <v>12224</v>
      </c>
      <c r="B2066" s="32" t="s">
        <v>5378</v>
      </c>
      <c r="C2066" s="33" t="s">
        <v>98</v>
      </c>
      <c r="D2066" s="33" t="s">
        <v>59</v>
      </c>
      <c r="E2066" s="33" t="s">
        <v>84</v>
      </c>
      <c r="F2066" s="33" t="s">
        <v>183</v>
      </c>
      <c r="G2066" s="33" t="s">
        <v>12</v>
      </c>
      <c r="H2066" s="33" t="n">
        <v>10</v>
      </c>
    </row>
    <row r="2067" customFormat="false" ht="54" hidden="false" customHeight="true" outlineLevel="0" collapsed="false">
      <c r="A2067" s="32" t="s">
        <v>12225</v>
      </c>
      <c r="B2067" s="32" t="s">
        <v>5378</v>
      </c>
      <c r="C2067" s="33" t="s">
        <v>98</v>
      </c>
      <c r="D2067" s="33" t="s">
        <v>59</v>
      </c>
      <c r="E2067" s="33" t="s">
        <v>84</v>
      </c>
      <c r="F2067" s="33" t="s">
        <v>12217</v>
      </c>
      <c r="G2067" s="33" t="s">
        <v>12</v>
      </c>
      <c r="H2067" s="33" t="n">
        <v>10</v>
      </c>
    </row>
    <row r="2068" customFormat="false" ht="54" hidden="false" customHeight="true" outlineLevel="0" collapsed="false">
      <c r="A2068" s="32" t="s">
        <v>12226</v>
      </c>
      <c r="B2068" s="32" t="s">
        <v>5378</v>
      </c>
      <c r="C2068" s="33" t="s">
        <v>98</v>
      </c>
      <c r="D2068" s="33" t="s">
        <v>59</v>
      </c>
      <c r="E2068" s="33" t="s">
        <v>84</v>
      </c>
      <c r="F2068" s="33" t="s">
        <v>12219</v>
      </c>
      <c r="G2068" s="33" t="s">
        <v>12</v>
      </c>
      <c r="H2068" s="33" t="n">
        <v>10</v>
      </c>
    </row>
    <row r="2069" customFormat="false" ht="54" hidden="false" customHeight="true" outlineLevel="0" collapsed="false">
      <c r="A2069" s="32" t="s">
        <v>12227</v>
      </c>
      <c r="B2069" s="32" t="s">
        <v>5391</v>
      </c>
      <c r="C2069" s="33" t="s">
        <v>98</v>
      </c>
      <c r="D2069" s="33" t="s">
        <v>59</v>
      </c>
      <c r="E2069" s="33" t="s">
        <v>80</v>
      </c>
      <c r="F2069" s="33" t="s">
        <v>183</v>
      </c>
      <c r="G2069" s="33" t="s">
        <v>9</v>
      </c>
      <c r="H2069" s="33" t="n">
        <v>10</v>
      </c>
    </row>
    <row r="2070" customFormat="false" ht="54" hidden="false" customHeight="true" outlineLevel="0" collapsed="false">
      <c r="A2070" s="32" t="s">
        <v>12228</v>
      </c>
      <c r="B2070" s="32" t="s">
        <v>5391</v>
      </c>
      <c r="C2070" s="33" t="s">
        <v>98</v>
      </c>
      <c r="D2070" s="33" t="s">
        <v>59</v>
      </c>
      <c r="E2070" s="33" t="s">
        <v>82</v>
      </c>
      <c r="F2070" s="33" t="s">
        <v>5396</v>
      </c>
      <c r="G2070" s="33" t="s">
        <v>9</v>
      </c>
      <c r="H2070" s="33" t="n">
        <v>10</v>
      </c>
    </row>
    <row r="2071" customFormat="false" ht="54" hidden="false" customHeight="true" outlineLevel="0" collapsed="false">
      <c r="A2071" s="32" t="s">
        <v>12229</v>
      </c>
      <c r="B2071" s="32" t="s">
        <v>5391</v>
      </c>
      <c r="C2071" s="33" t="s">
        <v>98</v>
      </c>
      <c r="D2071" s="33" t="s">
        <v>59</v>
      </c>
      <c r="E2071" s="33" t="s">
        <v>84</v>
      </c>
      <c r="F2071" s="33" t="s">
        <v>183</v>
      </c>
      <c r="G2071" s="33" t="s">
        <v>9</v>
      </c>
      <c r="H2071" s="33" t="n">
        <v>10</v>
      </c>
    </row>
    <row r="2072" customFormat="false" ht="54" hidden="false" customHeight="true" outlineLevel="0" collapsed="false">
      <c r="A2072" s="32" t="s">
        <v>12230</v>
      </c>
      <c r="B2072" s="32" t="s">
        <v>5403</v>
      </c>
      <c r="C2072" s="33" t="s">
        <v>98</v>
      </c>
      <c r="D2072" s="33" t="s">
        <v>59</v>
      </c>
      <c r="E2072" s="33" t="s">
        <v>80</v>
      </c>
      <c r="F2072" s="33" t="s">
        <v>183</v>
      </c>
      <c r="G2072" s="33" t="s">
        <v>12</v>
      </c>
      <c r="H2072" s="33" t="n">
        <v>10</v>
      </c>
    </row>
    <row r="2073" customFormat="false" ht="54" hidden="false" customHeight="true" outlineLevel="0" collapsed="false">
      <c r="A2073" s="32" t="s">
        <v>12231</v>
      </c>
      <c r="B2073" s="32" t="s">
        <v>5403</v>
      </c>
      <c r="C2073" s="33" t="s">
        <v>98</v>
      </c>
      <c r="D2073" s="33" t="s">
        <v>59</v>
      </c>
      <c r="E2073" s="33" t="s">
        <v>81</v>
      </c>
      <c r="F2073" s="33" t="s">
        <v>5414</v>
      </c>
      <c r="G2073" s="33" t="s">
        <v>12</v>
      </c>
      <c r="H2073" s="33" t="n">
        <v>10</v>
      </c>
    </row>
    <row r="2074" customFormat="false" ht="54" hidden="false" customHeight="true" outlineLevel="0" collapsed="false">
      <c r="A2074" s="32" t="s">
        <v>12232</v>
      </c>
      <c r="B2074" s="32" t="s">
        <v>5403</v>
      </c>
      <c r="C2074" s="33" t="s">
        <v>98</v>
      </c>
      <c r="D2074" s="33" t="s">
        <v>59</v>
      </c>
      <c r="E2074" s="33" t="s">
        <v>82</v>
      </c>
      <c r="F2074" s="33" t="s">
        <v>5410</v>
      </c>
      <c r="G2074" s="33" t="s">
        <v>12</v>
      </c>
      <c r="H2074" s="33" t="n">
        <v>10</v>
      </c>
    </row>
    <row r="2075" customFormat="false" ht="54" hidden="false" customHeight="true" outlineLevel="0" collapsed="false">
      <c r="A2075" s="32" t="s">
        <v>12233</v>
      </c>
      <c r="B2075" s="32" t="s">
        <v>5403</v>
      </c>
      <c r="C2075" s="33" t="s">
        <v>98</v>
      </c>
      <c r="D2075" s="33" t="s">
        <v>59</v>
      </c>
      <c r="E2075" s="33" t="s">
        <v>84</v>
      </c>
      <c r="F2075" s="33" t="s">
        <v>183</v>
      </c>
      <c r="G2075" s="33" t="s">
        <v>12</v>
      </c>
      <c r="H2075" s="33" t="n">
        <v>10</v>
      </c>
    </row>
    <row r="2076" customFormat="false" ht="54" hidden="false" customHeight="true" outlineLevel="0" collapsed="false">
      <c r="A2076" s="32" t="s">
        <v>12234</v>
      </c>
      <c r="B2076" s="32" t="s">
        <v>5403</v>
      </c>
      <c r="C2076" s="33" t="s">
        <v>98</v>
      </c>
      <c r="D2076" s="33" t="s">
        <v>59</v>
      </c>
      <c r="E2076" s="33" t="s">
        <v>84</v>
      </c>
      <c r="F2076" s="33" t="s">
        <v>5414</v>
      </c>
      <c r="G2076" s="33" t="s">
        <v>12</v>
      </c>
      <c r="H2076" s="33" t="n">
        <v>10</v>
      </c>
    </row>
    <row r="2077" customFormat="false" ht="54" hidden="false" customHeight="true" outlineLevel="0" collapsed="false">
      <c r="A2077" s="32" t="s">
        <v>12235</v>
      </c>
      <c r="B2077" s="32" t="s">
        <v>5418</v>
      </c>
      <c r="C2077" s="33" t="s">
        <v>98</v>
      </c>
      <c r="D2077" s="33" t="s">
        <v>59</v>
      </c>
      <c r="E2077" s="33" t="s">
        <v>80</v>
      </c>
      <c r="F2077" s="33" t="s">
        <v>183</v>
      </c>
      <c r="G2077" s="33" t="s">
        <v>12</v>
      </c>
      <c r="H2077" s="33" t="n">
        <v>10</v>
      </c>
    </row>
    <row r="2078" customFormat="false" ht="54" hidden="false" customHeight="true" outlineLevel="0" collapsed="false">
      <c r="A2078" s="32" t="s">
        <v>12236</v>
      </c>
      <c r="B2078" s="32" t="s">
        <v>5418</v>
      </c>
      <c r="C2078" s="33" t="s">
        <v>98</v>
      </c>
      <c r="D2078" s="33" t="s">
        <v>59</v>
      </c>
      <c r="E2078" s="33" t="s">
        <v>81</v>
      </c>
      <c r="F2078" s="33" t="s">
        <v>5426</v>
      </c>
      <c r="G2078" s="33" t="s">
        <v>12</v>
      </c>
      <c r="H2078" s="33" t="n">
        <v>10</v>
      </c>
    </row>
    <row r="2079" customFormat="false" ht="54" hidden="false" customHeight="true" outlineLevel="0" collapsed="false">
      <c r="A2079" s="32" t="s">
        <v>12237</v>
      </c>
      <c r="B2079" s="32" t="s">
        <v>5418</v>
      </c>
      <c r="C2079" s="33" t="s">
        <v>98</v>
      </c>
      <c r="D2079" s="33" t="s">
        <v>59</v>
      </c>
      <c r="E2079" s="33" t="s">
        <v>82</v>
      </c>
      <c r="F2079" s="33" t="s">
        <v>5422</v>
      </c>
      <c r="G2079" s="33" t="s">
        <v>12</v>
      </c>
      <c r="H2079" s="33" t="n">
        <v>10</v>
      </c>
    </row>
    <row r="2080" customFormat="false" ht="54" hidden="false" customHeight="true" outlineLevel="0" collapsed="false">
      <c r="A2080" s="32" t="s">
        <v>12238</v>
      </c>
      <c r="B2080" s="32" t="s">
        <v>5418</v>
      </c>
      <c r="C2080" s="33" t="s">
        <v>98</v>
      </c>
      <c r="D2080" s="33" t="s">
        <v>59</v>
      </c>
      <c r="E2080" s="33" t="s">
        <v>84</v>
      </c>
      <c r="F2080" s="33" t="s">
        <v>183</v>
      </c>
      <c r="G2080" s="33" t="s">
        <v>12</v>
      </c>
      <c r="H2080" s="33" t="n">
        <v>10</v>
      </c>
    </row>
    <row r="2081" customFormat="false" ht="54" hidden="false" customHeight="true" outlineLevel="0" collapsed="false">
      <c r="A2081" s="32" t="s">
        <v>12239</v>
      </c>
      <c r="B2081" s="32" t="s">
        <v>5427</v>
      </c>
      <c r="C2081" s="33" t="s">
        <v>98</v>
      </c>
      <c r="D2081" s="33" t="s">
        <v>59</v>
      </c>
      <c r="E2081" s="33" t="s">
        <v>80</v>
      </c>
      <c r="F2081" s="33" t="s">
        <v>183</v>
      </c>
      <c r="G2081" s="33" t="s">
        <v>12</v>
      </c>
      <c r="H2081" s="33" t="n">
        <v>10</v>
      </c>
    </row>
    <row r="2082" customFormat="false" ht="54" hidden="false" customHeight="true" outlineLevel="0" collapsed="false">
      <c r="A2082" s="32" t="s">
        <v>12240</v>
      </c>
      <c r="B2082" s="32" t="s">
        <v>5427</v>
      </c>
      <c r="C2082" s="33" t="s">
        <v>98</v>
      </c>
      <c r="D2082" s="33" t="s">
        <v>59</v>
      </c>
      <c r="E2082" s="33" t="s">
        <v>81</v>
      </c>
      <c r="F2082" s="33" t="s">
        <v>5432</v>
      </c>
      <c r="G2082" s="33" t="s">
        <v>12</v>
      </c>
      <c r="H2082" s="33" t="n">
        <v>10</v>
      </c>
    </row>
    <row r="2083" customFormat="false" ht="54" hidden="false" customHeight="true" outlineLevel="0" collapsed="false">
      <c r="A2083" s="32" t="s">
        <v>12241</v>
      </c>
      <c r="B2083" s="32" t="s">
        <v>5427</v>
      </c>
      <c r="C2083" s="33" t="s">
        <v>98</v>
      </c>
      <c r="D2083" s="33" t="s">
        <v>59</v>
      </c>
      <c r="E2083" s="33" t="s">
        <v>82</v>
      </c>
      <c r="F2083" s="33" t="s">
        <v>5431</v>
      </c>
      <c r="G2083" s="33" t="s">
        <v>12</v>
      </c>
      <c r="H2083" s="33" t="n">
        <v>10</v>
      </c>
    </row>
    <row r="2084" customFormat="false" ht="54" hidden="false" customHeight="true" outlineLevel="0" collapsed="false">
      <c r="A2084" s="32" t="s">
        <v>12242</v>
      </c>
      <c r="B2084" s="32" t="s">
        <v>5427</v>
      </c>
      <c r="C2084" s="33" t="s">
        <v>98</v>
      </c>
      <c r="D2084" s="33" t="s">
        <v>59</v>
      </c>
      <c r="E2084" s="33" t="s">
        <v>82</v>
      </c>
      <c r="F2084" s="33" t="s">
        <v>5433</v>
      </c>
      <c r="G2084" s="33" t="s">
        <v>12</v>
      </c>
      <c r="H2084" s="33" t="n">
        <v>10</v>
      </c>
    </row>
    <row r="2085" customFormat="false" ht="54" hidden="false" customHeight="true" outlineLevel="0" collapsed="false">
      <c r="A2085" s="32" t="s">
        <v>12243</v>
      </c>
      <c r="B2085" s="32" t="s">
        <v>5427</v>
      </c>
      <c r="C2085" s="33" t="s">
        <v>98</v>
      </c>
      <c r="D2085" s="33" t="s">
        <v>59</v>
      </c>
      <c r="E2085" s="33" t="s">
        <v>82</v>
      </c>
      <c r="F2085" s="33" t="s">
        <v>12244</v>
      </c>
      <c r="G2085" s="33" t="s">
        <v>12</v>
      </c>
      <c r="H2085" s="33" t="n">
        <v>10</v>
      </c>
    </row>
    <row r="2086" customFormat="false" ht="54" hidden="false" customHeight="true" outlineLevel="0" collapsed="false">
      <c r="A2086" s="32" t="s">
        <v>12245</v>
      </c>
      <c r="B2086" s="32" t="s">
        <v>5427</v>
      </c>
      <c r="C2086" s="33" t="s">
        <v>98</v>
      </c>
      <c r="D2086" s="33" t="s">
        <v>59</v>
      </c>
      <c r="E2086" s="33" t="s">
        <v>84</v>
      </c>
      <c r="F2086" s="33" t="s">
        <v>183</v>
      </c>
      <c r="G2086" s="33" t="s">
        <v>12</v>
      </c>
      <c r="H2086" s="33" t="n">
        <v>10</v>
      </c>
    </row>
    <row r="2087" customFormat="false" ht="54" hidden="false" customHeight="true" outlineLevel="0" collapsed="false">
      <c r="A2087" s="32" t="s">
        <v>12246</v>
      </c>
      <c r="B2087" s="32" t="s">
        <v>5440</v>
      </c>
      <c r="C2087" s="33" t="s">
        <v>98</v>
      </c>
      <c r="D2087" s="33" t="s">
        <v>59</v>
      </c>
      <c r="E2087" s="33" t="s">
        <v>80</v>
      </c>
      <c r="F2087" s="33" t="s">
        <v>5444</v>
      </c>
      <c r="G2087" s="33" t="s">
        <v>9</v>
      </c>
      <c r="H2087" s="33" t="n">
        <v>10</v>
      </c>
    </row>
    <row r="2088" customFormat="false" ht="54" hidden="false" customHeight="true" outlineLevel="0" collapsed="false">
      <c r="A2088" s="32" t="s">
        <v>12247</v>
      </c>
      <c r="B2088" s="32" t="s">
        <v>5440</v>
      </c>
      <c r="C2088" s="33" t="s">
        <v>98</v>
      </c>
      <c r="D2088" s="33" t="s">
        <v>59</v>
      </c>
      <c r="E2088" s="33" t="s">
        <v>80</v>
      </c>
      <c r="F2088" s="33" t="s">
        <v>183</v>
      </c>
      <c r="G2088" s="33" t="s">
        <v>9</v>
      </c>
      <c r="H2088" s="33" t="n">
        <v>10</v>
      </c>
    </row>
    <row r="2089" customFormat="false" ht="54" hidden="false" customHeight="true" outlineLevel="0" collapsed="false">
      <c r="A2089" s="32" t="s">
        <v>12248</v>
      </c>
      <c r="B2089" s="32" t="s">
        <v>5440</v>
      </c>
      <c r="C2089" s="33" t="s">
        <v>98</v>
      </c>
      <c r="D2089" s="33" t="s">
        <v>59</v>
      </c>
      <c r="E2089" s="33" t="s">
        <v>80</v>
      </c>
      <c r="F2089" s="33" t="s">
        <v>5452</v>
      </c>
      <c r="G2089" s="33" t="s">
        <v>9</v>
      </c>
      <c r="H2089" s="33" t="n">
        <v>10</v>
      </c>
    </row>
    <row r="2090" customFormat="false" ht="54" hidden="false" customHeight="true" outlineLevel="0" collapsed="false">
      <c r="A2090" s="32" t="s">
        <v>12249</v>
      </c>
      <c r="B2090" s="32" t="s">
        <v>5440</v>
      </c>
      <c r="C2090" s="33" t="s">
        <v>98</v>
      </c>
      <c r="D2090" s="33" t="s">
        <v>59</v>
      </c>
      <c r="E2090" s="33" t="s">
        <v>82</v>
      </c>
      <c r="F2090" s="33" t="s">
        <v>5452</v>
      </c>
      <c r="G2090" s="33" t="s">
        <v>9</v>
      </c>
      <c r="H2090" s="33" t="n">
        <v>10</v>
      </c>
    </row>
    <row r="2091" customFormat="false" ht="54" hidden="false" customHeight="true" outlineLevel="0" collapsed="false">
      <c r="A2091" s="32" t="s">
        <v>12250</v>
      </c>
      <c r="B2091" s="32" t="s">
        <v>5440</v>
      </c>
      <c r="C2091" s="33" t="s">
        <v>98</v>
      </c>
      <c r="D2091" s="33" t="s">
        <v>59</v>
      </c>
      <c r="E2091" s="33" t="s">
        <v>82</v>
      </c>
      <c r="F2091" s="33" t="s">
        <v>12251</v>
      </c>
      <c r="G2091" s="33" t="s">
        <v>9</v>
      </c>
      <c r="H2091" s="33" t="n">
        <v>10</v>
      </c>
    </row>
    <row r="2092" customFormat="false" ht="54" hidden="false" customHeight="true" outlineLevel="0" collapsed="false">
      <c r="A2092" s="32" t="s">
        <v>12252</v>
      </c>
      <c r="B2092" s="32" t="s">
        <v>5440</v>
      </c>
      <c r="C2092" s="33" t="s">
        <v>98</v>
      </c>
      <c r="D2092" s="33" t="s">
        <v>59</v>
      </c>
      <c r="E2092" s="33" t="s">
        <v>84</v>
      </c>
      <c r="F2092" s="33" t="s">
        <v>183</v>
      </c>
      <c r="G2092" s="33" t="s">
        <v>9</v>
      </c>
      <c r="H2092" s="33" t="n">
        <v>10</v>
      </c>
    </row>
    <row r="2093" customFormat="false" ht="54" hidden="false" customHeight="true" outlineLevel="0" collapsed="false">
      <c r="A2093" s="32" t="s">
        <v>12253</v>
      </c>
      <c r="B2093" s="32" t="s">
        <v>5440</v>
      </c>
      <c r="C2093" s="33" t="s">
        <v>98</v>
      </c>
      <c r="D2093" s="33" t="s">
        <v>59</v>
      </c>
      <c r="E2093" s="33" t="s">
        <v>86</v>
      </c>
      <c r="F2093" s="33" t="s">
        <v>5452</v>
      </c>
      <c r="G2093" s="33" t="s">
        <v>9</v>
      </c>
      <c r="H2093" s="33" t="n">
        <v>10</v>
      </c>
    </row>
    <row r="2094" customFormat="false" ht="54" hidden="false" customHeight="true" outlineLevel="0" collapsed="false">
      <c r="A2094" s="32" t="s">
        <v>12254</v>
      </c>
      <c r="B2094" s="32" t="s">
        <v>5456</v>
      </c>
      <c r="C2094" s="33" t="s">
        <v>98</v>
      </c>
      <c r="D2094" s="33" t="s">
        <v>59</v>
      </c>
      <c r="E2094" s="33" t="s">
        <v>80</v>
      </c>
      <c r="F2094" s="33" t="s">
        <v>183</v>
      </c>
      <c r="G2094" s="33" t="s">
        <v>9</v>
      </c>
      <c r="H2094" s="33" t="n">
        <v>10</v>
      </c>
    </row>
    <row r="2095" customFormat="false" ht="54" hidden="false" customHeight="true" outlineLevel="0" collapsed="false">
      <c r="A2095" s="32" t="s">
        <v>12255</v>
      </c>
      <c r="B2095" s="32" t="s">
        <v>5456</v>
      </c>
      <c r="C2095" s="33" t="s">
        <v>98</v>
      </c>
      <c r="D2095" s="33" t="s">
        <v>59</v>
      </c>
      <c r="E2095" s="33" t="s">
        <v>84</v>
      </c>
      <c r="F2095" s="33" t="s">
        <v>183</v>
      </c>
      <c r="G2095" s="33" t="s">
        <v>9</v>
      </c>
      <c r="H2095" s="33" t="n">
        <v>10</v>
      </c>
    </row>
    <row r="2096" customFormat="false" ht="54" hidden="false" customHeight="true" outlineLevel="0" collapsed="false">
      <c r="A2096" s="32" t="s">
        <v>12256</v>
      </c>
      <c r="B2096" s="32" t="s">
        <v>5469</v>
      </c>
      <c r="C2096" s="33" t="s">
        <v>98</v>
      </c>
      <c r="D2096" s="33" t="s">
        <v>59</v>
      </c>
      <c r="E2096" s="33" t="s">
        <v>80</v>
      </c>
      <c r="F2096" s="33" t="s">
        <v>183</v>
      </c>
      <c r="G2096" s="33" t="s">
        <v>9</v>
      </c>
      <c r="H2096" s="33" t="n">
        <v>10</v>
      </c>
    </row>
    <row r="2097" customFormat="false" ht="54" hidden="false" customHeight="true" outlineLevel="0" collapsed="false">
      <c r="A2097" s="32" t="s">
        <v>12257</v>
      </c>
      <c r="B2097" s="32" t="s">
        <v>5469</v>
      </c>
      <c r="C2097" s="33" t="s">
        <v>98</v>
      </c>
      <c r="D2097" s="33" t="s">
        <v>59</v>
      </c>
      <c r="E2097" s="33" t="s">
        <v>80</v>
      </c>
      <c r="F2097" s="33" t="s">
        <v>12258</v>
      </c>
      <c r="G2097" s="33" t="s">
        <v>9</v>
      </c>
      <c r="H2097" s="33" t="n">
        <v>10</v>
      </c>
    </row>
    <row r="2098" customFormat="false" ht="54" hidden="false" customHeight="true" outlineLevel="0" collapsed="false">
      <c r="A2098" s="32" t="s">
        <v>12259</v>
      </c>
      <c r="B2098" s="32" t="s">
        <v>5469</v>
      </c>
      <c r="C2098" s="33" t="s">
        <v>98</v>
      </c>
      <c r="D2098" s="33" t="s">
        <v>59</v>
      </c>
      <c r="E2098" s="33" t="s">
        <v>80</v>
      </c>
      <c r="F2098" s="33" t="s">
        <v>5479</v>
      </c>
      <c r="G2098" s="33" t="s">
        <v>9</v>
      </c>
      <c r="H2098" s="33" t="n">
        <v>10</v>
      </c>
    </row>
    <row r="2099" customFormat="false" ht="54" hidden="false" customHeight="true" outlineLevel="0" collapsed="false">
      <c r="A2099" s="32" t="s">
        <v>12260</v>
      </c>
      <c r="B2099" s="32" t="s">
        <v>5469</v>
      </c>
      <c r="C2099" s="33" t="s">
        <v>98</v>
      </c>
      <c r="D2099" s="33" t="s">
        <v>59</v>
      </c>
      <c r="E2099" s="33" t="s">
        <v>80</v>
      </c>
      <c r="F2099" s="33" t="s">
        <v>12261</v>
      </c>
      <c r="G2099" s="33" t="s">
        <v>9</v>
      </c>
      <c r="H2099" s="33" t="n">
        <v>10</v>
      </c>
    </row>
    <row r="2100" customFormat="false" ht="54" hidden="false" customHeight="true" outlineLevel="0" collapsed="false">
      <c r="A2100" s="32" t="s">
        <v>12262</v>
      </c>
      <c r="B2100" s="32" t="s">
        <v>5469</v>
      </c>
      <c r="C2100" s="33" t="s">
        <v>98</v>
      </c>
      <c r="D2100" s="33" t="s">
        <v>59</v>
      </c>
      <c r="E2100" s="33" t="s">
        <v>80</v>
      </c>
      <c r="F2100" s="33" t="s">
        <v>12263</v>
      </c>
      <c r="G2100" s="33" t="s">
        <v>9</v>
      </c>
      <c r="H2100" s="33" t="n">
        <v>10</v>
      </c>
    </row>
    <row r="2101" customFormat="false" ht="54" hidden="false" customHeight="true" outlineLevel="0" collapsed="false">
      <c r="A2101" s="32" t="s">
        <v>12264</v>
      </c>
      <c r="B2101" s="32" t="s">
        <v>5469</v>
      </c>
      <c r="C2101" s="33" t="s">
        <v>98</v>
      </c>
      <c r="D2101" s="33" t="s">
        <v>59</v>
      </c>
      <c r="E2101" s="33" t="s">
        <v>81</v>
      </c>
      <c r="F2101" s="33" t="s">
        <v>5479</v>
      </c>
      <c r="G2101" s="33" t="s">
        <v>9</v>
      </c>
      <c r="H2101" s="33" t="n">
        <v>10</v>
      </c>
    </row>
    <row r="2102" customFormat="false" ht="54" hidden="false" customHeight="true" outlineLevel="0" collapsed="false">
      <c r="A2102" s="32" t="s">
        <v>12265</v>
      </c>
      <c r="B2102" s="32" t="s">
        <v>5469</v>
      </c>
      <c r="C2102" s="33" t="s">
        <v>98</v>
      </c>
      <c r="D2102" s="33" t="s">
        <v>59</v>
      </c>
      <c r="E2102" s="33" t="s">
        <v>82</v>
      </c>
      <c r="F2102" s="33" t="s">
        <v>5474</v>
      </c>
      <c r="G2102" s="33" t="s">
        <v>9</v>
      </c>
      <c r="H2102" s="33" t="n">
        <v>10</v>
      </c>
    </row>
    <row r="2103" customFormat="false" ht="54" hidden="false" customHeight="true" outlineLevel="0" collapsed="false">
      <c r="A2103" s="32" t="s">
        <v>12266</v>
      </c>
      <c r="B2103" s="32" t="s">
        <v>5469</v>
      </c>
      <c r="C2103" s="33" t="s">
        <v>98</v>
      </c>
      <c r="D2103" s="33" t="s">
        <v>59</v>
      </c>
      <c r="E2103" s="33" t="s">
        <v>82</v>
      </c>
      <c r="F2103" s="33" t="s">
        <v>12258</v>
      </c>
      <c r="G2103" s="33" t="s">
        <v>9</v>
      </c>
      <c r="H2103" s="33" t="n">
        <v>10</v>
      </c>
    </row>
    <row r="2104" customFormat="false" ht="54" hidden="false" customHeight="true" outlineLevel="0" collapsed="false">
      <c r="A2104" s="32" t="s">
        <v>12267</v>
      </c>
      <c r="B2104" s="32" t="s">
        <v>5469</v>
      </c>
      <c r="C2104" s="33" t="s">
        <v>98</v>
      </c>
      <c r="D2104" s="33" t="s">
        <v>59</v>
      </c>
      <c r="E2104" s="33" t="s">
        <v>82</v>
      </c>
      <c r="F2104" s="33" t="s">
        <v>12268</v>
      </c>
      <c r="G2104" s="33" t="s">
        <v>9</v>
      </c>
      <c r="H2104" s="33" t="n">
        <v>10</v>
      </c>
    </row>
    <row r="2105" customFormat="false" ht="54" hidden="false" customHeight="true" outlineLevel="0" collapsed="false">
      <c r="A2105" s="32" t="s">
        <v>12269</v>
      </c>
      <c r="B2105" s="32" t="s">
        <v>5469</v>
      </c>
      <c r="C2105" s="33" t="s">
        <v>98</v>
      </c>
      <c r="D2105" s="33" t="s">
        <v>59</v>
      </c>
      <c r="E2105" s="33" t="s">
        <v>82</v>
      </c>
      <c r="F2105" s="33" t="s">
        <v>12263</v>
      </c>
      <c r="G2105" s="33" t="s">
        <v>9</v>
      </c>
      <c r="H2105" s="33" t="n">
        <v>10</v>
      </c>
    </row>
    <row r="2106" customFormat="false" ht="54" hidden="false" customHeight="true" outlineLevel="0" collapsed="false">
      <c r="A2106" s="32" t="s">
        <v>12270</v>
      </c>
      <c r="B2106" s="32" t="s">
        <v>5469</v>
      </c>
      <c r="C2106" s="33" t="s">
        <v>98</v>
      </c>
      <c r="D2106" s="33" t="s">
        <v>59</v>
      </c>
      <c r="E2106" s="33" t="s">
        <v>84</v>
      </c>
      <c r="F2106" s="33" t="s">
        <v>183</v>
      </c>
      <c r="G2106" s="33" t="s">
        <v>9</v>
      </c>
      <c r="H2106" s="33" t="n">
        <v>10</v>
      </c>
    </row>
    <row r="2107" customFormat="false" ht="54" hidden="false" customHeight="true" outlineLevel="0" collapsed="false">
      <c r="A2107" s="32" t="s">
        <v>12271</v>
      </c>
      <c r="B2107" s="32" t="s">
        <v>5469</v>
      </c>
      <c r="C2107" s="33" t="s">
        <v>98</v>
      </c>
      <c r="D2107" s="33" t="s">
        <v>59</v>
      </c>
      <c r="E2107" s="33" t="s">
        <v>84</v>
      </c>
      <c r="F2107" s="33" t="s">
        <v>5479</v>
      </c>
      <c r="G2107" s="33" t="s">
        <v>9</v>
      </c>
      <c r="H2107" s="33" t="n">
        <v>10</v>
      </c>
    </row>
    <row r="2108" customFormat="false" ht="54" hidden="false" customHeight="true" outlineLevel="0" collapsed="false">
      <c r="A2108" s="32" t="s">
        <v>12272</v>
      </c>
      <c r="B2108" s="32" t="s">
        <v>5469</v>
      </c>
      <c r="C2108" s="33" t="s">
        <v>98</v>
      </c>
      <c r="D2108" s="33" t="s">
        <v>59</v>
      </c>
      <c r="E2108" s="33" t="s">
        <v>84</v>
      </c>
      <c r="F2108" s="33" t="s">
        <v>12261</v>
      </c>
      <c r="G2108" s="33" t="s">
        <v>9</v>
      </c>
      <c r="H2108" s="33" t="n">
        <v>10</v>
      </c>
    </row>
    <row r="2109" customFormat="false" ht="54" hidden="false" customHeight="true" outlineLevel="0" collapsed="false">
      <c r="A2109" s="32" t="s">
        <v>12273</v>
      </c>
      <c r="B2109" s="32" t="s">
        <v>5469</v>
      </c>
      <c r="C2109" s="33" t="s">
        <v>98</v>
      </c>
      <c r="D2109" s="33" t="s">
        <v>59</v>
      </c>
      <c r="E2109" s="33" t="s">
        <v>86</v>
      </c>
      <c r="F2109" s="33" t="s">
        <v>5479</v>
      </c>
      <c r="G2109" s="33" t="s">
        <v>9</v>
      </c>
      <c r="H2109" s="33" t="n">
        <v>10</v>
      </c>
    </row>
    <row r="2110" customFormat="false" ht="54" hidden="false" customHeight="true" outlineLevel="0" collapsed="false">
      <c r="A2110" s="32" t="s">
        <v>12274</v>
      </c>
      <c r="B2110" s="32" t="s">
        <v>5483</v>
      </c>
      <c r="C2110" s="33" t="s">
        <v>98</v>
      </c>
      <c r="D2110" s="33" t="s">
        <v>59</v>
      </c>
      <c r="E2110" s="33" t="s">
        <v>80</v>
      </c>
      <c r="F2110" s="33" t="s">
        <v>12275</v>
      </c>
      <c r="G2110" s="33" t="s">
        <v>9</v>
      </c>
      <c r="H2110" s="33" t="n">
        <v>10</v>
      </c>
    </row>
    <row r="2111" customFormat="false" ht="54" hidden="false" customHeight="true" outlineLevel="0" collapsed="false">
      <c r="A2111" s="32" t="s">
        <v>12276</v>
      </c>
      <c r="B2111" s="32" t="s">
        <v>5483</v>
      </c>
      <c r="C2111" s="33" t="s">
        <v>98</v>
      </c>
      <c r="D2111" s="33" t="s">
        <v>59</v>
      </c>
      <c r="E2111" s="33" t="s">
        <v>80</v>
      </c>
      <c r="F2111" s="33" t="s">
        <v>12277</v>
      </c>
      <c r="G2111" s="33" t="s">
        <v>9</v>
      </c>
      <c r="H2111" s="33" t="n">
        <v>10</v>
      </c>
    </row>
    <row r="2112" customFormat="false" ht="54" hidden="false" customHeight="true" outlineLevel="0" collapsed="false">
      <c r="A2112" s="32" t="s">
        <v>12278</v>
      </c>
      <c r="B2112" s="32" t="s">
        <v>5483</v>
      </c>
      <c r="C2112" s="33" t="s">
        <v>98</v>
      </c>
      <c r="D2112" s="33" t="s">
        <v>59</v>
      </c>
      <c r="E2112" s="33" t="s">
        <v>82</v>
      </c>
      <c r="F2112" s="33" t="s">
        <v>12279</v>
      </c>
      <c r="G2112" s="33" t="s">
        <v>9</v>
      </c>
      <c r="H2112" s="33" t="n">
        <v>10</v>
      </c>
    </row>
    <row r="2113" customFormat="false" ht="54" hidden="false" customHeight="true" outlineLevel="0" collapsed="false">
      <c r="A2113" s="32" t="s">
        <v>12280</v>
      </c>
      <c r="B2113" s="32" t="s">
        <v>5483</v>
      </c>
      <c r="C2113" s="33" t="s">
        <v>98</v>
      </c>
      <c r="D2113" s="33" t="s">
        <v>59</v>
      </c>
      <c r="E2113" s="33" t="s">
        <v>82</v>
      </c>
      <c r="F2113" s="33" t="s">
        <v>9532</v>
      </c>
      <c r="G2113" s="33" t="s">
        <v>9</v>
      </c>
      <c r="H2113" s="33" t="n">
        <v>10</v>
      </c>
    </row>
    <row r="2114" customFormat="false" ht="54" hidden="false" customHeight="true" outlineLevel="0" collapsed="false">
      <c r="A2114" s="32" t="s">
        <v>12281</v>
      </c>
      <c r="B2114" s="32" t="s">
        <v>5483</v>
      </c>
      <c r="C2114" s="33" t="s">
        <v>98</v>
      </c>
      <c r="D2114" s="33" t="s">
        <v>59</v>
      </c>
      <c r="E2114" s="33" t="s">
        <v>82</v>
      </c>
      <c r="F2114" s="33" t="s">
        <v>12282</v>
      </c>
      <c r="G2114" s="33" t="s">
        <v>9</v>
      </c>
      <c r="H2114" s="33" t="n">
        <v>10</v>
      </c>
    </row>
    <row r="2115" customFormat="false" ht="54" hidden="false" customHeight="true" outlineLevel="0" collapsed="false">
      <c r="A2115" s="32" t="s">
        <v>12283</v>
      </c>
      <c r="B2115" s="32" t="s">
        <v>5483</v>
      </c>
      <c r="C2115" s="33" t="s">
        <v>98</v>
      </c>
      <c r="D2115" s="33" t="s">
        <v>59</v>
      </c>
      <c r="E2115" s="33" t="s">
        <v>82</v>
      </c>
      <c r="F2115" s="33" t="s">
        <v>12284</v>
      </c>
      <c r="G2115" s="33" t="s">
        <v>9</v>
      </c>
      <c r="H2115" s="33" t="n">
        <v>10</v>
      </c>
    </row>
    <row r="2116" customFormat="false" ht="54" hidden="false" customHeight="true" outlineLevel="0" collapsed="false">
      <c r="A2116" s="32" t="s">
        <v>12285</v>
      </c>
      <c r="B2116" s="32" t="s">
        <v>5483</v>
      </c>
      <c r="C2116" s="33" t="s">
        <v>98</v>
      </c>
      <c r="D2116" s="33" t="s">
        <v>59</v>
      </c>
      <c r="E2116" s="33" t="s">
        <v>82</v>
      </c>
      <c r="F2116" s="33" t="s">
        <v>12275</v>
      </c>
      <c r="G2116" s="33" t="s">
        <v>9</v>
      </c>
      <c r="H2116" s="33" t="n">
        <v>10</v>
      </c>
    </row>
    <row r="2117" customFormat="false" ht="54" hidden="false" customHeight="true" outlineLevel="0" collapsed="false">
      <c r="A2117" s="32" t="s">
        <v>12286</v>
      </c>
      <c r="B2117" s="32" t="s">
        <v>5483</v>
      </c>
      <c r="C2117" s="33" t="s">
        <v>98</v>
      </c>
      <c r="D2117" s="33" t="s">
        <v>59</v>
      </c>
      <c r="E2117" s="33" t="s">
        <v>82</v>
      </c>
      <c r="F2117" s="33" t="s">
        <v>12277</v>
      </c>
      <c r="G2117" s="33" t="s">
        <v>9</v>
      </c>
      <c r="H2117" s="33" t="n">
        <v>10</v>
      </c>
    </row>
    <row r="2118" customFormat="false" ht="54" hidden="false" customHeight="true" outlineLevel="0" collapsed="false">
      <c r="A2118" s="32" t="s">
        <v>12287</v>
      </c>
      <c r="B2118" s="32" t="s">
        <v>5496</v>
      </c>
      <c r="C2118" s="33" t="s">
        <v>98</v>
      </c>
      <c r="D2118" s="33" t="s">
        <v>59</v>
      </c>
      <c r="E2118" s="33" t="s">
        <v>80</v>
      </c>
      <c r="F2118" s="33" t="s">
        <v>5504</v>
      </c>
      <c r="G2118" s="33" t="s">
        <v>9</v>
      </c>
      <c r="H2118" s="33" t="n">
        <v>10</v>
      </c>
    </row>
    <row r="2119" customFormat="false" ht="54" hidden="false" customHeight="true" outlineLevel="0" collapsed="false">
      <c r="A2119" s="32" t="s">
        <v>12288</v>
      </c>
      <c r="B2119" s="32" t="s">
        <v>5496</v>
      </c>
      <c r="C2119" s="33" t="s">
        <v>98</v>
      </c>
      <c r="D2119" s="33" t="s">
        <v>59</v>
      </c>
      <c r="E2119" s="33" t="s">
        <v>82</v>
      </c>
      <c r="F2119" s="33" t="s">
        <v>12289</v>
      </c>
      <c r="G2119" s="33" t="s">
        <v>9</v>
      </c>
      <c r="H2119" s="33" t="n">
        <v>10</v>
      </c>
    </row>
    <row r="2120" customFormat="false" ht="54" hidden="false" customHeight="true" outlineLevel="0" collapsed="false">
      <c r="A2120" s="32" t="s">
        <v>12290</v>
      </c>
      <c r="B2120" s="32" t="s">
        <v>5496</v>
      </c>
      <c r="C2120" s="33" t="s">
        <v>98</v>
      </c>
      <c r="D2120" s="33" t="s">
        <v>59</v>
      </c>
      <c r="E2120" s="33" t="s">
        <v>82</v>
      </c>
      <c r="F2120" s="33" t="s">
        <v>9532</v>
      </c>
      <c r="G2120" s="33" t="s">
        <v>9</v>
      </c>
      <c r="H2120" s="33" t="n">
        <v>10</v>
      </c>
    </row>
    <row r="2121" customFormat="false" ht="54" hidden="false" customHeight="true" outlineLevel="0" collapsed="false">
      <c r="A2121" s="32" t="s">
        <v>12291</v>
      </c>
      <c r="B2121" s="32" t="s">
        <v>5496</v>
      </c>
      <c r="C2121" s="33" t="s">
        <v>98</v>
      </c>
      <c r="D2121" s="33" t="s">
        <v>59</v>
      </c>
      <c r="E2121" s="33" t="s">
        <v>82</v>
      </c>
      <c r="F2121" s="33" t="s">
        <v>12292</v>
      </c>
      <c r="G2121" s="33" t="s">
        <v>9</v>
      </c>
      <c r="H2121" s="33" t="n">
        <v>10</v>
      </c>
    </row>
    <row r="2122" customFormat="false" ht="54" hidden="false" customHeight="true" outlineLevel="0" collapsed="false">
      <c r="A2122" s="32" t="s">
        <v>12293</v>
      </c>
      <c r="B2122" s="32" t="s">
        <v>5496</v>
      </c>
      <c r="C2122" s="33" t="s">
        <v>98</v>
      </c>
      <c r="D2122" s="33" t="s">
        <v>59</v>
      </c>
      <c r="E2122" s="33" t="s">
        <v>82</v>
      </c>
      <c r="F2122" s="33" t="s">
        <v>12294</v>
      </c>
      <c r="G2122" s="33" t="s">
        <v>9</v>
      </c>
      <c r="H2122" s="33" t="n">
        <v>10</v>
      </c>
    </row>
    <row r="2123" customFormat="false" ht="54" hidden="false" customHeight="true" outlineLevel="0" collapsed="false">
      <c r="A2123" s="32" t="s">
        <v>12295</v>
      </c>
      <c r="B2123" s="32" t="s">
        <v>5496</v>
      </c>
      <c r="C2123" s="33" t="s">
        <v>98</v>
      </c>
      <c r="D2123" s="33" t="s">
        <v>59</v>
      </c>
      <c r="E2123" s="33" t="s">
        <v>82</v>
      </c>
      <c r="F2123" s="33" t="s">
        <v>5504</v>
      </c>
      <c r="G2123" s="33" t="s">
        <v>9</v>
      </c>
      <c r="H2123" s="33" t="n">
        <v>10</v>
      </c>
    </row>
    <row r="2124" customFormat="false" ht="54" hidden="false" customHeight="true" outlineLevel="0" collapsed="false">
      <c r="A2124" s="32" t="s">
        <v>12296</v>
      </c>
      <c r="B2124" s="32" t="s">
        <v>5507</v>
      </c>
      <c r="C2124" s="33" t="s">
        <v>98</v>
      </c>
      <c r="D2124" s="33" t="s">
        <v>59</v>
      </c>
      <c r="E2124" s="33" t="s">
        <v>80</v>
      </c>
      <c r="F2124" s="33" t="s">
        <v>5511</v>
      </c>
      <c r="G2124" s="33" t="s">
        <v>9</v>
      </c>
      <c r="H2124" s="33" t="n">
        <v>10</v>
      </c>
    </row>
    <row r="2125" customFormat="false" ht="54" hidden="false" customHeight="true" outlineLevel="0" collapsed="false">
      <c r="A2125" s="32" t="s">
        <v>12297</v>
      </c>
      <c r="B2125" s="32" t="s">
        <v>5507</v>
      </c>
      <c r="C2125" s="33" t="s">
        <v>98</v>
      </c>
      <c r="D2125" s="33" t="s">
        <v>59</v>
      </c>
      <c r="E2125" s="33" t="s">
        <v>82</v>
      </c>
      <c r="F2125" s="33" t="s">
        <v>9530</v>
      </c>
      <c r="G2125" s="33" t="s">
        <v>9</v>
      </c>
      <c r="H2125" s="33" t="n">
        <v>10</v>
      </c>
    </row>
    <row r="2126" customFormat="false" ht="54" hidden="false" customHeight="true" outlineLevel="0" collapsed="false">
      <c r="A2126" s="32" t="s">
        <v>12298</v>
      </c>
      <c r="B2126" s="32" t="s">
        <v>5507</v>
      </c>
      <c r="C2126" s="33" t="s">
        <v>98</v>
      </c>
      <c r="D2126" s="33" t="s">
        <v>59</v>
      </c>
      <c r="E2126" s="33" t="s">
        <v>82</v>
      </c>
      <c r="F2126" s="33" t="s">
        <v>12299</v>
      </c>
      <c r="G2126" s="33" t="s">
        <v>9</v>
      </c>
      <c r="H2126" s="33" t="n">
        <v>10</v>
      </c>
    </row>
    <row r="2127" customFormat="false" ht="54" hidden="false" customHeight="true" outlineLevel="0" collapsed="false">
      <c r="A2127" s="32" t="s">
        <v>12300</v>
      </c>
      <c r="B2127" s="32" t="s">
        <v>5507</v>
      </c>
      <c r="C2127" s="33" t="s">
        <v>98</v>
      </c>
      <c r="D2127" s="33" t="s">
        <v>59</v>
      </c>
      <c r="E2127" s="33" t="s">
        <v>82</v>
      </c>
      <c r="F2127" s="33" t="s">
        <v>12301</v>
      </c>
      <c r="G2127" s="33" t="s">
        <v>9</v>
      </c>
      <c r="H2127" s="33" t="n">
        <v>10</v>
      </c>
    </row>
    <row r="2128" customFormat="false" ht="54" hidden="false" customHeight="true" outlineLevel="0" collapsed="false">
      <c r="A2128" s="32" t="s">
        <v>12302</v>
      </c>
      <c r="B2128" s="32" t="s">
        <v>5507</v>
      </c>
      <c r="C2128" s="33" t="s">
        <v>98</v>
      </c>
      <c r="D2128" s="33" t="s">
        <v>59</v>
      </c>
      <c r="E2128" s="33" t="s">
        <v>82</v>
      </c>
      <c r="F2128" s="33" t="s">
        <v>12303</v>
      </c>
      <c r="G2128" s="33" t="s">
        <v>9</v>
      </c>
      <c r="H2128" s="33" t="n">
        <v>10</v>
      </c>
    </row>
    <row r="2129" customFormat="false" ht="54" hidden="false" customHeight="true" outlineLevel="0" collapsed="false">
      <c r="A2129" s="32" t="s">
        <v>12304</v>
      </c>
      <c r="B2129" s="32" t="s">
        <v>5507</v>
      </c>
      <c r="C2129" s="33" t="s">
        <v>98</v>
      </c>
      <c r="D2129" s="33" t="s">
        <v>59</v>
      </c>
      <c r="E2129" s="33" t="s">
        <v>82</v>
      </c>
      <c r="F2129" s="33" t="s">
        <v>5511</v>
      </c>
      <c r="G2129" s="33" t="s">
        <v>9</v>
      </c>
      <c r="H2129" s="33" t="n">
        <v>10</v>
      </c>
    </row>
    <row r="2130" customFormat="false" ht="54" hidden="false" customHeight="true" outlineLevel="0" collapsed="false">
      <c r="A2130" s="32" t="s">
        <v>12305</v>
      </c>
      <c r="B2130" s="32" t="s">
        <v>2710</v>
      </c>
      <c r="C2130" s="33" t="s">
        <v>98</v>
      </c>
      <c r="D2130" s="33" t="s">
        <v>59</v>
      </c>
      <c r="E2130" s="33" t="s">
        <v>80</v>
      </c>
      <c r="F2130" s="33" t="s">
        <v>183</v>
      </c>
      <c r="G2130" s="33" t="s">
        <v>9</v>
      </c>
      <c r="H2130" s="33" t="n">
        <v>10</v>
      </c>
    </row>
    <row r="2131" customFormat="false" ht="54" hidden="false" customHeight="true" outlineLevel="0" collapsed="false">
      <c r="A2131" s="32" t="s">
        <v>12306</v>
      </c>
      <c r="B2131" s="32" t="s">
        <v>2710</v>
      </c>
      <c r="C2131" s="33" t="s">
        <v>98</v>
      </c>
      <c r="D2131" s="33" t="s">
        <v>59</v>
      </c>
      <c r="E2131" s="33" t="s">
        <v>83</v>
      </c>
      <c r="F2131" s="33" t="s">
        <v>12307</v>
      </c>
      <c r="G2131" s="33" t="s">
        <v>9</v>
      </c>
      <c r="H2131" s="33" t="n">
        <v>10</v>
      </c>
    </row>
    <row r="2132" customFormat="false" ht="54" hidden="false" customHeight="true" outlineLevel="0" collapsed="false">
      <c r="A2132" s="32" t="s">
        <v>12308</v>
      </c>
      <c r="B2132" s="32" t="s">
        <v>2710</v>
      </c>
      <c r="C2132" s="33" t="s">
        <v>98</v>
      </c>
      <c r="D2132" s="33" t="s">
        <v>59</v>
      </c>
      <c r="E2132" s="33" t="s">
        <v>83</v>
      </c>
      <c r="F2132" s="33" t="s">
        <v>12309</v>
      </c>
      <c r="G2132" s="33" t="s">
        <v>9</v>
      </c>
      <c r="H2132" s="33" t="n">
        <v>10</v>
      </c>
    </row>
    <row r="2133" customFormat="false" ht="54" hidden="false" customHeight="true" outlineLevel="0" collapsed="false">
      <c r="A2133" s="32" t="s">
        <v>12310</v>
      </c>
      <c r="B2133" s="32" t="s">
        <v>2710</v>
      </c>
      <c r="C2133" s="33" t="s">
        <v>98</v>
      </c>
      <c r="D2133" s="33" t="s">
        <v>59</v>
      </c>
      <c r="E2133" s="33" t="s">
        <v>84</v>
      </c>
      <c r="F2133" s="33" t="s">
        <v>183</v>
      </c>
      <c r="G2133" s="33" t="s">
        <v>9</v>
      </c>
      <c r="H2133" s="33" t="n">
        <v>10</v>
      </c>
    </row>
    <row r="2134" customFormat="false" ht="54" hidden="false" customHeight="true" outlineLevel="0" collapsed="false">
      <c r="A2134" s="32" t="s">
        <v>12311</v>
      </c>
      <c r="B2134" s="32" t="s">
        <v>5525</v>
      </c>
      <c r="C2134" s="33" t="s">
        <v>98</v>
      </c>
      <c r="D2134" s="33" t="s">
        <v>59</v>
      </c>
      <c r="E2134" s="33" t="s">
        <v>80</v>
      </c>
      <c r="F2134" s="33" t="s">
        <v>183</v>
      </c>
      <c r="G2134" s="33" t="s">
        <v>9</v>
      </c>
      <c r="H2134" s="33" t="n">
        <v>10</v>
      </c>
    </row>
    <row r="2135" customFormat="false" ht="54" hidden="false" customHeight="true" outlineLevel="0" collapsed="false">
      <c r="A2135" s="32" t="s">
        <v>12312</v>
      </c>
      <c r="B2135" s="32" t="s">
        <v>5525</v>
      </c>
      <c r="C2135" s="33" t="s">
        <v>98</v>
      </c>
      <c r="D2135" s="33" t="s">
        <v>59</v>
      </c>
      <c r="E2135" s="33" t="s">
        <v>81</v>
      </c>
      <c r="F2135" s="33" t="s">
        <v>5531</v>
      </c>
      <c r="G2135" s="33" t="s">
        <v>9</v>
      </c>
      <c r="H2135" s="33" t="n">
        <v>10</v>
      </c>
    </row>
    <row r="2136" customFormat="false" ht="54" hidden="false" customHeight="true" outlineLevel="0" collapsed="false">
      <c r="A2136" s="32" t="s">
        <v>12313</v>
      </c>
      <c r="B2136" s="32" t="s">
        <v>5525</v>
      </c>
      <c r="C2136" s="33" t="s">
        <v>98</v>
      </c>
      <c r="D2136" s="33" t="s">
        <v>59</v>
      </c>
      <c r="E2136" s="33" t="s">
        <v>82</v>
      </c>
      <c r="F2136" s="33" t="s">
        <v>12314</v>
      </c>
      <c r="G2136" s="33" t="s">
        <v>9</v>
      </c>
      <c r="H2136" s="33" t="n">
        <v>10</v>
      </c>
    </row>
    <row r="2137" customFormat="false" ht="54" hidden="false" customHeight="true" outlineLevel="0" collapsed="false">
      <c r="A2137" s="32" t="s">
        <v>12315</v>
      </c>
      <c r="B2137" s="32" t="s">
        <v>5525</v>
      </c>
      <c r="C2137" s="33" t="s">
        <v>98</v>
      </c>
      <c r="D2137" s="33" t="s">
        <v>59</v>
      </c>
      <c r="E2137" s="33" t="s">
        <v>82</v>
      </c>
      <c r="F2137" s="33" t="s">
        <v>12316</v>
      </c>
      <c r="G2137" s="33" t="s">
        <v>9</v>
      </c>
      <c r="H2137" s="33" t="n">
        <v>10</v>
      </c>
    </row>
    <row r="2138" customFormat="false" ht="54" hidden="false" customHeight="true" outlineLevel="0" collapsed="false">
      <c r="A2138" s="32" t="s">
        <v>12317</v>
      </c>
      <c r="B2138" s="32" t="s">
        <v>5525</v>
      </c>
      <c r="C2138" s="33" t="s">
        <v>98</v>
      </c>
      <c r="D2138" s="33" t="s">
        <v>59</v>
      </c>
      <c r="E2138" s="33" t="s">
        <v>82</v>
      </c>
      <c r="F2138" s="33" t="s">
        <v>12318</v>
      </c>
      <c r="G2138" s="33" t="s">
        <v>9</v>
      </c>
      <c r="H2138" s="33" t="n">
        <v>10</v>
      </c>
    </row>
    <row r="2139" customFormat="false" ht="54" hidden="false" customHeight="true" outlineLevel="0" collapsed="false">
      <c r="A2139" s="32" t="s">
        <v>12319</v>
      </c>
      <c r="B2139" s="32" t="s">
        <v>5525</v>
      </c>
      <c r="C2139" s="33" t="s">
        <v>98</v>
      </c>
      <c r="D2139" s="33" t="s">
        <v>59</v>
      </c>
      <c r="E2139" s="33" t="s">
        <v>84</v>
      </c>
      <c r="F2139" s="33" t="s">
        <v>183</v>
      </c>
      <c r="G2139" s="33" t="s">
        <v>9</v>
      </c>
      <c r="H2139" s="33" t="n">
        <v>10</v>
      </c>
    </row>
    <row r="2140" customFormat="false" ht="54" hidden="false" customHeight="true" outlineLevel="0" collapsed="false">
      <c r="A2140" s="32" t="s">
        <v>12320</v>
      </c>
      <c r="B2140" s="32" t="s">
        <v>5525</v>
      </c>
      <c r="C2140" s="33" t="s">
        <v>98</v>
      </c>
      <c r="D2140" s="33" t="s">
        <v>59</v>
      </c>
      <c r="E2140" s="33" t="s">
        <v>84</v>
      </c>
      <c r="F2140" s="33" t="s">
        <v>12316</v>
      </c>
      <c r="G2140" s="33" t="s">
        <v>9</v>
      </c>
      <c r="H2140" s="33" t="n">
        <v>10</v>
      </c>
    </row>
    <row r="2141" customFormat="false" ht="54" hidden="false" customHeight="true" outlineLevel="0" collapsed="false">
      <c r="A2141" s="32" t="s">
        <v>12321</v>
      </c>
      <c r="B2141" s="32" t="s">
        <v>5525</v>
      </c>
      <c r="C2141" s="33" t="s">
        <v>98</v>
      </c>
      <c r="D2141" s="33" t="s">
        <v>59</v>
      </c>
      <c r="E2141" s="33" t="s">
        <v>84</v>
      </c>
      <c r="F2141" s="33" t="s">
        <v>12322</v>
      </c>
      <c r="G2141" s="33" t="s">
        <v>9</v>
      </c>
      <c r="H2141" s="33" t="n">
        <v>10</v>
      </c>
    </row>
    <row r="2142" customFormat="false" ht="54" hidden="false" customHeight="true" outlineLevel="0" collapsed="false">
      <c r="A2142" s="32" t="s">
        <v>12323</v>
      </c>
      <c r="B2142" s="32" t="s">
        <v>5536</v>
      </c>
      <c r="C2142" s="33" t="s">
        <v>98</v>
      </c>
      <c r="D2142" s="33" t="s">
        <v>59</v>
      </c>
      <c r="E2142" s="33" t="s">
        <v>80</v>
      </c>
      <c r="F2142" s="33" t="s">
        <v>183</v>
      </c>
      <c r="G2142" s="33" t="s">
        <v>9</v>
      </c>
      <c r="H2142" s="33" t="n">
        <v>10</v>
      </c>
    </row>
    <row r="2143" customFormat="false" ht="54" hidden="false" customHeight="true" outlineLevel="0" collapsed="false">
      <c r="A2143" s="32" t="s">
        <v>12324</v>
      </c>
      <c r="B2143" s="32" t="s">
        <v>5536</v>
      </c>
      <c r="C2143" s="33" t="s">
        <v>98</v>
      </c>
      <c r="D2143" s="33" t="s">
        <v>59</v>
      </c>
      <c r="E2143" s="33" t="s">
        <v>80</v>
      </c>
      <c r="F2143" s="33" t="s">
        <v>5545</v>
      </c>
      <c r="G2143" s="33" t="s">
        <v>9</v>
      </c>
      <c r="H2143" s="33" t="n">
        <v>10</v>
      </c>
    </row>
    <row r="2144" customFormat="false" ht="54" hidden="false" customHeight="true" outlineLevel="0" collapsed="false">
      <c r="A2144" s="32" t="s">
        <v>12325</v>
      </c>
      <c r="B2144" s="32" t="s">
        <v>5536</v>
      </c>
      <c r="C2144" s="33" t="s">
        <v>98</v>
      </c>
      <c r="D2144" s="33" t="s">
        <v>59</v>
      </c>
      <c r="E2144" s="33" t="s">
        <v>81</v>
      </c>
      <c r="F2144" s="33" t="s">
        <v>5545</v>
      </c>
      <c r="G2144" s="33" t="s">
        <v>9</v>
      </c>
      <c r="H2144" s="33" t="n">
        <v>10</v>
      </c>
    </row>
    <row r="2145" customFormat="false" ht="54" hidden="false" customHeight="true" outlineLevel="0" collapsed="false">
      <c r="A2145" s="32" t="s">
        <v>12326</v>
      </c>
      <c r="B2145" s="32" t="s">
        <v>5536</v>
      </c>
      <c r="C2145" s="33" t="s">
        <v>98</v>
      </c>
      <c r="D2145" s="33" t="s">
        <v>59</v>
      </c>
      <c r="E2145" s="33" t="s">
        <v>82</v>
      </c>
      <c r="F2145" s="33" t="s">
        <v>12327</v>
      </c>
      <c r="G2145" s="33" t="s">
        <v>9</v>
      </c>
      <c r="H2145" s="33" t="n">
        <v>10</v>
      </c>
    </row>
    <row r="2146" customFormat="false" ht="54" hidden="false" customHeight="true" outlineLevel="0" collapsed="false">
      <c r="A2146" s="32" t="s">
        <v>12328</v>
      </c>
      <c r="B2146" s="32" t="s">
        <v>5536</v>
      </c>
      <c r="C2146" s="33" t="s">
        <v>98</v>
      </c>
      <c r="D2146" s="33" t="s">
        <v>59</v>
      </c>
      <c r="E2146" s="33" t="s">
        <v>82</v>
      </c>
      <c r="F2146" s="33" t="s">
        <v>12329</v>
      </c>
      <c r="G2146" s="33" t="s">
        <v>9</v>
      </c>
      <c r="H2146" s="33" t="n">
        <v>10</v>
      </c>
    </row>
    <row r="2147" customFormat="false" ht="54" hidden="false" customHeight="true" outlineLevel="0" collapsed="false">
      <c r="A2147" s="32" t="s">
        <v>12330</v>
      </c>
      <c r="B2147" s="32" t="s">
        <v>5536</v>
      </c>
      <c r="C2147" s="33" t="s">
        <v>98</v>
      </c>
      <c r="D2147" s="33" t="s">
        <v>59</v>
      </c>
      <c r="E2147" s="33" t="s">
        <v>84</v>
      </c>
      <c r="F2147" s="33" t="s">
        <v>183</v>
      </c>
      <c r="G2147" s="33" t="s">
        <v>9</v>
      </c>
      <c r="H2147" s="33" t="n">
        <v>10</v>
      </c>
    </row>
    <row r="2148" customFormat="false" ht="54" hidden="false" customHeight="true" outlineLevel="0" collapsed="false">
      <c r="A2148" s="32" t="s">
        <v>12331</v>
      </c>
      <c r="B2148" s="32" t="s">
        <v>5548</v>
      </c>
      <c r="C2148" s="33" t="s">
        <v>98</v>
      </c>
      <c r="D2148" s="33" t="s">
        <v>59</v>
      </c>
      <c r="E2148" s="33" t="s">
        <v>80</v>
      </c>
      <c r="F2148" s="33" t="s">
        <v>183</v>
      </c>
      <c r="G2148" s="33" t="s">
        <v>9</v>
      </c>
      <c r="H2148" s="33" t="n">
        <v>10</v>
      </c>
    </row>
    <row r="2149" customFormat="false" ht="54" hidden="false" customHeight="true" outlineLevel="0" collapsed="false">
      <c r="A2149" s="32" t="s">
        <v>12332</v>
      </c>
      <c r="B2149" s="32" t="s">
        <v>5548</v>
      </c>
      <c r="C2149" s="33" t="s">
        <v>98</v>
      </c>
      <c r="D2149" s="33" t="s">
        <v>59</v>
      </c>
      <c r="E2149" s="33" t="s">
        <v>80</v>
      </c>
      <c r="F2149" s="33" t="s">
        <v>12333</v>
      </c>
      <c r="G2149" s="33" t="s">
        <v>9</v>
      </c>
      <c r="H2149" s="33" t="n">
        <v>10</v>
      </c>
    </row>
    <row r="2150" customFormat="false" ht="54" hidden="false" customHeight="true" outlineLevel="0" collapsed="false">
      <c r="A2150" s="32" t="s">
        <v>12334</v>
      </c>
      <c r="B2150" s="32" t="s">
        <v>5548</v>
      </c>
      <c r="C2150" s="33" t="s">
        <v>98</v>
      </c>
      <c r="D2150" s="33" t="s">
        <v>59</v>
      </c>
      <c r="E2150" s="33" t="s">
        <v>82</v>
      </c>
      <c r="F2150" s="33" t="s">
        <v>12335</v>
      </c>
      <c r="G2150" s="33" t="s">
        <v>9</v>
      </c>
      <c r="H2150" s="33" t="n">
        <v>10</v>
      </c>
    </row>
    <row r="2151" customFormat="false" ht="54" hidden="false" customHeight="true" outlineLevel="0" collapsed="false">
      <c r="A2151" s="32" t="s">
        <v>12336</v>
      </c>
      <c r="B2151" s="32" t="s">
        <v>5548</v>
      </c>
      <c r="C2151" s="33" t="s">
        <v>98</v>
      </c>
      <c r="D2151" s="33" t="s">
        <v>59</v>
      </c>
      <c r="E2151" s="33" t="s">
        <v>82</v>
      </c>
      <c r="F2151" s="33" t="s">
        <v>12337</v>
      </c>
      <c r="G2151" s="33" t="s">
        <v>9</v>
      </c>
      <c r="H2151" s="33" t="n">
        <v>10</v>
      </c>
    </row>
    <row r="2152" customFormat="false" ht="54" hidden="false" customHeight="true" outlineLevel="0" collapsed="false">
      <c r="A2152" s="32" t="s">
        <v>12338</v>
      </c>
      <c r="B2152" s="32" t="s">
        <v>5548</v>
      </c>
      <c r="C2152" s="33" t="s">
        <v>98</v>
      </c>
      <c r="D2152" s="33" t="s">
        <v>59</v>
      </c>
      <c r="E2152" s="33" t="s">
        <v>82</v>
      </c>
      <c r="F2152" s="33" t="s">
        <v>12339</v>
      </c>
      <c r="G2152" s="33" t="s">
        <v>9</v>
      </c>
      <c r="H2152" s="33" t="n">
        <v>10</v>
      </c>
    </row>
    <row r="2153" customFormat="false" ht="54" hidden="false" customHeight="true" outlineLevel="0" collapsed="false">
      <c r="A2153" s="32" t="s">
        <v>12340</v>
      </c>
      <c r="B2153" s="32" t="s">
        <v>5548</v>
      </c>
      <c r="C2153" s="33" t="s">
        <v>98</v>
      </c>
      <c r="D2153" s="33" t="s">
        <v>59</v>
      </c>
      <c r="E2153" s="33" t="s">
        <v>82</v>
      </c>
      <c r="F2153" s="33" t="s">
        <v>12341</v>
      </c>
      <c r="G2153" s="33" t="s">
        <v>9</v>
      </c>
      <c r="H2153" s="33" t="n">
        <v>10</v>
      </c>
    </row>
    <row r="2154" customFormat="false" ht="54" hidden="false" customHeight="true" outlineLevel="0" collapsed="false">
      <c r="A2154" s="32" t="s">
        <v>12342</v>
      </c>
      <c r="B2154" s="32" t="s">
        <v>5548</v>
      </c>
      <c r="C2154" s="33" t="s">
        <v>98</v>
      </c>
      <c r="D2154" s="33" t="s">
        <v>59</v>
      </c>
      <c r="E2154" s="33" t="s">
        <v>84</v>
      </c>
      <c r="F2154" s="33" t="s">
        <v>183</v>
      </c>
      <c r="G2154" s="33" t="s">
        <v>9</v>
      </c>
      <c r="H2154" s="33" t="n">
        <v>10</v>
      </c>
    </row>
    <row r="2155" customFormat="false" ht="54" hidden="false" customHeight="true" outlineLevel="0" collapsed="false">
      <c r="A2155" s="32" t="s">
        <v>12343</v>
      </c>
      <c r="B2155" s="32" t="s">
        <v>5548</v>
      </c>
      <c r="C2155" s="33" t="s">
        <v>98</v>
      </c>
      <c r="D2155" s="33" t="s">
        <v>59</v>
      </c>
      <c r="E2155" s="33" t="s">
        <v>84</v>
      </c>
      <c r="F2155" s="33" t="s">
        <v>12333</v>
      </c>
      <c r="G2155" s="33" t="s">
        <v>9</v>
      </c>
      <c r="H2155" s="33" t="n">
        <v>10</v>
      </c>
    </row>
    <row r="2156" customFormat="false" ht="54" hidden="false" customHeight="true" outlineLevel="0" collapsed="false">
      <c r="A2156" s="32" t="s">
        <v>12344</v>
      </c>
      <c r="B2156" s="32" t="s">
        <v>5548</v>
      </c>
      <c r="C2156" s="33" t="s">
        <v>98</v>
      </c>
      <c r="D2156" s="33" t="s">
        <v>59</v>
      </c>
      <c r="E2156" s="33" t="s">
        <v>86</v>
      </c>
      <c r="F2156" s="33" t="s">
        <v>5558</v>
      </c>
      <c r="G2156" s="33" t="s">
        <v>9</v>
      </c>
      <c r="H2156" s="33" t="n">
        <v>10</v>
      </c>
    </row>
    <row r="2157" customFormat="false" ht="54" hidden="false" customHeight="true" outlineLevel="0" collapsed="false">
      <c r="A2157" s="32" t="s">
        <v>12345</v>
      </c>
      <c r="B2157" s="32" t="s">
        <v>5560</v>
      </c>
      <c r="C2157" s="33" t="s">
        <v>98</v>
      </c>
      <c r="D2157" s="33" t="s">
        <v>59</v>
      </c>
      <c r="E2157" s="33" t="s">
        <v>80</v>
      </c>
      <c r="F2157" s="33" t="s">
        <v>183</v>
      </c>
      <c r="G2157" s="33" t="s">
        <v>9</v>
      </c>
      <c r="H2157" s="33" t="n">
        <v>10</v>
      </c>
    </row>
    <row r="2158" customFormat="false" ht="54" hidden="false" customHeight="true" outlineLevel="0" collapsed="false">
      <c r="A2158" s="32" t="s">
        <v>12346</v>
      </c>
      <c r="B2158" s="32" t="s">
        <v>5560</v>
      </c>
      <c r="C2158" s="33" t="s">
        <v>98</v>
      </c>
      <c r="D2158" s="33" t="s">
        <v>59</v>
      </c>
      <c r="E2158" s="33" t="s">
        <v>82</v>
      </c>
      <c r="F2158" s="33" t="s">
        <v>12347</v>
      </c>
      <c r="G2158" s="33" t="s">
        <v>9</v>
      </c>
      <c r="H2158" s="33" t="n">
        <v>10</v>
      </c>
    </row>
    <row r="2159" customFormat="false" ht="54" hidden="false" customHeight="true" outlineLevel="0" collapsed="false">
      <c r="A2159" s="32" t="s">
        <v>12348</v>
      </c>
      <c r="B2159" s="32" t="s">
        <v>5560</v>
      </c>
      <c r="C2159" s="33" t="s">
        <v>98</v>
      </c>
      <c r="D2159" s="33" t="s">
        <v>59</v>
      </c>
      <c r="E2159" s="33" t="s">
        <v>82</v>
      </c>
      <c r="F2159" s="33" t="s">
        <v>12337</v>
      </c>
      <c r="G2159" s="33" t="s">
        <v>9</v>
      </c>
      <c r="H2159" s="33" t="n">
        <v>10</v>
      </c>
    </row>
    <row r="2160" customFormat="false" ht="54" hidden="false" customHeight="true" outlineLevel="0" collapsed="false">
      <c r="A2160" s="32" t="s">
        <v>12349</v>
      </c>
      <c r="B2160" s="32" t="s">
        <v>5560</v>
      </c>
      <c r="C2160" s="33" t="s">
        <v>98</v>
      </c>
      <c r="D2160" s="33" t="s">
        <v>59</v>
      </c>
      <c r="E2160" s="33" t="s">
        <v>82</v>
      </c>
      <c r="F2160" s="33" t="s">
        <v>12350</v>
      </c>
      <c r="G2160" s="33" t="s">
        <v>9</v>
      </c>
      <c r="H2160" s="33" t="n">
        <v>10</v>
      </c>
    </row>
    <row r="2161" customFormat="false" ht="54" hidden="false" customHeight="true" outlineLevel="0" collapsed="false">
      <c r="A2161" s="32" t="s">
        <v>12351</v>
      </c>
      <c r="B2161" s="32" t="s">
        <v>5560</v>
      </c>
      <c r="C2161" s="33" t="s">
        <v>98</v>
      </c>
      <c r="D2161" s="33" t="s">
        <v>59</v>
      </c>
      <c r="E2161" s="33" t="s">
        <v>82</v>
      </c>
      <c r="F2161" s="33" t="s">
        <v>12352</v>
      </c>
      <c r="G2161" s="33" t="s">
        <v>9</v>
      </c>
      <c r="H2161" s="33" t="n">
        <v>10</v>
      </c>
    </row>
    <row r="2162" customFormat="false" ht="54" hidden="false" customHeight="true" outlineLevel="0" collapsed="false">
      <c r="A2162" s="32" t="s">
        <v>12353</v>
      </c>
      <c r="B2162" s="32" t="s">
        <v>5560</v>
      </c>
      <c r="C2162" s="33" t="s">
        <v>98</v>
      </c>
      <c r="D2162" s="33" t="s">
        <v>59</v>
      </c>
      <c r="E2162" s="33" t="s">
        <v>82</v>
      </c>
      <c r="F2162" s="33" t="s">
        <v>12341</v>
      </c>
      <c r="G2162" s="33" t="s">
        <v>9</v>
      </c>
      <c r="H2162" s="33" t="n">
        <v>10</v>
      </c>
    </row>
    <row r="2163" customFormat="false" ht="54" hidden="false" customHeight="true" outlineLevel="0" collapsed="false">
      <c r="A2163" s="32" t="s">
        <v>12354</v>
      </c>
      <c r="B2163" s="32" t="s">
        <v>5560</v>
      </c>
      <c r="C2163" s="33" t="s">
        <v>98</v>
      </c>
      <c r="D2163" s="33" t="s">
        <v>59</v>
      </c>
      <c r="E2163" s="33" t="s">
        <v>84</v>
      </c>
      <c r="F2163" s="33" t="s">
        <v>183</v>
      </c>
      <c r="G2163" s="33" t="s">
        <v>9</v>
      </c>
      <c r="H2163" s="33" t="n">
        <v>10</v>
      </c>
    </row>
    <row r="2164" customFormat="false" ht="54" hidden="false" customHeight="true" outlineLevel="0" collapsed="false">
      <c r="A2164" s="32" t="s">
        <v>12355</v>
      </c>
      <c r="B2164" s="32" t="s">
        <v>5560</v>
      </c>
      <c r="C2164" s="33" t="s">
        <v>98</v>
      </c>
      <c r="D2164" s="33" t="s">
        <v>59</v>
      </c>
      <c r="E2164" s="33" t="s">
        <v>86</v>
      </c>
      <c r="F2164" s="33" t="s">
        <v>5558</v>
      </c>
      <c r="G2164" s="33" t="s">
        <v>9</v>
      </c>
      <c r="H2164" s="33" t="n">
        <v>10</v>
      </c>
    </row>
    <row r="2165" customFormat="false" ht="54" hidden="false" customHeight="true" outlineLevel="0" collapsed="false">
      <c r="A2165" s="32" t="s">
        <v>12356</v>
      </c>
      <c r="B2165" s="32" t="s">
        <v>5568</v>
      </c>
      <c r="C2165" s="33" t="s">
        <v>98</v>
      </c>
      <c r="D2165" s="33" t="s">
        <v>59</v>
      </c>
      <c r="E2165" s="33" t="s">
        <v>80</v>
      </c>
      <c r="F2165" s="33" t="s">
        <v>183</v>
      </c>
      <c r="G2165" s="33" t="s">
        <v>9</v>
      </c>
      <c r="H2165" s="33" t="n">
        <v>10</v>
      </c>
    </row>
    <row r="2166" customFormat="false" ht="54" hidden="false" customHeight="true" outlineLevel="0" collapsed="false">
      <c r="A2166" s="32" t="s">
        <v>12357</v>
      </c>
      <c r="B2166" s="32" t="s">
        <v>5568</v>
      </c>
      <c r="C2166" s="33" t="s">
        <v>98</v>
      </c>
      <c r="D2166" s="33" t="s">
        <v>59</v>
      </c>
      <c r="E2166" s="33" t="s">
        <v>82</v>
      </c>
      <c r="F2166" s="33" t="s">
        <v>12358</v>
      </c>
      <c r="G2166" s="33" t="s">
        <v>9</v>
      </c>
      <c r="H2166" s="33" t="n">
        <v>10</v>
      </c>
    </row>
    <row r="2167" customFormat="false" ht="54" hidden="false" customHeight="true" outlineLevel="0" collapsed="false">
      <c r="A2167" s="32" t="s">
        <v>12359</v>
      </c>
      <c r="B2167" s="32" t="s">
        <v>5568</v>
      </c>
      <c r="C2167" s="33" t="s">
        <v>98</v>
      </c>
      <c r="D2167" s="33" t="s">
        <v>59</v>
      </c>
      <c r="E2167" s="33" t="s">
        <v>82</v>
      </c>
      <c r="F2167" s="33" t="s">
        <v>9555</v>
      </c>
      <c r="G2167" s="33" t="s">
        <v>9</v>
      </c>
      <c r="H2167" s="33" t="n">
        <v>10</v>
      </c>
    </row>
    <row r="2168" customFormat="false" ht="54" hidden="false" customHeight="true" outlineLevel="0" collapsed="false">
      <c r="A2168" s="32" t="s">
        <v>12360</v>
      </c>
      <c r="B2168" s="32" t="s">
        <v>5568</v>
      </c>
      <c r="C2168" s="33" t="s">
        <v>98</v>
      </c>
      <c r="D2168" s="33" t="s">
        <v>59</v>
      </c>
      <c r="E2168" s="33" t="s">
        <v>82</v>
      </c>
      <c r="F2168" s="33" t="s">
        <v>12361</v>
      </c>
      <c r="G2168" s="33" t="s">
        <v>9</v>
      </c>
      <c r="H2168" s="33" t="n">
        <v>10</v>
      </c>
    </row>
    <row r="2169" customFormat="false" ht="54" hidden="false" customHeight="true" outlineLevel="0" collapsed="false">
      <c r="A2169" s="32" t="s">
        <v>12362</v>
      </c>
      <c r="B2169" s="32" t="s">
        <v>5568</v>
      </c>
      <c r="C2169" s="33" t="s">
        <v>98</v>
      </c>
      <c r="D2169" s="33" t="s">
        <v>59</v>
      </c>
      <c r="E2169" s="33" t="s">
        <v>82</v>
      </c>
      <c r="F2169" s="33" t="s">
        <v>12341</v>
      </c>
      <c r="G2169" s="33" t="s">
        <v>9</v>
      </c>
      <c r="H2169" s="33" t="n">
        <v>10</v>
      </c>
    </row>
    <row r="2170" customFormat="false" ht="54" hidden="false" customHeight="true" outlineLevel="0" collapsed="false">
      <c r="A2170" s="32" t="s">
        <v>12363</v>
      </c>
      <c r="B2170" s="32" t="s">
        <v>5568</v>
      </c>
      <c r="C2170" s="33" t="s">
        <v>98</v>
      </c>
      <c r="D2170" s="33" t="s">
        <v>59</v>
      </c>
      <c r="E2170" s="33" t="s">
        <v>84</v>
      </c>
      <c r="F2170" s="33" t="s">
        <v>183</v>
      </c>
      <c r="G2170" s="33" t="s">
        <v>9</v>
      </c>
      <c r="H2170" s="33" t="n">
        <v>10</v>
      </c>
    </row>
    <row r="2171" customFormat="false" ht="54" hidden="false" customHeight="true" outlineLevel="0" collapsed="false">
      <c r="A2171" s="32" t="s">
        <v>12364</v>
      </c>
      <c r="B2171" s="32" t="s">
        <v>5568</v>
      </c>
      <c r="C2171" s="33" t="s">
        <v>98</v>
      </c>
      <c r="D2171" s="33" t="s">
        <v>59</v>
      </c>
      <c r="E2171" s="33" t="s">
        <v>86</v>
      </c>
      <c r="F2171" s="33" t="s">
        <v>5558</v>
      </c>
      <c r="G2171" s="33" t="s">
        <v>9</v>
      </c>
      <c r="H2171" s="33" t="n">
        <v>10</v>
      </c>
    </row>
    <row r="2172" customFormat="false" ht="54" hidden="false" customHeight="true" outlineLevel="0" collapsed="false">
      <c r="A2172" s="32" t="s">
        <v>12365</v>
      </c>
      <c r="B2172" s="32" t="s">
        <v>5574</v>
      </c>
      <c r="C2172" s="33" t="s">
        <v>98</v>
      </c>
      <c r="D2172" s="33" t="s">
        <v>59</v>
      </c>
      <c r="E2172" s="33" t="s">
        <v>80</v>
      </c>
      <c r="F2172" s="33" t="s">
        <v>183</v>
      </c>
      <c r="G2172" s="33" t="s">
        <v>9</v>
      </c>
      <c r="H2172" s="33" t="n">
        <v>10</v>
      </c>
    </row>
    <row r="2173" customFormat="false" ht="54" hidden="false" customHeight="true" outlineLevel="0" collapsed="false">
      <c r="A2173" s="32" t="s">
        <v>12366</v>
      </c>
      <c r="B2173" s="32" t="s">
        <v>5574</v>
      </c>
      <c r="C2173" s="33" t="s">
        <v>98</v>
      </c>
      <c r="D2173" s="33" t="s">
        <v>59</v>
      </c>
      <c r="E2173" s="33" t="s">
        <v>82</v>
      </c>
      <c r="F2173" s="33" t="s">
        <v>12367</v>
      </c>
      <c r="G2173" s="33" t="s">
        <v>9</v>
      </c>
      <c r="H2173" s="33" t="n">
        <v>10</v>
      </c>
    </row>
    <row r="2174" customFormat="false" ht="54" hidden="false" customHeight="true" outlineLevel="0" collapsed="false">
      <c r="A2174" s="32" t="s">
        <v>12368</v>
      </c>
      <c r="B2174" s="32" t="s">
        <v>5574</v>
      </c>
      <c r="C2174" s="33" t="s">
        <v>98</v>
      </c>
      <c r="D2174" s="33" t="s">
        <v>59</v>
      </c>
      <c r="E2174" s="33" t="s">
        <v>82</v>
      </c>
      <c r="F2174" s="33" t="s">
        <v>12369</v>
      </c>
      <c r="G2174" s="33" t="s">
        <v>9</v>
      </c>
      <c r="H2174" s="33" t="n">
        <v>10</v>
      </c>
    </row>
    <row r="2175" customFormat="false" ht="54" hidden="false" customHeight="true" outlineLevel="0" collapsed="false">
      <c r="A2175" s="32" t="s">
        <v>12370</v>
      </c>
      <c r="B2175" s="32" t="s">
        <v>5574</v>
      </c>
      <c r="C2175" s="33" t="s">
        <v>98</v>
      </c>
      <c r="D2175" s="33" t="s">
        <v>59</v>
      </c>
      <c r="E2175" s="33" t="s">
        <v>82</v>
      </c>
      <c r="F2175" s="33" t="s">
        <v>12371</v>
      </c>
      <c r="G2175" s="33" t="s">
        <v>9</v>
      </c>
      <c r="H2175" s="33" t="n">
        <v>10</v>
      </c>
    </row>
    <row r="2176" customFormat="false" ht="54" hidden="false" customHeight="true" outlineLevel="0" collapsed="false">
      <c r="A2176" s="32" t="s">
        <v>12372</v>
      </c>
      <c r="B2176" s="32" t="s">
        <v>5574</v>
      </c>
      <c r="C2176" s="33" t="s">
        <v>98</v>
      </c>
      <c r="D2176" s="33" t="s">
        <v>59</v>
      </c>
      <c r="E2176" s="33" t="s">
        <v>82</v>
      </c>
      <c r="F2176" s="33" t="s">
        <v>12341</v>
      </c>
      <c r="G2176" s="33" t="s">
        <v>9</v>
      </c>
      <c r="H2176" s="33" t="n">
        <v>10</v>
      </c>
    </row>
    <row r="2177" customFormat="false" ht="54" hidden="false" customHeight="true" outlineLevel="0" collapsed="false">
      <c r="A2177" s="32" t="s">
        <v>12373</v>
      </c>
      <c r="B2177" s="32" t="s">
        <v>5574</v>
      </c>
      <c r="C2177" s="33" t="s">
        <v>98</v>
      </c>
      <c r="D2177" s="33" t="s">
        <v>59</v>
      </c>
      <c r="E2177" s="33" t="s">
        <v>84</v>
      </c>
      <c r="F2177" s="33" t="s">
        <v>183</v>
      </c>
      <c r="G2177" s="33" t="s">
        <v>9</v>
      </c>
      <c r="H2177" s="33" t="n">
        <v>10</v>
      </c>
    </row>
    <row r="2178" customFormat="false" ht="54" hidden="false" customHeight="true" outlineLevel="0" collapsed="false">
      <c r="A2178" s="32" t="s">
        <v>12374</v>
      </c>
      <c r="B2178" s="32" t="s">
        <v>5574</v>
      </c>
      <c r="C2178" s="33" t="s">
        <v>98</v>
      </c>
      <c r="D2178" s="33" t="s">
        <v>59</v>
      </c>
      <c r="E2178" s="33" t="s">
        <v>86</v>
      </c>
      <c r="F2178" s="33" t="s">
        <v>5558</v>
      </c>
      <c r="G2178" s="33" t="s">
        <v>9</v>
      </c>
      <c r="H2178" s="33" t="n">
        <v>10</v>
      </c>
    </row>
    <row r="2179" customFormat="false" ht="54" hidden="false" customHeight="true" outlineLevel="0" collapsed="false">
      <c r="A2179" s="32" t="s">
        <v>12375</v>
      </c>
      <c r="B2179" s="32" t="s">
        <v>5579</v>
      </c>
      <c r="C2179" s="33" t="s">
        <v>98</v>
      </c>
      <c r="D2179" s="33" t="s">
        <v>59</v>
      </c>
      <c r="E2179" s="33" t="s">
        <v>80</v>
      </c>
      <c r="F2179" s="33" t="s">
        <v>183</v>
      </c>
      <c r="G2179" s="33" t="s">
        <v>9</v>
      </c>
      <c r="H2179" s="33" t="n">
        <v>10</v>
      </c>
    </row>
    <row r="2180" customFormat="false" ht="54" hidden="false" customHeight="true" outlineLevel="0" collapsed="false">
      <c r="A2180" s="32" t="s">
        <v>12376</v>
      </c>
      <c r="B2180" s="32" t="s">
        <v>5579</v>
      </c>
      <c r="C2180" s="33" t="s">
        <v>98</v>
      </c>
      <c r="D2180" s="33" t="s">
        <v>59</v>
      </c>
      <c r="E2180" s="33" t="s">
        <v>82</v>
      </c>
      <c r="F2180" s="33" t="s">
        <v>12377</v>
      </c>
      <c r="G2180" s="33" t="s">
        <v>9</v>
      </c>
      <c r="H2180" s="33" t="n">
        <v>10</v>
      </c>
    </row>
    <row r="2181" customFormat="false" ht="54" hidden="false" customHeight="true" outlineLevel="0" collapsed="false">
      <c r="A2181" s="32" t="s">
        <v>12378</v>
      </c>
      <c r="B2181" s="32" t="s">
        <v>5579</v>
      </c>
      <c r="C2181" s="33" t="s">
        <v>98</v>
      </c>
      <c r="D2181" s="33" t="s">
        <v>59</v>
      </c>
      <c r="E2181" s="33" t="s">
        <v>82</v>
      </c>
      <c r="F2181" s="33" t="s">
        <v>12379</v>
      </c>
      <c r="G2181" s="33" t="s">
        <v>9</v>
      </c>
      <c r="H2181" s="33" t="n">
        <v>10</v>
      </c>
    </row>
    <row r="2182" customFormat="false" ht="54" hidden="false" customHeight="true" outlineLevel="0" collapsed="false">
      <c r="A2182" s="32" t="s">
        <v>12380</v>
      </c>
      <c r="B2182" s="32" t="s">
        <v>5579</v>
      </c>
      <c r="C2182" s="33" t="s">
        <v>98</v>
      </c>
      <c r="D2182" s="33" t="s">
        <v>59</v>
      </c>
      <c r="E2182" s="33" t="s">
        <v>82</v>
      </c>
      <c r="F2182" s="33" t="s">
        <v>12381</v>
      </c>
      <c r="G2182" s="33" t="s">
        <v>9</v>
      </c>
      <c r="H2182" s="33" t="n">
        <v>10</v>
      </c>
    </row>
    <row r="2183" customFormat="false" ht="54" hidden="false" customHeight="true" outlineLevel="0" collapsed="false">
      <c r="A2183" s="32" t="s">
        <v>12382</v>
      </c>
      <c r="B2183" s="32" t="s">
        <v>5579</v>
      </c>
      <c r="C2183" s="33" t="s">
        <v>98</v>
      </c>
      <c r="D2183" s="33" t="s">
        <v>59</v>
      </c>
      <c r="E2183" s="33" t="s">
        <v>82</v>
      </c>
      <c r="F2183" s="33" t="s">
        <v>12341</v>
      </c>
      <c r="G2183" s="33" t="s">
        <v>9</v>
      </c>
      <c r="H2183" s="33" t="n">
        <v>10</v>
      </c>
    </row>
    <row r="2184" customFormat="false" ht="54" hidden="false" customHeight="true" outlineLevel="0" collapsed="false">
      <c r="A2184" s="32" t="s">
        <v>12383</v>
      </c>
      <c r="B2184" s="32" t="s">
        <v>5579</v>
      </c>
      <c r="C2184" s="33" t="s">
        <v>98</v>
      </c>
      <c r="D2184" s="33" t="s">
        <v>59</v>
      </c>
      <c r="E2184" s="33" t="s">
        <v>84</v>
      </c>
      <c r="F2184" s="33" t="s">
        <v>183</v>
      </c>
      <c r="G2184" s="33" t="s">
        <v>9</v>
      </c>
      <c r="H2184" s="33" t="n">
        <v>10</v>
      </c>
    </row>
    <row r="2185" customFormat="false" ht="54" hidden="false" customHeight="true" outlineLevel="0" collapsed="false">
      <c r="A2185" s="32" t="s">
        <v>12384</v>
      </c>
      <c r="B2185" s="32" t="s">
        <v>5579</v>
      </c>
      <c r="C2185" s="33" t="s">
        <v>98</v>
      </c>
      <c r="D2185" s="33" t="s">
        <v>59</v>
      </c>
      <c r="E2185" s="33" t="s">
        <v>86</v>
      </c>
      <c r="F2185" s="33" t="s">
        <v>5558</v>
      </c>
      <c r="G2185" s="33" t="s">
        <v>9</v>
      </c>
      <c r="H2185" s="33" t="n">
        <v>10</v>
      </c>
    </row>
    <row r="2186" customFormat="false" ht="54" hidden="false" customHeight="true" outlineLevel="0" collapsed="false">
      <c r="A2186" s="32" t="s">
        <v>12385</v>
      </c>
      <c r="B2186" s="32" t="s">
        <v>5584</v>
      </c>
      <c r="C2186" s="33" t="s">
        <v>98</v>
      </c>
      <c r="D2186" s="33" t="s">
        <v>59</v>
      </c>
      <c r="E2186" s="33" t="s">
        <v>80</v>
      </c>
      <c r="F2186" s="33" t="s">
        <v>183</v>
      </c>
      <c r="G2186" s="33" t="s">
        <v>9</v>
      </c>
      <c r="H2186" s="33" t="n">
        <v>10</v>
      </c>
    </row>
    <row r="2187" customFormat="false" ht="54" hidden="false" customHeight="true" outlineLevel="0" collapsed="false">
      <c r="A2187" s="32" t="s">
        <v>12386</v>
      </c>
      <c r="B2187" s="32" t="s">
        <v>5584</v>
      </c>
      <c r="C2187" s="33" t="s">
        <v>98</v>
      </c>
      <c r="D2187" s="33" t="s">
        <v>59</v>
      </c>
      <c r="E2187" s="33" t="s">
        <v>81</v>
      </c>
      <c r="F2187" s="33" t="s">
        <v>5593</v>
      </c>
      <c r="G2187" s="33" t="s">
        <v>9</v>
      </c>
      <c r="H2187" s="33" t="n">
        <v>10</v>
      </c>
    </row>
    <row r="2188" customFormat="false" ht="54" hidden="false" customHeight="true" outlineLevel="0" collapsed="false">
      <c r="A2188" s="32" t="s">
        <v>12387</v>
      </c>
      <c r="B2188" s="32" t="s">
        <v>5584</v>
      </c>
      <c r="C2188" s="33" t="s">
        <v>98</v>
      </c>
      <c r="D2188" s="33" t="s">
        <v>59</v>
      </c>
      <c r="E2188" s="33" t="s">
        <v>82</v>
      </c>
      <c r="F2188" s="33" t="s">
        <v>12388</v>
      </c>
      <c r="G2188" s="33" t="s">
        <v>9</v>
      </c>
      <c r="H2188" s="33" t="n">
        <v>10</v>
      </c>
    </row>
    <row r="2189" customFormat="false" ht="54" hidden="false" customHeight="true" outlineLevel="0" collapsed="false">
      <c r="A2189" s="32" t="s">
        <v>12389</v>
      </c>
      <c r="B2189" s="32" t="s">
        <v>5584</v>
      </c>
      <c r="C2189" s="33" t="s">
        <v>98</v>
      </c>
      <c r="D2189" s="33" t="s">
        <v>59</v>
      </c>
      <c r="E2189" s="33" t="s">
        <v>82</v>
      </c>
      <c r="F2189" s="33" t="s">
        <v>5593</v>
      </c>
      <c r="G2189" s="33" t="s">
        <v>9</v>
      </c>
      <c r="H2189" s="33" t="n">
        <v>10</v>
      </c>
    </row>
    <row r="2190" customFormat="false" ht="54" hidden="false" customHeight="true" outlineLevel="0" collapsed="false">
      <c r="A2190" s="32" t="s">
        <v>12390</v>
      </c>
      <c r="B2190" s="32" t="s">
        <v>5584</v>
      </c>
      <c r="C2190" s="33" t="s">
        <v>98</v>
      </c>
      <c r="D2190" s="33" t="s">
        <v>59</v>
      </c>
      <c r="E2190" s="33" t="s">
        <v>82</v>
      </c>
      <c r="F2190" s="33" t="s">
        <v>12341</v>
      </c>
      <c r="G2190" s="33" t="s">
        <v>9</v>
      </c>
      <c r="H2190" s="33" t="n">
        <v>10</v>
      </c>
    </row>
    <row r="2191" customFormat="false" ht="54" hidden="false" customHeight="true" outlineLevel="0" collapsed="false">
      <c r="A2191" s="32" t="s">
        <v>12391</v>
      </c>
      <c r="B2191" s="32" t="s">
        <v>5584</v>
      </c>
      <c r="C2191" s="33" t="s">
        <v>98</v>
      </c>
      <c r="D2191" s="33" t="s">
        <v>59</v>
      </c>
      <c r="E2191" s="33" t="s">
        <v>84</v>
      </c>
      <c r="F2191" s="33" t="s">
        <v>183</v>
      </c>
      <c r="G2191" s="33" t="s">
        <v>9</v>
      </c>
      <c r="H2191" s="33" t="n">
        <v>10</v>
      </c>
    </row>
    <row r="2192" customFormat="false" ht="54" hidden="false" customHeight="true" outlineLevel="0" collapsed="false">
      <c r="A2192" s="32" t="s">
        <v>12392</v>
      </c>
      <c r="B2192" s="32" t="s">
        <v>5584</v>
      </c>
      <c r="C2192" s="33" t="s">
        <v>98</v>
      </c>
      <c r="D2192" s="33" t="s">
        <v>59</v>
      </c>
      <c r="E2192" s="33" t="s">
        <v>86</v>
      </c>
      <c r="F2192" s="33" t="s">
        <v>5558</v>
      </c>
      <c r="G2192" s="33" t="s">
        <v>9</v>
      </c>
      <c r="H2192" s="33" t="n">
        <v>10</v>
      </c>
    </row>
    <row r="2193" customFormat="false" ht="54" hidden="false" customHeight="true" outlineLevel="0" collapsed="false">
      <c r="A2193" s="32" t="s">
        <v>12393</v>
      </c>
      <c r="B2193" s="32" t="s">
        <v>5597</v>
      </c>
      <c r="C2193" s="33" t="s">
        <v>98</v>
      </c>
      <c r="D2193" s="33" t="s">
        <v>59</v>
      </c>
      <c r="E2193" s="33" t="s">
        <v>80</v>
      </c>
      <c r="F2193" s="33" t="s">
        <v>183</v>
      </c>
      <c r="G2193" s="33" t="s">
        <v>9</v>
      </c>
      <c r="H2193" s="33" t="n">
        <v>10</v>
      </c>
    </row>
    <row r="2194" customFormat="false" ht="54" hidden="false" customHeight="true" outlineLevel="0" collapsed="false">
      <c r="A2194" s="32" t="s">
        <v>12394</v>
      </c>
      <c r="B2194" s="32" t="s">
        <v>5597</v>
      </c>
      <c r="C2194" s="33" t="s">
        <v>98</v>
      </c>
      <c r="D2194" s="33" t="s">
        <v>59</v>
      </c>
      <c r="E2194" s="33" t="s">
        <v>81</v>
      </c>
      <c r="F2194" s="33" t="s">
        <v>5601</v>
      </c>
      <c r="G2194" s="33" t="s">
        <v>9</v>
      </c>
      <c r="H2194" s="33" t="n">
        <v>10</v>
      </c>
    </row>
    <row r="2195" customFormat="false" ht="54" hidden="false" customHeight="true" outlineLevel="0" collapsed="false">
      <c r="A2195" s="32" t="s">
        <v>12395</v>
      </c>
      <c r="B2195" s="32" t="s">
        <v>5597</v>
      </c>
      <c r="C2195" s="33" t="s">
        <v>98</v>
      </c>
      <c r="D2195" s="33" t="s">
        <v>59</v>
      </c>
      <c r="E2195" s="33" t="s">
        <v>82</v>
      </c>
      <c r="F2195" s="33" t="s">
        <v>9553</v>
      </c>
      <c r="G2195" s="33" t="s">
        <v>9</v>
      </c>
      <c r="H2195" s="33" t="n">
        <v>10</v>
      </c>
    </row>
    <row r="2196" customFormat="false" ht="54" hidden="false" customHeight="true" outlineLevel="0" collapsed="false">
      <c r="A2196" s="32" t="s">
        <v>12396</v>
      </c>
      <c r="B2196" s="32" t="s">
        <v>5597</v>
      </c>
      <c r="C2196" s="33" t="s">
        <v>98</v>
      </c>
      <c r="D2196" s="33" t="s">
        <v>59</v>
      </c>
      <c r="E2196" s="33" t="s">
        <v>82</v>
      </c>
      <c r="F2196" s="33" t="s">
        <v>5601</v>
      </c>
      <c r="G2196" s="33" t="s">
        <v>9</v>
      </c>
      <c r="H2196" s="33" t="n">
        <v>10</v>
      </c>
    </row>
    <row r="2197" customFormat="false" ht="54" hidden="false" customHeight="true" outlineLevel="0" collapsed="false">
      <c r="A2197" s="32" t="s">
        <v>12397</v>
      </c>
      <c r="B2197" s="32" t="s">
        <v>5597</v>
      </c>
      <c r="C2197" s="33" t="s">
        <v>98</v>
      </c>
      <c r="D2197" s="33" t="s">
        <v>59</v>
      </c>
      <c r="E2197" s="33" t="s">
        <v>82</v>
      </c>
      <c r="F2197" s="33" t="s">
        <v>12341</v>
      </c>
      <c r="G2197" s="33" t="s">
        <v>9</v>
      </c>
      <c r="H2197" s="33" t="n">
        <v>10</v>
      </c>
    </row>
    <row r="2198" customFormat="false" ht="54" hidden="false" customHeight="true" outlineLevel="0" collapsed="false">
      <c r="A2198" s="32" t="s">
        <v>12398</v>
      </c>
      <c r="B2198" s="32" t="s">
        <v>5597</v>
      </c>
      <c r="C2198" s="33" t="s">
        <v>98</v>
      </c>
      <c r="D2198" s="33" t="s">
        <v>59</v>
      </c>
      <c r="E2198" s="33" t="s">
        <v>84</v>
      </c>
      <c r="F2198" s="33" t="s">
        <v>183</v>
      </c>
      <c r="G2198" s="33" t="s">
        <v>9</v>
      </c>
      <c r="H2198" s="33" t="n">
        <v>10</v>
      </c>
    </row>
    <row r="2199" customFormat="false" ht="54" hidden="false" customHeight="true" outlineLevel="0" collapsed="false">
      <c r="A2199" s="32" t="s">
        <v>12399</v>
      </c>
      <c r="B2199" s="32" t="s">
        <v>5597</v>
      </c>
      <c r="C2199" s="33" t="s">
        <v>98</v>
      </c>
      <c r="D2199" s="33" t="s">
        <v>59</v>
      </c>
      <c r="E2199" s="33" t="s">
        <v>86</v>
      </c>
      <c r="F2199" s="33" t="s">
        <v>5558</v>
      </c>
      <c r="G2199" s="33" t="s">
        <v>9</v>
      </c>
      <c r="H2199" s="33" t="n">
        <v>10</v>
      </c>
    </row>
    <row r="2200" customFormat="false" ht="54" hidden="false" customHeight="true" outlineLevel="0" collapsed="false">
      <c r="A2200" s="32" t="s">
        <v>12400</v>
      </c>
      <c r="B2200" s="32" t="s">
        <v>5604</v>
      </c>
      <c r="C2200" s="33" t="s">
        <v>98</v>
      </c>
      <c r="D2200" s="33" t="s">
        <v>59</v>
      </c>
      <c r="E2200" s="33" t="s">
        <v>80</v>
      </c>
      <c r="F2200" s="33" t="s">
        <v>183</v>
      </c>
      <c r="G2200" s="33" t="s">
        <v>9</v>
      </c>
      <c r="H2200" s="33" t="n">
        <v>10</v>
      </c>
    </row>
    <row r="2201" customFormat="false" ht="54" hidden="false" customHeight="true" outlineLevel="0" collapsed="false">
      <c r="A2201" s="32" t="s">
        <v>12401</v>
      </c>
      <c r="B2201" s="32" t="s">
        <v>5604</v>
      </c>
      <c r="C2201" s="33" t="s">
        <v>98</v>
      </c>
      <c r="D2201" s="33" t="s">
        <v>59</v>
      </c>
      <c r="E2201" s="33" t="s">
        <v>81</v>
      </c>
      <c r="F2201" s="33" t="s">
        <v>5609</v>
      </c>
      <c r="G2201" s="33" t="s">
        <v>9</v>
      </c>
      <c r="H2201" s="33" t="n">
        <v>10</v>
      </c>
    </row>
    <row r="2202" customFormat="false" ht="54" hidden="false" customHeight="true" outlineLevel="0" collapsed="false">
      <c r="A2202" s="32" t="s">
        <v>12402</v>
      </c>
      <c r="B2202" s="32" t="s">
        <v>5604</v>
      </c>
      <c r="C2202" s="33" t="s">
        <v>98</v>
      </c>
      <c r="D2202" s="33" t="s">
        <v>59</v>
      </c>
      <c r="E2202" s="33" t="s">
        <v>82</v>
      </c>
      <c r="F2202" s="33" t="s">
        <v>12403</v>
      </c>
      <c r="G2202" s="33" t="s">
        <v>9</v>
      </c>
      <c r="H2202" s="33" t="n">
        <v>10</v>
      </c>
    </row>
    <row r="2203" customFormat="false" ht="54" hidden="false" customHeight="true" outlineLevel="0" collapsed="false">
      <c r="A2203" s="32" t="s">
        <v>12404</v>
      </c>
      <c r="B2203" s="32" t="s">
        <v>5604</v>
      </c>
      <c r="C2203" s="33" t="s">
        <v>98</v>
      </c>
      <c r="D2203" s="33" t="s">
        <v>59</v>
      </c>
      <c r="E2203" s="33" t="s">
        <v>82</v>
      </c>
      <c r="F2203" s="33" t="s">
        <v>5609</v>
      </c>
      <c r="G2203" s="33" t="s">
        <v>9</v>
      </c>
      <c r="H2203" s="33" t="n">
        <v>10</v>
      </c>
    </row>
    <row r="2204" customFormat="false" ht="54" hidden="false" customHeight="true" outlineLevel="0" collapsed="false">
      <c r="A2204" s="32" t="s">
        <v>12405</v>
      </c>
      <c r="B2204" s="32" t="s">
        <v>5604</v>
      </c>
      <c r="C2204" s="33" t="s">
        <v>98</v>
      </c>
      <c r="D2204" s="33" t="s">
        <v>59</v>
      </c>
      <c r="E2204" s="33" t="s">
        <v>82</v>
      </c>
      <c r="F2204" s="33" t="s">
        <v>12341</v>
      </c>
      <c r="G2204" s="33" t="s">
        <v>9</v>
      </c>
      <c r="H2204" s="33" t="n">
        <v>10</v>
      </c>
    </row>
    <row r="2205" customFormat="false" ht="54" hidden="false" customHeight="true" outlineLevel="0" collapsed="false">
      <c r="A2205" s="32" t="s">
        <v>12406</v>
      </c>
      <c r="B2205" s="32" t="s">
        <v>5604</v>
      </c>
      <c r="C2205" s="33" t="s">
        <v>98</v>
      </c>
      <c r="D2205" s="33" t="s">
        <v>59</v>
      </c>
      <c r="E2205" s="33" t="s">
        <v>84</v>
      </c>
      <c r="F2205" s="33" t="s">
        <v>183</v>
      </c>
      <c r="G2205" s="33" t="s">
        <v>9</v>
      </c>
      <c r="H2205" s="33" t="n">
        <v>10</v>
      </c>
    </row>
    <row r="2206" customFormat="false" ht="54" hidden="false" customHeight="true" outlineLevel="0" collapsed="false">
      <c r="A2206" s="32" t="s">
        <v>12407</v>
      </c>
      <c r="B2206" s="32" t="s">
        <v>5604</v>
      </c>
      <c r="C2206" s="33" t="s">
        <v>98</v>
      </c>
      <c r="D2206" s="33" t="s">
        <v>59</v>
      </c>
      <c r="E2206" s="33" t="s">
        <v>86</v>
      </c>
      <c r="F2206" s="33" t="s">
        <v>5558</v>
      </c>
      <c r="G2206" s="33" t="s">
        <v>9</v>
      </c>
      <c r="H2206" s="33" t="n">
        <v>10</v>
      </c>
    </row>
    <row r="2207" customFormat="false" ht="54" hidden="false" customHeight="true" outlineLevel="0" collapsed="false">
      <c r="A2207" s="32" t="s">
        <v>12408</v>
      </c>
      <c r="B2207" s="32" t="s">
        <v>5612</v>
      </c>
      <c r="C2207" s="33" t="s">
        <v>98</v>
      </c>
      <c r="D2207" s="33" t="s">
        <v>59</v>
      </c>
      <c r="E2207" s="33" t="s">
        <v>80</v>
      </c>
      <c r="F2207" s="33" t="s">
        <v>183</v>
      </c>
      <c r="G2207" s="33" t="s">
        <v>9</v>
      </c>
      <c r="H2207" s="33" t="n">
        <v>10</v>
      </c>
    </row>
    <row r="2208" customFormat="false" ht="54" hidden="false" customHeight="true" outlineLevel="0" collapsed="false">
      <c r="A2208" s="32" t="s">
        <v>12409</v>
      </c>
      <c r="B2208" s="32" t="s">
        <v>5612</v>
      </c>
      <c r="C2208" s="33" t="s">
        <v>98</v>
      </c>
      <c r="D2208" s="33" t="s">
        <v>59</v>
      </c>
      <c r="E2208" s="33" t="s">
        <v>81</v>
      </c>
      <c r="F2208" s="33" t="s">
        <v>5615</v>
      </c>
      <c r="G2208" s="33" t="s">
        <v>9</v>
      </c>
      <c r="H2208" s="33" t="n">
        <v>10</v>
      </c>
    </row>
    <row r="2209" customFormat="false" ht="54" hidden="false" customHeight="true" outlineLevel="0" collapsed="false">
      <c r="A2209" s="32" t="s">
        <v>12410</v>
      </c>
      <c r="B2209" s="32" t="s">
        <v>5612</v>
      </c>
      <c r="C2209" s="33" t="s">
        <v>98</v>
      </c>
      <c r="D2209" s="33" t="s">
        <v>59</v>
      </c>
      <c r="E2209" s="33" t="s">
        <v>82</v>
      </c>
      <c r="F2209" s="33" t="s">
        <v>12411</v>
      </c>
      <c r="G2209" s="33" t="s">
        <v>9</v>
      </c>
      <c r="H2209" s="33" t="n">
        <v>10</v>
      </c>
    </row>
    <row r="2210" customFormat="false" ht="54" hidden="false" customHeight="true" outlineLevel="0" collapsed="false">
      <c r="A2210" s="32" t="s">
        <v>12412</v>
      </c>
      <c r="B2210" s="32" t="s">
        <v>5612</v>
      </c>
      <c r="C2210" s="33" t="s">
        <v>98</v>
      </c>
      <c r="D2210" s="33" t="s">
        <v>59</v>
      </c>
      <c r="E2210" s="33" t="s">
        <v>82</v>
      </c>
      <c r="F2210" s="33" t="s">
        <v>5615</v>
      </c>
      <c r="G2210" s="33" t="s">
        <v>9</v>
      </c>
      <c r="H2210" s="33" t="n">
        <v>10</v>
      </c>
    </row>
    <row r="2211" customFormat="false" ht="54" hidden="false" customHeight="true" outlineLevel="0" collapsed="false">
      <c r="A2211" s="32" t="s">
        <v>12413</v>
      </c>
      <c r="B2211" s="32" t="s">
        <v>5612</v>
      </c>
      <c r="C2211" s="33" t="s">
        <v>98</v>
      </c>
      <c r="D2211" s="33" t="s">
        <v>59</v>
      </c>
      <c r="E2211" s="33" t="s">
        <v>82</v>
      </c>
      <c r="F2211" s="33" t="s">
        <v>12341</v>
      </c>
      <c r="G2211" s="33" t="s">
        <v>9</v>
      </c>
      <c r="H2211" s="33" t="n">
        <v>10</v>
      </c>
    </row>
    <row r="2212" customFormat="false" ht="54" hidden="false" customHeight="true" outlineLevel="0" collapsed="false">
      <c r="A2212" s="32" t="s">
        <v>12414</v>
      </c>
      <c r="B2212" s="32" t="s">
        <v>5612</v>
      </c>
      <c r="C2212" s="33" t="s">
        <v>98</v>
      </c>
      <c r="D2212" s="33" t="s">
        <v>59</v>
      </c>
      <c r="E2212" s="33" t="s">
        <v>84</v>
      </c>
      <c r="F2212" s="33" t="s">
        <v>183</v>
      </c>
      <c r="G2212" s="33" t="s">
        <v>9</v>
      </c>
      <c r="H2212" s="33" t="n">
        <v>10</v>
      </c>
    </row>
    <row r="2213" customFormat="false" ht="54" hidden="false" customHeight="true" outlineLevel="0" collapsed="false">
      <c r="A2213" s="32" t="s">
        <v>12415</v>
      </c>
      <c r="B2213" s="32" t="s">
        <v>5612</v>
      </c>
      <c r="C2213" s="33" t="s">
        <v>98</v>
      </c>
      <c r="D2213" s="33" t="s">
        <v>59</v>
      </c>
      <c r="E2213" s="33" t="s">
        <v>86</v>
      </c>
      <c r="F2213" s="33" t="s">
        <v>5558</v>
      </c>
      <c r="G2213" s="33" t="s">
        <v>9</v>
      </c>
      <c r="H2213" s="33" t="n">
        <v>10</v>
      </c>
    </row>
    <row r="2214" customFormat="false" ht="54" hidden="false" customHeight="true" outlineLevel="0" collapsed="false">
      <c r="A2214" s="32" t="s">
        <v>12416</v>
      </c>
      <c r="B2214" s="32" t="s">
        <v>5617</v>
      </c>
      <c r="C2214" s="33" t="s">
        <v>98</v>
      </c>
      <c r="D2214" s="33" t="s">
        <v>59</v>
      </c>
      <c r="E2214" s="33" t="s">
        <v>81</v>
      </c>
      <c r="F2214" s="33" t="s">
        <v>5624</v>
      </c>
      <c r="G2214" s="33" t="s">
        <v>9</v>
      </c>
      <c r="H2214" s="33" t="n">
        <v>10</v>
      </c>
    </row>
    <row r="2215" customFormat="false" ht="54" hidden="false" customHeight="true" outlineLevel="0" collapsed="false">
      <c r="A2215" s="32" t="s">
        <v>12417</v>
      </c>
      <c r="B2215" s="32" t="s">
        <v>5617</v>
      </c>
      <c r="C2215" s="33" t="s">
        <v>98</v>
      </c>
      <c r="D2215" s="33" t="s">
        <v>59</v>
      </c>
      <c r="E2215" s="33" t="s">
        <v>81</v>
      </c>
      <c r="F2215" s="33" t="s">
        <v>5629</v>
      </c>
      <c r="G2215" s="33" t="s">
        <v>9</v>
      </c>
      <c r="H2215" s="33" t="n">
        <v>10</v>
      </c>
    </row>
    <row r="2216" customFormat="false" ht="54" hidden="false" customHeight="true" outlineLevel="0" collapsed="false">
      <c r="A2216" s="32" t="s">
        <v>12418</v>
      </c>
      <c r="B2216" s="32" t="s">
        <v>5617</v>
      </c>
      <c r="C2216" s="33" t="s">
        <v>98</v>
      </c>
      <c r="D2216" s="33" t="s">
        <v>59</v>
      </c>
      <c r="E2216" s="33" t="s">
        <v>82</v>
      </c>
      <c r="F2216" s="33" t="s">
        <v>5629</v>
      </c>
      <c r="G2216" s="33" t="s">
        <v>9</v>
      </c>
      <c r="H2216" s="33" t="n">
        <v>10</v>
      </c>
    </row>
    <row r="2217" customFormat="false" ht="54" hidden="false" customHeight="true" outlineLevel="0" collapsed="false">
      <c r="A2217" s="32" t="s">
        <v>12419</v>
      </c>
      <c r="B2217" s="32" t="s">
        <v>5633</v>
      </c>
      <c r="C2217" s="33" t="s">
        <v>98</v>
      </c>
      <c r="D2217" s="33" t="s">
        <v>59</v>
      </c>
      <c r="E2217" s="33" t="s">
        <v>80</v>
      </c>
      <c r="F2217" s="33" t="s">
        <v>183</v>
      </c>
      <c r="G2217" s="33" t="s">
        <v>9</v>
      </c>
      <c r="H2217" s="33" t="n">
        <v>10</v>
      </c>
    </row>
    <row r="2218" customFormat="false" ht="54" hidden="false" customHeight="true" outlineLevel="0" collapsed="false">
      <c r="A2218" s="32" t="s">
        <v>12420</v>
      </c>
      <c r="B2218" s="32" t="s">
        <v>5633</v>
      </c>
      <c r="C2218" s="33" t="s">
        <v>98</v>
      </c>
      <c r="D2218" s="33" t="s">
        <v>59</v>
      </c>
      <c r="E2218" s="33" t="s">
        <v>80</v>
      </c>
      <c r="F2218" s="33" t="s">
        <v>12421</v>
      </c>
      <c r="G2218" s="33" t="s">
        <v>9</v>
      </c>
      <c r="H2218" s="33" t="n">
        <v>10</v>
      </c>
    </row>
    <row r="2219" customFormat="false" ht="54" hidden="false" customHeight="true" outlineLevel="0" collapsed="false">
      <c r="A2219" s="32" t="s">
        <v>12422</v>
      </c>
      <c r="B2219" s="32" t="s">
        <v>5633</v>
      </c>
      <c r="C2219" s="33" t="s">
        <v>98</v>
      </c>
      <c r="D2219" s="33" t="s">
        <v>59</v>
      </c>
      <c r="E2219" s="33" t="s">
        <v>81</v>
      </c>
      <c r="F2219" s="33" t="s">
        <v>5639</v>
      </c>
      <c r="G2219" s="33" t="s">
        <v>9</v>
      </c>
      <c r="H2219" s="33" t="n">
        <v>10</v>
      </c>
    </row>
    <row r="2220" customFormat="false" ht="54" hidden="false" customHeight="true" outlineLevel="0" collapsed="false">
      <c r="A2220" s="32" t="s">
        <v>12423</v>
      </c>
      <c r="B2220" s="32" t="s">
        <v>5633</v>
      </c>
      <c r="C2220" s="33" t="s">
        <v>98</v>
      </c>
      <c r="D2220" s="33" t="s">
        <v>59</v>
      </c>
      <c r="E2220" s="33" t="s">
        <v>81</v>
      </c>
      <c r="F2220" s="33" t="s">
        <v>12421</v>
      </c>
      <c r="G2220" s="33" t="s">
        <v>9</v>
      </c>
      <c r="H2220" s="33" t="n">
        <v>10</v>
      </c>
    </row>
    <row r="2221" customFormat="false" ht="54" hidden="false" customHeight="true" outlineLevel="0" collapsed="false">
      <c r="A2221" s="32" t="s">
        <v>12424</v>
      </c>
      <c r="B2221" s="32" t="s">
        <v>5633</v>
      </c>
      <c r="C2221" s="33" t="s">
        <v>98</v>
      </c>
      <c r="D2221" s="33" t="s">
        <v>59</v>
      </c>
      <c r="E2221" s="33" t="s">
        <v>82</v>
      </c>
      <c r="F2221" s="33" t="s">
        <v>12425</v>
      </c>
      <c r="G2221" s="33" t="s">
        <v>9</v>
      </c>
      <c r="H2221" s="33" t="n">
        <v>10</v>
      </c>
    </row>
    <row r="2222" customFormat="false" ht="54" hidden="false" customHeight="true" outlineLevel="0" collapsed="false">
      <c r="A2222" s="32" t="s">
        <v>12426</v>
      </c>
      <c r="B2222" s="32" t="s">
        <v>5633</v>
      </c>
      <c r="C2222" s="33" t="s">
        <v>98</v>
      </c>
      <c r="D2222" s="33" t="s">
        <v>59</v>
      </c>
      <c r="E2222" s="33" t="s">
        <v>82</v>
      </c>
      <c r="F2222" s="33" t="s">
        <v>12421</v>
      </c>
      <c r="G2222" s="33" t="s">
        <v>9</v>
      </c>
      <c r="H2222" s="33" t="n">
        <v>10</v>
      </c>
    </row>
    <row r="2223" customFormat="false" ht="54" hidden="false" customHeight="true" outlineLevel="0" collapsed="false">
      <c r="A2223" s="32" t="s">
        <v>12427</v>
      </c>
      <c r="B2223" s="32" t="s">
        <v>5633</v>
      </c>
      <c r="C2223" s="33" t="s">
        <v>98</v>
      </c>
      <c r="D2223" s="33" t="s">
        <v>59</v>
      </c>
      <c r="E2223" s="33" t="s">
        <v>82</v>
      </c>
      <c r="F2223" s="33" t="s">
        <v>12341</v>
      </c>
      <c r="G2223" s="33" t="s">
        <v>9</v>
      </c>
      <c r="H2223" s="33" t="n">
        <v>10</v>
      </c>
    </row>
    <row r="2224" customFormat="false" ht="54" hidden="false" customHeight="true" outlineLevel="0" collapsed="false">
      <c r="A2224" s="32" t="s">
        <v>12428</v>
      </c>
      <c r="B2224" s="32" t="s">
        <v>5633</v>
      </c>
      <c r="C2224" s="33" t="s">
        <v>98</v>
      </c>
      <c r="D2224" s="33" t="s">
        <v>59</v>
      </c>
      <c r="E2224" s="33" t="s">
        <v>84</v>
      </c>
      <c r="F2224" s="33" t="s">
        <v>183</v>
      </c>
      <c r="G2224" s="33" t="s">
        <v>9</v>
      </c>
      <c r="H2224" s="33" t="n">
        <v>10</v>
      </c>
    </row>
    <row r="2225" customFormat="false" ht="54" hidden="false" customHeight="true" outlineLevel="0" collapsed="false">
      <c r="A2225" s="32" t="s">
        <v>12429</v>
      </c>
      <c r="B2225" s="32" t="s">
        <v>5633</v>
      </c>
      <c r="C2225" s="33" t="s">
        <v>98</v>
      </c>
      <c r="D2225" s="33" t="s">
        <v>59</v>
      </c>
      <c r="E2225" s="33" t="s">
        <v>84</v>
      </c>
      <c r="F2225" s="33" t="s">
        <v>12421</v>
      </c>
      <c r="G2225" s="33" t="s">
        <v>9</v>
      </c>
      <c r="H2225" s="33" t="n">
        <v>10</v>
      </c>
    </row>
    <row r="2226" customFormat="false" ht="54" hidden="false" customHeight="true" outlineLevel="0" collapsed="false">
      <c r="A2226" s="32" t="s">
        <v>12430</v>
      </c>
      <c r="B2226" s="32" t="s">
        <v>5633</v>
      </c>
      <c r="C2226" s="33" t="s">
        <v>98</v>
      </c>
      <c r="D2226" s="33" t="s">
        <v>59</v>
      </c>
      <c r="E2226" s="33" t="s">
        <v>84</v>
      </c>
      <c r="F2226" s="33" t="s">
        <v>12431</v>
      </c>
      <c r="G2226" s="33" t="s">
        <v>9</v>
      </c>
      <c r="H2226" s="33" t="n">
        <v>10</v>
      </c>
    </row>
    <row r="2227" customFormat="false" ht="54" hidden="false" customHeight="true" outlineLevel="0" collapsed="false">
      <c r="A2227" s="32" t="s">
        <v>12432</v>
      </c>
      <c r="B2227" s="32" t="s">
        <v>5633</v>
      </c>
      <c r="C2227" s="33" t="s">
        <v>98</v>
      </c>
      <c r="D2227" s="33" t="s">
        <v>59</v>
      </c>
      <c r="E2227" s="33" t="s">
        <v>84</v>
      </c>
      <c r="F2227" s="33" t="s">
        <v>12433</v>
      </c>
      <c r="G2227" s="33" t="s">
        <v>9</v>
      </c>
      <c r="H2227" s="33" t="n">
        <v>10</v>
      </c>
    </row>
    <row r="2228" customFormat="false" ht="54" hidden="false" customHeight="true" outlineLevel="0" collapsed="false">
      <c r="A2228" s="32" t="s">
        <v>12434</v>
      </c>
      <c r="B2228" s="32" t="s">
        <v>5633</v>
      </c>
      <c r="C2228" s="33" t="s">
        <v>98</v>
      </c>
      <c r="D2228" s="33" t="s">
        <v>59</v>
      </c>
      <c r="E2228" s="33" t="s">
        <v>86</v>
      </c>
      <c r="F2228" s="33" t="s">
        <v>5558</v>
      </c>
      <c r="G2228" s="33" t="s">
        <v>9</v>
      </c>
      <c r="H2228" s="33" t="n">
        <v>10</v>
      </c>
    </row>
    <row r="2229" customFormat="false" ht="54" hidden="false" customHeight="true" outlineLevel="0" collapsed="false">
      <c r="A2229" s="32" t="s">
        <v>12435</v>
      </c>
      <c r="B2229" s="32" t="s">
        <v>5649</v>
      </c>
      <c r="C2229" s="33" t="s">
        <v>98</v>
      </c>
      <c r="D2229" s="33" t="s">
        <v>59</v>
      </c>
      <c r="E2229" s="33" t="s">
        <v>80</v>
      </c>
      <c r="F2229" s="33" t="s">
        <v>183</v>
      </c>
      <c r="G2229" s="33" t="s">
        <v>9</v>
      </c>
      <c r="H2229" s="33" t="n">
        <v>10</v>
      </c>
    </row>
    <row r="2230" customFormat="false" ht="54" hidden="false" customHeight="true" outlineLevel="0" collapsed="false">
      <c r="A2230" s="32" t="s">
        <v>12436</v>
      </c>
      <c r="B2230" s="32" t="s">
        <v>5649</v>
      </c>
      <c r="C2230" s="33" t="s">
        <v>98</v>
      </c>
      <c r="D2230" s="33" t="s">
        <v>59</v>
      </c>
      <c r="E2230" s="33" t="s">
        <v>82</v>
      </c>
      <c r="F2230" s="33" t="s">
        <v>5654</v>
      </c>
      <c r="G2230" s="33" t="s">
        <v>9</v>
      </c>
      <c r="H2230" s="33" t="n">
        <v>10</v>
      </c>
    </row>
    <row r="2231" customFormat="false" ht="54" hidden="false" customHeight="true" outlineLevel="0" collapsed="false">
      <c r="A2231" s="32" t="s">
        <v>12437</v>
      </c>
      <c r="B2231" s="32" t="s">
        <v>5649</v>
      </c>
      <c r="C2231" s="33" t="s">
        <v>98</v>
      </c>
      <c r="D2231" s="33" t="s">
        <v>59</v>
      </c>
      <c r="E2231" s="33" t="s">
        <v>82</v>
      </c>
      <c r="F2231" s="33" t="s">
        <v>12438</v>
      </c>
      <c r="G2231" s="33" t="s">
        <v>9</v>
      </c>
      <c r="H2231" s="33" t="n">
        <v>10</v>
      </c>
    </row>
    <row r="2232" customFormat="false" ht="54" hidden="false" customHeight="true" outlineLevel="0" collapsed="false">
      <c r="A2232" s="32" t="s">
        <v>12439</v>
      </c>
      <c r="B2232" s="32" t="s">
        <v>5649</v>
      </c>
      <c r="C2232" s="33" t="s">
        <v>98</v>
      </c>
      <c r="D2232" s="33" t="s">
        <v>59</v>
      </c>
      <c r="E2232" s="33" t="s">
        <v>84</v>
      </c>
      <c r="F2232" s="33" t="s">
        <v>183</v>
      </c>
      <c r="G2232" s="33" t="s">
        <v>9</v>
      </c>
      <c r="H2232" s="33" t="n">
        <v>10</v>
      </c>
    </row>
    <row r="2233" customFormat="false" ht="54" hidden="false" customHeight="true" outlineLevel="0" collapsed="false">
      <c r="A2233" s="32" t="s">
        <v>12440</v>
      </c>
      <c r="B2233" s="32" t="s">
        <v>5649</v>
      </c>
      <c r="C2233" s="33" t="s">
        <v>98</v>
      </c>
      <c r="D2233" s="33" t="s">
        <v>59</v>
      </c>
      <c r="E2233" s="33" t="s">
        <v>86</v>
      </c>
      <c r="F2233" s="33" t="s">
        <v>12438</v>
      </c>
      <c r="G2233" s="33" t="s">
        <v>9</v>
      </c>
      <c r="H2233" s="33" t="n">
        <v>10</v>
      </c>
    </row>
    <row r="2234" customFormat="false" ht="54" hidden="false" customHeight="true" outlineLevel="0" collapsed="false">
      <c r="A2234" s="32" t="s">
        <v>12441</v>
      </c>
      <c r="B2234" s="32" t="s">
        <v>5649</v>
      </c>
      <c r="C2234" s="33" t="s">
        <v>98</v>
      </c>
      <c r="D2234" s="33" t="s">
        <v>59</v>
      </c>
      <c r="E2234" s="33" t="s">
        <v>86</v>
      </c>
      <c r="F2234" s="33" t="s">
        <v>6240</v>
      </c>
      <c r="G2234" s="33" t="s">
        <v>9</v>
      </c>
      <c r="H2234" s="33" t="n">
        <v>10</v>
      </c>
    </row>
    <row r="2235" customFormat="false" ht="54" hidden="false" customHeight="true" outlineLevel="0" collapsed="false">
      <c r="A2235" s="32" t="s">
        <v>12442</v>
      </c>
      <c r="B2235" s="32" t="s">
        <v>5661</v>
      </c>
      <c r="C2235" s="33" t="s">
        <v>98</v>
      </c>
      <c r="D2235" s="33" t="s">
        <v>59</v>
      </c>
      <c r="E2235" s="33" t="s">
        <v>80</v>
      </c>
      <c r="F2235" s="33" t="s">
        <v>183</v>
      </c>
      <c r="G2235" s="33" t="s">
        <v>9</v>
      </c>
      <c r="H2235" s="33" t="n">
        <v>10</v>
      </c>
    </row>
    <row r="2236" customFormat="false" ht="54" hidden="false" customHeight="true" outlineLevel="0" collapsed="false">
      <c r="A2236" s="32" t="s">
        <v>12443</v>
      </c>
      <c r="B2236" s="32" t="s">
        <v>5661</v>
      </c>
      <c r="C2236" s="33" t="s">
        <v>98</v>
      </c>
      <c r="D2236" s="33" t="s">
        <v>59</v>
      </c>
      <c r="E2236" s="33" t="s">
        <v>82</v>
      </c>
      <c r="F2236" s="33" t="s">
        <v>5654</v>
      </c>
      <c r="G2236" s="33" t="s">
        <v>9</v>
      </c>
      <c r="H2236" s="33" t="n">
        <v>10</v>
      </c>
    </row>
    <row r="2237" customFormat="false" ht="54" hidden="false" customHeight="true" outlineLevel="0" collapsed="false">
      <c r="A2237" s="32" t="s">
        <v>12444</v>
      </c>
      <c r="B2237" s="32" t="s">
        <v>5661</v>
      </c>
      <c r="C2237" s="33" t="s">
        <v>98</v>
      </c>
      <c r="D2237" s="33" t="s">
        <v>59</v>
      </c>
      <c r="E2237" s="33" t="s">
        <v>82</v>
      </c>
      <c r="F2237" s="33" t="s">
        <v>5665</v>
      </c>
      <c r="G2237" s="33" t="s">
        <v>9</v>
      </c>
      <c r="H2237" s="33" t="n">
        <v>10</v>
      </c>
    </row>
    <row r="2238" customFormat="false" ht="54" hidden="false" customHeight="true" outlineLevel="0" collapsed="false">
      <c r="A2238" s="32" t="s">
        <v>12445</v>
      </c>
      <c r="B2238" s="32" t="s">
        <v>5661</v>
      </c>
      <c r="C2238" s="33" t="s">
        <v>98</v>
      </c>
      <c r="D2238" s="33" t="s">
        <v>59</v>
      </c>
      <c r="E2238" s="33" t="s">
        <v>82</v>
      </c>
      <c r="F2238" s="33" t="s">
        <v>12446</v>
      </c>
      <c r="G2238" s="33" t="s">
        <v>9</v>
      </c>
      <c r="H2238" s="33" t="n">
        <v>10</v>
      </c>
    </row>
    <row r="2239" customFormat="false" ht="54" hidden="false" customHeight="true" outlineLevel="0" collapsed="false">
      <c r="A2239" s="32" t="s">
        <v>12447</v>
      </c>
      <c r="B2239" s="32" t="s">
        <v>5661</v>
      </c>
      <c r="C2239" s="33" t="s">
        <v>98</v>
      </c>
      <c r="D2239" s="33" t="s">
        <v>59</v>
      </c>
      <c r="E2239" s="33" t="s">
        <v>84</v>
      </c>
      <c r="F2239" s="33" t="s">
        <v>183</v>
      </c>
      <c r="G2239" s="33" t="s">
        <v>9</v>
      </c>
      <c r="H2239" s="33" t="n">
        <v>10</v>
      </c>
    </row>
    <row r="2240" customFormat="false" ht="54" hidden="false" customHeight="true" outlineLevel="0" collapsed="false">
      <c r="A2240" s="32" t="s">
        <v>12448</v>
      </c>
      <c r="B2240" s="32" t="s">
        <v>5661</v>
      </c>
      <c r="C2240" s="33" t="s">
        <v>98</v>
      </c>
      <c r="D2240" s="33" t="s">
        <v>59</v>
      </c>
      <c r="E2240" s="33" t="s">
        <v>86</v>
      </c>
      <c r="F2240" s="33" t="s">
        <v>12446</v>
      </c>
      <c r="G2240" s="33" t="s">
        <v>9</v>
      </c>
      <c r="H2240" s="33" t="n">
        <v>10</v>
      </c>
    </row>
    <row r="2241" customFormat="false" ht="54" hidden="false" customHeight="true" outlineLevel="0" collapsed="false">
      <c r="A2241" s="32" t="s">
        <v>12449</v>
      </c>
      <c r="B2241" s="32" t="s">
        <v>5661</v>
      </c>
      <c r="C2241" s="33" t="s">
        <v>98</v>
      </c>
      <c r="D2241" s="33" t="s">
        <v>59</v>
      </c>
      <c r="E2241" s="33" t="s">
        <v>86</v>
      </c>
      <c r="F2241" s="33" t="s">
        <v>6240</v>
      </c>
      <c r="G2241" s="33" t="s">
        <v>9</v>
      </c>
      <c r="H2241" s="33" t="n">
        <v>10</v>
      </c>
    </row>
    <row r="2242" customFormat="false" ht="54" hidden="false" customHeight="true" outlineLevel="0" collapsed="false">
      <c r="A2242" s="32" t="s">
        <v>12450</v>
      </c>
      <c r="B2242" s="32" t="s">
        <v>5671</v>
      </c>
      <c r="C2242" s="33" t="s">
        <v>98</v>
      </c>
      <c r="D2242" s="33" t="s">
        <v>59</v>
      </c>
      <c r="E2242" s="33" t="s">
        <v>80</v>
      </c>
      <c r="F2242" s="33" t="s">
        <v>183</v>
      </c>
      <c r="G2242" s="33" t="s">
        <v>9</v>
      </c>
      <c r="H2242" s="33" t="n">
        <v>10</v>
      </c>
    </row>
    <row r="2243" customFormat="false" ht="54" hidden="false" customHeight="true" outlineLevel="0" collapsed="false">
      <c r="A2243" s="32" t="s">
        <v>12451</v>
      </c>
      <c r="B2243" s="32" t="s">
        <v>5671</v>
      </c>
      <c r="C2243" s="33" t="s">
        <v>98</v>
      </c>
      <c r="D2243" s="33" t="s">
        <v>59</v>
      </c>
      <c r="E2243" s="33" t="s">
        <v>81</v>
      </c>
      <c r="F2243" s="33" t="s">
        <v>5677</v>
      </c>
      <c r="G2243" s="33" t="s">
        <v>9</v>
      </c>
      <c r="H2243" s="33" t="n">
        <v>10</v>
      </c>
    </row>
    <row r="2244" customFormat="false" ht="54" hidden="false" customHeight="true" outlineLevel="0" collapsed="false">
      <c r="A2244" s="32" t="s">
        <v>12452</v>
      </c>
      <c r="B2244" s="32" t="s">
        <v>5671</v>
      </c>
      <c r="C2244" s="33" t="s">
        <v>98</v>
      </c>
      <c r="D2244" s="33" t="s">
        <v>59</v>
      </c>
      <c r="E2244" s="33" t="s">
        <v>81</v>
      </c>
      <c r="F2244" s="33" t="s">
        <v>12453</v>
      </c>
      <c r="G2244" s="33" t="s">
        <v>9</v>
      </c>
      <c r="H2244" s="33" t="n">
        <v>10</v>
      </c>
    </row>
    <row r="2245" customFormat="false" ht="54" hidden="false" customHeight="true" outlineLevel="0" collapsed="false">
      <c r="A2245" s="32" t="s">
        <v>12454</v>
      </c>
      <c r="B2245" s="32" t="s">
        <v>5671</v>
      </c>
      <c r="C2245" s="33" t="s">
        <v>98</v>
      </c>
      <c r="D2245" s="33" t="s">
        <v>59</v>
      </c>
      <c r="E2245" s="33" t="s">
        <v>82</v>
      </c>
      <c r="F2245" s="33" t="s">
        <v>5676</v>
      </c>
      <c r="G2245" s="33" t="s">
        <v>9</v>
      </c>
      <c r="H2245" s="33" t="n">
        <v>10</v>
      </c>
    </row>
    <row r="2246" customFormat="false" ht="54" hidden="false" customHeight="true" outlineLevel="0" collapsed="false">
      <c r="A2246" s="32" t="s">
        <v>12455</v>
      </c>
      <c r="B2246" s="32" t="s">
        <v>5671</v>
      </c>
      <c r="C2246" s="33" t="s">
        <v>98</v>
      </c>
      <c r="D2246" s="33" t="s">
        <v>59</v>
      </c>
      <c r="E2246" s="33" t="s">
        <v>82</v>
      </c>
      <c r="F2246" s="33" t="s">
        <v>12453</v>
      </c>
      <c r="G2246" s="33" t="s">
        <v>9</v>
      </c>
      <c r="H2246" s="33" t="n">
        <v>10</v>
      </c>
    </row>
    <row r="2247" customFormat="false" ht="54" hidden="false" customHeight="true" outlineLevel="0" collapsed="false">
      <c r="A2247" s="32" t="s">
        <v>12456</v>
      </c>
      <c r="B2247" s="32" t="s">
        <v>5671</v>
      </c>
      <c r="C2247" s="33" t="s">
        <v>98</v>
      </c>
      <c r="D2247" s="33" t="s">
        <v>59</v>
      </c>
      <c r="E2247" s="33" t="s">
        <v>84</v>
      </c>
      <c r="F2247" s="33" t="s">
        <v>183</v>
      </c>
      <c r="G2247" s="33" t="s">
        <v>9</v>
      </c>
      <c r="H2247" s="33" t="n">
        <v>10</v>
      </c>
    </row>
    <row r="2248" customFormat="false" ht="54" hidden="false" customHeight="true" outlineLevel="0" collapsed="false">
      <c r="A2248" s="32" t="s">
        <v>12457</v>
      </c>
      <c r="B2248" s="32" t="s">
        <v>5685</v>
      </c>
      <c r="C2248" s="33" t="s">
        <v>98</v>
      </c>
      <c r="D2248" s="33" t="s">
        <v>59</v>
      </c>
      <c r="E2248" s="33" t="s">
        <v>80</v>
      </c>
      <c r="F2248" s="33" t="s">
        <v>183</v>
      </c>
      <c r="G2248" s="33" t="s">
        <v>9</v>
      </c>
      <c r="H2248" s="33" t="n">
        <v>10</v>
      </c>
    </row>
    <row r="2249" customFormat="false" ht="54" hidden="false" customHeight="true" outlineLevel="0" collapsed="false">
      <c r="A2249" s="32" t="s">
        <v>12458</v>
      </c>
      <c r="B2249" s="32" t="s">
        <v>5685</v>
      </c>
      <c r="C2249" s="33" t="s">
        <v>98</v>
      </c>
      <c r="D2249" s="33" t="s">
        <v>59</v>
      </c>
      <c r="E2249" s="33" t="s">
        <v>84</v>
      </c>
      <c r="F2249" s="33" t="s">
        <v>183</v>
      </c>
      <c r="G2249" s="33" t="s">
        <v>9</v>
      </c>
      <c r="H2249" s="33" t="n">
        <v>10</v>
      </c>
    </row>
    <row r="2250" customFormat="false" ht="54" hidden="false" customHeight="true" outlineLevel="0" collapsed="false">
      <c r="A2250" s="32" t="s">
        <v>12459</v>
      </c>
      <c r="B2250" s="32" t="s">
        <v>5685</v>
      </c>
      <c r="C2250" s="33" t="s">
        <v>98</v>
      </c>
      <c r="D2250" s="33" t="s">
        <v>59</v>
      </c>
      <c r="E2250" s="33" t="s">
        <v>86</v>
      </c>
      <c r="F2250" s="33" t="s">
        <v>5695</v>
      </c>
      <c r="G2250" s="33" t="s">
        <v>9</v>
      </c>
      <c r="H2250" s="33" t="n">
        <v>10</v>
      </c>
    </row>
    <row r="2251" customFormat="false" ht="54" hidden="false" customHeight="true" outlineLevel="0" collapsed="false">
      <c r="A2251" s="32" t="s">
        <v>12460</v>
      </c>
      <c r="B2251" s="32" t="s">
        <v>5698</v>
      </c>
      <c r="C2251" s="33" t="s">
        <v>98</v>
      </c>
      <c r="D2251" s="33" t="s">
        <v>59</v>
      </c>
      <c r="E2251" s="33" t="s">
        <v>80</v>
      </c>
      <c r="F2251" s="33" t="s">
        <v>183</v>
      </c>
      <c r="G2251" s="33" t="s">
        <v>9</v>
      </c>
      <c r="H2251" s="33" t="n">
        <v>10</v>
      </c>
    </row>
    <row r="2252" customFormat="false" ht="54" hidden="false" customHeight="true" outlineLevel="0" collapsed="false">
      <c r="A2252" s="32" t="s">
        <v>12461</v>
      </c>
      <c r="B2252" s="32" t="s">
        <v>5698</v>
      </c>
      <c r="C2252" s="33" t="s">
        <v>98</v>
      </c>
      <c r="D2252" s="33" t="s">
        <v>59</v>
      </c>
      <c r="E2252" s="33" t="s">
        <v>80</v>
      </c>
      <c r="F2252" s="33" t="s">
        <v>5712</v>
      </c>
      <c r="G2252" s="33" t="s">
        <v>9</v>
      </c>
      <c r="H2252" s="33" t="n">
        <v>10</v>
      </c>
    </row>
    <row r="2253" customFormat="false" ht="54" hidden="false" customHeight="true" outlineLevel="0" collapsed="false">
      <c r="A2253" s="32" t="s">
        <v>12462</v>
      </c>
      <c r="B2253" s="32" t="s">
        <v>5698</v>
      </c>
      <c r="C2253" s="33" t="s">
        <v>98</v>
      </c>
      <c r="D2253" s="33" t="s">
        <v>59</v>
      </c>
      <c r="E2253" s="33" t="s">
        <v>80</v>
      </c>
      <c r="F2253" s="33" t="s">
        <v>12463</v>
      </c>
      <c r="G2253" s="33" t="s">
        <v>9</v>
      </c>
      <c r="H2253" s="33" t="n">
        <v>10</v>
      </c>
    </row>
    <row r="2254" customFormat="false" ht="54" hidden="false" customHeight="true" outlineLevel="0" collapsed="false">
      <c r="A2254" s="32" t="s">
        <v>12464</v>
      </c>
      <c r="B2254" s="32" t="s">
        <v>5698</v>
      </c>
      <c r="C2254" s="33" t="s">
        <v>98</v>
      </c>
      <c r="D2254" s="33" t="s">
        <v>59</v>
      </c>
      <c r="E2254" s="33" t="s">
        <v>80</v>
      </c>
      <c r="F2254" s="33" t="s">
        <v>12465</v>
      </c>
      <c r="G2254" s="33" t="s">
        <v>9</v>
      </c>
      <c r="H2254" s="33" t="n">
        <v>10</v>
      </c>
    </row>
    <row r="2255" customFormat="false" ht="54" hidden="false" customHeight="true" outlineLevel="0" collapsed="false">
      <c r="A2255" s="32" t="s">
        <v>12466</v>
      </c>
      <c r="B2255" s="32" t="s">
        <v>5698</v>
      </c>
      <c r="C2255" s="33" t="s">
        <v>98</v>
      </c>
      <c r="D2255" s="33" t="s">
        <v>59</v>
      </c>
      <c r="E2255" s="33" t="s">
        <v>80</v>
      </c>
      <c r="F2255" s="33" t="s">
        <v>12467</v>
      </c>
      <c r="G2255" s="33" t="s">
        <v>9</v>
      </c>
      <c r="H2255" s="33" t="n">
        <v>10</v>
      </c>
    </row>
    <row r="2256" customFormat="false" ht="54" hidden="false" customHeight="true" outlineLevel="0" collapsed="false">
      <c r="A2256" s="32" t="s">
        <v>12468</v>
      </c>
      <c r="B2256" s="32" t="s">
        <v>5698</v>
      </c>
      <c r="C2256" s="33" t="s">
        <v>98</v>
      </c>
      <c r="D2256" s="33" t="s">
        <v>59</v>
      </c>
      <c r="E2256" s="33" t="s">
        <v>81</v>
      </c>
      <c r="F2256" s="33" t="s">
        <v>5704</v>
      </c>
      <c r="G2256" s="33" t="s">
        <v>9</v>
      </c>
      <c r="H2256" s="33" t="n">
        <v>10</v>
      </c>
    </row>
    <row r="2257" customFormat="false" ht="54" hidden="false" customHeight="true" outlineLevel="0" collapsed="false">
      <c r="A2257" s="32" t="s">
        <v>12469</v>
      </c>
      <c r="B2257" s="32" t="s">
        <v>5698</v>
      </c>
      <c r="C2257" s="33" t="s">
        <v>98</v>
      </c>
      <c r="D2257" s="33" t="s">
        <v>59</v>
      </c>
      <c r="E2257" s="33" t="s">
        <v>81</v>
      </c>
      <c r="F2257" s="33" t="s">
        <v>5706</v>
      </c>
      <c r="G2257" s="33" t="s">
        <v>9</v>
      </c>
      <c r="H2257" s="33" t="n">
        <v>10</v>
      </c>
    </row>
    <row r="2258" customFormat="false" ht="54" hidden="false" customHeight="true" outlineLevel="0" collapsed="false">
      <c r="A2258" s="32" t="s">
        <v>12470</v>
      </c>
      <c r="B2258" s="32" t="s">
        <v>5698</v>
      </c>
      <c r="C2258" s="33" t="s">
        <v>98</v>
      </c>
      <c r="D2258" s="33" t="s">
        <v>59</v>
      </c>
      <c r="E2258" s="33" t="s">
        <v>81</v>
      </c>
      <c r="F2258" s="33" t="s">
        <v>5712</v>
      </c>
      <c r="G2258" s="33" t="s">
        <v>9</v>
      </c>
      <c r="H2258" s="33" t="n">
        <v>10</v>
      </c>
    </row>
    <row r="2259" customFormat="false" ht="54" hidden="false" customHeight="true" outlineLevel="0" collapsed="false">
      <c r="A2259" s="32" t="s">
        <v>12471</v>
      </c>
      <c r="B2259" s="32" t="s">
        <v>5698</v>
      </c>
      <c r="C2259" s="33" t="s">
        <v>98</v>
      </c>
      <c r="D2259" s="33" t="s">
        <v>59</v>
      </c>
      <c r="E2259" s="33" t="s">
        <v>81</v>
      </c>
      <c r="F2259" s="33" t="s">
        <v>12463</v>
      </c>
      <c r="G2259" s="33" t="s">
        <v>9</v>
      </c>
      <c r="H2259" s="33" t="n">
        <v>10</v>
      </c>
    </row>
    <row r="2260" customFormat="false" ht="54" hidden="false" customHeight="true" outlineLevel="0" collapsed="false">
      <c r="A2260" s="32" t="s">
        <v>12472</v>
      </c>
      <c r="B2260" s="32" t="s">
        <v>5698</v>
      </c>
      <c r="C2260" s="33" t="s">
        <v>98</v>
      </c>
      <c r="D2260" s="33" t="s">
        <v>59</v>
      </c>
      <c r="E2260" s="33" t="s">
        <v>81</v>
      </c>
      <c r="F2260" s="33" t="s">
        <v>12473</v>
      </c>
      <c r="G2260" s="33" t="s">
        <v>9</v>
      </c>
      <c r="H2260" s="33" t="n">
        <v>10</v>
      </c>
    </row>
    <row r="2261" customFormat="false" ht="54" hidden="false" customHeight="true" outlineLevel="0" collapsed="false">
      <c r="A2261" s="32" t="s">
        <v>12474</v>
      </c>
      <c r="B2261" s="32" t="s">
        <v>5698</v>
      </c>
      <c r="C2261" s="33" t="s">
        <v>98</v>
      </c>
      <c r="D2261" s="33" t="s">
        <v>59</v>
      </c>
      <c r="E2261" s="33" t="s">
        <v>82</v>
      </c>
      <c r="F2261" s="33" t="s">
        <v>5712</v>
      </c>
      <c r="G2261" s="33" t="s">
        <v>9</v>
      </c>
      <c r="H2261" s="33" t="n">
        <v>10</v>
      </c>
    </row>
    <row r="2262" customFormat="false" ht="54" hidden="false" customHeight="true" outlineLevel="0" collapsed="false">
      <c r="A2262" s="32" t="s">
        <v>12475</v>
      </c>
      <c r="B2262" s="32" t="s">
        <v>5698</v>
      </c>
      <c r="C2262" s="33" t="s">
        <v>98</v>
      </c>
      <c r="D2262" s="33" t="s">
        <v>59</v>
      </c>
      <c r="E2262" s="33" t="s">
        <v>83</v>
      </c>
      <c r="F2262" s="33" t="s">
        <v>5712</v>
      </c>
      <c r="G2262" s="33" t="s">
        <v>9</v>
      </c>
      <c r="H2262" s="33" t="n">
        <v>10</v>
      </c>
    </row>
    <row r="2263" customFormat="false" ht="54" hidden="false" customHeight="true" outlineLevel="0" collapsed="false">
      <c r="A2263" s="32" t="s">
        <v>12476</v>
      </c>
      <c r="B2263" s="32" t="s">
        <v>5698</v>
      </c>
      <c r="C2263" s="33" t="s">
        <v>98</v>
      </c>
      <c r="D2263" s="33" t="s">
        <v>59</v>
      </c>
      <c r="E2263" s="33" t="s">
        <v>83</v>
      </c>
      <c r="F2263" s="33" t="s">
        <v>12477</v>
      </c>
      <c r="G2263" s="33" t="s">
        <v>9</v>
      </c>
      <c r="H2263" s="33" t="n">
        <v>10</v>
      </c>
    </row>
    <row r="2264" customFormat="false" ht="54" hidden="false" customHeight="true" outlineLevel="0" collapsed="false">
      <c r="A2264" s="32" t="s">
        <v>12478</v>
      </c>
      <c r="B2264" s="32" t="s">
        <v>5698</v>
      </c>
      <c r="C2264" s="33" t="s">
        <v>98</v>
      </c>
      <c r="D2264" s="33" t="s">
        <v>59</v>
      </c>
      <c r="E2264" s="33" t="s">
        <v>84</v>
      </c>
      <c r="F2264" s="33" t="s">
        <v>5705</v>
      </c>
      <c r="G2264" s="33" t="s">
        <v>9</v>
      </c>
      <c r="H2264" s="33" t="n">
        <v>10</v>
      </c>
    </row>
    <row r="2265" customFormat="false" ht="54" hidden="false" customHeight="true" outlineLevel="0" collapsed="false">
      <c r="A2265" s="32" t="s">
        <v>12479</v>
      </c>
      <c r="B2265" s="32" t="s">
        <v>5698</v>
      </c>
      <c r="C2265" s="33" t="s">
        <v>98</v>
      </c>
      <c r="D2265" s="33" t="s">
        <v>59</v>
      </c>
      <c r="E2265" s="33" t="s">
        <v>84</v>
      </c>
      <c r="F2265" s="33" t="s">
        <v>183</v>
      </c>
      <c r="G2265" s="33" t="s">
        <v>9</v>
      </c>
      <c r="H2265" s="33" t="n">
        <v>10</v>
      </c>
    </row>
    <row r="2266" customFormat="false" ht="54" hidden="false" customHeight="true" outlineLevel="0" collapsed="false">
      <c r="A2266" s="32" t="s">
        <v>12480</v>
      </c>
      <c r="B2266" s="32" t="s">
        <v>5698</v>
      </c>
      <c r="C2266" s="33" t="s">
        <v>98</v>
      </c>
      <c r="D2266" s="33" t="s">
        <v>59</v>
      </c>
      <c r="E2266" s="33" t="s">
        <v>84</v>
      </c>
      <c r="F2266" s="33" t="s">
        <v>5712</v>
      </c>
      <c r="G2266" s="33" t="s">
        <v>9</v>
      </c>
      <c r="H2266" s="33" t="n">
        <v>10</v>
      </c>
    </row>
    <row r="2267" customFormat="false" ht="54" hidden="false" customHeight="true" outlineLevel="0" collapsed="false">
      <c r="A2267" s="32" t="s">
        <v>12481</v>
      </c>
      <c r="B2267" s="32" t="s">
        <v>5698</v>
      </c>
      <c r="C2267" s="33" t="s">
        <v>98</v>
      </c>
      <c r="D2267" s="33" t="s">
        <v>59</v>
      </c>
      <c r="E2267" s="33" t="s">
        <v>84</v>
      </c>
      <c r="F2267" s="33" t="s">
        <v>12473</v>
      </c>
      <c r="G2267" s="33" t="s">
        <v>9</v>
      </c>
      <c r="H2267" s="33" t="n">
        <v>10</v>
      </c>
    </row>
    <row r="2268" customFormat="false" ht="54" hidden="false" customHeight="true" outlineLevel="0" collapsed="false">
      <c r="A2268" s="32" t="s">
        <v>12482</v>
      </c>
      <c r="B2268" s="32" t="s">
        <v>5698</v>
      </c>
      <c r="C2268" s="33" t="s">
        <v>98</v>
      </c>
      <c r="D2268" s="33" t="s">
        <v>59</v>
      </c>
      <c r="E2268" s="33" t="s">
        <v>86</v>
      </c>
      <c r="F2268" s="33" t="s">
        <v>5708</v>
      </c>
      <c r="G2268" s="33" t="s">
        <v>9</v>
      </c>
      <c r="H2268" s="33" t="n">
        <v>10</v>
      </c>
    </row>
    <row r="2269" customFormat="false" ht="54" hidden="false" customHeight="true" outlineLevel="0" collapsed="false">
      <c r="A2269" s="32" t="s">
        <v>12483</v>
      </c>
      <c r="B2269" s="32" t="s">
        <v>185</v>
      </c>
      <c r="C2269" s="33" t="s">
        <v>98</v>
      </c>
      <c r="D2269" s="33" t="s">
        <v>59</v>
      </c>
      <c r="E2269" s="33" t="s">
        <v>80</v>
      </c>
      <c r="F2269" s="33" t="s">
        <v>183</v>
      </c>
      <c r="G2269" s="33" t="s">
        <v>9</v>
      </c>
      <c r="H2269" s="33" t="n">
        <v>10</v>
      </c>
    </row>
    <row r="2270" customFormat="false" ht="54" hidden="false" customHeight="true" outlineLevel="0" collapsed="false">
      <c r="A2270" s="32" t="s">
        <v>12484</v>
      </c>
      <c r="B2270" s="32" t="s">
        <v>185</v>
      </c>
      <c r="C2270" s="33" t="s">
        <v>98</v>
      </c>
      <c r="D2270" s="33" t="s">
        <v>59</v>
      </c>
      <c r="E2270" s="33" t="s">
        <v>80</v>
      </c>
      <c r="F2270" s="33" t="s">
        <v>12485</v>
      </c>
      <c r="G2270" s="33" t="s">
        <v>9</v>
      </c>
      <c r="H2270" s="33" t="n">
        <v>10</v>
      </c>
    </row>
    <row r="2271" customFormat="false" ht="54" hidden="false" customHeight="true" outlineLevel="0" collapsed="false">
      <c r="A2271" s="32" t="s">
        <v>12486</v>
      </c>
      <c r="B2271" s="32" t="s">
        <v>185</v>
      </c>
      <c r="C2271" s="33" t="s">
        <v>98</v>
      </c>
      <c r="D2271" s="33" t="s">
        <v>59</v>
      </c>
      <c r="E2271" s="33" t="s">
        <v>80</v>
      </c>
      <c r="F2271" s="33" t="s">
        <v>12487</v>
      </c>
      <c r="G2271" s="33" t="s">
        <v>9</v>
      </c>
      <c r="H2271" s="33" t="n">
        <v>10</v>
      </c>
    </row>
    <row r="2272" customFormat="false" ht="54" hidden="false" customHeight="true" outlineLevel="0" collapsed="false">
      <c r="A2272" s="32" t="s">
        <v>12488</v>
      </c>
      <c r="B2272" s="32" t="s">
        <v>185</v>
      </c>
      <c r="C2272" s="33" t="s">
        <v>98</v>
      </c>
      <c r="D2272" s="33" t="s">
        <v>59</v>
      </c>
      <c r="E2272" s="33" t="s">
        <v>81</v>
      </c>
      <c r="F2272" s="33" t="s">
        <v>5728</v>
      </c>
      <c r="G2272" s="33" t="s">
        <v>9</v>
      </c>
      <c r="H2272" s="33" t="n">
        <v>10</v>
      </c>
    </row>
    <row r="2273" customFormat="false" ht="54" hidden="false" customHeight="true" outlineLevel="0" collapsed="false">
      <c r="A2273" s="32" t="s">
        <v>12489</v>
      </c>
      <c r="B2273" s="32" t="s">
        <v>185</v>
      </c>
      <c r="C2273" s="33" t="s">
        <v>98</v>
      </c>
      <c r="D2273" s="33" t="s">
        <v>59</v>
      </c>
      <c r="E2273" s="33" t="s">
        <v>82</v>
      </c>
      <c r="F2273" s="33" t="s">
        <v>5729</v>
      </c>
      <c r="G2273" s="33" t="s">
        <v>9</v>
      </c>
      <c r="H2273" s="33" t="n">
        <v>10</v>
      </c>
    </row>
    <row r="2274" customFormat="false" ht="54" hidden="false" customHeight="true" outlineLevel="0" collapsed="false">
      <c r="A2274" s="32" t="s">
        <v>12490</v>
      </c>
      <c r="B2274" s="32" t="s">
        <v>185</v>
      </c>
      <c r="C2274" s="33" t="s">
        <v>98</v>
      </c>
      <c r="D2274" s="33" t="s">
        <v>59</v>
      </c>
      <c r="E2274" s="33" t="s">
        <v>84</v>
      </c>
      <c r="F2274" s="33" t="s">
        <v>183</v>
      </c>
      <c r="G2274" s="33" t="s">
        <v>9</v>
      </c>
      <c r="H2274" s="33" t="n">
        <v>10</v>
      </c>
    </row>
    <row r="2275" customFormat="false" ht="54" hidden="false" customHeight="true" outlineLevel="0" collapsed="false">
      <c r="A2275" s="32" t="s">
        <v>12491</v>
      </c>
      <c r="B2275" s="32" t="s">
        <v>5732</v>
      </c>
      <c r="C2275" s="33" t="s">
        <v>98</v>
      </c>
      <c r="D2275" s="33" t="s">
        <v>59</v>
      </c>
      <c r="E2275" s="33" t="s">
        <v>80</v>
      </c>
      <c r="F2275" s="33" t="s">
        <v>183</v>
      </c>
      <c r="G2275" s="33" t="s">
        <v>9</v>
      </c>
      <c r="H2275" s="33" t="n">
        <v>10</v>
      </c>
    </row>
    <row r="2276" customFormat="false" ht="54" hidden="false" customHeight="true" outlineLevel="0" collapsed="false">
      <c r="A2276" s="32" t="s">
        <v>12492</v>
      </c>
      <c r="B2276" s="32" t="s">
        <v>5732</v>
      </c>
      <c r="C2276" s="33" t="s">
        <v>98</v>
      </c>
      <c r="D2276" s="33" t="s">
        <v>59</v>
      </c>
      <c r="E2276" s="33" t="s">
        <v>80</v>
      </c>
      <c r="F2276" s="33" t="s">
        <v>12493</v>
      </c>
      <c r="G2276" s="33" t="s">
        <v>9</v>
      </c>
      <c r="H2276" s="33" t="n">
        <v>10</v>
      </c>
    </row>
    <row r="2277" customFormat="false" ht="54" hidden="false" customHeight="true" outlineLevel="0" collapsed="false">
      <c r="A2277" s="32" t="s">
        <v>12494</v>
      </c>
      <c r="B2277" s="32" t="s">
        <v>5732</v>
      </c>
      <c r="C2277" s="33" t="s">
        <v>98</v>
      </c>
      <c r="D2277" s="33" t="s">
        <v>59</v>
      </c>
      <c r="E2277" s="33" t="s">
        <v>80</v>
      </c>
      <c r="F2277" s="33" t="s">
        <v>12463</v>
      </c>
      <c r="G2277" s="33" t="s">
        <v>9</v>
      </c>
      <c r="H2277" s="33" t="n">
        <v>10</v>
      </c>
    </row>
    <row r="2278" customFormat="false" ht="54" hidden="false" customHeight="true" outlineLevel="0" collapsed="false">
      <c r="A2278" s="32" t="s">
        <v>12495</v>
      </c>
      <c r="B2278" s="32" t="s">
        <v>5732</v>
      </c>
      <c r="C2278" s="33" t="s">
        <v>98</v>
      </c>
      <c r="D2278" s="33" t="s">
        <v>59</v>
      </c>
      <c r="E2278" s="33" t="s">
        <v>81</v>
      </c>
      <c r="F2278" s="33" t="s">
        <v>5737</v>
      </c>
      <c r="G2278" s="33" t="s">
        <v>9</v>
      </c>
      <c r="H2278" s="33" t="n">
        <v>10</v>
      </c>
    </row>
    <row r="2279" customFormat="false" ht="54" hidden="false" customHeight="true" outlineLevel="0" collapsed="false">
      <c r="A2279" s="32" t="s">
        <v>12496</v>
      </c>
      <c r="B2279" s="32" t="s">
        <v>5732</v>
      </c>
      <c r="C2279" s="33" t="s">
        <v>98</v>
      </c>
      <c r="D2279" s="33" t="s">
        <v>59</v>
      </c>
      <c r="E2279" s="33" t="s">
        <v>81</v>
      </c>
      <c r="F2279" s="33" t="s">
        <v>5738</v>
      </c>
      <c r="G2279" s="33" t="s">
        <v>9</v>
      </c>
      <c r="H2279" s="33" t="n">
        <v>10</v>
      </c>
    </row>
    <row r="2280" customFormat="false" ht="54" hidden="false" customHeight="true" outlineLevel="0" collapsed="false">
      <c r="A2280" s="32" t="s">
        <v>12497</v>
      </c>
      <c r="B2280" s="32" t="s">
        <v>5732</v>
      </c>
      <c r="C2280" s="33" t="s">
        <v>98</v>
      </c>
      <c r="D2280" s="33" t="s">
        <v>59</v>
      </c>
      <c r="E2280" s="33" t="s">
        <v>81</v>
      </c>
      <c r="F2280" s="33" t="s">
        <v>12463</v>
      </c>
      <c r="G2280" s="33" t="s">
        <v>9</v>
      </c>
      <c r="H2280" s="33" t="n">
        <v>10</v>
      </c>
    </row>
    <row r="2281" customFormat="false" ht="54" hidden="false" customHeight="true" outlineLevel="0" collapsed="false">
      <c r="A2281" s="32" t="s">
        <v>12498</v>
      </c>
      <c r="B2281" s="32" t="s">
        <v>5732</v>
      </c>
      <c r="C2281" s="33" t="s">
        <v>98</v>
      </c>
      <c r="D2281" s="33" t="s">
        <v>59</v>
      </c>
      <c r="E2281" s="33" t="s">
        <v>81</v>
      </c>
      <c r="F2281" s="33" t="s">
        <v>12473</v>
      </c>
      <c r="G2281" s="33" t="s">
        <v>9</v>
      </c>
      <c r="H2281" s="33" t="n">
        <v>10</v>
      </c>
    </row>
    <row r="2282" customFormat="false" ht="54" hidden="false" customHeight="true" outlineLevel="0" collapsed="false">
      <c r="A2282" s="32" t="s">
        <v>12499</v>
      </c>
      <c r="B2282" s="32" t="s">
        <v>5732</v>
      </c>
      <c r="C2282" s="33" t="s">
        <v>98</v>
      </c>
      <c r="D2282" s="33" t="s">
        <v>59</v>
      </c>
      <c r="E2282" s="33" t="s">
        <v>82</v>
      </c>
      <c r="F2282" s="33" t="s">
        <v>5739</v>
      </c>
      <c r="G2282" s="33" t="s">
        <v>9</v>
      </c>
      <c r="H2282" s="33" t="n">
        <v>10</v>
      </c>
    </row>
    <row r="2283" customFormat="false" ht="54" hidden="false" customHeight="true" outlineLevel="0" collapsed="false">
      <c r="A2283" s="32" t="s">
        <v>12500</v>
      </c>
      <c r="B2283" s="32" t="s">
        <v>5732</v>
      </c>
      <c r="C2283" s="33" t="s">
        <v>98</v>
      </c>
      <c r="D2283" s="33" t="s">
        <v>59</v>
      </c>
      <c r="E2283" s="33" t="s">
        <v>82</v>
      </c>
      <c r="F2283" s="33" t="s">
        <v>12493</v>
      </c>
      <c r="G2283" s="33" t="s">
        <v>9</v>
      </c>
      <c r="H2283" s="33" t="n">
        <v>10</v>
      </c>
    </row>
    <row r="2284" customFormat="false" ht="54" hidden="false" customHeight="true" outlineLevel="0" collapsed="false">
      <c r="A2284" s="32" t="s">
        <v>12501</v>
      </c>
      <c r="B2284" s="32" t="s">
        <v>5732</v>
      </c>
      <c r="C2284" s="33" t="s">
        <v>98</v>
      </c>
      <c r="D2284" s="33" t="s">
        <v>59</v>
      </c>
      <c r="E2284" s="33" t="s">
        <v>84</v>
      </c>
      <c r="F2284" s="33" t="s">
        <v>183</v>
      </c>
      <c r="G2284" s="33" t="s">
        <v>9</v>
      </c>
      <c r="H2284" s="33" t="n">
        <v>10</v>
      </c>
    </row>
    <row r="2285" customFormat="false" ht="54" hidden="false" customHeight="true" outlineLevel="0" collapsed="false">
      <c r="A2285" s="32" t="s">
        <v>12502</v>
      </c>
      <c r="B2285" s="32" t="s">
        <v>5732</v>
      </c>
      <c r="C2285" s="33" t="s">
        <v>98</v>
      </c>
      <c r="D2285" s="33" t="s">
        <v>59</v>
      </c>
      <c r="E2285" s="33" t="s">
        <v>84</v>
      </c>
      <c r="F2285" s="33" t="s">
        <v>12493</v>
      </c>
      <c r="G2285" s="33" t="s">
        <v>9</v>
      </c>
      <c r="H2285" s="33" t="n">
        <v>10</v>
      </c>
    </row>
    <row r="2286" customFormat="false" ht="54" hidden="false" customHeight="true" outlineLevel="0" collapsed="false">
      <c r="A2286" s="32" t="s">
        <v>12503</v>
      </c>
      <c r="B2286" s="32" t="s">
        <v>5732</v>
      </c>
      <c r="C2286" s="33" t="s">
        <v>98</v>
      </c>
      <c r="D2286" s="33" t="s">
        <v>59</v>
      </c>
      <c r="E2286" s="33" t="s">
        <v>84</v>
      </c>
      <c r="F2286" s="33" t="s">
        <v>12473</v>
      </c>
      <c r="G2286" s="33" t="s">
        <v>9</v>
      </c>
      <c r="H2286" s="33" t="n">
        <v>10</v>
      </c>
    </row>
    <row r="2287" customFormat="false" ht="54" hidden="false" customHeight="true" outlineLevel="0" collapsed="false">
      <c r="A2287" s="32" t="s">
        <v>12504</v>
      </c>
      <c r="B2287" s="32" t="s">
        <v>5748</v>
      </c>
      <c r="C2287" s="33" t="s">
        <v>98</v>
      </c>
      <c r="D2287" s="33" t="s">
        <v>59</v>
      </c>
      <c r="E2287" s="33" t="s">
        <v>80</v>
      </c>
      <c r="F2287" s="33" t="s">
        <v>183</v>
      </c>
      <c r="G2287" s="33" t="s">
        <v>9</v>
      </c>
      <c r="H2287" s="33" t="n">
        <v>10</v>
      </c>
    </row>
    <row r="2288" customFormat="false" ht="54" hidden="false" customHeight="true" outlineLevel="0" collapsed="false">
      <c r="A2288" s="32" t="s">
        <v>12505</v>
      </c>
      <c r="B2288" s="32" t="s">
        <v>5748</v>
      </c>
      <c r="C2288" s="33" t="s">
        <v>98</v>
      </c>
      <c r="D2288" s="33" t="s">
        <v>59</v>
      </c>
      <c r="E2288" s="33" t="s">
        <v>80</v>
      </c>
      <c r="F2288" s="33" t="s">
        <v>12506</v>
      </c>
      <c r="G2288" s="33" t="s">
        <v>9</v>
      </c>
      <c r="H2288" s="33" t="n">
        <v>10</v>
      </c>
    </row>
    <row r="2289" customFormat="false" ht="54" hidden="false" customHeight="true" outlineLevel="0" collapsed="false">
      <c r="A2289" s="32" t="s">
        <v>12507</v>
      </c>
      <c r="B2289" s="32" t="s">
        <v>5748</v>
      </c>
      <c r="C2289" s="33" t="s">
        <v>98</v>
      </c>
      <c r="D2289" s="33" t="s">
        <v>59</v>
      </c>
      <c r="E2289" s="33" t="s">
        <v>80</v>
      </c>
      <c r="F2289" s="33" t="s">
        <v>12463</v>
      </c>
      <c r="G2289" s="33" t="s">
        <v>9</v>
      </c>
      <c r="H2289" s="33" t="n">
        <v>10</v>
      </c>
    </row>
    <row r="2290" customFormat="false" ht="54" hidden="false" customHeight="true" outlineLevel="0" collapsed="false">
      <c r="A2290" s="32" t="s">
        <v>12508</v>
      </c>
      <c r="B2290" s="32" t="s">
        <v>5748</v>
      </c>
      <c r="C2290" s="33" t="s">
        <v>98</v>
      </c>
      <c r="D2290" s="33" t="s">
        <v>59</v>
      </c>
      <c r="E2290" s="33" t="s">
        <v>80</v>
      </c>
      <c r="F2290" s="33" t="s">
        <v>12509</v>
      </c>
      <c r="G2290" s="33" t="s">
        <v>9</v>
      </c>
      <c r="H2290" s="33" t="n">
        <v>10</v>
      </c>
    </row>
    <row r="2291" customFormat="false" ht="54" hidden="false" customHeight="true" outlineLevel="0" collapsed="false">
      <c r="A2291" s="32" t="s">
        <v>12510</v>
      </c>
      <c r="B2291" s="32" t="s">
        <v>5748</v>
      </c>
      <c r="C2291" s="33" t="s">
        <v>98</v>
      </c>
      <c r="D2291" s="33" t="s">
        <v>59</v>
      </c>
      <c r="E2291" s="33" t="s">
        <v>81</v>
      </c>
      <c r="F2291" s="33" t="s">
        <v>5737</v>
      </c>
      <c r="G2291" s="33" t="s">
        <v>9</v>
      </c>
      <c r="H2291" s="33" t="n">
        <v>10</v>
      </c>
    </row>
    <row r="2292" customFormat="false" ht="54" hidden="false" customHeight="true" outlineLevel="0" collapsed="false">
      <c r="A2292" s="32" t="s">
        <v>12511</v>
      </c>
      <c r="B2292" s="32" t="s">
        <v>5748</v>
      </c>
      <c r="C2292" s="33" t="s">
        <v>98</v>
      </c>
      <c r="D2292" s="33" t="s">
        <v>59</v>
      </c>
      <c r="E2292" s="33" t="s">
        <v>81</v>
      </c>
      <c r="F2292" s="33" t="s">
        <v>5738</v>
      </c>
      <c r="G2292" s="33" t="s">
        <v>9</v>
      </c>
      <c r="H2292" s="33" t="n">
        <v>10</v>
      </c>
    </row>
    <row r="2293" customFormat="false" ht="54" hidden="false" customHeight="true" outlineLevel="0" collapsed="false">
      <c r="A2293" s="32" t="s">
        <v>12512</v>
      </c>
      <c r="B2293" s="32" t="s">
        <v>5748</v>
      </c>
      <c r="C2293" s="33" t="s">
        <v>98</v>
      </c>
      <c r="D2293" s="33" t="s">
        <v>59</v>
      </c>
      <c r="E2293" s="33" t="s">
        <v>81</v>
      </c>
      <c r="F2293" s="33" t="s">
        <v>12463</v>
      </c>
      <c r="G2293" s="33" t="s">
        <v>9</v>
      </c>
      <c r="H2293" s="33" t="n">
        <v>10</v>
      </c>
    </row>
    <row r="2294" customFormat="false" ht="54" hidden="false" customHeight="true" outlineLevel="0" collapsed="false">
      <c r="A2294" s="32" t="s">
        <v>12513</v>
      </c>
      <c r="B2294" s="32" t="s">
        <v>5748</v>
      </c>
      <c r="C2294" s="33" t="s">
        <v>98</v>
      </c>
      <c r="D2294" s="33" t="s">
        <v>59</v>
      </c>
      <c r="E2294" s="33" t="s">
        <v>81</v>
      </c>
      <c r="F2294" s="33" t="s">
        <v>12473</v>
      </c>
      <c r="G2294" s="33" t="s">
        <v>9</v>
      </c>
      <c r="H2294" s="33" t="n">
        <v>10</v>
      </c>
    </row>
    <row r="2295" customFormat="false" ht="54" hidden="false" customHeight="true" outlineLevel="0" collapsed="false">
      <c r="A2295" s="32" t="s">
        <v>12514</v>
      </c>
      <c r="B2295" s="32" t="s">
        <v>5748</v>
      </c>
      <c r="C2295" s="33" t="s">
        <v>98</v>
      </c>
      <c r="D2295" s="33" t="s">
        <v>59</v>
      </c>
      <c r="E2295" s="33" t="s">
        <v>82</v>
      </c>
      <c r="F2295" s="33" t="s">
        <v>5751</v>
      </c>
      <c r="G2295" s="33" t="s">
        <v>9</v>
      </c>
      <c r="H2295" s="33" t="n">
        <v>10</v>
      </c>
    </row>
    <row r="2296" customFormat="false" ht="54" hidden="false" customHeight="true" outlineLevel="0" collapsed="false">
      <c r="A2296" s="32" t="s">
        <v>12515</v>
      </c>
      <c r="B2296" s="32" t="s">
        <v>5748</v>
      </c>
      <c r="C2296" s="33" t="s">
        <v>98</v>
      </c>
      <c r="D2296" s="33" t="s">
        <v>59</v>
      </c>
      <c r="E2296" s="33" t="s">
        <v>82</v>
      </c>
      <c r="F2296" s="33" t="s">
        <v>12506</v>
      </c>
      <c r="G2296" s="33" t="s">
        <v>9</v>
      </c>
      <c r="H2296" s="33" t="n">
        <v>10</v>
      </c>
    </row>
    <row r="2297" customFormat="false" ht="54" hidden="false" customHeight="true" outlineLevel="0" collapsed="false">
      <c r="A2297" s="32" t="s">
        <v>12516</v>
      </c>
      <c r="B2297" s="32" t="s">
        <v>5748</v>
      </c>
      <c r="C2297" s="33" t="s">
        <v>98</v>
      </c>
      <c r="D2297" s="33" t="s">
        <v>59</v>
      </c>
      <c r="E2297" s="33" t="s">
        <v>84</v>
      </c>
      <c r="F2297" s="33" t="s">
        <v>183</v>
      </c>
      <c r="G2297" s="33" t="s">
        <v>9</v>
      </c>
      <c r="H2297" s="33" t="n">
        <v>10</v>
      </c>
    </row>
    <row r="2298" customFormat="false" ht="54" hidden="false" customHeight="true" outlineLevel="0" collapsed="false">
      <c r="A2298" s="32" t="s">
        <v>12517</v>
      </c>
      <c r="B2298" s="32" t="s">
        <v>5748</v>
      </c>
      <c r="C2298" s="33" t="s">
        <v>98</v>
      </c>
      <c r="D2298" s="33" t="s">
        <v>59</v>
      </c>
      <c r="E2298" s="33" t="s">
        <v>84</v>
      </c>
      <c r="F2298" s="33" t="s">
        <v>12506</v>
      </c>
      <c r="G2298" s="33" t="s">
        <v>9</v>
      </c>
      <c r="H2298" s="33" t="n">
        <v>10</v>
      </c>
    </row>
    <row r="2299" customFormat="false" ht="54" hidden="false" customHeight="true" outlineLevel="0" collapsed="false">
      <c r="A2299" s="32" t="s">
        <v>12518</v>
      </c>
      <c r="B2299" s="32" t="s">
        <v>5748</v>
      </c>
      <c r="C2299" s="33" t="s">
        <v>98</v>
      </c>
      <c r="D2299" s="33" t="s">
        <v>59</v>
      </c>
      <c r="E2299" s="33" t="s">
        <v>84</v>
      </c>
      <c r="F2299" s="33" t="s">
        <v>12473</v>
      </c>
      <c r="G2299" s="33" t="s">
        <v>9</v>
      </c>
      <c r="H2299" s="33" t="n">
        <v>10</v>
      </c>
    </row>
    <row r="2300" customFormat="false" ht="54" hidden="false" customHeight="true" outlineLevel="0" collapsed="false">
      <c r="A2300" s="32" t="s">
        <v>12519</v>
      </c>
      <c r="B2300" s="32" t="s">
        <v>5759</v>
      </c>
      <c r="C2300" s="33" t="s">
        <v>98</v>
      </c>
      <c r="D2300" s="33" t="s">
        <v>59</v>
      </c>
      <c r="E2300" s="33" t="s">
        <v>80</v>
      </c>
      <c r="F2300" s="33" t="s">
        <v>183</v>
      </c>
      <c r="G2300" s="33" t="s">
        <v>9</v>
      </c>
      <c r="H2300" s="33" t="n">
        <v>10</v>
      </c>
    </row>
    <row r="2301" customFormat="false" ht="54" hidden="false" customHeight="true" outlineLevel="0" collapsed="false">
      <c r="A2301" s="32" t="s">
        <v>12520</v>
      </c>
      <c r="B2301" s="32" t="s">
        <v>5759</v>
      </c>
      <c r="C2301" s="33" t="s">
        <v>98</v>
      </c>
      <c r="D2301" s="33" t="s">
        <v>59</v>
      </c>
      <c r="E2301" s="33" t="s">
        <v>81</v>
      </c>
      <c r="F2301" s="33" t="s">
        <v>5763</v>
      </c>
      <c r="G2301" s="33" t="s">
        <v>9</v>
      </c>
      <c r="H2301" s="33" t="n">
        <v>10</v>
      </c>
    </row>
    <row r="2302" customFormat="false" ht="54" hidden="false" customHeight="true" outlineLevel="0" collapsed="false">
      <c r="A2302" s="32" t="s">
        <v>12521</v>
      </c>
      <c r="B2302" s="32" t="s">
        <v>5759</v>
      </c>
      <c r="C2302" s="33" t="s">
        <v>98</v>
      </c>
      <c r="D2302" s="33" t="s">
        <v>59</v>
      </c>
      <c r="E2302" s="33" t="s">
        <v>81</v>
      </c>
      <c r="F2302" s="33" t="s">
        <v>12522</v>
      </c>
      <c r="G2302" s="33" t="s">
        <v>9</v>
      </c>
      <c r="H2302" s="33" t="n">
        <v>10</v>
      </c>
    </row>
    <row r="2303" customFormat="false" ht="54" hidden="false" customHeight="true" outlineLevel="0" collapsed="false">
      <c r="A2303" s="32" t="s">
        <v>12523</v>
      </c>
      <c r="B2303" s="32" t="s">
        <v>5759</v>
      </c>
      <c r="C2303" s="33" t="s">
        <v>98</v>
      </c>
      <c r="D2303" s="33" t="s">
        <v>59</v>
      </c>
      <c r="E2303" s="33" t="s">
        <v>81</v>
      </c>
      <c r="F2303" s="33" t="s">
        <v>12524</v>
      </c>
      <c r="G2303" s="33" t="s">
        <v>9</v>
      </c>
      <c r="H2303" s="33" t="n">
        <v>10</v>
      </c>
    </row>
    <row r="2304" customFormat="false" ht="54" hidden="false" customHeight="true" outlineLevel="0" collapsed="false">
      <c r="A2304" s="32" t="s">
        <v>12525</v>
      </c>
      <c r="B2304" s="32" t="s">
        <v>5759</v>
      </c>
      <c r="C2304" s="33" t="s">
        <v>98</v>
      </c>
      <c r="D2304" s="33" t="s">
        <v>59</v>
      </c>
      <c r="E2304" s="33" t="s">
        <v>84</v>
      </c>
      <c r="F2304" s="33" t="s">
        <v>183</v>
      </c>
      <c r="G2304" s="33" t="s">
        <v>9</v>
      </c>
      <c r="H2304" s="33" t="n">
        <v>10</v>
      </c>
    </row>
    <row r="2305" customFormat="false" ht="54" hidden="false" customHeight="true" outlineLevel="0" collapsed="false">
      <c r="A2305" s="32" t="s">
        <v>12526</v>
      </c>
      <c r="B2305" s="32" t="s">
        <v>5770</v>
      </c>
      <c r="C2305" s="33" t="s">
        <v>98</v>
      </c>
      <c r="D2305" s="33" t="s">
        <v>59</v>
      </c>
      <c r="E2305" s="33" t="s">
        <v>80</v>
      </c>
      <c r="F2305" s="33" t="s">
        <v>183</v>
      </c>
      <c r="G2305" s="33" t="s">
        <v>9</v>
      </c>
      <c r="H2305" s="33" t="n">
        <v>10</v>
      </c>
    </row>
    <row r="2306" customFormat="false" ht="54" hidden="false" customHeight="true" outlineLevel="0" collapsed="false">
      <c r="A2306" s="32" t="s">
        <v>12527</v>
      </c>
      <c r="B2306" s="32" t="s">
        <v>5770</v>
      </c>
      <c r="C2306" s="33" t="s">
        <v>98</v>
      </c>
      <c r="D2306" s="33" t="s">
        <v>59</v>
      </c>
      <c r="E2306" s="33" t="s">
        <v>81</v>
      </c>
      <c r="F2306" s="33" t="s">
        <v>5774</v>
      </c>
      <c r="G2306" s="33" t="s">
        <v>9</v>
      </c>
      <c r="H2306" s="33" t="n">
        <v>10</v>
      </c>
    </row>
    <row r="2307" customFormat="false" ht="54" hidden="false" customHeight="true" outlineLevel="0" collapsed="false">
      <c r="A2307" s="32" t="s">
        <v>12528</v>
      </c>
      <c r="B2307" s="32" t="s">
        <v>5770</v>
      </c>
      <c r="C2307" s="33" t="s">
        <v>98</v>
      </c>
      <c r="D2307" s="33" t="s">
        <v>59</v>
      </c>
      <c r="E2307" s="33" t="s">
        <v>81</v>
      </c>
      <c r="F2307" s="33" t="s">
        <v>5775</v>
      </c>
      <c r="G2307" s="33" t="s">
        <v>9</v>
      </c>
      <c r="H2307" s="33" t="n">
        <v>10</v>
      </c>
    </row>
    <row r="2308" customFormat="false" ht="54" hidden="false" customHeight="true" outlineLevel="0" collapsed="false">
      <c r="A2308" s="32" t="s">
        <v>12529</v>
      </c>
      <c r="B2308" s="32" t="s">
        <v>5770</v>
      </c>
      <c r="C2308" s="33" t="s">
        <v>98</v>
      </c>
      <c r="D2308" s="33" t="s">
        <v>59</v>
      </c>
      <c r="E2308" s="33" t="s">
        <v>81</v>
      </c>
      <c r="F2308" s="33" t="s">
        <v>12530</v>
      </c>
      <c r="G2308" s="33" t="s">
        <v>9</v>
      </c>
      <c r="H2308" s="33" t="n">
        <v>10</v>
      </c>
    </row>
    <row r="2309" customFormat="false" ht="54" hidden="false" customHeight="true" outlineLevel="0" collapsed="false">
      <c r="A2309" s="32" t="s">
        <v>12531</v>
      </c>
      <c r="B2309" s="32" t="s">
        <v>5770</v>
      </c>
      <c r="C2309" s="33" t="s">
        <v>98</v>
      </c>
      <c r="D2309" s="33" t="s">
        <v>59</v>
      </c>
      <c r="E2309" s="33" t="s">
        <v>81</v>
      </c>
      <c r="F2309" s="33" t="s">
        <v>5777</v>
      </c>
      <c r="G2309" s="33" t="s">
        <v>9</v>
      </c>
      <c r="H2309" s="33" t="n">
        <v>10</v>
      </c>
    </row>
    <row r="2310" customFormat="false" ht="54" hidden="false" customHeight="true" outlineLevel="0" collapsed="false">
      <c r="A2310" s="32" t="s">
        <v>12532</v>
      </c>
      <c r="B2310" s="32" t="s">
        <v>5770</v>
      </c>
      <c r="C2310" s="33" t="s">
        <v>98</v>
      </c>
      <c r="D2310" s="33" t="s">
        <v>59</v>
      </c>
      <c r="E2310" s="33" t="s">
        <v>82</v>
      </c>
      <c r="F2310" s="33" t="s">
        <v>5780</v>
      </c>
      <c r="G2310" s="33" t="s">
        <v>9</v>
      </c>
      <c r="H2310" s="33" t="n">
        <v>10</v>
      </c>
    </row>
    <row r="2311" customFormat="false" ht="54" hidden="false" customHeight="true" outlineLevel="0" collapsed="false">
      <c r="A2311" s="32" t="s">
        <v>12533</v>
      </c>
      <c r="B2311" s="32" t="s">
        <v>5770</v>
      </c>
      <c r="C2311" s="33" t="s">
        <v>98</v>
      </c>
      <c r="D2311" s="33" t="s">
        <v>59</v>
      </c>
      <c r="E2311" s="33" t="s">
        <v>84</v>
      </c>
      <c r="F2311" s="33" t="s">
        <v>183</v>
      </c>
      <c r="G2311" s="33" t="s">
        <v>9</v>
      </c>
      <c r="H2311" s="33" t="n">
        <v>10</v>
      </c>
    </row>
    <row r="2312" customFormat="false" ht="54" hidden="false" customHeight="true" outlineLevel="0" collapsed="false">
      <c r="A2312" s="32" t="s">
        <v>12534</v>
      </c>
      <c r="B2312" s="32" t="s">
        <v>5782</v>
      </c>
      <c r="C2312" s="33" t="s">
        <v>98</v>
      </c>
      <c r="D2312" s="33" t="s">
        <v>59</v>
      </c>
      <c r="E2312" s="33" t="s">
        <v>80</v>
      </c>
      <c r="F2312" s="33" t="s">
        <v>183</v>
      </c>
      <c r="G2312" s="33" t="s">
        <v>9</v>
      </c>
      <c r="H2312" s="33" t="n">
        <v>10</v>
      </c>
    </row>
    <row r="2313" customFormat="false" ht="54" hidden="false" customHeight="true" outlineLevel="0" collapsed="false">
      <c r="A2313" s="32" t="s">
        <v>12535</v>
      </c>
      <c r="B2313" s="32" t="s">
        <v>5782</v>
      </c>
      <c r="C2313" s="33" t="s">
        <v>98</v>
      </c>
      <c r="D2313" s="33" t="s">
        <v>59</v>
      </c>
      <c r="E2313" s="33" t="s">
        <v>81</v>
      </c>
      <c r="F2313" s="33" t="s">
        <v>496</v>
      </c>
      <c r="G2313" s="33" t="s">
        <v>9</v>
      </c>
      <c r="H2313" s="33" t="n">
        <v>10</v>
      </c>
    </row>
    <row r="2314" customFormat="false" ht="54" hidden="false" customHeight="true" outlineLevel="0" collapsed="false">
      <c r="A2314" s="32" t="s">
        <v>12536</v>
      </c>
      <c r="B2314" s="32" t="s">
        <v>5782</v>
      </c>
      <c r="C2314" s="33" t="s">
        <v>98</v>
      </c>
      <c r="D2314" s="33" t="s">
        <v>59</v>
      </c>
      <c r="E2314" s="33" t="s">
        <v>82</v>
      </c>
      <c r="F2314" s="33" t="s">
        <v>5786</v>
      </c>
      <c r="G2314" s="33" t="s">
        <v>9</v>
      </c>
      <c r="H2314" s="33" t="n">
        <v>10</v>
      </c>
    </row>
    <row r="2315" customFormat="false" ht="54" hidden="false" customHeight="true" outlineLevel="0" collapsed="false">
      <c r="A2315" s="32" t="s">
        <v>12537</v>
      </c>
      <c r="B2315" s="32" t="s">
        <v>5782</v>
      </c>
      <c r="C2315" s="33" t="s">
        <v>98</v>
      </c>
      <c r="D2315" s="33" t="s">
        <v>59</v>
      </c>
      <c r="E2315" s="33" t="s">
        <v>82</v>
      </c>
      <c r="F2315" s="33" t="s">
        <v>12538</v>
      </c>
      <c r="G2315" s="33" t="s">
        <v>9</v>
      </c>
      <c r="H2315" s="33" t="n">
        <v>10</v>
      </c>
    </row>
    <row r="2316" customFormat="false" ht="54" hidden="false" customHeight="true" outlineLevel="0" collapsed="false">
      <c r="A2316" s="32" t="s">
        <v>12539</v>
      </c>
      <c r="B2316" s="32" t="s">
        <v>5782</v>
      </c>
      <c r="C2316" s="33" t="s">
        <v>98</v>
      </c>
      <c r="D2316" s="33" t="s">
        <v>59</v>
      </c>
      <c r="E2316" s="33" t="s">
        <v>84</v>
      </c>
      <c r="F2316" s="33" t="s">
        <v>183</v>
      </c>
      <c r="G2316" s="33" t="s">
        <v>9</v>
      </c>
      <c r="H2316" s="33" t="n">
        <v>10</v>
      </c>
    </row>
    <row r="2317" customFormat="false" ht="54" hidden="false" customHeight="true" outlineLevel="0" collapsed="false">
      <c r="A2317" s="32" t="s">
        <v>12540</v>
      </c>
      <c r="B2317" s="32" t="s">
        <v>5782</v>
      </c>
      <c r="C2317" s="33" t="s">
        <v>98</v>
      </c>
      <c r="D2317" s="33" t="s">
        <v>59</v>
      </c>
      <c r="E2317" s="33" t="s">
        <v>84</v>
      </c>
      <c r="F2317" s="33" t="s">
        <v>12538</v>
      </c>
      <c r="G2317" s="33" t="s">
        <v>9</v>
      </c>
      <c r="H2317" s="33" t="n">
        <v>10</v>
      </c>
    </row>
    <row r="2318" customFormat="false" ht="54" hidden="false" customHeight="true" outlineLevel="0" collapsed="false">
      <c r="A2318" s="32" t="s">
        <v>12541</v>
      </c>
      <c r="B2318" s="32" t="s">
        <v>5793</v>
      </c>
      <c r="C2318" s="33" t="s">
        <v>98</v>
      </c>
      <c r="D2318" s="33" t="s">
        <v>59</v>
      </c>
      <c r="E2318" s="33" t="s">
        <v>80</v>
      </c>
      <c r="F2318" s="33" t="s">
        <v>5796</v>
      </c>
      <c r="G2318" s="33" t="s">
        <v>9</v>
      </c>
      <c r="H2318" s="33" t="n">
        <v>10</v>
      </c>
    </row>
    <row r="2319" customFormat="false" ht="54" hidden="false" customHeight="true" outlineLevel="0" collapsed="false">
      <c r="A2319" s="32" t="s">
        <v>12542</v>
      </c>
      <c r="B2319" s="32" t="s">
        <v>5793</v>
      </c>
      <c r="C2319" s="33" t="s">
        <v>98</v>
      </c>
      <c r="D2319" s="33" t="s">
        <v>59</v>
      </c>
      <c r="E2319" s="33" t="s">
        <v>80</v>
      </c>
      <c r="F2319" s="33" t="s">
        <v>183</v>
      </c>
      <c r="G2319" s="33" t="s">
        <v>9</v>
      </c>
      <c r="H2319" s="33" t="n">
        <v>10</v>
      </c>
    </row>
    <row r="2320" customFormat="false" ht="54" hidden="false" customHeight="true" outlineLevel="0" collapsed="false">
      <c r="A2320" s="32" t="s">
        <v>12543</v>
      </c>
      <c r="B2320" s="32" t="s">
        <v>5793</v>
      </c>
      <c r="C2320" s="33" t="s">
        <v>98</v>
      </c>
      <c r="D2320" s="33" t="s">
        <v>59</v>
      </c>
      <c r="E2320" s="33" t="s">
        <v>80</v>
      </c>
      <c r="F2320" s="33" t="s">
        <v>12544</v>
      </c>
      <c r="G2320" s="33" t="s">
        <v>9</v>
      </c>
      <c r="H2320" s="33" t="n">
        <v>10</v>
      </c>
    </row>
    <row r="2321" customFormat="false" ht="54" hidden="false" customHeight="true" outlineLevel="0" collapsed="false">
      <c r="A2321" s="32" t="s">
        <v>12545</v>
      </c>
      <c r="B2321" s="32" t="s">
        <v>5793</v>
      </c>
      <c r="C2321" s="33" t="s">
        <v>98</v>
      </c>
      <c r="D2321" s="33" t="s">
        <v>59</v>
      </c>
      <c r="E2321" s="33" t="s">
        <v>80</v>
      </c>
      <c r="F2321" s="33" t="s">
        <v>12546</v>
      </c>
      <c r="G2321" s="33" t="s">
        <v>9</v>
      </c>
      <c r="H2321" s="33" t="n">
        <v>10</v>
      </c>
    </row>
    <row r="2322" customFormat="false" ht="54" hidden="false" customHeight="true" outlineLevel="0" collapsed="false">
      <c r="A2322" s="32" t="s">
        <v>12547</v>
      </c>
      <c r="B2322" s="32" t="s">
        <v>5793</v>
      </c>
      <c r="C2322" s="33" t="s">
        <v>98</v>
      </c>
      <c r="D2322" s="33" t="s">
        <v>59</v>
      </c>
      <c r="E2322" s="33" t="s">
        <v>80</v>
      </c>
      <c r="F2322" s="33" t="s">
        <v>12548</v>
      </c>
      <c r="G2322" s="33" t="s">
        <v>9</v>
      </c>
      <c r="H2322" s="33" t="n">
        <v>10</v>
      </c>
    </row>
    <row r="2323" customFormat="false" ht="54" hidden="false" customHeight="true" outlineLevel="0" collapsed="false">
      <c r="A2323" s="32" t="s">
        <v>12549</v>
      </c>
      <c r="B2323" s="32" t="s">
        <v>5793</v>
      </c>
      <c r="C2323" s="33" t="s">
        <v>98</v>
      </c>
      <c r="D2323" s="33" t="s">
        <v>59</v>
      </c>
      <c r="E2323" s="33" t="s">
        <v>81</v>
      </c>
      <c r="F2323" s="33" t="s">
        <v>487</v>
      </c>
      <c r="G2323" s="33" t="s">
        <v>9</v>
      </c>
      <c r="H2323" s="33" t="n">
        <v>10</v>
      </c>
    </row>
    <row r="2324" customFormat="false" ht="54" hidden="false" customHeight="true" outlineLevel="0" collapsed="false">
      <c r="A2324" s="32" t="s">
        <v>12550</v>
      </c>
      <c r="B2324" s="32" t="s">
        <v>5793</v>
      </c>
      <c r="C2324" s="33" t="s">
        <v>98</v>
      </c>
      <c r="D2324" s="33" t="s">
        <v>59</v>
      </c>
      <c r="E2324" s="33" t="s">
        <v>84</v>
      </c>
      <c r="F2324" s="33" t="s">
        <v>183</v>
      </c>
      <c r="G2324" s="33" t="s">
        <v>9</v>
      </c>
      <c r="H2324" s="33" t="n">
        <v>10</v>
      </c>
    </row>
    <row r="2325" customFormat="false" ht="54" hidden="false" customHeight="true" outlineLevel="0" collapsed="false">
      <c r="A2325" s="32" t="s">
        <v>12551</v>
      </c>
      <c r="B2325" s="32" t="s">
        <v>5793</v>
      </c>
      <c r="C2325" s="33" t="s">
        <v>98</v>
      </c>
      <c r="D2325" s="33" t="s">
        <v>59</v>
      </c>
      <c r="E2325" s="33" t="s">
        <v>84</v>
      </c>
      <c r="F2325" s="33" t="s">
        <v>12544</v>
      </c>
      <c r="G2325" s="33" t="s">
        <v>9</v>
      </c>
      <c r="H2325" s="33" t="n">
        <v>10</v>
      </c>
    </row>
    <row r="2326" customFormat="false" ht="54" hidden="false" customHeight="true" outlineLevel="0" collapsed="false">
      <c r="A2326" s="32" t="s">
        <v>12552</v>
      </c>
      <c r="B2326" s="32" t="s">
        <v>5793</v>
      </c>
      <c r="C2326" s="33" t="s">
        <v>98</v>
      </c>
      <c r="D2326" s="33" t="s">
        <v>59</v>
      </c>
      <c r="E2326" s="33" t="s">
        <v>84</v>
      </c>
      <c r="F2326" s="33" t="s">
        <v>12548</v>
      </c>
      <c r="G2326" s="33" t="s">
        <v>9</v>
      </c>
      <c r="H2326" s="33" t="n">
        <v>10</v>
      </c>
    </row>
    <row r="2327" customFormat="false" ht="54" hidden="false" customHeight="true" outlineLevel="0" collapsed="false">
      <c r="A2327" s="32" t="s">
        <v>12553</v>
      </c>
      <c r="B2327" s="32" t="s">
        <v>5803</v>
      </c>
      <c r="C2327" s="33" t="s">
        <v>98</v>
      </c>
      <c r="D2327" s="33" t="s">
        <v>59</v>
      </c>
      <c r="E2327" s="33" t="s">
        <v>80</v>
      </c>
      <c r="F2327" s="33" t="s">
        <v>183</v>
      </c>
      <c r="G2327" s="33" t="s">
        <v>9</v>
      </c>
      <c r="H2327" s="33" t="n">
        <v>10</v>
      </c>
    </row>
    <row r="2328" customFormat="false" ht="54" hidden="false" customHeight="true" outlineLevel="0" collapsed="false">
      <c r="A2328" s="32" t="s">
        <v>12554</v>
      </c>
      <c r="B2328" s="32" t="s">
        <v>5803</v>
      </c>
      <c r="C2328" s="33" t="s">
        <v>98</v>
      </c>
      <c r="D2328" s="33" t="s">
        <v>59</v>
      </c>
      <c r="E2328" s="33" t="s">
        <v>80</v>
      </c>
      <c r="F2328" s="33" t="s">
        <v>12555</v>
      </c>
      <c r="G2328" s="33" t="s">
        <v>9</v>
      </c>
      <c r="H2328" s="33" t="n">
        <v>10</v>
      </c>
    </row>
    <row r="2329" customFormat="false" ht="54" hidden="false" customHeight="true" outlineLevel="0" collapsed="false">
      <c r="A2329" s="32" t="s">
        <v>12556</v>
      </c>
      <c r="B2329" s="32" t="s">
        <v>5803</v>
      </c>
      <c r="C2329" s="33" t="s">
        <v>98</v>
      </c>
      <c r="D2329" s="33" t="s">
        <v>59</v>
      </c>
      <c r="E2329" s="33" t="s">
        <v>81</v>
      </c>
      <c r="F2329" s="33" t="s">
        <v>5808</v>
      </c>
      <c r="G2329" s="33" t="s">
        <v>9</v>
      </c>
      <c r="H2329" s="33" t="n">
        <v>10</v>
      </c>
    </row>
    <row r="2330" customFormat="false" ht="54" hidden="false" customHeight="true" outlineLevel="0" collapsed="false">
      <c r="A2330" s="32" t="s">
        <v>12557</v>
      </c>
      <c r="B2330" s="32" t="s">
        <v>5803</v>
      </c>
      <c r="C2330" s="33" t="s">
        <v>98</v>
      </c>
      <c r="D2330" s="33" t="s">
        <v>59</v>
      </c>
      <c r="E2330" s="33" t="s">
        <v>84</v>
      </c>
      <c r="F2330" s="33" t="s">
        <v>183</v>
      </c>
      <c r="G2330" s="33" t="s">
        <v>9</v>
      </c>
      <c r="H2330" s="33" t="n">
        <v>10</v>
      </c>
    </row>
    <row r="2331" customFormat="false" ht="54" hidden="false" customHeight="true" outlineLevel="0" collapsed="false">
      <c r="A2331" s="32" t="s">
        <v>12558</v>
      </c>
      <c r="B2331" s="32" t="s">
        <v>5803</v>
      </c>
      <c r="C2331" s="33" t="s">
        <v>98</v>
      </c>
      <c r="D2331" s="33" t="s">
        <v>59</v>
      </c>
      <c r="E2331" s="33" t="s">
        <v>84</v>
      </c>
      <c r="F2331" s="33" t="s">
        <v>12559</v>
      </c>
      <c r="G2331" s="33" t="s">
        <v>9</v>
      </c>
      <c r="H2331" s="33" t="n">
        <v>10</v>
      </c>
    </row>
    <row r="2332" customFormat="false" ht="54" hidden="false" customHeight="true" outlineLevel="0" collapsed="false">
      <c r="A2332" s="32" t="s">
        <v>12560</v>
      </c>
      <c r="B2332" s="32" t="s">
        <v>5816</v>
      </c>
      <c r="C2332" s="33" t="s">
        <v>98</v>
      </c>
      <c r="D2332" s="33" t="s">
        <v>59</v>
      </c>
      <c r="E2332" s="33" t="s">
        <v>80</v>
      </c>
      <c r="F2332" s="33" t="s">
        <v>183</v>
      </c>
      <c r="G2332" s="33" t="s">
        <v>9</v>
      </c>
      <c r="H2332" s="33" t="n">
        <v>10</v>
      </c>
    </row>
    <row r="2333" customFormat="false" ht="54" hidden="false" customHeight="true" outlineLevel="0" collapsed="false">
      <c r="A2333" s="32" t="s">
        <v>12561</v>
      </c>
      <c r="B2333" s="32" t="s">
        <v>5816</v>
      </c>
      <c r="C2333" s="33" t="s">
        <v>98</v>
      </c>
      <c r="D2333" s="33" t="s">
        <v>59</v>
      </c>
      <c r="E2333" s="33" t="s">
        <v>83</v>
      </c>
      <c r="F2333" s="33" t="s">
        <v>5827</v>
      </c>
      <c r="G2333" s="33" t="s">
        <v>9</v>
      </c>
      <c r="H2333" s="33" t="n">
        <v>10</v>
      </c>
    </row>
    <row r="2334" customFormat="false" ht="54" hidden="false" customHeight="true" outlineLevel="0" collapsed="false">
      <c r="A2334" s="32" t="s">
        <v>12562</v>
      </c>
      <c r="B2334" s="32" t="s">
        <v>5816</v>
      </c>
      <c r="C2334" s="33" t="s">
        <v>98</v>
      </c>
      <c r="D2334" s="33" t="s">
        <v>59</v>
      </c>
      <c r="E2334" s="33" t="s">
        <v>84</v>
      </c>
      <c r="F2334" s="33" t="s">
        <v>183</v>
      </c>
      <c r="G2334" s="33" t="s">
        <v>9</v>
      </c>
      <c r="H2334" s="33" t="n">
        <v>10</v>
      </c>
    </row>
    <row r="2335" customFormat="false" ht="54" hidden="false" customHeight="true" outlineLevel="0" collapsed="false">
      <c r="A2335" s="32" t="s">
        <v>12563</v>
      </c>
      <c r="B2335" s="32" t="s">
        <v>5816</v>
      </c>
      <c r="C2335" s="33" t="s">
        <v>98</v>
      </c>
      <c r="D2335" s="33" t="s">
        <v>59</v>
      </c>
      <c r="E2335" s="33" t="s">
        <v>84</v>
      </c>
      <c r="F2335" s="33" t="s">
        <v>12564</v>
      </c>
      <c r="G2335" s="33" t="s">
        <v>9</v>
      </c>
      <c r="H2335" s="33" t="n">
        <v>10</v>
      </c>
    </row>
    <row r="2336" customFormat="false" ht="54" hidden="false" customHeight="true" outlineLevel="0" collapsed="false">
      <c r="A2336" s="32" t="s">
        <v>12565</v>
      </c>
      <c r="B2336" s="32" t="s">
        <v>5816</v>
      </c>
      <c r="C2336" s="33" t="s">
        <v>98</v>
      </c>
      <c r="D2336" s="33" t="s">
        <v>59</v>
      </c>
      <c r="E2336" s="33" t="s">
        <v>84</v>
      </c>
      <c r="F2336" s="33" t="s">
        <v>12566</v>
      </c>
      <c r="G2336" s="33" t="s">
        <v>9</v>
      </c>
      <c r="H2336" s="33" t="n">
        <v>10</v>
      </c>
    </row>
    <row r="2337" customFormat="false" ht="54" hidden="false" customHeight="true" outlineLevel="0" collapsed="false">
      <c r="A2337" s="32" t="s">
        <v>12567</v>
      </c>
      <c r="B2337" s="32" t="s">
        <v>5830</v>
      </c>
      <c r="C2337" s="33" t="s">
        <v>98</v>
      </c>
      <c r="D2337" s="33" t="s">
        <v>59</v>
      </c>
      <c r="E2337" s="33" t="s">
        <v>80</v>
      </c>
      <c r="F2337" s="33" t="s">
        <v>183</v>
      </c>
      <c r="G2337" s="33" t="s">
        <v>9</v>
      </c>
      <c r="H2337" s="33" t="n">
        <v>10</v>
      </c>
    </row>
    <row r="2338" customFormat="false" ht="54" hidden="false" customHeight="true" outlineLevel="0" collapsed="false">
      <c r="A2338" s="32" t="s">
        <v>12568</v>
      </c>
      <c r="B2338" s="32" t="s">
        <v>5830</v>
      </c>
      <c r="C2338" s="33" t="s">
        <v>98</v>
      </c>
      <c r="D2338" s="33" t="s">
        <v>59</v>
      </c>
      <c r="E2338" s="33" t="s">
        <v>82</v>
      </c>
      <c r="F2338" s="33" t="s">
        <v>12569</v>
      </c>
      <c r="G2338" s="33" t="s">
        <v>9</v>
      </c>
      <c r="H2338" s="33" t="n">
        <v>10</v>
      </c>
    </row>
    <row r="2339" customFormat="false" ht="54" hidden="false" customHeight="true" outlineLevel="0" collapsed="false">
      <c r="A2339" s="32" t="s">
        <v>12570</v>
      </c>
      <c r="B2339" s="32" t="s">
        <v>5830</v>
      </c>
      <c r="C2339" s="33" t="s">
        <v>98</v>
      </c>
      <c r="D2339" s="33" t="s">
        <v>59</v>
      </c>
      <c r="E2339" s="33" t="s">
        <v>82</v>
      </c>
      <c r="F2339" s="33" t="s">
        <v>12571</v>
      </c>
      <c r="G2339" s="33" t="s">
        <v>9</v>
      </c>
      <c r="H2339" s="33" t="n">
        <v>10</v>
      </c>
    </row>
    <row r="2340" customFormat="false" ht="54" hidden="false" customHeight="true" outlineLevel="0" collapsed="false">
      <c r="A2340" s="32" t="s">
        <v>12572</v>
      </c>
      <c r="B2340" s="32" t="s">
        <v>5830</v>
      </c>
      <c r="C2340" s="33" t="s">
        <v>98</v>
      </c>
      <c r="D2340" s="33" t="s">
        <v>59</v>
      </c>
      <c r="E2340" s="33" t="s">
        <v>84</v>
      </c>
      <c r="F2340" s="33" t="s">
        <v>183</v>
      </c>
      <c r="G2340" s="33" t="s">
        <v>9</v>
      </c>
      <c r="H2340" s="33" t="n">
        <v>10</v>
      </c>
    </row>
    <row r="2341" customFormat="false" ht="54" hidden="false" customHeight="true" outlineLevel="0" collapsed="false">
      <c r="A2341" s="32" t="s">
        <v>12573</v>
      </c>
      <c r="B2341" s="32" t="s">
        <v>5841</v>
      </c>
      <c r="C2341" s="33" t="s">
        <v>98</v>
      </c>
      <c r="D2341" s="33" t="s">
        <v>59</v>
      </c>
      <c r="E2341" s="33" t="s">
        <v>80</v>
      </c>
      <c r="F2341" s="33" t="s">
        <v>5846</v>
      </c>
      <c r="G2341" s="33" t="s">
        <v>9</v>
      </c>
      <c r="H2341" s="33" t="n">
        <v>10</v>
      </c>
    </row>
    <row r="2342" customFormat="false" ht="54" hidden="false" customHeight="true" outlineLevel="0" collapsed="false">
      <c r="A2342" s="32" t="s">
        <v>12574</v>
      </c>
      <c r="B2342" s="32" t="s">
        <v>5841</v>
      </c>
      <c r="C2342" s="33" t="s">
        <v>98</v>
      </c>
      <c r="D2342" s="33" t="s">
        <v>59</v>
      </c>
      <c r="E2342" s="33" t="s">
        <v>80</v>
      </c>
      <c r="F2342" s="33" t="s">
        <v>183</v>
      </c>
      <c r="G2342" s="33" t="s">
        <v>9</v>
      </c>
      <c r="H2342" s="33" t="n">
        <v>10</v>
      </c>
    </row>
    <row r="2343" customFormat="false" ht="54" hidden="false" customHeight="true" outlineLevel="0" collapsed="false">
      <c r="A2343" s="32" t="s">
        <v>12575</v>
      </c>
      <c r="B2343" s="32" t="s">
        <v>5841</v>
      </c>
      <c r="C2343" s="33" t="s">
        <v>98</v>
      </c>
      <c r="D2343" s="33" t="s">
        <v>59</v>
      </c>
      <c r="E2343" s="33" t="s">
        <v>80</v>
      </c>
      <c r="F2343" s="33" t="s">
        <v>12576</v>
      </c>
      <c r="G2343" s="33" t="s">
        <v>9</v>
      </c>
      <c r="H2343" s="33" t="n">
        <v>10</v>
      </c>
    </row>
    <row r="2344" customFormat="false" ht="54" hidden="false" customHeight="true" outlineLevel="0" collapsed="false">
      <c r="A2344" s="32" t="s">
        <v>12577</v>
      </c>
      <c r="B2344" s="32" t="s">
        <v>5841</v>
      </c>
      <c r="C2344" s="33" t="s">
        <v>98</v>
      </c>
      <c r="D2344" s="33" t="s">
        <v>59</v>
      </c>
      <c r="E2344" s="33" t="s">
        <v>82</v>
      </c>
      <c r="F2344" s="33" t="s">
        <v>12578</v>
      </c>
      <c r="G2344" s="33" t="s">
        <v>9</v>
      </c>
      <c r="H2344" s="33" t="n">
        <v>10</v>
      </c>
    </row>
    <row r="2345" customFormat="false" ht="54" hidden="false" customHeight="true" outlineLevel="0" collapsed="false">
      <c r="A2345" s="32" t="s">
        <v>12579</v>
      </c>
      <c r="B2345" s="32" t="s">
        <v>5841</v>
      </c>
      <c r="C2345" s="33" t="s">
        <v>98</v>
      </c>
      <c r="D2345" s="33" t="s">
        <v>59</v>
      </c>
      <c r="E2345" s="33" t="s">
        <v>82</v>
      </c>
      <c r="F2345" s="33" t="s">
        <v>12576</v>
      </c>
      <c r="G2345" s="33" t="s">
        <v>9</v>
      </c>
      <c r="H2345" s="33" t="n">
        <v>10</v>
      </c>
    </row>
    <row r="2346" customFormat="false" ht="54" hidden="false" customHeight="true" outlineLevel="0" collapsed="false">
      <c r="A2346" s="32" t="s">
        <v>12580</v>
      </c>
      <c r="B2346" s="32" t="s">
        <v>5841</v>
      </c>
      <c r="C2346" s="33" t="s">
        <v>98</v>
      </c>
      <c r="D2346" s="33" t="s">
        <v>59</v>
      </c>
      <c r="E2346" s="33" t="s">
        <v>83</v>
      </c>
      <c r="F2346" s="33" t="s">
        <v>12581</v>
      </c>
      <c r="G2346" s="33" t="s">
        <v>9</v>
      </c>
      <c r="H2346" s="33" t="n">
        <v>10</v>
      </c>
    </row>
    <row r="2347" customFormat="false" ht="54" hidden="false" customHeight="true" outlineLevel="0" collapsed="false">
      <c r="A2347" s="32" t="s">
        <v>12582</v>
      </c>
      <c r="B2347" s="32" t="s">
        <v>5841</v>
      </c>
      <c r="C2347" s="33" t="s">
        <v>98</v>
      </c>
      <c r="D2347" s="33" t="s">
        <v>59</v>
      </c>
      <c r="E2347" s="33" t="s">
        <v>84</v>
      </c>
      <c r="F2347" s="33" t="s">
        <v>183</v>
      </c>
      <c r="G2347" s="33" t="s">
        <v>9</v>
      </c>
      <c r="H2347" s="33" t="n">
        <v>10</v>
      </c>
    </row>
    <row r="2348" customFormat="false" ht="54" hidden="false" customHeight="true" outlineLevel="0" collapsed="false">
      <c r="A2348" s="32" t="s">
        <v>12583</v>
      </c>
      <c r="B2348" s="32" t="s">
        <v>5858</v>
      </c>
      <c r="C2348" s="33" t="s">
        <v>98</v>
      </c>
      <c r="D2348" s="33" t="s">
        <v>59</v>
      </c>
      <c r="E2348" s="33" t="s">
        <v>80</v>
      </c>
      <c r="F2348" s="33" t="s">
        <v>183</v>
      </c>
      <c r="G2348" s="33" t="s">
        <v>9</v>
      </c>
      <c r="H2348" s="33" t="n">
        <v>10</v>
      </c>
    </row>
    <row r="2349" customFormat="false" ht="54" hidden="false" customHeight="true" outlineLevel="0" collapsed="false">
      <c r="A2349" s="32" t="s">
        <v>12584</v>
      </c>
      <c r="B2349" s="32" t="s">
        <v>5858</v>
      </c>
      <c r="C2349" s="33" t="s">
        <v>98</v>
      </c>
      <c r="D2349" s="33" t="s">
        <v>59</v>
      </c>
      <c r="E2349" s="33" t="s">
        <v>80</v>
      </c>
      <c r="F2349" s="33" t="s">
        <v>12585</v>
      </c>
      <c r="G2349" s="33" t="s">
        <v>9</v>
      </c>
      <c r="H2349" s="33" t="n">
        <v>10</v>
      </c>
    </row>
    <row r="2350" customFormat="false" ht="54" hidden="false" customHeight="true" outlineLevel="0" collapsed="false">
      <c r="A2350" s="32" t="s">
        <v>12586</v>
      </c>
      <c r="B2350" s="32" t="s">
        <v>5858</v>
      </c>
      <c r="C2350" s="33" t="s">
        <v>98</v>
      </c>
      <c r="D2350" s="33" t="s">
        <v>59</v>
      </c>
      <c r="E2350" s="33" t="s">
        <v>80</v>
      </c>
      <c r="F2350" s="33" t="s">
        <v>12587</v>
      </c>
      <c r="G2350" s="33" t="s">
        <v>9</v>
      </c>
      <c r="H2350" s="33" t="n">
        <v>10</v>
      </c>
    </row>
    <row r="2351" customFormat="false" ht="54" hidden="false" customHeight="true" outlineLevel="0" collapsed="false">
      <c r="A2351" s="32" t="s">
        <v>12588</v>
      </c>
      <c r="B2351" s="32" t="s">
        <v>5858</v>
      </c>
      <c r="C2351" s="33" t="s">
        <v>98</v>
      </c>
      <c r="D2351" s="33" t="s">
        <v>59</v>
      </c>
      <c r="E2351" s="33" t="s">
        <v>80</v>
      </c>
      <c r="F2351" s="33" t="s">
        <v>5868</v>
      </c>
      <c r="G2351" s="33" t="s">
        <v>9</v>
      </c>
      <c r="H2351" s="33" t="n">
        <v>10</v>
      </c>
    </row>
    <row r="2352" customFormat="false" ht="54" hidden="false" customHeight="true" outlineLevel="0" collapsed="false">
      <c r="A2352" s="32" t="s">
        <v>12589</v>
      </c>
      <c r="B2352" s="32" t="s">
        <v>5858</v>
      </c>
      <c r="C2352" s="33" t="s">
        <v>98</v>
      </c>
      <c r="D2352" s="33" t="s">
        <v>59</v>
      </c>
      <c r="E2352" s="33" t="s">
        <v>82</v>
      </c>
      <c r="F2352" s="33" t="s">
        <v>5866</v>
      </c>
      <c r="G2352" s="33" t="s">
        <v>9</v>
      </c>
      <c r="H2352" s="33" t="n">
        <v>10</v>
      </c>
    </row>
    <row r="2353" customFormat="false" ht="54" hidden="false" customHeight="true" outlineLevel="0" collapsed="false">
      <c r="A2353" s="32" t="s">
        <v>12590</v>
      </c>
      <c r="B2353" s="32" t="s">
        <v>5858</v>
      </c>
      <c r="C2353" s="33" t="s">
        <v>98</v>
      </c>
      <c r="D2353" s="33" t="s">
        <v>59</v>
      </c>
      <c r="E2353" s="33" t="s">
        <v>82</v>
      </c>
      <c r="F2353" s="33" t="s">
        <v>12585</v>
      </c>
      <c r="G2353" s="33" t="s">
        <v>9</v>
      </c>
      <c r="H2353" s="33" t="n">
        <v>10</v>
      </c>
    </row>
    <row r="2354" customFormat="false" ht="54" hidden="false" customHeight="true" outlineLevel="0" collapsed="false">
      <c r="A2354" s="32" t="s">
        <v>12591</v>
      </c>
      <c r="B2354" s="32" t="s">
        <v>5858</v>
      </c>
      <c r="C2354" s="33" t="s">
        <v>98</v>
      </c>
      <c r="D2354" s="33" t="s">
        <v>59</v>
      </c>
      <c r="E2354" s="33" t="s">
        <v>83</v>
      </c>
      <c r="F2354" s="33" t="s">
        <v>5872</v>
      </c>
      <c r="G2354" s="33" t="s">
        <v>9</v>
      </c>
      <c r="H2354" s="33" t="n">
        <v>10</v>
      </c>
    </row>
    <row r="2355" customFormat="false" ht="54" hidden="false" customHeight="true" outlineLevel="0" collapsed="false">
      <c r="A2355" s="32" t="s">
        <v>12592</v>
      </c>
      <c r="B2355" s="32" t="s">
        <v>5858</v>
      </c>
      <c r="C2355" s="33" t="s">
        <v>98</v>
      </c>
      <c r="D2355" s="33" t="s">
        <v>59</v>
      </c>
      <c r="E2355" s="33" t="s">
        <v>84</v>
      </c>
      <c r="F2355" s="33" t="s">
        <v>183</v>
      </c>
      <c r="G2355" s="33" t="s">
        <v>9</v>
      </c>
      <c r="H2355" s="33" t="n">
        <v>10</v>
      </c>
    </row>
    <row r="2356" customFormat="false" ht="54" hidden="false" customHeight="true" outlineLevel="0" collapsed="false">
      <c r="A2356" s="32" t="s">
        <v>12593</v>
      </c>
      <c r="B2356" s="32" t="s">
        <v>5858</v>
      </c>
      <c r="C2356" s="33" t="s">
        <v>98</v>
      </c>
      <c r="D2356" s="33" t="s">
        <v>59</v>
      </c>
      <c r="E2356" s="33" t="s">
        <v>84</v>
      </c>
      <c r="F2356" s="33" t="s">
        <v>12585</v>
      </c>
      <c r="G2356" s="33" t="s">
        <v>9</v>
      </c>
      <c r="H2356" s="33" t="n">
        <v>10</v>
      </c>
    </row>
    <row r="2357" customFormat="false" ht="54" hidden="false" customHeight="true" outlineLevel="0" collapsed="false">
      <c r="A2357" s="32" t="s">
        <v>12594</v>
      </c>
      <c r="B2357" s="32" t="s">
        <v>5876</v>
      </c>
      <c r="C2357" s="33" t="s">
        <v>98</v>
      </c>
      <c r="D2357" s="33" t="s">
        <v>59</v>
      </c>
      <c r="E2357" s="33" t="s">
        <v>80</v>
      </c>
      <c r="F2357" s="33" t="s">
        <v>5881</v>
      </c>
      <c r="G2357" s="33" t="s">
        <v>9</v>
      </c>
      <c r="H2357" s="33" t="n">
        <v>10</v>
      </c>
    </row>
    <row r="2358" customFormat="false" ht="54" hidden="false" customHeight="true" outlineLevel="0" collapsed="false">
      <c r="A2358" s="32" t="s">
        <v>12595</v>
      </c>
      <c r="B2358" s="32" t="s">
        <v>5876</v>
      </c>
      <c r="C2358" s="33" t="s">
        <v>98</v>
      </c>
      <c r="D2358" s="33" t="s">
        <v>59</v>
      </c>
      <c r="E2358" s="33" t="s">
        <v>80</v>
      </c>
      <c r="F2358" s="33" t="s">
        <v>5882</v>
      </c>
      <c r="G2358" s="33" t="s">
        <v>9</v>
      </c>
      <c r="H2358" s="33" t="n">
        <v>10</v>
      </c>
    </row>
    <row r="2359" customFormat="false" ht="54" hidden="false" customHeight="true" outlineLevel="0" collapsed="false">
      <c r="A2359" s="32" t="s">
        <v>12596</v>
      </c>
      <c r="B2359" s="32" t="s">
        <v>5876</v>
      </c>
      <c r="C2359" s="33" t="s">
        <v>98</v>
      </c>
      <c r="D2359" s="33" t="s">
        <v>59</v>
      </c>
      <c r="E2359" s="33" t="s">
        <v>80</v>
      </c>
      <c r="F2359" s="33" t="s">
        <v>183</v>
      </c>
      <c r="G2359" s="33" t="s">
        <v>9</v>
      </c>
      <c r="H2359" s="33" t="n">
        <v>10</v>
      </c>
    </row>
    <row r="2360" customFormat="false" ht="54" hidden="false" customHeight="true" outlineLevel="0" collapsed="false">
      <c r="A2360" s="32" t="s">
        <v>12597</v>
      </c>
      <c r="B2360" s="32" t="s">
        <v>5876</v>
      </c>
      <c r="C2360" s="33" t="s">
        <v>98</v>
      </c>
      <c r="D2360" s="33" t="s">
        <v>59</v>
      </c>
      <c r="E2360" s="33" t="s">
        <v>80</v>
      </c>
      <c r="F2360" s="33" t="s">
        <v>12598</v>
      </c>
      <c r="G2360" s="33" t="s">
        <v>9</v>
      </c>
      <c r="H2360" s="33" t="n">
        <v>10</v>
      </c>
    </row>
    <row r="2361" customFormat="false" ht="54" hidden="false" customHeight="true" outlineLevel="0" collapsed="false">
      <c r="A2361" s="32" t="s">
        <v>12599</v>
      </c>
      <c r="B2361" s="32" t="s">
        <v>5876</v>
      </c>
      <c r="C2361" s="33" t="s">
        <v>98</v>
      </c>
      <c r="D2361" s="33" t="s">
        <v>59</v>
      </c>
      <c r="E2361" s="33" t="s">
        <v>80</v>
      </c>
      <c r="F2361" s="33" t="s">
        <v>12587</v>
      </c>
      <c r="G2361" s="33" t="s">
        <v>9</v>
      </c>
      <c r="H2361" s="33" t="n">
        <v>10</v>
      </c>
    </row>
    <row r="2362" customFormat="false" ht="54" hidden="false" customHeight="true" outlineLevel="0" collapsed="false">
      <c r="A2362" s="32" t="s">
        <v>12600</v>
      </c>
      <c r="B2362" s="32" t="s">
        <v>5876</v>
      </c>
      <c r="C2362" s="33" t="s">
        <v>98</v>
      </c>
      <c r="D2362" s="33" t="s">
        <v>59</v>
      </c>
      <c r="E2362" s="33" t="s">
        <v>82</v>
      </c>
      <c r="F2362" s="33" t="s">
        <v>5882</v>
      </c>
      <c r="G2362" s="33" t="s">
        <v>9</v>
      </c>
      <c r="H2362" s="33" t="n">
        <v>10</v>
      </c>
    </row>
    <row r="2363" customFormat="false" ht="54" hidden="false" customHeight="true" outlineLevel="0" collapsed="false">
      <c r="A2363" s="32" t="s">
        <v>12601</v>
      </c>
      <c r="B2363" s="32" t="s">
        <v>5876</v>
      </c>
      <c r="C2363" s="33" t="s">
        <v>98</v>
      </c>
      <c r="D2363" s="33" t="s">
        <v>59</v>
      </c>
      <c r="E2363" s="33" t="s">
        <v>83</v>
      </c>
      <c r="F2363" s="33" t="s">
        <v>5872</v>
      </c>
      <c r="G2363" s="33" t="s">
        <v>9</v>
      </c>
      <c r="H2363" s="33" t="n">
        <v>10</v>
      </c>
    </row>
    <row r="2364" customFormat="false" ht="54" hidden="false" customHeight="true" outlineLevel="0" collapsed="false">
      <c r="A2364" s="32" t="s">
        <v>12602</v>
      </c>
      <c r="B2364" s="32" t="s">
        <v>5876</v>
      </c>
      <c r="C2364" s="33" t="s">
        <v>98</v>
      </c>
      <c r="D2364" s="33" t="s">
        <v>59</v>
      </c>
      <c r="E2364" s="33" t="s">
        <v>84</v>
      </c>
      <c r="F2364" s="33" t="s">
        <v>183</v>
      </c>
      <c r="G2364" s="33" t="s">
        <v>9</v>
      </c>
      <c r="H2364" s="33" t="n">
        <v>10</v>
      </c>
    </row>
    <row r="2365" customFormat="false" ht="54" hidden="false" customHeight="true" outlineLevel="0" collapsed="false">
      <c r="A2365" s="32" t="s">
        <v>12603</v>
      </c>
      <c r="B2365" s="32" t="s">
        <v>5876</v>
      </c>
      <c r="C2365" s="33" t="s">
        <v>98</v>
      </c>
      <c r="D2365" s="33" t="s">
        <v>59</v>
      </c>
      <c r="E2365" s="33" t="s">
        <v>84</v>
      </c>
      <c r="F2365" s="33" t="s">
        <v>12598</v>
      </c>
      <c r="G2365" s="33" t="s">
        <v>9</v>
      </c>
      <c r="H2365" s="33" t="n">
        <v>10</v>
      </c>
    </row>
    <row r="2366" customFormat="false" ht="54" hidden="false" customHeight="true" outlineLevel="0" collapsed="false">
      <c r="A2366" s="32" t="s">
        <v>12604</v>
      </c>
      <c r="B2366" s="32" t="s">
        <v>5876</v>
      </c>
      <c r="C2366" s="33" t="s">
        <v>98</v>
      </c>
      <c r="D2366" s="33" t="s">
        <v>59</v>
      </c>
      <c r="E2366" s="33" t="s">
        <v>86</v>
      </c>
      <c r="F2366" s="33" t="s">
        <v>5881</v>
      </c>
      <c r="G2366" s="33" t="s">
        <v>9</v>
      </c>
      <c r="H2366" s="33" t="n">
        <v>10</v>
      </c>
    </row>
    <row r="2367" customFormat="false" ht="54" hidden="false" customHeight="true" outlineLevel="0" collapsed="false">
      <c r="A2367" s="32" t="s">
        <v>12605</v>
      </c>
      <c r="B2367" s="32" t="s">
        <v>5888</v>
      </c>
      <c r="C2367" s="33" t="s">
        <v>98</v>
      </c>
      <c r="D2367" s="33" t="s">
        <v>59</v>
      </c>
      <c r="E2367" s="33" t="s">
        <v>80</v>
      </c>
      <c r="F2367" s="33" t="s">
        <v>5897</v>
      </c>
      <c r="G2367" s="33" t="s">
        <v>9</v>
      </c>
      <c r="H2367" s="33" t="n">
        <v>10</v>
      </c>
    </row>
    <row r="2368" customFormat="false" ht="54" hidden="false" customHeight="true" outlineLevel="0" collapsed="false">
      <c r="A2368" s="32" t="s">
        <v>12606</v>
      </c>
      <c r="B2368" s="32" t="s">
        <v>5888</v>
      </c>
      <c r="C2368" s="33" t="s">
        <v>98</v>
      </c>
      <c r="D2368" s="33" t="s">
        <v>59</v>
      </c>
      <c r="E2368" s="33" t="s">
        <v>82</v>
      </c>
      <c r="F2368" s="33" t="s">
        <v>5895</v>
      </c>
      <c r="G2368" s="33" t="s">
        <v>9</v>
      </c>
      <c r="H2368" s="33" t="n">
        <v>10</v>
      </c>
    </row>
    <row r="2369" customFormat="false" ht="54" hidden="false" customHeight="true" outlineLevel="0" collapsed="false">
      <c r="A2369" s="32" t="s">
        <v>12607</v>
      </c>
      <c r="B2369" s="32" t="s">
        <v>5888</v>
      </c>
      <c r="C2369" s="33" t="s">
        <v>98</v>
      </c>
      <c r="D2369" s="33" t="s">
        <v>59</v>
      </c>
      <c r="E2369" s="33" t="s">
        <v>84</v>
      </c>
      <c r="F2369" s="33" t="s">
        <v>5892</v>
      </c>
      <c r="G2369" s="33" t="s">
        <v>9</v>
      </c>
      <c r="H2369" s="33" t="n">
        <v>10</v>
      </c>
    </row>
    <row r="2370" customFormat="false" ht="54" hidden="false" customHeight="true" outlineLevel="0" collapsed="false">
      <c r="A2370" s="32" t="s">
        <v>12608</v>
      </c>
      <c r="B2370" s="32" t="s">
        <v>5888</v>
      </c>
      <c r="C2370" s="33" t="s">
        <v>98</v>
      </c>
      <c r="D2370" s="33" t="s">
        <v>59</v>
      </c>
      <c r="E2370" s="33" t="s">
        <v>84</v>
      </c>
      <c r="F2370" s="33" t="s">
        <v>5895</v>
      </c>
      <c r="G2370" s="33" t="s">
        <v>9</v>
      </c>
      <c r="H2370" s="33" t="n">
        <v>10</v>
      </c>
    </row>
    <row r="2371" customFormat="false" ht="54" hidden="false" customHeight="true" outlineLevel="0" collapsed="false">
      <c r="A2371" s="32" t="s">
        <v>12609</v>
      </c>
      <c r="B2371" s="32" t="s">
        <v>5888</v>
      </c>
      <c r="C2371" s="33" t="s">
        <v>98</v>
      </c>
      <c r="D2371" s="33" t="s">
        <v>59</v>
      </c>
      <c r="E2371" s="33" t="s">
        <v>84</v>
      </c>
      <c r="F2371" s="33" t="s">
        <v>5896</v>
      </c>
      <c r="G2371" s="33" t="s">
        <v>9</v>
      </c>
      <c r="H2371" s="33" t="n">
        <v>10</v>
      </c>
    </row>
    <row r="2372" customFormat="false" ht="54" hidden="false" customHeight="true" outlineLevel="0" collapsed="false">
      <c r="A2372" s="32" t="s">
        <v>12610</v>
      </c>
      <c r="B2372" s="32" t="s">
        <v>5900</v>
      </c>
      <c r="C2372" s="33" t="s">
        <v>98</v>
      </c>
      <c r="D2372" s="33" t="s">
        <v>59</v>
      </c>
      <c r="E2372" s="33" t="s">
        <v>80</v>
      </c>
      <c r="F2372" s="33" t="s">
        <v>5903</v>
      </c>
      <c r="G2372" s="33" t="s">
        <v>9</v>
      </c>
      <c r="H2372" s="33" t="n">
        <v>10</v>
      </c>
    </row>
    <row r="2373" customFormat="false" ht="54" hidden="false" customHeight="true" outlineLevel="0" collapsed="false">
      <c r="A2373" s="32" t="s">
        <v>12611</v>
      </c>
      <c r="B2373" s="32" t="s">
        <v>5900</v>
      </c>
      <c r="C2373" s="33" t="s">
        <v>98</v>
      </c>
      <c r="D2373" s="33" t="s">
        <v>59</v>
      </c>
      <c r="E2373" s="33" t="s">
        <v>80</v>
      </c>
      <c r="F2373" s="33" t="s">
        <v>183</v>
      </c>
      <c r="G2373" s="33" t="s">
        <v>9</v>
      </c>
      <c r="H2373" s="33" t="n">
        <v>10</v>
      </c>
    </row>
    <row r="2374" customFormat="false" ht="54" hidden="false" customHeight="true" outlineLevel="0" collapsed="false">
      <c r="A2374" s="32" t="s">
        <v>12612</v>
      </c>
      <c r="B2374" s="32" t="s">
        <v>5900</v>
      </c>
      <c r="C2374" s="33" t="s">
        <v>98</v>
      </c>
      <c r="D2374" s="33" t="s">
        <v>59</v>
      </c>
      <c r="E2374" s="33" t="s">
        <v>80</v>
      </c>
      <c r="F2374" s="33" t="s">
        <v>12613</v>
      </c>
      <c r="G2374" s="33" t="s">
        <v>9</v>
      </c>
      <c r="H2374" s="33" t="n">
        <v>10</v>
      </c>
    </row>
    <row r="2375" customFormat="false" ht="54" hidden="false" customHeight="true" outlineLevel="0" collapsed="false">
      <c r="A2375" s="32" t="s">
        <v>12614</v>
      </c>
      <c r="B2375" s="32" t="s">
        <v>5900</v>
      </c>
      <c r="C2375" s="33" t="s">
        <v>98</v>
      </c>
      <c r="D2375" s="33" t="s">
        <v>59</v>
      </c>
      <c r="E2375" s="33" t="s">
        <v>82</v>
      </c>
      <c r="F2375" s="33" t="s">
        <v>5905</v>
      </c>
      <c r="G2375" s="33" t="s">
        <v>9</v>
      </c>
      <c r="H2375" s="33" t="n">
        <v>10</v>
      </c>
    </row>
    <row r="2376" customFormat="false" ht="54" hidden="false" customHeight="true" outlineLevel="0" collapsed="false">
      <c r="A2376" s="32" t="s">
        <v>12615</v>
      </c>
      <c r="B2376" s="32" t="s">
        <v>5900</v>
      </c>
      <c r="C2376" s="33" t="s">
        <v>98</v>
      </c>
      <c r="D2376" s="33" t="s">
        <v>59</v>
      </c>
      <c r="E2376" s="33" t="s">
        <v>82</v>
      </c>
      <c r="F2376" s="33" t="s">
        <v>12616</v>
      </c>
      <c r="G2376" s="33" t="s">
        <v>9</v>
      </c>
      <c r="H2376" s="33" t="n">
        <v>10</v>
      </c>
    </row>
    <row r="2377" customFormat="false" ht="54" hidden="false" customHeight="true" outlineLevel="0" collapsed="false">
      <c r="A2377" s="32" t="s">
        <v>12617</v>
      </c>
      <c r="B2377" s="32" t="s">
        <v>5900</v>
      </c>
      <c r="C2377" s="33" t="s">
        <v>98</v>
      </c>
      <c r="D2377" s="33" t="s">
        <v>59</v>
      </c>
      <c r="E2377" s="33" t="s">
        <v>84</v>
      </c>
      <c r="F2377" s="33" t="s">
        <v>183</v>
      </c>
      <c r="G2377" s="33" t="s">
        <v>9</v>
      </c>
      <c r="H2377" s="33" t="n">
        <v>10</v>
      </c>
    </row>
    <row r="2378" customFormat="false" ht="54" hidden="false" customHeight="true" outlineLevel="0" collapsed="false">
      <c r="A2378" s="32" t="s">
        <v>12618</v>
      </c>
      <c r="B2378" s="32" t="s">
        <v>502</v>
      </c>
      <c r="C2378" s="33" t="s">
        <v>98</v>
      </c>
      <c r="D2378" s="33" t="s">
        <v>59</v>
      </c>
      <c r="E2378" s="33" t="s">
        <v>80</v>
      </c>
      <c r="F2378" s="33" t="s">
        <v>5918</v>
      </c>
      <c r="G2378" s="33" t="s">
        <v>9</v>
      </c>
      <c r="H2378" s="33" t="n">
        <v>10</v>
      </c>
    </row>
    <row r="2379" customFormat="false" ht="54" hidden="false" customHeight="true" outlineLevel="0" collapsed="false">
      <c r="A2379" s="32" t="s">
        <v>12619</v>
      </c>
      <c r="B2379" s="32" t="s">
        <v>502</v>
      </c>
      <c r="C2379" s="33" t="s">
        <v>98</v>
      </c>
      <c r="D2379" s="33" t="s">
        <v>59</v>
      </c>
      <c r="E2379" s="33" t="s">
        <v>80</v>
      </c>
      <c r="F2379" s="33" t="s">
        <v>183</v>
      </c>
      <c r="G2379" s="33" t="s">
        <v>9</v>
      </c>
      <c r="H2379" s="33" t="n">
        <v>10</v>
      </c>
    </row>
    <row r="2380" customFormat="false" ht="54" hidden="false" customHeight="true" outlineLevel="0" collapsed="false">
      <c r="A2380" s="32" t="s">
        <v>12620</v>
      </c>
      <c r="B2380" s="32" t="s">
        <v>502</v>
      </c>
      <c r="C2380" s="33" t="s">
        <v>98</v>
      </c>
      <c r="D2380" s="33" t="s">
        <v>59</v>
      </c>
      <c r="E2380" s="33" t="s">
        <v>80</v>
      </c>
      <c r="F2380" s="33" t="s">
        <v>5925</v>
      </c>
      <c r="G2380" s="33" t="s">
        <v>9</v>
      </c>
      <c r="H2380" s="33" t="n">
        <v>10</v>
      </c>
    </row>
    <row r="2381" customFormat="false" ht="54" hidden="false" customHeight="true" outlineLevel="0" collapsed="false">
      <c r="A2381" s="32" t="s">
        <v>12621</v>
      </c>
      <c r="B2381" s="32" t="s">
        <v>502</v>
      </c>
      <c r="C2381" s="33" t="s">
        <v>98</v>
      </c>
      <c r="D2381" s="33" t="s">
        <v>59</v>
      </c>
      <c r="E2381" s="33" t="s">
        <v>80</v>
      </c>
      <c r="F2381" s="33" t="s">
        <v>12622</v>
      </c>
      <c r="G2381" s="33" t="s">
        <v>9</v>
      </c>
      <c r="H2381" s="33" t="n">
        <v>10</v>
      </c>
    </row>
    <row r="2382" customFormat="false" ht="54" hidden="false" customHeight="true" outlineLevel="0" collapsed="false">
      <c r="A2382" s="32" t="s">
        <v>12623</v>
      </c>
      <c r="B2382" s="32" t="s">
        <v>502</v>
      </c>
      <c r="C2382" s="33" t="s">
        <v>98</v>
      </c>
      <c r="D2382" s="33" t="s">
        <v>59</v>
      </c>
      <c r="E2382" s="33" t="s">
        <v>81</v>
      </c>
      <c r="F2382" s="33" t="s">
        <v>5927</v>
      </c>
      <c r="G2382" s="33" t="s">
        <v>9</v>
      </c>
      <c r="H2382" s="33" t="n">
        <v>10</v>
      </c>
    </row>
    <row r="2383" customFormat="false" ht="54" hidden="false" customHeight="true" outlineLevel="0" collapsed="false">
      <c r="A2383" s="32" t="s">
        <v>12624</v>
      </c>
      <c r="B2383" s="32" t="s">
        <v>502</v>
      </c>
      <c r="C2383" s="33" t="s">
        <v>98</v>
      </c>
      <c r="D2383" s="33" t="s">
        <v>59</v>
      </c>
      <c r="E2383" s="33" t="s">
        <v>81</v>
      </c>
      <c r="F2383" s="33" t="s">
        <v>12625</v>
      </c>
      <c r="G2383" s="33" t="s">
        <v>9</v>
      </c>
      <c r="H2383" s="33" t="n">
        <v>10</v>
      </c>
    </row>
    <row r="2384" customFormat="false" ht="54" hidden="false" customHeight="true" outlineLevel="0" collapsed="false">
      <c r="A2384" s="32" t="s">
        <v>12626</v>
      </c>
      <c r="B2384" s="32" t="s">
        <v>502</v>
      </c>
      <c r="C2384" s="33" t="s">
        <v>98</v>
      </c>
      <c r="D2384" s="33" t="s">
        <v>59</v>
      </c>
      <c r="E2384" s="33" t="s">
        <v>82</v>
      </c>
      <c r="F2384" s="33" t="s">
        <v>5918</v>
      </c>
      <c r="G2384" s="33" t="s">
        <v>9</v>
      </c>
      <c r="H2384" s="33" t="n">
        <v>10</v>
      </c>
    </row>
    <row r="2385" customFormat="false" ht="54" hidden="false" customHeight="true" outlineLevel="0" collapsed="false">
      <c r="A2385" s="32" t="s">
        <v>12627</v>
      </c>
      <c r="B2385" s="32" t="s">
        <v>502</v>
      </c>
      <c r="C2385" s="33" t="s">
        <v>98</v>
      </c>
      <c r="D2385" s="33" t="s">
        <v>59</v>
      </c>
      <c r="E2385" s="33" t="s">
        <v>82</v>
      </c>
      <c r="F2385" s="33" t="s">
        <v>5925</v>
      </c>
      <c r="G2385" s="33" t="s">
        <v>9</v>
      </c>
      <c r="H2385" s="33" t="n">
        <v>10</v>
      </c>
    </row>
    <row r="2386" customFormat="false" ht="54" hidden="false" customHeight="true" outlineLevel="0" collapsed="false">
      <c r="A2386" s="32" t="s">
        <v>12628</v>
      </c>
      <c r="B2386" s="32" t="s">
        <v>502</v>
      </c>
      <c r="C2386" s="33" t="s">
        <v>98</v>
      </c>
      <c r="D2386" s="33" t="s">
        <v>59</v>
      </c>
      <c r="E2386" s="33" t="s">
        <v>83</v>
      </c>
      <c r="F2386" s="33" t="s">
        <v>5925</v>
      </c>
      <c r="G2386" s="33" t="s">
        <v>9</v>
      </c>
      <c r="H2386" s="33" t="n">
        <v>10</v>
      </c>
    </row>
    <row r="2387" customFormat="false" ht="54" hidden="false" customHeight="true" outlineLevel="0" collapsed="false">
      <c r="A2387" s="32" t="s">
        <v>12629</v>
      </c>
      <c r="B2387" s="32" t="s">
        <v>502</v>
      </c>
      <c r="C2387" s="33" t="s">
        <v>98</v>
      </c>
      <c r="D2387" s="33" t="s">
        <v>59</v>
      </c>
      <c r="E2387" s="33" t="s">
        <v>84</v>
      </c>
      <c r="F2387" s="33" t="s">
        <v>5918</v>
      </c>
      <c r="G2387" s="33" t="s">
        <v>9</v>
      </c>
      <c r="H2387" s="33" t="n">
        <v>10</v>
      </c>
    </row>
    <row r="2388" customFormat="false" ht="54" hidden="false" customHeight="true" outlineLevel="0" collapsed="false">
      <c r="A2388" s="32" t="s">
        <v>12630</v>
      </c>
      <c r="B2388" s="32" t="s">
        <v>502</v>
      </c>
      <c r="C2388" s="33" t="s">
        <v>98</v>
      </c>
      <c r="D2388" s="33" t="s">
        <v>59</v>
      </c>
      <c r="E2388" s="33" t="s">
        <v>84</v>
      </c>
      <c r="F2388" s="33" t="s">
        <v>183</v>
      </c>
      <c r="G2388" s="33" t="s">
        <v>9</v>
      </c>
      <c r="H2388" s="33" t="n">
        <v>10</v>
      </c>
    </row>
    <row r="2389" customFormat="false" ht="54" hidden="false" customHeight="true" outlineLevel="0" collapsed="false">
      <c r="A2389" s="32" t="s">
        <v>12631</v>
      </c>
      <c r="B2389" s="32" t="s">
        <v>502</v>
      </c>
      <c r="C2389" s="33" t="s">
        <v>98</v>
      </c>
      <c r="D2389" s="33" t="s">
        <v>59</v>
      </c>
      <c r="E2389" s="33" t="s">
        <v>84</v>
      </c>
      <c r="F2389" s="33" t="s">
        <v>5925</v>
      </c>
      <c r="G2389" s="33" t="s">
        <v>9</v>
      </c>
      <c r="H2389" s="33" t="n">
        <v>10</v>
      </c>
    </row>
    <row r="2390" customFormat="false" ht="54" hidden="false" customHeight="true" outlineLevel="0" collapsed="false">
      <c r="A2390" s="32" t="s">
        <v>12632</v>
      </c>
      <c r="B2390" s="32" t="s">
        <v>502</v>
      </c>
      <c r="C2390" s="33" t="s">
        <v>98</v>
      </c>
      <c r="D2390" s="33" t="s">
        <v>59</v>
      </c>
      <c r="E2390" s="33" t="s">
        <v>84</v>
      </c>
      <c r="F2390" s="33" t="s">
        <v>12622</v>
      </c>
      <c r="G2390" s="33" t="s">
        <v>9</v>
      </c>
      <c r="H2390" s="33" t="n">
        <v>10</v>
      </c>
    </row>
    <row r="2391" customFormat="false" ht="54" hidden="false" customHeight="true" outlineLevel="0" collapsed="false">
      <c r="A2391" s="32" t="s">
        <v>12633</v>
      </c>
      <c r="B2391" s="32" t="s">
        <v>502</v>
      </c>
      <c r="C2391" s="33" t="s">
        <v>98</v>
      </c>
      <c r="D2391" s="33" t="s">
        <v>59</v>
      </c>
      <c r="E2391" s="33" t="s">
        <v>84</v>
      </c>
      <c r="F2391" s="33" t="s">
        <v>12634</v>
      </c>
      <c r="G2391" s="33" t="s">
        <v>9</v>
      </c>
      <c r="H2391" s="33" t="n">
        <v>10</v>
      </c>
    </row>
    <row r="2392" customFormat="false" ht="54" hidden="false" customHeight="true" outlineLevel="0" collapsed="false">
      <c r="A2392" s="32" t="s">
        <v>12635</v>
      </c>
      <c r="B2392" s="32" t="s">
        <v>502</v>
      </c>
      <c r="C2392" s="33" t="s">
        <v>98</v>
      </c>
      <c r="D2392" s="33" t="s">
        <v>59</v>
      </c>
      <c r="E2392" s="33" t="s">
        <v>86</v>
      </c>
      <c r="F2392" s="33" t="s">
        <v>5927</v>
      </c>
      <c r="G2392" s="33" t="s">
        <v>9</v>
      </c>
      <c r="H2392" s="33" t="n">
        <v>10</v>
      </c>
    </row>
    <row r="2393" customFormat="false" ht="54" hidden="false" customHeight="true" outlineLevel="0" collapsed="false">
      <c r="A2393" s="32" t="s">
        <v>12636</v>
      </c>
      <c r="B2393" s="32" t="s">
        <v>5929</v>
      </c>
      <c r="C2393" s="33" t="s">
        <v>98</v>
      </c>
      <c r="D2393" s="33" t="s">
        <v>59</v>
      </c>
      <c r="E2393" s="33" t="s">
        <v>80</v>
      </c>
      <c r="F2393" s="33" t="s">
        <v>183</v>
      </c>
      <c r="G2393" s="33" t="s">
        <v>12</v>
      </c>
      <c r="H2393" s="33" t="n">
        <v>10</v>
      </c>
    </row>
    <row r="2394" customFormat="false" ht="54" hidden="false" customHeight="true" outlineLevel="0" collapsed="false">
      <c r="A2394" s="32" t="s">
        <v>12637</v>
      </c>
      <c r="B2394" s="32" t="s">
        <v>5929</v>
      </c>
      <c r="C2394" s="33" t="s">
        <v>98</v>
      </c>
      <c r="D2394" s="33" t="s">
        <v>59</v>
      </c>
      <c r="E2394" s="33" t="s">
        <v>80</v>
      </c>
      <c r="F2394" s="33" t="s">
        <v>12638</v>
      </c>
      <c r="G2394" s="33" t="s">
        <v>12</v>
      </c>
      <c r="H2394" s="33" t="n">
        <v>10</v>
      </c>
    </row>
    <row r="2395" customFormat="false" ht="54" hidden="false" customHeight="true" outlineLevel="0" collapsed="false">
      <c r="A2395" s="32" t="s">
        <v>12639</v>
      </c>
      <c r="B2395" s="32" t="s">
        <v>5929</v>
      </c>
      <c r="C2395" s="33" t="s">
        <v>98</v>
      </c>
      <c r="D2395" s="33" t="s">
        <v>59</v>
      </c>
      <c r="E2395" s="33" t="s">
        <v>82</v>
      </c>
      <c r="F2395" s="33" t="s">
        <v>5936</v>
      </c>
      <c r="G2395" s="33" t="s">
        <v>12</v>
      </c>
      <c r="H2395" s="33" t="n">
        <v>10</v>
      </c>
    </row>
    <row r="2396" customFormat="false" ht="54" hidden="false" customHeight="true" outlineLevel="0" collapsed="false">
      <c r="A2396" s="32" t="s">
        <v>12640</v>
      </c>
      <c r="B2396" s="32" t="s">
        <v>5929</v>
      </c>
      <c r="C2396" s="33" t="s">
        <v>98</v>
      </c>
      <c r="D2396" s="33" t="s">
        <v>59</v>
      </c>
      <c r="E2396" s="33" t="s">
        <v>82</v>
      </c>
      <c r="F2396" s="33" t="s">
        <v>12638</v>
      </c>
      <c r="G2396" s="33" t="s">
        <v>12</v>
      </c>
      <c r="H2396" s="33" t="n">
        <v>10</v>
      </c>
    </row>
    <row r="2397" customFormat="false" ht="54" hidden="false" customHeight="true" outlineLevel="0" collapsed="false">
      <c r="A2397" s="32" t="s">
        <v>12641</v>
      </c>
      <c r="B2397" s="32" t="s">
        <v>5929</v>
      </c>
      <c r="C2397" s="33" t="s">
        <v>98</v>
      </c>
      <c r="D2397" s="33" t="s">
        <v>59</v>
      </c>
      <c r="E2397" s="33" t="s">
        <v>84</v>
      </c>
      <c r="F2397" s="33" t="s">
        <v>183</v>
      </c>
      <c r="G2397" s="33" t="s">
        <v>12</v>
      </c>
      <c r="H2397" s="33" t="n">
        <v>10</v>
      </c>
    </row>
    <row r="2398" customFormat="false" ht="54" hidden="false" customHeight="true" outlineLevel="0" collapsed="false">
      <c r="A2398" s="32" t="s">
        <v>12642</v>
      </c>
      <c r="B2398" s="32" t="s">
        <v>5929</v>
      </c>
      <c r="C2398" s="33" t="s">
        <v>98</v>
      </c>
      <c r="D2398" s="33" t="s">
        <v>59</v>
      </c>
      <c r="E2398" s="33" t="s">
        <v>84</v>
      </c>
      <c r="F2398" s="33" t="s">
        <v>12638</v>
      </c>
      <c r="G2398" s="33" t="s">
        <v>12</v>
      </c>
      <c r="H2398" s="33" t="n">
        <v>10</v>
      </c>
    </row>
    <row r="2399" customFormat="false" ht="54" hidden="false" customHeight="true" outlineLevel="0" collapsed="false">
      <c r="A2399" s="32" t="s">
        <v>12643</v>
      </c>
      <c r="B2399" s="32" t="s">
        <v>5944</v>
      </c>
      <c r="C2399" s="33" t="s">
        <v>98</v>
      </c>
      <c r="D2399" s="33" t="s">
        <v>59</v>
      </c>
      <c r="E2399" s="33" t="s">
        <v>80</v>
      </c>
      <c r="F2399" s="33" t="s">
        <v>183</v>
      </c>
      <c r="G2399" s="33" t="s">
        <v>9</v>
      </c>
      <c r="H2399" s="33" t="n">
        <v>10</v>
      </c>
    </row>
    <row r="2400" customFormat="false" ht="54" hidden="false" customHeight="true" outlineLevel="0" collapsed="false">
      <c r="A2400" s="32" t="s">
        <v>12644</v>
      </c>
      <c r="B2400" s="32" t="s">
        <v>5944</v>
      </c>
      <c r="C2400" s="33" t="s">
        <v>98</v>
      </c>
      <c r="D2400" s="33" t="s">
        <v>59</v>
      </c>
      <c r="E2400" s="33" t="s">
        <v>80</v>
      </c>
      <c r="F2400" s="33" t="s">
        <v>12645</v>
      </c>
      <c r="G2400" s="33" t="s">
        <v>9</v>
      </c>
      <c r="H2400" s="33" t="n">
        <v>10</v>
      </c>
    </row>
    <row r="2401" customFormat="false" ht="54" hidden="false" customHeight="true" outlineLevel="0" collapsed="false">
      <c r="A2401" s="32" t="s">
        <v>12646</v>
      </c>
      <c r="B2401" s="32" t="s">
        <v>5944</v>
      </c>
      <c r="C2401" s="33" t="s">
        <v>98</v>
      </c>
      <c r="D2401" s="33" t="s">
        <v>59</v>
      </c>
      <c r="E2401" s="33" t="s">
        <v>80</v>
      </c>
      <c r="F2401" s="33" t="s">
        <v>5954</v>
      </c>
      <c r="G2401" s="33" t="s">
        <v>9</v>
      </c>
      <c r="H2401" s="33" t="n">
        <v>10</v>
      </c>
    </row>
    <row r="2402" customFormat="false" ht="54" hidden="false" customHeight="true" outlineLevel="0" collapsed="false">
      <c r="A2402" s="32" t="s">
        <v>12647</v>
      </c>
      <c r="B2402" s="32" t="s">
        <v>5944</v>
      </c>
      <c r="C2402" s="33" t="s">
        <v>98</v>
      </c>
      <c r="D2402" s="33" t="s">
        <v>59</v>
      </c>
      <c r="E2402" s="33" t="s">
        <v>81</v>
      </c>
      <c r="F2402" s="33" t="s">
        <v>5954</v>
      </c>
      <c r="G2402" s="33" t="s">
        <v>9</v>
      </c>
      <c r="H2402" s="33" t="n">
        <v>10</v>
      </c>
    </row>
    <row r="2403" customFormat="false" ht="54" hidden="false" customHeight="true" outlineLevel="0" collapsed="false">
      <c r="A2403" s="32" t="s">
        <v>12648</v>
      </c>
      <c r="B2403" s="32" t="s">
        <v>5944</v>
      </c>
      <c r="C2403" s="33" t="s">
        <v>98</v>
      </c>
      <c r="D2403" s="33" t="s">
        <v>59</v>
      </c>
      <c r="E2403" s="33" t="s">
        <v>82</v>
      </c>
      <c r="F2403" s="33" t="s">
        <v>5949</v>
      </c>
      <c r="G2403" s="33" t="s">
        <v>9</v>
      </c>
      <c r="H2403" s="33" t="n">
        <v>10</v>
      </c>
    </row>
    <row r="2404" customFormat="false" ht="54" hidden="false" customHeight="true" outlineLevel="0" collapsed="false">
      <c r="A2404" s="32" t="s">
        <v>12649</v>
      </c>
      <c r="B2404" s="32" t="s">
        <v>5944</v>
      </c>
      <c r="C2404" s="33" t="s">
        <v>98</v>
      </c>
      <c r="D2404" s="33" t="s">
        <v>59</v>
      </c>
      <c r="E2404" s="33" t="s">
        <v>82</v>
      </c>
      <c r="F2404" s="33" t="s">
        <v>12645</v>
      </c>
      <c r="G2404" s="33" t="s">
        <v>9</v>
      </c>
      <c r="H2404" s="33" t="n">
        <v>10</v>
      </c>
    </row>
    <row r="2405" customFormat="false" ht="54" hidden="false" customHeight="true" outlineLevel="0" collapsed="false">
      <c r="A2405" s="32" t="s">
        <v>12650</v>
      </c>
      <c r="B2405" s="32" t="s">
        <v>5944</v>
      </c>
      <c r="C2405" s="33" t="s">
        <v>98</v>
      </c>
      <c r="D2405" s="33" t="s">
        <v>59</v>
      </c>
      <c r="E2405" s="33" t="s">
        <v>82</v>
      </c>
      <c r="F2405" s="33" t="s">
        <v>12651</v>
      </c>
      <c r="G2405" s="33" t="s">
        <v>9</v>
      </c>
      <c r="H2405" s="33" t="n">
        <v>10</v>
      </c>
    </row>
    <row r="2406" customFormat="false" ht="54" hidden="false" customHeight="true" outlineLevel="0" collapsed="false">
      <c r="A2406" s="32" t="s">
        <v>12652</v>
      </c>
      <c r="B2406" s="32" t="s">
        <v>5944</v>
      </c>
      <c r="C2406" s="33" t="s">
        <v>98</v>
      </c>
      <c r="D2406" s="33" t="s">
        <v>59</v>
      </c>
      <c r="E2406" s="33" t="s">
        <v>83</v>
      </c>
      <c r="F2406" s="33" t="s">
        <v>12645</v>
      </c>
      <c r="G2406" s="33" t="s">
        <v>9</v>
      </c>
      <c r="H2406" s="33" t="n">
        <v>10</v>
      </c>
    </row>
    <row r="2407" customFormat="false" ht="54" hidden="false" customHeight="true" outlineLevel="0" collapsed="false">
      <c r="A2407" s="32" t="s">
        <v>12653</v>
      </c>
      <c r="B2407" s="32" t="s">
        <v>5944</v>
      </c>
      <c r="C2407" s="33" t="s">
        <v>98</v>
      </c>
      <c r="D2407" s="33" t="s">
        <v>59</v>
      </c>
      <c r="E2407" s="33" t="s">
        <v>83</v>
      </c>
      <c r="F2407" s="33" t="s">
        <v>5954</v>
      </c>
      <c r="G2407" s="33" t="s">
        <v>9</v>
      </c>
      <c r="H2407" s="33" t="n">
        <v>10</v>
      </c>
    </row>
    <row r="2408" customFormat="false" ht="54" hidden="false" customHeight="true" outlineLevel="0" collapsed="false">
      <c r="A2408" s="32" t="s">
        <v>12654</v>
      </c>
      <c r="B2408" s="32" t="s">
        <v>5944</v>
      </c>
      <c r="C2408" s="33" t="s">
        <v>98</v>
      </c>
      <c r="D2408" s="33" t="s">
        <v>59</v>
      </c>
      <c r="E2408" s="33" t="s">
        <v>84</v>
      </c>
      <c r="F2408" s="33" t="s">
        <v>183</v>
      </c>
      <c r="G2408" s="33" t="s">
        <v>9</v>
      </c>
      <c r="H2408" s="33" t="n">
        <v>10</v>
      </c>
    </row>
    <row r="2409" customFormat="false" ht="54" hidden="false" customHeight="true" outlineLevel="0" collapsed="false">
      <c r="A2409" s="32" t="s">
        <v>12655</v>
      </c>
      <c r="B2409" s="32" t="s">
        <v>5944</v>
      </c>
      <c r="C2409" s="33" t="s">
        <v>98</v>
      </c>
      <c r="D2409" s="33" t="s">
        <v>59</v>
      </c>
      <c r="E2409" s="33" t="s">
        <v>84</v>
      </c>
      <c r="F2409" s="33" t="s">
        <v>12645</v>
      </c>
      <c r="G2409" s="33" t="s">
        <v>9</v>
      </c>
      <c r="H2409" s="33" t="n">
        <v>10</v>
      </c>
    </row>
    <row r="2410" customFormat="false" ht="54" hidden="false" customHeight="true" outlineLevel="0" collapsed="false">
      <c r="A2410" s="32" t="s">
        <v>12656</v>
      </c>
      <c r="B2410" s="32" t="s">
        <v>5944</v>
      </c>
      <c r="C2410" s="33" t="s">
        <v>98</v>
      </c>
      <c r="D2410" s="33" t="s">
        <v>59</v>
      </c>
      <c r="E2410" s="33" t="s">
        <v>84</v>
      </c>
      <c r="F2410" s="33" t="s">
        <v>5954</v>
      </c>
      <c r="G2410" s="33" t="s">
        <v>9</v>
      </c>
      <c r="H2410" s="33" t="n">
        <v>10</v>
      </c>
    </row>
    <row r="2411" customFormat="false" ht="54" hidden="false" customHeight="true" outlineLevel="0" collapsed="false">
      <c r="A2411" s="32" t="s">
        <v>12657</v>
      </c>
      <c r="B2411" s="32" t="s">
        <v>5944</v>
      </c>
      <c r="C2411" s="33" t="s">
        <v>98</v>
      </c>
      <c r="D2411" s="33" t="s">
        <v>59</v>
      </c>
      <c r="E2411" s="33" t="s">
        <v>84</v>
      </c>
      <c r="F2411" s="33" t="s">
        <v>12651</v>
      </c>
      <c r="G2411" s="33" t="s">
        <v>9</v>
      </c>
      <c r="H2411" s="33" t="n">
        <v>10</v>
      </c>
    </row>
    <row r="2412" customFormat="false" ht="54" hidden="false" customHeight="true" outlineLevel="0" collapsed="false">
      <c r="A2412" s="32" t="s">
        <v>12658</v>
      </c>
      <c r="B2412" s="32" t="s">
        <v>5959</v>
      </c>
      <c r="C2412" s="33" t="s">
        <v>98</v>
      </c>
      <c r="D2412" s="33" t="s">
        <v>59</v>
      </c>
      <c r="E2412" s="33" t="s">
        <v>80</v>
      </c>
      <c r="F2412" s="33" t="s">
        <v>183</v>
      </c>
      <c r="G2412" s="33" t="s">
        <v>9</v>
      </c>
      <c r="H2412" s="33" t="n">
        <v>10</v>
      </c>
    </row>
    <row r="2413" customFormat="false" ht="54" hidden="false" customHeight="true" outlineLevel="0" collapsed="false">
      <c r="A2413" s="32" t="s">
        <v>12659</v>
      </c>
      <c r="B2413" s="32" t="s">
        <v>5959</v>
      </c>
      <c r="C2413" s="33" t="s">
        <v>98</v>
      </c>
      <c r="D2413" s="33" t="s">
        <v>59</v>
      </c>
      <c r="E2413" s="33" t="s">
        <v>81</v>
      </c>
      <c r="F2413" s="33" t="s">
        <v>5967</v>
      </c>
      <c r="G2413" s="33" t="s">
        <v>9</v>
      </c>
      <c r="H2413" s="33" t="n">
        <v>10</v>
      </c>
    </row>
    <row r="2414" customFormat="false" ht="54" hidden="false" customHeight="true" outlineLevel="0" collapsed="false">
      <c r="A2414" s="32" t="s">
        <v>12660</v>
      </c>
      <c r="B2414" s="32" t="s">
        <v>5959</v>
      </c>
      <c r="C2414" s="33" t="s">
        <v>98</v>
      </c>
      <c r="D2414" s="33" t="s">
        <v>59</v>
      </c>
      <c r="E2414" s="33" t="s">
        <v>82</v>
      </c>
      <c r="F2414" s="33" t="s">
        <v>5965</v>
      </c>
      <c r="G2414" s="33" t="s">
        <v>9</v>
      </c>
      <c r="H2414" s="33" t="n">
        <v>10</v>
      </c>
    </row>
    <row r="2415" customFormat="false" ht="54" hidden="false" customHeight="true" outlineLevel="0" collapsed="false">
      <c r="A2415" s="32" t="s">
        <v>12661</v>
      </c>
      <c r="B2415" s="32" t="s">
        <v>5959</v>
      </c>
      <c r="C2415" s="33" t="s">
        <v>98</v>
      </c>
      <c r="D2415" s="33" t="s">
        <v>59</v>
      </c>
      <c r="E2415" s="33" t="s">
        <v>82</v>
      </c>
      <c r="F2415" s="33" t="s">
        <v>12662</v>
      </c>
      <c r="G2415" s="33" t="s">
        <v>9</v>
      </c>
      <c r="H2415" s="33" t="n">
        <v>10</v>
      </c>
    </row>
    <row r="2416" customFormat="false" ht="54" hidden="false" customHeight="true" outlineLevel="0" collapsed="false">
      <c r="A2416" s="32" t="s">
        <v>12663</v>
      </c>
      <c r="B2416" s="32" t="s">
        <v>5959</v>
      </c>
      <c r="C2416" s="33" t="s">
        <v>98</v>
      </c>
      <c r="D2416" s="33" t="s">
        <v>59</v>
      </c>
      <c r="E2416" s="33" t="s">
        <v>84</v>
      </c>
      <c r="F2416" s="33" t="s">
        <v>183</v>
      </c>
      <c r="G2416" s="33" t="s">
        <v>9</v>
      </c>
      <c r="H2416" s="33" t="n">
        <v>10</v>
      </c>
    </row>
    <row r="2417" customFormat="false" ht="54" hidden="false" customHeight="true" outlineLevel="0" collapsed="false">
      <c r="A2417" s="32" t="s">
        <v>12664</v>
      </c>
      <c r="B2417" s="32" t="s">
        <v>5972</v>
      </c>
      <c r="C2417" s="33" t="s">
        <v>98</v>
      </c>
      <c r="D2417" s="33" t="s">
        <v>59</v>
      </c>
      <c r="E2417" s="33" t="s">
        <v>80</v>
      </c>
      <c r="F2417" s="33" t="s">
        <v>5979</v>
      </c>
      <c r="G2417" s="33" t="s">
        <v>9</v>
      </c>
      <c r="H2417" s="33" t="n">
        <v>10</v>
      </c>
    </row>
    <row r="2418" customFormat="false" ht="54" hidden="false" customHeight="true" outlineLevel="0" collapsed="false">
      <c r="A2418" s="32" t="s">
        <v>12665</v>
      </c>
      <c r="B2418" s="32" t="s">
        <v>5972</v>
      </c>
      <c r="C2418" s="33" t="s">
        <v>98</v>
      </c>
      <c r="D2418" s="33" t="s">
        <v>59</v>
      </c>
      <c r="E2418" s="33" t="s">
        <v>80</v>
      </c>
      <c r="F2418" s="33" t="s">
        <v>183</v>
      </c>
      <c r="G2418" s="33" t="s">
        <v>9</v>
      </c>
      <c r="H2418" s="33" t="n">
        <v>10</v>
      </c>
    </row>
    <row r="2419" customFormat="false" ht="54" hidden="false" customHeight="true" outlineLevel="0" collapsed="false">
      <c r="A2419" s="32" t="s">
        <v>12666</v>
      </c>
      <c r="B2419" s="32" t="s">
        <v>5972</v>
      </c>
      <c r="C2419" s="33" t="s">
        <v>98</v>
      </c>
      <c r="D2419" s="33" t="s">
        <v>59</v>
      </c>
      <c r="E2419" s="33" t="s">
        <v>80</v>
      </c>
      <c r="F2419" s="33" t="s">
        <v>12667</v>
      </c>
      <c r="G2419" s="33" t="s">
        <v>9</v>
      </c>
      <c r="H2419" s="33" t="n">
        <v>10</v>
      </c>
    </row>
    <row r="2420" customFormat="false" ht="54" hidden="false" customHeight="true" outlineLevel="0" collapsed="false">
      <c r="A2420" s="32" t="s">
        <v>12668</v>
      </c>
      <c r="B2420" s="32" t="s">
        <v>5972</v>
      </c>
      <c r="C2420" s="33" t="s">
        <v>98</v>
      </c>
      <c r="D2420" s="33" t="s">
        <v>59</v>
      </c>
      <c r="E2420" s="33" t="s">
        <v>80</v>
      </c>
      <c r="F2420" s="33" t="s">
        <v>12669</v>
      </c>
      <c r="G2420" s="33" t="s">
        <v>9</v>
      </c>
      <c r="H2420" s="33" t="n">
        <v>10</v>
      </c>
    </row>
    <row r="2421" customFormat="false" ht="54" hidden="false" customHeight="true" outlineLevel="0" collapsed="false">
      <c r="A2421" s="32" t="s">
        <v>12670</v>
      </c>
      <c r="B2421" s="32" t="s">
        <v>5972</v>
      </c>
      <c r="C2421" s="33" t="s">
        <v>98</v>
      </c>
      <c r="D2421" s="33" t="s">
        <v>59</v>
      </c>
      <c r="E2421" s="33" t="s">
        <v>80</v>
      </c>
      <c r="F2421" s="33" t="s">
        <v>5985</v>
      </c>
      <c r="G2421" s="33" t="s">
        <v>9</v>
      </c>
      <c r="H2421" s="33" t="n">
        <v>10</v>
      </c>
    </row>
    <row r="2422" customFormat="false" ht="54" hidden="false" customHeight="true" outlineLevel="0" collapsed="false">
      <c r="A2422" s="32" t="s">
        <v>12671</v>
      </c>
      <c r="B2422" s="32" t="s">
        <v>5972</v>
      </c>
      <c r="C2422" s="33" t="s">
        <v>98</v>
      </c>
      <c r="D2422" s="33" t="s">
        <v>59</v>
      </c>
      <c r="E2422" s="33" t="s">
        <v>81</v>
      </c>
      <c r="F2422" s="33" t="s">
        <v>5978</v>
      </c>
      <c r="G2422" s="33" t="s">
        <v>9</v>
      </c>
      <c r="H2422" s="33" t="n">
        <v>10</v>
      </c>
    </row>
    <row r="2423" customFormat="false" ht="54" hidden="false" customHeight="true" outlineLevel="0" collapsed="false">
      <c r="A2423" s="32" t="s">
        <v>12672</v>
      </c>
      <c r="B2423" s="32" t="s">
        <v>5972</v>
      </c>
      <c r="C2423" s="33" t="s">
        <v>98</v>
      </c>
      <c r="D2423" s="33" t="s">
        <v>59</v>
      </c>
      <c r="E2423" s="33" t="s">
        <v>81</v>
      </c>
      <c r="F2423" s="33" t="s">
        <v>5981</v>
      </c>
      <c r="G2423" s="33" t="s">
        <v>9</v>
      </c>
      <c r="H2423" s="33" t="n">
        <v>10</v>
      </c>
    </row>
    <row r="2424" customFormat="false" ht="54" hidden="false" customHeight="true" outlineLevel="0" collapsed="false">
      <c r="A2424" s="32" t="s">
        <v>12673</v>
      </c>
      <c r="B2424" s="32" t="s">
        <v>5972</v>
      </c>
      <c r="C2424" s="33" t="s">
        <v>98</v>
      </c>
      <c r="D2424" s="33" t="s">
        <v>59</v>
      </c>
      <c r="E2424" s="33" t="s">
        <v>82</v>
      </c>
      <c r="F2424" s="33" t="s">
        <v>5985</v>
      </c>
      <c r="G2424" s="33" t="s">
        <v>9</v>
      </c>
      <c r="H2424" s="33" t="n">
        <v>10</v>
      </c>
    </row>
    <row r="2425" customFormat="false" ht="54" hidden="false" customHeight="true" outlineLevel="0" collapsed="false">
      <c r="A2425" s="32" t="s">
        <v>12674</v>
      </c>
      <c r="B2425" s="32" t="s">
        <v>5972</v>
      </c>
      <c r="C2425" s="33" t="s">
        <v>98</v>
      </c>
      <c r="D2425" s="33" t="s">
        <v>59</v>
      </c>
      <c r="E2425" s="33" t="s">
        <v>83</v>
      </c>
      <c r="F2425" s="33" t="s">
        <v>5986</v>
      </c>
      <c r="G2425" s="33" t="s">
        <v>9</v>
      </c>
      <c r="H2425" s="33" t="n">
        <v>10</v>
      </c>
    </row>
    <row r="2426" customFormat="false" ht="54" hidden="false" customHeight="true" outlineLevel="0" collapsed="false">
      <c r="A2426" s="32" t="s">
        <v>12675</v>
      </c>
      <c r="B2426" s="32" t="s">
        <v>5972</v>
      </c>
      <c r="C2426" s="33" t="s">
        <v>98</v>
      </c>
      <c r="D2426" s="33" t="s">
        <v>59</v>
      </c>
      <c r="E2426" s="33" t="s">
        <v>84</v>
      </c>
      <c r="F2426" s="33" t="s">
        <v>5979</v>
      </c>
      <c r="G2426" s="33" t="s">
        <v>9</v>
      </c>
      <c r="H2426" s="33" t="n">
        <v>10</v>
      </c>
    </row>
    <row r="2427" customFormat="false" ht="54" hidden="false" customHeight="true" outlineLevel="0" collapsed="false">
      <c r="A2427" s="32" t="s">
        <v>12676</v>
      </c>
      <c r="B2427" s="32" t="s">
        <v>5972</v>
      </c>
      <c r="C2427" s="33" t="s">
        <v>98</v>
      </c>
      <c r="D2427" s="33" t="s">
        <v>59</v>
      </c>
      <c r="E2427" s="33" t="s">
        <v>84</v>
      </c>
      <c r="F2427" s="33" t="s">
        <v>183</v>
      </c>
      <c r="G2427" s="33" t="s">
        <v>9</v>
      </c>
      <c r="H2427" s="33" t="n">
        <v>10</v>
      </c>
    </row>
    <row r="2428" customFormat="false" ht="54" hidden="false" customHeight="true" outlineLevel="0" collapsed="false">
      <c r="A2428" s="32" t="s">
        <v>12677</v>
      </c>
      <c r="B2428" s="32" t="s">
        <v>5972</v>
      </c>
      <c r="C2428" s="33" t="s">
        <v>98</v>
      </c>
      <c r="D2428" s="33" t="s">
        <v>59</v>
      </c>
      <c r="E2428" s="33" t="s">
        <v>84</v>
      </c>
      <c r="F2428" s="33" t="s">
        <v>12667</v>
      </c>
      <c r="G2428" s="33" t="s">
        <v>9</v>
      </c>
      <c r="H2428" s="33" t="n">
        <v>10</v>
      </c>
    </row>
    <row r="2429" customFormat="false" ht="54" hidden="false" customHeight="true" outlineLevel="0" collapsed="false">
      <c r="A2429" s="32" t="s">
        <v>12678</v>
      </c>
      <c r="B2429" s="32" t="s">
        <v>5972</v>
      </c>
      <c r="C2429" s="33" t="s">
        <v>98</v>
      </c>
      <c r="D2429" s="33" t="s">
        <v>59</v>
      </c>
      <c r="E2429" s="33" t="s">
        <v>84</v>
      </c>
      <c r="F2429" s="33" t="s">
        <v>12679</v>
      </c>
      <c r="G2429" s="33" t="s">
        <v>9</v>
      </c>
      <c r="H2429" s="33" t="n">
        <v>10</v>
      </c>
    </row>
    <row r="2430" customFormat="false" ht="54" hidden="false" customHeight="true" outlineLevel="0" collapsed="false">
      <c r="A2430" s="32" t="s">
        <v>12680</v>
      </c>
      <c r="B2430" s="32" t="s">
        <v>5972</v>
      </c>
      <c r="C2430" s="33" t="s">
        <v>98</v>
      </c>
      <c r="D2430" s="33" t="s">
        <v>59</v>
      </c>
      <c r="E2430" s="33" t="s">
        <v>84</v>
      </c>
      <c r="F2430" s="33" t="s">
        <v>12681</v>
      </c>
      <c r="G2430" s="33" t="s">
        <v>9</v>
      </c>
      <c r="H2430" s="33" t="n">
        <v>10</v>
      </c>
    </row>
    <row r="2431" customFormat="false" ht="54" hidden="false" customHeight="true" outlineLevel="0" collapsed="false">
      <c r="A2431" s="32" t="s">
        <v>12682</v>
      </c>
      <c r="B2431" s="32" t="s">
        <v>5972</v>
      </c>
      <c r="C2431" s="33" t="s">
        <v>98</v>
      </c>
      <c r="D2431" s="33" t="s">
        <v>59</v>
      </c>
      <c r="E2431" s="33" t="s">
        <v>84</v>
      </c>
      <c r="F2431" s="33" t="s">
        <v>12683</v>
      </c>
      <c r="G2431" s="33" t="s">
        <v>9</v>
      </c>
      <c r="H2431" s="33" t="n">
        <v>10</v>
      </c>
    </row>
    <row r="2432" customFormat="false" ht="54" hidden="false" customHeight="true" outlineLevel="0" collapsed="false">
      <c r="A2432" s="32" t="s">
        <v>12684</v>
      </c>
      <c r="B2432" s="32" t="s">
        <v>129</v>
      </c>
      <c r="C2432" s="33" t="s">
        <v>98</v>
      </c>
      <c r="D2432" s="33" t="s">
        <v>59</v>
      </c>
      <c r="E2432" s="33" t="s">
        <v>80</v>
      </c>
      <c r="F2432" s="33" t="s">
        <v>183</v>
      </c>
      <c r="G2432" s="33" t="s">
        <v>9</v>
      </c>
      <c r="H2432" s="33" t="n">
        <v>10</v>
      </c>
    </row>
    <row r="2433" customFormat="false" ht="54" hidden="false" customHeight="true" outlineLevel="0" collapsed="false">
      <c r="A2433" s="32" t="s">
        <v>12685</v>
      </c>
      <c r="B2433" s="32" t="s">
        <v>129</v>
      </c>
      <c r="C2433" s="33" t="s">
        <v>98</v>
      </c>
      <c r="D2433" s="33" t="s">
        <v>59</v>
      </c>
      <c r="E2433" s="33" t="s">
        <v>80</v>
      </c>
      <c r="F2433" s="33" t="s">
        <v>12686</v>
      </c>
      <c r="G2433" s="33" t="s">
        <v>9</v>
      </c>
      <c r="H2433" s="33" t="n">
        <v>10</v>
      </c>
    </row>
    <row r="2434" customFormat="false" ht="54" hidden="false" customHeight="true" outlineLevel="0" collapsed="false">
      <c r="A2434" s="32" t="s">
        <v>12687</v>
      </c>
      <c r="B2434" s="32" t="s">
        <v>129</v>
      </c>
      <c r="C2434" s="33" t="s">
        <v>98</v>
      </c>
      <c r="D2434" s="33" t="s">
        <v>59</v>
      </c>
      <c r="E2434" s="33" t="s">
        <v>80</v>
      </c>
      <c r="F2434" s="33" t="s">
        <v>12688</v>
      </c>
      <c r="G2434" s="33" t="s">
        <v>9</v>
      </c>
      <c r="H2434" s="33" t="n">
        <v>10</v>
      </c>
    </row>
    <row r="2435" customFormat="false" ht="54" hidden="false" customHeight="true" outlineLevel="0" collapsed="false">
      <c r="A2435" s="32" t="s">
        <v>12689</v>
      </c>
      <c r="B2435" s="32" t="s">
        <v>129</v>
      </c>
      <c r="C2435" s="33" t="s">
        <v>98</v>
      </c>
      <c r="D2435" s="33" t="s">
        <v>59</v>
      </c>
      <c r="E2435" s="33" t="s">
        <v>80</v>
      </c>
      <c r="F2435" s="33" t="s">
        <v>12690</v>
      </c>
      <c r="G2435" s="33" t="s">
        <v>9</v>
      </c>
      <c r="H2435" s="33" t="n">
        <v>10</v>
      </c>
    </row>
    <row r="2436" customFormat="false" ht="54" hidden="false" customHeight="true" outlineLevel="0" collapsed="false">
      <c r="A2436" s="32" t="s">
        <v>12691</v>
      </c>
      <c r="B2436" s="32" t="s">
        <v>129</v>
      </c>
      <c r="C2436" s="33" t="s">
        <v>98</v>
      </c>
      <c r="D2436" s="33" t="s">
        <v>59</v>
      </c>
      <c r="E2436" s="33" t="s">
        <v>80</v>
      </c>
      <c r="F2436" s="33" t="s">
        <v>12692</v>
      </c>
      <c r="G2436" s="33" t="s">
        <v>9</v>
      </c>
      <c r="H2436" s="33" t="n">
        <v>10</v>
      </c>
    </row>
    <row r="2437" customFormat="false" ht="54" hidden="false" customHeight="true" outlineLevel="0" collapsed="false">
      <c r="A2437" s="32" t="s">
        <v>12693</v>
      </c>
      <c r="B2437" s="32" t="s">
        <v>129</v>
      </c>
      <c r="C2437" s="33" t="s">
        <v>98</v>
      </c>
      <c r="D2437" s="33" t="s">
        <v>59</v>
      </c>
      <c r="E2437" s="33" t="s">
        <v>82</v>
      </c>
      <c r="F2437" s="33" t="s">
        <v>5994</v>
      </c>
      <c r="G2437" s="33" t="s">
        <v>9</v>
      </c>
      <c r="H2437" s="33" t="n">
        <v>10</v>
      </c>
    </row>
    <row r="2438" customFormat="false" ht="54" hidden="false" customHeight="true" outlineLevel="0" collapsed="false">
      <c r="A2438" s="32" t="s">
        <v>12694</v>
      </c>
      <c r="B2438" s="32" t="s">
        <v>129</v>
      </c>
      <c r="C2438" s="33" t="s">
        <v>98</v>
      </c>
      <c r="D2438" s="33" t="s">
        <v>59</v>
      </c>
      <c r="E2438" s="33" t="s">
        <v>84</v>
      </c>
      <c r="F2438" s="33" t="s">
        <v>183</v>
      </c>
      <c r="G2438" s="33" t="s">
        <v>9</v>
      </c>
      <c r="H2438" s="33" t="n">
        <v>10</v>
      </c>
    </row>
    <row r="2439" customFormat="false" ht="54" hidden="false" customHeight="true" outlineLevel="0" collapsed="false">
      <c r="A2439" s="32" t="s">
        <v>12695</v>
      </c>
      <c r="B2439" s="32" t="s">
        <v>129</v>
      </c>
      <c r="C2439" s="33" t="s">
        <v>98</v>
      </c>
      <c r="D2439" s="33" t="s">
        <v>59</v>
      </c>
      <c r="E2439" s="33" t="s">
        <v>84</v>
      </c>
      <c r="F2439" s="33" t="s">
        <v>12686</v>
      </c>
      <c r="G2439" s="33" t="s">
        <v>9</v>
      </c>
      <c r="H2439" s="33" t="n">
        <v>10</v>
      </c>
    </row>
    <row r="2440" customFormat="false" ht="54" hidden="false" customHeight="true" outlineLevel="0" collapsed="false">
      <c r="A2440" s="32" t="s">
        <v>12696</v>
      </c>
      <c r="B2440" s="32" t="s">
        <v>129</v>
      </c>
      <c r="C2440" s="33" t="s">
        <v>98</v>
      </c>
      <c r="D2440" s="33" t="s">
        <v>59</v>
      </c>
      <c r="E2440" s="33" t="s">
        <v>84</v>
      </c>
      <c r="F2440" s="33" t="s">
        <v>12697</v>
      </c>
      <c r="G2440" s="33" t="s">
        <v>9</v>
      </c>
      <c r="H2440" s="33" t="n">
        <v>10</v>
      </c>
    </row>
    <row r="2441" customFormat="false" ht="54" hidden="false" customHeight="true" outlineLevel="0" collapsed="false">
      <c r="A2441" s="32" t="s">
        <v>12698</v>
      </c>
      <c r="B2441" s="32" t="s">
        <v>129</v>
      </c>
      <c r="C2441" s="33" t="s">
        <v>98</v>
      </c>
      <c r="D2441" s="33" t="s">
        <v>59</v>
      </c>
      <c r="E2441" s="33" t="s">
        <v>84</v>
      </c>
      <c r="F2441" s="33" t="s">
        <v>12692</v>
      </c>
      <c r="G2441" s="33" t="s">
        <v>9</v>
      </c>
      <c r="H2441" s="33" t="n">
        <v>10</v>
      </c>
    </row>
    <row r="2442" customFormat="false" ht="54" hidden="false" customHeight="true" outlineLevel="0" collapsed="false">
      <c r="A2442" s="32" t="s">
        <v>12699</v>
      </c>
      <c r="B2442" s="32" t="s">
        <v>129</v>
      </c>
      <c r="C2442" s="33" t="s">
        <v>98</v>
      </c>
      <c r="D2442" s="33" t="s">
        <v>59</v>
      </c>
      <c r="E2442" s="33" t="s">
        <v>84</v>
      </c>
      <c r="F2442" s="33" t="s">
        <v>12700</v>
      </c>
      <c r="G2442" s="33" t="s">
        <v>9</v>
      </c>
      <c r="H2442" s="33" t="n">
        <v>10</v>
      </c>
    </row>
    <row r="2443" customFormat="false" ht="54" hidden="false" customHeight="true" outlineLevel="0" collapsed="false">
      <c r="A2443" s="32" t="s">
        <v>12701</v>
      </c>
      <c r="B2443" s="32" t="s">
        <v>129</v>
      </c>
      <c r="C2443" s="33" t="s">
        <v>98</v>
      </c>
      <c r="D2443" s="33" t="s">
        <v>59</v>
      </c>
      <c r="E2443" s="33" t="s">
        <v>84</v>
      </c>
      <c r="F2443" s="33" t="s">
        <v>5996</v>
      </c>
      <c r="G2443" s="33" t="s">
        <v>9</v>
      </c>
      <c r="H2443" s="33" t="n">
        <v>10</v>
      </c>
    </row>
    <row r="2444" customFormat="false" ht="54" hidden="false" customHeight="true" outlineLevel="0" collapsed="false">
      <c r="A2444" s="32" t="s">
        <v>12702</v>
      </c>
      <c r="B2444" s="32" t="s">
        <v>6002</v>
      </c>
      <c r="C2444" s="33" t="s">
        <v>98</v>
      </c>
      <c r="D2444" s="33" t="s">
        <v>59</v>
      </c>
      <c r="E2444" s="33" t="s">
        <v>80</v>
      </c>
      <c r="F2444" s="33" t="s">
        <v>183</v>
      </c>
      <c r="G2444" s="33" t="s">
        <v>12</v>
      </c>
      <c r="H2444" s="33" t="n">
        <v>10</v>
      </c>
    </row>
    <row r="2445" customFormat="false" ht="54" hidden="false" customHeight="true" outlineLevel="0" collapsed="false">
      <c r="A2445" s="32" t="s">
        <v>12703</v>
      </c>
      <c r="B2445" s="32" t="s">
        <v>6002</v>
      </c>
      <c r="C2445" s="33" t="s">
        <v>98</v>
      </c>
      <c r="D2445" s="33" t="s">
        <v>59</v>
      </c>
      <c r="E2445" s="33" t="s">
        <v>82</v>
      </c>
      <c r="F2445" s="33" t="s">
        <v>12704</v>
      </c>
      <c r="G2445" s="33" t="s">
        <v>12</v>
      </c>
      <c r="H2445" s="33" t="n">
        <v>10</v>
      </c>
    </row>
    <row r="2446" customFormat="false" ht="54" hidden="false" customHeight="true" outlineLevel="0" collapsed="false">
      <c r="A2446" s="32" t="s">
        <v>12705</v>
      </c>
      <c r="B2446" s="32" t="s">
        <v>6002</v>
      </c>
      <c r="C2446" s="33" t="s">
        <v>98</v>
      </c>
      <c r="D2446" s="33" t="s">
        <v>59</v>
      </c>
      <c r="E2446" s="33" t="s">
        <v>82</v>
      </c>
      <c r="F2446" s="33" t="s">
        <v>12706</v>
      </c>
      <c r="G2446" s="33" t="s">
        <v>12</v>
      </c>
      <c r="H2446" s="33" t="n">
        <v>10</v>
      </c>
    </row>
    <row r="2447" customFormat="false" ht="54" hidden="false" customHeight="true" outlineLevel="0" collapsed="false">
      <c r="A2447" s="32" t="s">
        <v>12707</v>
      </c>
      <c r="B2447" s="32" t="s">
        <v>6002</v>
      </c>
      <c r="C2447" s="33" t="s">
        <v>98</v>
      </c>
      <c r="D2447" s="33" t="s">
        <v>59</v>
      </c>
      <c r="E2447" s="33" t="s">
        <v>82</v>
      </c>
      <c r="F2447" s="33" t="s">
        <v>12708</v>
      </c>
      <c r="G2447" s="33" t="s">
        <v>12</v>
      </c>
      <c r="H2447" s="33" t="n">
        <v>10</v>
      </c>
    </row>
    <row r="2448" customFormat="false" ht="54" hidden="false" customHeight="true" outlineLevel="0" collapsed="false">
      <c r="A2448" s="32" t="s">
        <v>12709</v>
      </c>
      <c r="B2448" s="32" t="s">
        <v>6002</v>
      </c>
      <c r="C2448" s="33" t="s">
        <v>98</v>
      </c>
      <c r="D2448" s="33" t="s">
        <v>59</v>
      </c>
      <c r="E2448" s="33" t="s">
        <v>82</v>
      </c>
      <c r="F2448" s="33" t="s">
        <v>12710</v>
      </c>
      <c r="G2448" s="33" t="s">
        <v>12</v>
      </c>
      <c r="H2448" s="33" t="n">
        <v>10</v>
      </c>
    </row>
    <row r="2449" customFormat="false" ht="54" hidden="false" customHeight="true" outlineLevel="0" collapsed="false">
      <c r="A2449" s="32" t="s">
        <v>12711</v>
      </c>
      <c r="B2449" s="32" t="s">
        <v>6002</v>
      </c>
      <c r="C2449" s="33" t="s">
        <v>98</v>
      </c>
      <c r="D2449" s="33" t="s">
        <v>59</v>
      </c>
      <c r="E2449" s="33" t="s">
        <v>84</v>
      </c>
      <c r="F2449" s="33" t="s">
        <v>183</v>
      </c>
      <c r="G2449" s="33" t="s">
        <v>12</v>
      </c>
      <c r="H2449" s="33" t="n">
        <v>10</v>
      </c>
    </row>
    <row r="2450" customFormat="false" ht="54" hidden="false" customHeight="true" outlineLevel="0" collapsed="false">
      <c r="A2450" s="32" t="s">
        <v>12712</v>
      </c>
      <c r="B2450" s="32" t="s">
        <v>6015</v>
      </c>
      <c r="C2450" s="33" t="s">
        <v>98</v>
      </c>
      <c r="D2450" s="33" t="s">
        <v>59</v>
      </c>
      <c r="E2450" s="33" t="s">
        <v>80</v>
      </c>
      <c r="F2450" s="33" t="s">
        <v>183</v>
      </c>
      <c r="G2450" s="33" t="s">
        <v>9</v>
      </c>
      <c r="H2450" s="33" t="n">
        <v>10</v>
      </c>
    </row>
    <row r="2451" customFormat="false" ht="54" hidden="false" customHeight="true" outlineLevel="0" collapsed="false">
      <c r="A2451" s="32" t="s">
        <v>12713</v>
      </c>
      <c r="B2451" s="32" t="s">
        <v>6015</v>
      </c>
      <c r="C2451" s="33" t="s">
        <v>98</v>
      </c>
      <c r="D2451" s="33" t="s">
        <v>59</v>
      </c>
      <c r="E2451" s="33" t="s">
        <v>82</v>
      </c>
      <c r="F2451" s="33" t="s">
        <v>6022</v>
      </c>
      <c r="G2451" s="33" t="s">
        <v>9</v>
      </c>
      <c r="H2451" s="33" t="n">
        <v>10</v>
      </c>
    </row>
    <row r="2452" customFormat="false" ht="54" hidden="false" customHeight="true" outlineLevel="0" collapsed="false">
      <c r="A2452" s="32" t="s">
        <v>12714</v>
      </c>
      <c r="B2452" s="32" t="s">
        <v>6015</v>
      </c>
      <c r="C2452" s="33" t="s">
        <v>98</v>
      </c>
      <c r="D2452" s="33" t="s">
        <v>59</v>
      </c>
      <c r="E2452" s="33" t="s">
        <v>82</v>
      </c>
      <c r="F2452" s="33" t="s">
        <v>12715</v>
      </c>
      <c r="G2452" s="33" t="s">
        <v>9</v>
      </c>
      <c r="H2452" s="33" t="n">
        <v>10</v>
      </c>
    </row>
    <row r="2453" customFormat="false" ht="54" hidden="false" customHeight="true" outlineLevel="0" collapsed="false">
      <c r="A2453" s="32" t="s">
        <v>12716</v>
      </c>
      <c r="B2453" s="32" t="s">
        <v>6015</v>
      </c>
      <c r="C2453" s="33" t="s">
        <v>98</v>
      </c>
      <c r="D2453" s="33" t="s">
        <v>59</v>
      </c>
      <c r="E2453" s="33" t="s">
        <v>84</v>
      </c>
      <c r="F2453" s="33" t="s">
        <v>183</v>
      </c>
      <c r="G2453" s="33" t="s">
        <v>9</v>
      </c>
      <c r="H2453" s="33" t="n">
        <v>10</v>
      </c>
    </row>
    <row r="2454" customFormat="false" ht="54" hidden="false" customHeight="true" outlineLevel="0" collapsed="false">
      <c r="A2454" s="32" t="s">
        <v>12717</v>
      </c>
      <c r="B2454" s="32" t="s">
        <v>6015</v>
      </c>
      <c r="C2454" s="33" t="s">
        <v>98</v>
      </c>
      <c r="D2454" s="33" t="s">
        <v>59</v>
      </c>
      <c r="E2454" s="33" t="s">
        <v>86</v>
      </c>
      <c r="F2454" s="33" t="s">
        <v>6027</v>
      </c>
      <c r="G2454" s="33" t="s">
        <v>9</v>
      </c>
      <c r="H2454" s="33" t="n">
        <v>10</v>
      </c>
    </row>
    <row r="2455" customFormat="false" ht="54" hidden="false" customHeight="true" outlineLevel="0" collapsed="false">
      <c r="A2455" s="32" t="s">
        <v>12718</v>
      </c>
      <c r="B2455" s="32" t="s">
        <v>6030</v>
      </c>
      <c r="C2455" s="33" t="s">
        <v>98</v>
      </c>
      <c r="D2455" s="33" t="s">
        <v>59</v>
      </c>
      <c r="E2455" s="33" t="s">
        <v>80</v>
      </c>
      <c r="F2455" s="33" t="s">
        <v>183</v>
      </c>
      <c r="G2455" s="33" t="s">
        <v>9</v>
      </c>
      <c r="H2455" s="33" t="n">
        <v>10</v>
      </c>
    </row>
    <row r="2456" customFormat="false" ht="54" hidden="false" customHeight="true" outlineLevel="0" collapsed="false">
      <c r="A2456" s="32" t="s">
        <v>12719</v>
      </c>
      <c r="B2456" s="32" t="s">
        <v>6030</v>
      </c>
      <c r="C2456" s="33" t="s">
        <v>98</v>
      </c>
      <c r="D2456" s="33" t="s">
        <v>59</v>
      </c>
      <c r="E2456" s="33" t="s">
        <v>80</v>
      </c>
      <c r="F2456" s="33" t="s">
        <v>12720</v>
      </c>
      <c r="G2456" s="33" t="s">
        <v>9</v>
      </c>
      <c r="H2456" s="33" t="n">
        <v>10</v>
      </c>
    </row>
    <row r="2457" customFormat="false" ht="54" hidden="false" customHeight="true" outlineLevel="0" collapsed="false">
      <c r="A2457" s="32" t="s">
        <v>12721</v>
      </c>
      <c r="B2457" s="32" t="s">
        <v>6030</v>
      </c>
      <c r="C2457" s="33" t="s">
        <v>98</v>
      </c>
      <c r="D2457" s="33" t="s">
        <v>59</v>
      </c>
      <c r="E2457" s="33" t="s">
        <v>80</v>
      </c>
      <c r="F2457" s="33" t="s">
        <v>12722</v>
      </c>
      <c r="G2457" s="33" t="s">
        <v>9</v>
      </c>
      <c r="H2457" s="33" t="n">
        <v>10</v>
      </c>
    </row>
    <row r="2458" customFormat="false" ht="54" hidden="false" customHeight="true" outlineLevel="0" collapsed="false">
      <c r="A2458" s="32" t="s">
        <v>12723</v>
      </c>
      <c r="B2458" s="32" t="s">
        <v>6030</v>
      </c>
      <c r="C2458" s="33" t="s">
        <v>98</v>
      </c>
      <c r="D2458" s="33" t="s">
        <v>59</v>
      </c>
      <c r="E2458" s="33" t="s">
        <v>80</v>
      </c>
      <c r="F2458" s="33" t="s">
        <v>12724</v>
      </c>
      <c r="G2458" s="33" t="s">
        <v>9</v>
      </c>
      <c r="H2458" s="33" t="n">
        <v>10</v>
      </c>
    </row>
    <row r="2459" customFormat="false" ht="54" hidden="false" customHeight="true" outlineLevel="0" collapsed="false">
      <c r="A2459" s="32" t="s">
        <v>12725</v>
      </c>
      <c r="B2459" s="32" t="s">
        <v>6030</v>
      </c>
      <c r="C2459" s="33" t="s">
        <v>98</v>
      </c>
      <c r="D2459" s="33" t="s">
        <v>59</v>
      </c>
      <c r="E2459" s="33" t="s">
        <v>80</v>
      </c>
      <c r="F2459" s="33" t="s">
        <v>12726</v>
      </c>
      <c r="G2459" s="33" t="s">
        <v>9</v>
      </c>
      <c r="H2459" s="33" t="n">
        <v>10</v>
      </c>
    </row>
    <row r="2460" customFormat="false" ht="54" hidden="false" customHeight="true" outlineLevel="0" collapsed="false">
      <c r="A2460" s="32" t="s">
        <v>12727</v>
      </c>
      <c r="B2460" s="32" t="s">
        <v>6030</v>
      </c>
      <c r="C2460" s="33" t="s">
        <v>98</v>
      </c>
      <c r="D2460" s="33" t="s">
        <v>59</v>
      </c>
      <c r="E2460" s="33" t="s">
        <v>82</v>
      </c>
      <c r="F2460" s="33" t="s">
        <v>6035</v>
      </c>
      <c r="G2460" s="33" t="s">
        <v>9</v>
      </c>
      <c r="H2460" s="33" t="n">
        <v>10</v>
      </c>
    </row>
    <row r="2461" customFormat="false" ht="54" hidden="false" customHeight="true" outlineLevel="0" collapsed="false">
      <c r="A2461" s="32" t="s">
        <v>12728</v>
      </c>
      <c r="B2461" s="32" t="s">
        <v>6030</v>
      </c>
      <c r="C2461" s="33" t="s">
        <v>98</v>
      </c>
      <c r="D2461" s="33" t="s">
        <v>59</v>
      </c>
      <c r="E2461" s="33" t="s">
        <v>84</v>
      </c>
      <c r="F2461" s="33" t="s">
        <v>183</v>
      </c>
      <c r="G2461" s="33" t="s">
        <v>9</v>
      </c>
      <c r="H2461" s="33" t="n">
        <v>10</v>
      </c>
    </row>
    <row r="2462" customFormat="false" ht="54" hidden="false" customHeight="true" outlineLevel="0" collapsed="false">
      <c r="A2462" s="32" t="s">
        <v>12729</v>
      </c>
      <c r="B2462" s="32" t="s">
        <v>6030</v>
      </c>
      <c r="C2462" s="33" t="s">
        <v>98</v>
      </c>
      <c r="D2462" s="33" t="s">
        <v>59</v>
      </c>
      <c r="E2462" s="33" t="s">
        <v>84</v>
      </c>
      <c r="F2462" s="33" t="s">
        <v>12720</v>
      </c>
      <c r="G2462" s="33" t="s">
        <v>9</v>
      </c>
      <c r="H2462" s="33" t="n">
        <v>10</v>
      </c>
    </row>
    <row r="2463" customFormat="false" ht="54" hidden="false" customHeight="true" outlineLevel="0" collapsed="false">
      <c r="A2463" s="32" t="s">
        <v>12730</v>
      </c>
      <c r="B2463" s="32" t="s">
        <v>6030</v>
      </c>
      <c r="C2463" s="33" t="s">
        <v>98</v>
      </c>
      <c r="D2463" s="33" t="s">
        <v>59</v>
      </c>
      <c r="E2463" s="33" t="s">
        <v>84</v>
      </c>
      <c r="F2463" s="33" t="s">
        <v>12722</v>
      </c>
      <c r="G2463" s="33" t="s">
        <v>9</v>
      </c>
      <c r="H2463" s="33" t="n">
        <v>10</v>
      </c>
    </row>
    <row r="2464" customFormat="false" ht="54" hidden="false" customHeight="true" outlineLevel="0" collapsed="false">
      <c r="A2464" s="32" t="s">
        <v>12731</v>
      </c>
      <c r="B2464" s="32" t="s">
        <v>6030</v>
      </c>
      <c r="C2464" s="33" t="s">
        <v>98</v>
      </c>
      <c r="D2464" s="33" t="s">
        <v>59</v>
      </c>
      <c r="E2464" s="33" t="s">
        <v>84</v>
      </c>
      <c r="F2464" s="33" t="s">
        <v>12726</v>
      </c>
      <c r="G2464" s="33" t="s">
        <v>9</v>
      </c>
      <c r="H2464" s="33" t="n">
        <v>10</v>
      </c>
    </row>
    <row r="2465" customFormat="false" ht="54" hidden="false" customHeight="true" outlineLevel="0" collapsed="false">
      <c r="A2465" s="32" t="s">
        <v>12732</v>
      </c>
      <c r="B2465" s="32" t="s">
        <v>6043</v>
      </c>
      <c r="C2465" s="33" t="s">
        <v>98</v>
      </c>
      <c r="D2465" s="33" t="s">
        <v>59</v>
      </c>
      <c r="E2465" s="33" t="s">
        <v>80</v>
      </c>
      <c r="F2465" s="33" t="s">
        <v>183</v>
      </c>
      <c r="G2465" s="33" t="s">
        <v>12</v>
      </c>
      <c r="H2465" s="33" t="n">
        <v>10</v>
      </c>
    </row>
    <row r="2466" customFormat="false" ht="54" hidden="false" customHeight="true" outlineLevel="0" collapsed="false">
      <c r="A2466" s="32" t="s">
        <v>12733</v>
      </c>
      <c r="B2466" s="32" t="s">
        <v>6043</v>
      </c>
      <c r="C2466" s="33" t="s">
        <v>98</v>
      </c>
      <c r="D2466" s="33" t="s">
        <v>59</v>
      </c>
      <c r="E2466" s="33" t="s">
        <v>82</v>
      </c>
      <c r="F2466" s="33" t="s">
        <v>6048</v>
      </c>
      <c r="G2466" s="33" t="s">
        <v>12</v>
      </c>
      <c r="H2466" s="33" t="n">
        <v>10</v>
      </c>
    </row>
    <row r="2467" customFormat="false" ht="54" hidden="false" customHeight="true" outlineLevel="0" collapsed="false">
      <c r="A2467" s="32" t="s">
        <v>12734</v>
      </c>
      <c r="B2467" s="32" t="s">
        <v>6043</v>
      </c>
      <c r="C2467" s="33" t="s">
        <v>98</v>
      </c>
      <c r="D2467" s="33" t="s">
        <v>59</v>
      </c>
      <c r="E2467" s="33" t="s">
        <v>84</v>
      </c>
      <c r="F2467" s="33" t="s">
        <v>183</v>
      </c>
      <c r="G2467" s="33" t="s">
        <v>12</v>
      </c>
      <c r="H2467" s="33" t="n">
        <v>10</v>
      </c>
    </row>
    <row r="2468" customFormat="false" ht="54" hidden="false" customHeight="true" outlineLevel="0" collapsed="false">
      <c r="A2468" s="32" t="s">
        <v>12735</v>
      </c>
      <c r="B2468" s="32" t="s">
        <v>6054</v>
      </c>
      <c r="C2468" s="33" t="s">
        <v>98</v>
      </c>
      <c r="D2468" s="33" t="s">
        <v>59</v>
      </c>
      <c r="E2468" s="33" t="s">
        <v>80</v>
      </c>
      <c r="F2468" s="33" t="s">
        <v>183</v>
      </c>
      <c r="G2468" s="33" t="s">
        <v>12</v>
      </c>
      <c r="H2468" s="33" t="n">
        <v>10</v>
      </c>
    </row>
    <row r="2469" customFormat="false" ht="54" hidden="false" customHeight="true" outlineLevel="0" collapsed="false">
      <c r="A2469" s="32" t="s">
        <v>12736</v>
      </c>
      <c r="B2469" s="32" t="s">
        <v>6054</v>
      </c>
      <c r="C2469" s="33" t="s">
        <v>98</v>
      </c>
      <c r="D2469" s="33" t="s">
        <v>59</v>
      </c>
      <c r="E2469" s="33" t="s">
        <v>82</v>
      </c>
      <c r="F2469" s="33" t="s">
        <v>6060</v>
      </c>
      <c r="G2469" s="33" t="s">
        <v>12</v>
      </c>
      <c r="H2469" s="33" t="n">
        <v>10</v>
      </c>
    </row>
    <row r="2470" customFormat="false" ht="54" hidden="false" customHeight="true" outlineLevel="0" collapsed="false">
      <c r="A2470" s="32" t="s">
        <v>12737</v>
      </c>
      <c r="B2470" s="32" t="s">
        <v>6054</v>
      </c>
      <c r="C2470" s="33" t="s">
        <v>98</v>
      </c>
      <c r="D2470" s="33" t="s">
        <v>59</v>
      </c>
      <c r="E2470" s="33" t="s">
        <v>82</v>
      </c>
      <c r="F2470" s="33" t="s">
        <v>12738</v>
      </c>
      <c r="G2470" s="33" t="s">
        <v>12</v>
      </c>
      <c r="H2470" s="33" t="n">
        <v>10</v>
      </c>
    </row>
    <row r="2471" customFormat="false" ht="54" hidden="false" customHeight="true" outlineLevel="0" collapsed="false">
      <c r="A2471" s="32" t="s">
        <v>12739</v>
      </c>
      <c r="B2471" s="32" t="s">
        <v>6054</v>
      </c>
      <c r="C2471" s="33" t="s">
        <v>98</v>
      </c>
      <c r="D2471" s="33" t="s">
        <v>59</v>
      </c>
      <c r="E2471" s="33" t="s">
        <v>82</v>
      </c>
      <c r="F2471" s="33" t="s">
        <v>12740</v>
      </c>
      <c r="G2471" s="33" t="s">
        <v>12</v>
      </c>
      <c r="H2471" s="33" t="n">
        <v>10</v>
      </c>
    </row>
    <row r="2472" customFormat="false" ht="54" hidden="false" customHeight="true" outlineLevel="0" collapsed="false">
      <c r="A2472" s="32" t="s">
        <v>12741</v>
      </c>
      <c r="B2472" s="32" t="s">
        <v>6054</v>
      </c>
      <c r="C2472" s="33" t="s">
        <v>98</v>
      </c>
      <c r="D2472" s="33" t="s">
        <v>59</v>
      </c>
      <c r="E2472" s="33" t="s">
        <v>82</v>
      </c>
      <c r="F2472" s="33" t="s">
        <v>12742</v>
      </c>
      <c r="G2472" s="33" t="s">
        <v>12</v>
      </c>
      <c r="H2472" s="33" t="n">
        <v>10</v>
      </c>
    </row>
    <row r="2473" customFormat="false" ht="54" hidden="false" customHeight="true" outlineLevel="0" collapsed="false">
      <c r="A2473" s="32" t="s">
        <v>12743</v>
      </c>
      <c r="B2473" s="32" t="s">
        <v>6054</v>
      </c>
      <c r="C2473" s="33" t="s">
        <v>98</v>
      </c>
      <c r="D2473" s="33" t="s">
        <v>59</v>
      </c>
      <c r="E2473" s="33" t="s">
        <v>83</v>
      </c>
      <c r="F2473" s="33" t="s">
        <v>12738</v>
      </c>
      <c r="G2473" s="33" t="s">
        <v>12</v>
      </c>
      <c r="H2473" s="33" t="n">
        <v>10</v>
      </c>
    </row>
    <row r="2474" customFormat="false" ht="54" hidden="false" customHeight="true" outlineLevel="0" collapsed="false">
      <c r="A2474" s="32" t="s">
        <v>12744</v>
      </c>
      <c r="B2474" s="32" t="s">
        <v>6054</v>
      </c>
      <c r="C2474" s="33" t="s">
        <v>98</v>
      </c>
      <c r="D2474" s="33" t="s">
        <v>59</v>
      </c>
      <c r="E2474" s="33" t="s">
        <v>83</v>
      </c>
      <c r="F2474" s="33" t="s">
        <v>12742</v>
      </c>
      <c r="G2474" s="33" t="s">
        <v>12</v>
      </c>
      <c r="H2474" s="33" t="n">
        <v>10</v>
      </c>
    </row>
    <row r="2475" customFormat="false" ht="54" hidden="false" customHeight="true" outlineLevel="0" collapsed="false">
      <c r="A2475" s="32" t="s">
        <v>12745</v>
      </c>
      <c r="B2475" s="32" t="s">
        <v>6054</v>
      </c>
      <c r="C2475" s="33" t="s">
        <v>98</v>
      </c>
      <c r="D2475" s="33" t="s">
        <v>59</v>
      </c>
      <c r="E2475" s="33" t="s">
        <v>83</v>
      </c>
      <c r="F2475" s="33" t="s">
        <v>6062</v>
      </c>
      <c r="G2475" s="33" t="s">
        <v>12</v>
      </c>
      <c r="H2475" s="33" t="n">
        <v>10</v>
      </c>
    </row>
    <row r="2476" customFormat="false" ht="54" hidden="false" customHeight="true" outlineLevel="0" collapsed="false">
      <c r="A2476" s="32" t="s">
        <v>12746</v>
      </c>
      <c r="B2476" s="32" t="s">
        <v>6054</v>
      </c>
      <c r="C2476" s="33" t="s">
        <v>98</v>
      </c>
      <c r="D2476" s="33" t="s">
        <v>59</v>
      </c>
      <c r="E2476" s="33" t="s">
        <v>84</v>
      </c>
      <c r="F2476" s="33" t="s">
        <v>183</v>
      </c>
      <c r="G2476" s="33" t="s">
        <v>12</v>
      </c>
      <c r="H2476" s="33" t="n">
        <v>10</v>
      </c>
    </row>
    <row r="2477" customFormat="false" ht="54" hidden="false" customHeight="true" outlineLevel="0" collapsed="false">
      <c r="A2477" s="32" t="s">
        <v>12747</v>
      </c>
      <c r="B2477" s="32" t="s">
        <v>6068</v>
      </c>
      <c r="C2477" s="33" t="s">
        <v>98</v>
      </c>
      <c r="D2477" s="33" t="s">
        <v>59</v>
      </c>
      <c r="E2477" s="33" t="s">
        <v>80</v>
      </c>
      <c r="F2477" s="33" t="s">
        <v>183</v>
      </c>
      <c r="G2477" s="33" t="s">
        <v>12</v>
      </c>
      <c r="H2477" s="33" t="n">
        <v>10</v>
      </c>
    </row>
    <row r="2478" customFormat="false" ht="54" hidden="false" customHeight="true" outlineLevel="0" collapsed="false">
      <c r="A2478" s="32" t="s">
        <v>12748</v>
      </c>
      <c r="B2478" s="32" t="s">
        <v>6068</v>
      </c>
      <c r="C2478" s="33" t="s">
        <v>98</v>
      </c>
      <c r="D2478" s="33" t="s">
        <v>59</v>
      </c>
      <c r="E2478" s="33" t="s">
        <v>80</v>
      </c>
      <c r="F2478" s="33" t="s">
        <v>12749</v>
      </c>
      <c r="G2478" s="33" t="s">
        <v>12</v>
      </c>
      <c r="H2478" s="33" t="n">
        <v>10</v>
      </c>
    </row>
    <row r="2479" customFormat="false" ht="54" hidden="false" customHeight="true" outlineLevel="0" collapsed="false">
      <c r="A2479" s="32" t="s">
        <v>12750</v>
      </c>
      <c r="B2479" s="32" t="s">
        <v>6068</v>
      </c>
      <c r="C2479" s="33" t="s">
        <v>98</v>
      </c>
      <c r="D2479" s="33" t="s">
        <v>59</v>
      </c>
      <c r="E2479" s="33" t="s">
        <v>80</v>
      </c>
      <c r="F2479" s="33" t="s">
        <v>6078</v>
      </c>
      <c r="G2479" s="33" t="s">
        <v>12</v>
      </c>
      <c r="H2479" s="33" t="n">
        <v>10</v>
      </c>
    </row>
    <row r="2480" customFormat="false" ht="54" hidden="false" customHeight="true" outlineLevel="0" collapsed="false">
      <c r="A2480" s="32" t="s">
        <v>12751</v>
      </c>
      <c r="B2480" s="32" t="s">
        <v>6068</v>
      </c>
      <c r="C2480" s="33" t="s">
        <v>98</v>
      </c>
      <c r="D2480" s="33" t="s">
        <v>59</v>
      </c>
      <c r="E2480" s="33" t="s">
        <v>81</v>
      </c>
      <c r="F2480" s="33" t="s">
        <v>6074</v>
      </c>
      <c r="G2480" s="33" t="s">
        <v>12</v>
      </c>
      <c r="H2480" s="33" t="n">
        <v>10</v>
      </c>
    </row>
    <row r="2481" customFormat="false" ht="54" hidden="false" customHeight="true" outlineLevel="0" collapsed="false">
      <c r="A2481" s="32" t="s">
        <v>12752</v>
      </c>
      <c r="B2481" s="32" t="s">
        <v>6068</v>
      </c>
      <c r="C2481" s="33" t="s">
        <v>98</v>
      </c>
      <c r="D2481" s="33" t="s">
        <v>59</v>
      </c>
      <c r="E2481" s="33" t="s">
        <v>82</v>
      </c>
      <c r="F2481" s="33" t="s">
        <v>6072</v>
      </c>
      <c r="G2481" s="33" t="s">
        <v>12</v>
      </c>
      <c r="H2481" s="33" t="n">
        <v>10</v>
      </c>
    </row>
    <row r="2482" customFormat="false" ht="54" hidden="false" customHeight="true" outlineLevel="0" collapsed="false">
      <c r="A2482" s="32" t="s">
        <v>12753</v>
      </c>
      <c r="B2482" s="32" t="s">
        <v>6068</v>
      </c>
      <c r="C2482" s="33" t="s">
        <v>98</v>
      </c>
      <c r="D2482" s="33" t="s">
        <v>59</v>
      </c>
      <c r="E2482" s="33" t="s">
        <v>82</v>
      </c>
      <c r="F2482" s="33" t="s">
        <v>6080</v>
      </c>
      <c r="G2482" s="33" t="s">
        <v>12</v>
      </c>
      <c r="H2482" s="33" t="n">
        <v>10</v>
      </c>
    </row>
    <row r="2483" customFormat="false" ht="54" hidden="false" customHeight="true" outlineLevel="0" collapsed="false">
      <c r="A2483" s="32" t="s">
        <v>12754</v>
      </c>
      <c r="B2483" s="32" t="s">
        <v>6068</v>
      </c>
      <c r="C2483" s="33" t="s">
        <v>98</v>
      </c>
      <c r="D2483" s="33" t="s">
        <v>59</v>
      </c>
      <c r="E2483" s="33" t="s">
        <v>82</v>
      </c>
      <c r="F2483" s="33" t="s">
        <v>12749</v>
      </c>
      <c r="G2483" s="33" t="s">
        <v>12</v>
      </c>
      <c r="H2483" s="33" t="n">
        <v>10</v>
      </c>
    </row>
    <row r="2484" customFormat="false" ht="54" hidden="false" customHeight="true" outlineLevel="0" collapsed="false">
      <c r="A2484" s="32" t="s">
        <v>12755</v>
      </c>
      <c r="B2484" s="32" t="s">
        <v>6068</v>
      </c>
      <c r="C2484" s="33" t="s">
        <v>98</v>
      </c>
      <c r="D2484" s="33" t="s">
        <v>59</v>
      </c>
      <c r="E2484" s="33" t="s">
        <v>83</v>
      </c>
      <c r="F2484" s="33" t="s">
        <v>6078</v>
      </c>
      <c r="G2484" s="33" t="s">
        <v>12</v>
      </c>
      <c r="H2484" s="33" t="n">
        <v>10</v>
      </c>
    </row>
    <row r="2485" customFormat="false" ht="54" hidden="false" customHeight="true" outlineLevel="0" collapsed="false">
      <c r="A2485" s="32" t="s">
        <v>12756</v>
      </c>
      <c r="B2485" s="32" t="s">
        <v>6068</v>
      </c>
      <c r="C2485" s="33" t="s">
        <v>98</v>
      </c>
      <c r="D2485" s="33" t="s">
        <v>59</v>
      </c>
      <c r="E2485" s="33" t="s">
        <v>84</v>
      </c>
      <c r="F2485" s="33" t="s">
        <v>183</v>
      </c>
      <c r="G2485" s="33" t="s">
        <v>12</v>
      </c>
      <c r="H2485" s="33" t="n">
        <v>10</v>
      </c>
    </row>
    <row r="2486" customFormat="false" ht="54" hidden="false" customHeight="true" outlineLevel="0" collapsed="false">
      <c r="A2486" s="32" t="s">
        <v>12757</v>
      </c>
      <c r="B2486" s="32" t="s">
        <v>6068</v>
      </c>
      <c r="C2486" s="33" t="s">
        <v>98</v>
      </c>
      <c r="D2486" s="33" t="s">
        <v>59</v>
      </c>
      <c r="E2486" s="33" t="s">
        <v>84</v>
      </c>
      <c r="F2486" s="33" t="s">
        <v>12758</v>
      </c>
      <c r="G2486" s="33" t="s">
        <v>12</v>
      </c>
      <c r="H2486" s="33" t="n">
        <v>10</v>
      </c>
    </row>
    <row r="2487" customFormat="false" ht="54" hidden="false" customHeight="true" outlineLevel="0" collapsed="false">
      <c r="A2487" s="32" t="s">
        <v>12759</v>
      </c>
      <c r="B2487" s="32" t="s">
        <v>6068</v>
      </c>
      <c r="C2487" s="33" t="s">
        <v>98</v>
      </c>
      <c r="D2487" s="33" t="s">
        <v>59</v>
      </c>
      <c r="E2487" s="33" t="s">
        <v>84</v>
      </c>
      <c r="F2487" s="33" t="s">
        <v>12749</v>
      </c>
      <c r="G2487" s="33" t="s">
        <v>12</v>
      </c>
      <c r="H2487" s="33" t="n">
        <v>10</v>
      </c>
    </row>
    <row r="2488" customFormat="false" ht="54" hidden="false" customHeight="true" outlineLevel="0" collapsed="false">
      <c r="A2488" s="32" t="s">
        <v>12760</v>
      </c>
      <c r="B2488" s="32" t="s">
        <v>6068</v>
      </c>
      <c r="C2488" s="33" t="s">
        <v>98</v>
      </c>
      <c r="D2488" s="33" t="s">
        <v>59</v>
      </c>
      <c r="E2488" s="33" t="s">
        <v>86</v>
      </c>
      <c r="F2488" s="33" t="s">
        <v>6080</v>
      </c>
      <c r="G2488" s="33" t="s">
        <v>12</v>
      </c>
      <c r="H2488" s="33" t="n">
        <v>10</v>
      </c>
    </row>
    <row r="2489" customFormat="false" ht="54" hidden="false" customHeight="true" outlineLevel="0" collapsed="false">
      <c r="A2489" s="32" t="s">
        <v>12761</v>
      </c>
      <c r="B2489" s="32" t="s">
        <v>6083</v>
      </c>
      <c r="C2489" s="33" t="s">
        <v>98</v>
      </c>
      <c r="D2489" s="33" t="s">
        <v>59</v>
      </c>
      <c r="E2489" s="33" t="s">
        <v>80</v>
      </c>
      <c r="F2489" s="33" t="s">
        <v>183</v>
      </c>
      <c r="G2489" s="33" t="s">
        <v>12</v>
      </c>
      <c r="H2489" s="33" t="n">
        <v>10</v>
      </c>
    </row>
    <row r="2490" customFormat="false" ht="54" hidden="false" customHeight="true" outlineLevel="0" collapsed="false">
      <c r="A2490" s="32" t="s">
        <v>12762</v>
      </c>
      <c r="B2490" s="32" t="s">
        <v>6083</v>
      </c>
      <c r="C2490" s="33" t="s">
        <v>98</v>
      </c>
      <c r="D2490" s="33" t="s">
        <v>59</v>
      </c>
      <c r="E2490" s="33" t="s">
        <v>81</v>
      </c>
      <c r="F2490" s="33" t="s">
        <v>6093</v>
      </c>
      <c r="G2490" s="33" t="s">
        <v>12</v>
      </c>
      <c r="H2490" s="33" t="n">
        <v>10</v>
      </c>
    </row>
    <row r="2491" customFormat="false" ht="54" hidden="false" customHeight="true" outlineLevel="0" collapsed="false">
      <c r="A2491" s="32" t="s">
        <v>12763</v>
      </c>
      <c r="B2491" s="32" t="s">
        <v>6083</v>
      </c>
      <c r="C2491" s="33" t="s">
        <v>98</v>
      </c>
      <c r="D2491" s="33" t="s">
        <v>59</v>
      </c>
      <c r="E2491" s="33" t="s">
        <v>84</v>
      </c>
      <c r="F2491" s="33" t="s">
        <v>183</v>
      </c>
      <c r="G2491" s="33" t="s">
        <v>12</v>
      </c>
      <c r="H2491" s="33" t="n">
        <v>10</v>
      </c>
    </row>
    <row r="2492" customFormat="false" ht="54" hidden="false" customHeight="true" outlineLevel="0" collapsed="false">
      <c r="A2492" s="32" t="s">
        <v>12764</v>
      </c>
      <c r="B2492" s="32" t="s">
        <v>6096</v>
      </c>
      <c r="C2492" s="33" t="s">
        <v>98</v>
      </c>
      <c r="D2492" s="33" t="s">
        <v>59</v>
      </c>
      <c r="E2492" s="33" t="s">
        <v>80</v>
      </c>
      <c r="F2492" s="33" t="s">
        <v>6101</v>
      </c>
      <c r="G2492" s="33" t="s">
        <v>9</v>
      </c>
      <c r="H2492" s="33" t="n">
        <v>10</v>
      </c>
    </row>
    <row r="2493" customFormat="false" ht="54" hidden="false" customHeight="true" outlineLevel="0" collapsed="false">
      <c r="A2493" s="32" t="s">
        <v>12765</v>
      </c>
      <c r="B2493" s="32" t="s">
        <v>6096</v>
      </c>
      <c r="C2493" s="33" t="s">
        <v>98</v>
      </c>
      <c r="D2493" s="33" t="s">
        <v>59</v>
      </c>
      <c r="E2493" s="33" t="s">
        <v>80</v>
      </c>
      <c r="F2493" s="33" t="s">
        <v>183</v>
      </c>
      <c r="G2493" s="33" t="s">
        <v>9</v>
      </c>
      <c r="H2493" s="33" t="n">
        <v>10</v>
      </c>
    </row>
    <row r="2494" customFormat="false" ht="54" hidden="false" customHeight="true" outlineLevel="0" collapsed="false">
      <c r="A2494" s="32" t="s">
        <v>12766</v>
      </c>
      <c r="B2494" s="32" t="s">
        <v>6096</v>
      </c>
      <c r="C2494" s="33" t="s">
        <v>98</v>
      </c>
      <c r="D2494" s="33" t="s">
        <v>59</v>
      </c>
      <c r="E2494" s="33" t="s">
        <v>80</v>
      </c>
      <c r="F2494" s="33" t="s">
        <v>12767</v>
      </c>
      <c r="G2494" s="33" t="s">
        <v>9</v>
      </c>
      <c r="H2494" s="33" t="n">
        <v>10</v>
      </c>
    </row>
    <row r="2495" customFormat="false" ht="54" hidden="false" customHeight="true" outlineLevel="0" collapsed="false">
      <c r="A2495" s="32" t="s">
        <v>12768</v>
      </c>
      <c r="B2495" s="32" t="s">
        <v>6096</v>
      </c>
      <c r="C2495" s="33" t="s">
        <v>98</v>
      </c>
      <c r="D2495" s="33" t="s">
        <v>59</v>
      </c>
      <c r="E2495" s="33" t="s">
        <v>80</v>
      </c>
      <c r="F2495" s="33" t="s">
        <v>12769</v>
      </c>
      <c r="G2495" s="33" t="s">
        <v>9</v>
      </c>
      <c r="H2495" s="33" t="n">
        <v>10</v>
      </c>
    </row>
    <row r="2496" customFormat="false" ht="54" hidden="false" customHeight="true" outlineLevel="0" collapsed="false">
      <c r="A2496" s="32" t="s">
        <v>12770</v>
      </c>
      <c r="B2496" s="32" t="s">
        <v>6096</v>
      </c>
      <c r="C2496" s="33" t="s">
        <v>98</v>
      </c>
      <c r="D2496" s="33" t="s">
        <v>59</v>
      </c>
      <c r="E2496" s="33" t="s">
        <v>82</v>
      </c>
      <c r="F2496" s="33" t="s">
        <v>12771</v>
      </c>
      <c r="G2496" s="33" t="s">
        <v>9</v>
      </c>
      <c r="H2496" s="33" t="n">
        <v>10</v>
      </c>
    </row>
    <row r="2497" customFormat="false" ht="54" hidden="false" customHeight="true" outlineLevel="0" collapsed="false">
      <c r="A2497" s="32" t="s">
        <v>12772</v>
      </c>
      <c r="B2497" s="32" t="s">
        <v>6096</v>
      </c>
      <c r="C2497" s="33" t="s">
        <v>98</v>
      </c>
      <c r="D2497" s="33" t="s">
        <v>59</v>
      </c>
      <c r="E2497" s="33" t="s">
        <v>82</v>
      </c>
      <c r="F2497" s="33" t="s">
        <v>12773</v>
      </c>
      <c r="G2497" s="33" t="s">
        <v>9</v>
      </c>
      <c r="H2497" s="33" t="n">
        <v>10</v>
      </c>
    </row>
    <row r="2498" customFormat="false" ht="54" hidden="false" customHeight="true" outlineLevel="0" collapsed="false">
      <c r="A2498" s="32" t="s">
        <v>12774</v>
      </c>
      <c r="B2498" s="32" t="s">
        <v>6096</v>
      </c>
      <c r="C2498" s="33" t="s">
        <v>98</v>
      </c>
      <c r="D2498" s="33" t="s">
        <v>59</v>
      </c>
      <c r="E2498" s="33" t="s">
        <v>82</v>
      </c>
      <c r="F2498" s="33" t="s">
        <v>12767</v>
      </c>
      <c r="G2498" s="33" t="s">
        <v>9</v>
      </c>
      <c r="H2498" s="33" t="n">
        <v>10</v>
      </c>
    </row>
    <row r="2499" customFormat="false" ht="54" hidden="false" customHeight="true" outlineLevel="0" collapsed="false">
      <c r="A2499" s="32" t="s">
        <v>12775</v>
      </c>
      <c r="B2499" s="32" t="s">
        <v>6096</v>
      </c>
      <c r="C2499" s="33" t="s">
        <v>98</v>
      </c>
      <c r="D2499" s="33" t="s">
        <v>59</v>
      </c>
      <c r="E2499" s="33" t="s">
        <v>82</v>
      </c>
      <c r="F2499" s="33" t="s">
        <v>12776</v>
      </c>
      <c r="G2499" s="33" t="s">
        <v>9</v>
      </c>
      <c r="H2499" s="33" t="n">
        <v>10</v>
      </c>
    </row>
    <row r="2500" customFormat="false" ht="54" hidden="false" customHeight="true" outlineLevel="0" collapsed="false">
      <c r="A2500" s="32" t="s">
        <v>12777</v>
      </c>
      <c r="B2500" s="32" t="s">
        <v>6096</v>
      </c>
      <c r="C2500" s="33" t="s">
        <v>98</v>
      </c>
      <c r="D2500" s="33" t="s">
        <v>59</v>
      </c>
      <c r="E2500" s="33" t="s">
        <v>83</v>
      </c>
      <c r="F2500" s="33" t="s">
        <v>6101</v>
      </c>
      <c r="G2500" s="33" t="s">
        <v>9</v>
      </c>
      <c r="H2500" s="33" t="n">
        <v>10</v>
      </c>
    </row>
    <row r="2501" customFormat="false" ht="54" hidden="false" customHeight="true" outlineLevel="0" collapsed="false">
      <c r="A2501" s="32" t="s">
        <v>12778</v>
      </c>
      <c r="B2501" s="32" t="s">
        <v>6096</v>
      </c>
      <c r="C2501" s="33" t="s">
        <v>98</v>
      </c>
      <c r="D2501" s="33" t="s">
        <v>59</v>
      </c>
      <c r="E2501" s="33" t="s">
        <v>83</v>
      </c>
      <c r="F2501" s="33" t="s">
        <v>12776</v>
      </c>
      <c r="G2501" s="33" t="s">
        <v>9</v>
      </c>
      <c r="H2501" s="33" t="n">
        <v>10</v>
      </c>
    </row>
    <row r="2502" customFormat="false" ht="54" hidden="false" customHeight="true" outlineLevel="0" collapsed="false">
      <c r="A2502" s="32" t="s">
        <v>12779</v>
      </c>
      <c r="B2502" s="32" t="s">
        <v>6096</v>
      </c>
      <c r="C2502" s="33" t="s">
        <v>98</v>
      </c>
      <c r="D2502" s="33" t="s">
        <v>59</v>
      </c>
      <c r="E2502" s="33" t="s">
        <v>84</v>
      </c>
      <c r="F2502" s="33" t="s">
        <v>183</v>
      </c>
      <c r="G2502" s="33" t="s">
        <v>9</v>
      </c>
      <c r="H2502" s="33" t="n">
        <v>10</v>
      </c>
    </row>
    <row r="2503" customFormat="false" ht="54" hidden="false" customHeight="true" outlineLevel="0" collapsed="false">
      <c r="A2503" s="32" t="s">
        <v>12780</v>
      </c>
      <c r="B2503" s="32" t="s">
        <v>6111</v>
      </c>
      <c r="C2503" s="33" t="s">
        <v>98</v>
      </c>
      <c r="D2503" s="33" t="s">
        <v>59</v>
      </c>
      <c r="E2503" s="33" t="s">
        <v>80</v>
      </c>
      <c r="F2503" s="33" t="s">
        <v>183</v>
      </c>
      <c r="G2503" s="33" t="s">
        <v>9</v>
      </c>
      <c r="H2503" s="33" t="n">
        <v>10</v>
      </c>
    </row>
    <row r="2504" customFormat="false" ht="54" hidden="false" customHeight="true" outlineLevel="0" collapsed="false">
      <c r="A2504" s="32" t="s">
        <v>12781</v>
      </c>
      <c r="B2504" s="32" t="s">
        <v>6111</v>
      </c>
      <c r="C2504" s="33" t="s">
        <v>98</v>
      </c>
      <c r="D2504" s="33" t="s">
        <v>59</v>
      </c>
      <c r="E2504" s="33" t="s">
        <v>82</v>
      </c>
      <c r="F2504" s="33" t="s">
        <v>6119</v>
      </c>
      <c r="G2504" s="33" t="s">
        <v>9</v>
      </c>
      <c r="H2504" s="33" t="n">
        <v>10</v>
      </c>
    </row>
    <row r="2505" customFormat="false" ht="54" hidden="false" customHeight="true" outlineLevel="0" collapsed="false">
      <c r="A2505" s="32" t="s">
        <v>12782</v>
      </c>
      <c r="B2505" s="32" t="s">
        <v>6111</v>
      </c>
      <c r="C2505" s="33" t="s">
        <v>98</v>
      </c>
      <c r="D2505" s="33" t="s">
        <v>59</v>
      </c>
      <c r="E2505" s="33" t="s">
        <v>84</v>
      </c>
      <c r="F2505" s="33" t="s">
        <v>183</v>
      </c>
      <c r="G2505" s="33" t="s">
        <v>9</v>
      </c>
      <c r="H2505" s="33" t="n">
        <v>10</v>
      </c>
    </row>
    <row r="2506" customFormat="false" ht="54" hidden="false" customHeight="true" outlineLevel="0" collapsed="false">
      <c r="A2506" s="32" t="s">
        <v>12783</v>
      </c>
      <c r="B2506" s="32" t="s">
        <v>6123</v>
      </c>
      <c r="C2506" s="33" t="s">
        <v>98</v>
      </c>
      <c r="D2506" s="33" t="s">
        <v>59</v>
      </c>
      <c r="E2506" s="33" t="s">
        <v>80</v>
      </c>
      <c r="F2506" s="33" t="s">
        <v>183</v>
      </c>
      <c r="G2506" s="33" t="s">
        <v>12</v>
      </c>
      <c r="H2506" s="33" t="n">
        <v>10</v>
      </c>
    </row>
    <row r="2507" customFormat="false" ht="54" hidden="false" customHeight="true" outlineLevel="0" collapsed="false">
      <c r="A2507" s="32" t="s">
        <v>12784</v>
      </c>
      <c r="B2507" s="32" t="s">
        <v>6123</v>
      </c>
      <c r="C2507" s="33" t="s">
        <v>98</v>
      </c>
      <c r="D2507" s="33" t="s">
        <v>59</v>
      </c>
      <c r="E2507" s="33" t="s">
        <v>81</v>
      </c>
      <c r="F2507" s="33" t="s">
        <v>6131</v>
      </c>
      <c r="G2507" s="33" t="s">
        <v>12</v>
      </c>
      <c r="H2507" s="33" t="n">
        <v>10</v>
      </c>
    </row>
    <row r="2508" customFormat="false" ht="54" hidden="false" customHeight="true" outlineLevel="0" collapsed="false">
      <c r="A2508" s="32" t="s">
        <v>12785</v>
      </c>
      <c r="B2508" s="32" t="s">
        <v>6123</v>
      </c>
      <c r="C2508" s="33" t="s">
        <v>98</v>
      </c>
      <c r="D2508" s="33" t="s">
        <v>59</v>
      </c>
      <c r="E2508" s="33" t="s">
        <v>82</v>
      </c>
      <c r="F2508" s="33" t="s">
        <v>6128</v>
      </c>
      <c r="G2508" s="33" t="s">
        <v>12</v>
      </c>
      <c r="H2508" s="33" t="n">
        <v>10</v>
      </c>
    </row>
    <row r="2509" customFormat="false" ht="54" hidden="false" customHeight="true" outlineLevel="0" collapsed="false">
      <c r="A2509" s="32" t="s">
        <v>12786</v>
      </c>
      <c r="B2509" s="32" t="s">
        <v>6123</v>
      </c>
      <c r="C2509" s="33" t="s">
        <v>98</v>
      </c>
      <c r="D2509" s="33" t="s">
        <v>59</v>
      </c>
      <c r="E2509" s="33" t="s">
        <v>82</v>
      </c>
      <c r="F2509" s="33" t="s">
        <v>6129</v>
      </c>
      <c r="G2509" s="33" t="s">
        <v>12</v>
      </c>
      <c r="H2509" s="33" t="n">
        <v>10</v>
      </c>
    </row>
    <row r="2510" customFormat="false" ht="54" hidden="false" customHeight="true" outlineLevel="0" collapsed="false">
      <c r="A2510" s="32" t="s">
        <v>12787</v>
      </c>
      <c r="B2510" s="32" t="s">
        <v>6123</v>
      </c>
      <c r="C2510" s="33" t="s">
        <v>98</v>
      </c>
      <c r="D2510" s="33" t="s">
        <v>59</v>
      </c>
      <c r="E2510" s="33" t="s">
        <v>82</v>
      </c>
      <c r="F2510" s="33" t="s">
        <v>12788</v>
      </c>
      <c r="G2510" s="33" t="s">
        <v>12</v>
      </c>
      <c r="H2510" s="33" t="n">
        <v>10</v>
      </c>
    </row>
    <row r="2511" customFormat="false" ht="54" hidden="false" customHeight="true" outlineLevel="0" collapsed="false">
      <c r="A2511" s="32" t="s">
        <v>12789</v>
      </c>
      <c r="B2511" s="32" t="s">
        <v>6123</v>
      </c>
      <c r="C2511" s="33" t="s">
        <v>98</v>
      </c>
      <c r="D2511" s="33" t="s">
        <v>59</v>
      </c>
      <c r="E2511" s="33" t="s">
        <v>84</v>
      </c>
      <c r="F2511" s="33" t="s">
        <v>183</v>
      </c>
      <c r="G2511" s="33" t="s">
        <v>12</v>
      </c>
      <c r="H2511" s="33" t="n">
        <v>10</v>
      </c>
    </row>
    <row r="2512" customFormat="false" ht="54" hidden="false" customHeight="true" outlineLevel="0" collapsed="false">
      <c r="A2512" s="32" t="s">
        <v>12790</v>
      </c>
      <c r="B2512" s="32" t="s">
        <v>6136</v>
      </c>
      <c r="C2512" s="33" t="s">
        <v>98</v>
      </c>
      <c r="D2512" s="33" t="s">
        <v>59</v>
      </c>
      <c r="E2512" s="33" t="s">
        <v>80</v>
      </c>
      <c r="F2512" s="33" t="s">
        <v>183</v>
      </c>
      <c r="G2512" s="33" t="s">
        <v>9</v>
      </c>
      <c r="H2512" s="33" t="n">
        <v>10</v>
      </c>
    </row>
    <row r="2513" customFormat="false" ht="54" hidden="false" customHeight="true" outlineLevel="0" collapsed="false">
      <c r="A2513" s="32" t="s">
        <v>12791</v>
      </c>
      <c r="B2513" s="32" t="s">
        <v>6136</v>
      </c>
      <c r="C2513" s="33" t="s">
        <v>98</v>
      </c>
      <c r="D2513" s="33" t="s">
        <v>59</v>
      </c>
      <c r="E2513" s="33" t="s">
        <v>80</v>
      </c>
      <c r="F2513" s="33" t="s">
        <v>6146</v>
      </c>
      <c r="G2513" s="33" t="s">
        <v>9</v>
      </c>
      <c r="H2513" s="33" t="n">
        <v>10</v>
      </c>
    </row>
    <row r="2514" customFormat="false" ht="54" hidden="false" customHeight="true" outlineLevel="0" collapsed="false">
      <c r="A2514" s="32" t="s">
        <v>12792</v>
      </c>
      <c r="B2514" s="32" t="s">
        <v>6136</v>
      </c>
      <c r="C2514" s="33" t="s">
        <v>98</v>
      </c>
      <c r="D2514" s="33" t="s">
        <v>59</v>
      </c>
      <c r="E2514" s="33" t="s">
        <v>81</v>
      </c>
      <c r="F2514" s="33" t="s">
        <v>6146</v>
      </c>
      <c r="G2514" s="33" t="s">
        <v>9</v>
      </c>
      <c r="H2514" s="33" t="n">
        <v>10</v>
      </c>
    </row>
    <row r="2515" customFormat="false" ht="54" hidden="false" customHeight="true" outlineLevel="0" collapsed="false">
      <c r="A2515" s="32" t="s">
        <v>12793</v>
      </c>
      <c r="B2515" s="32" t="s">
        <v>6136</v>
      </c>
      <c r="C2515" s="33" t="s">
        <v>98</v>
      </c>
      <c r="D2515" s="33" t="s">
        <v>59</v>
      </c>
      <c r="E2515" s="33" t="s">
        <v>82</v>
      </c>
      <c r="F2515" s="33" t="s">
        <v>6141</v>
      </c>
      <c r="G2515" s="33" t="s">
        <v>9</v>
      </c>
      <c r="H2515" s="33" t="n">
        <v>10</v>
      </c>
    </row>
    <row r="2516" customFormat="false" ht="54" hidden="false" customHeight="true" outlineLevel="0" collapsed="false">
      <c r="A2516" s="32" t="s">
        <v>12794</v>
      </c>
      <c r="B2516" s="32" t="s">
        <v>6136</v>
      </c>
      <c r="C2516" s="33" t="s">
        <v>98</v>
      </c>
      <c r="D2516" s="33" t="s">
        <v>59</v>
      </c>
      <c r="E2516" s="33" t="s">
        <v>84</v>
      </c>
      <c r="F2516" s="33" t="s">
        <v>183</v>
      </c>
      <c r="G2516" s="33" t="s">
        <v>9</v>
      </c>
      <c r="H2516" s="33" t="n">
        <v>10</v>
      </c>
    </row>
    <row r="2517" customFormat="false" ht="54" hidden="false" customHeight="true" outlineLevel="0" collapsed="false">
      <c r="A2517" s="32" t="s">
        <v>12795</v>
      </c>
      <c r="B2517" s="32" t="s">
        <v>6149</v>
      </c>
      <c r="C2517" s="33" t="s">
        <v>98</v>
      </c>
      <c r="D2517" s="33" t="s">
        <v>59</v>
      </c>
      <c r="E2517" s="33" t="s">
        <v>80</v>
      </c>
      <c r="F2517" s="33" t="s">
        <v>183</v>
      </c>
      <c r="G2517" s="33" t="s">
        <v>9</v>
      </c>
      <c r="H2517" s="33" t="n">
        <v>10</v>
      </c>
    </row>
    <row r="2518" customFormat="false" ht="54" hidden="false" customHeight="true" outlineLevel="0" collapsed="false">
      <c r="A2518" s="32" t="s">
        <v>12796</v>
      </c>
      <c r="B2518" s="32" t="s">
        <v>6149</v>
      </c>
      <c r="C2518" s="33" t="s">
        <v>98</v>
      </c>
      <c r="D2518" s="33" t="s">
        <v>59</v>
      </c>
      <c r="E2518" s="33" t="s">
        <v>80</v>
      </c>
      <c r="F2518" s="33" t="s">
        <v>12797</v>
      </c>
      <c r="G2518" s="33" t="s">
        <v>9</v>
      </c>
      <c r="H2518" s="33" t="n">
        <v>10</v>
      </c>
    </row>
    <row r="2519" customFormat="false" ht="54" hidden="false" customHeight="true" outlineLevel="0" collapsed="false">
      <c r="A2519" s="32" t="s">
        <v>12798</v>
      </c>
      <c r="B2519" s="32" t="s">
        <v>6149</v>
      </c>
      <c r="C2519" s="33" t="s">
        <v>98</v>
      </c>
      <c r="D2519" s="33" t="s">
        <v>59</v>
      </c>
      <c r="E2519" s="33" t="s">
        <v>80</v>
      </c>
      <c r="F2519" s="33" t="s">
        <v>6159</v>
      </c>
      <c r="G2519" s="33" t="s">
        <v>9</v>
      </c>
      <c r="H2519" s="33" t="n">
        <v>10</v>
      </c>
    </row>
    <row r="2520" customFormat="false" ht="54" hidden="false" customHeight="true" outlineLevel="0" collapsed="false">
      <c r="A2520" s="32" t="s">
        <v>12799</v>
      </c>
      <c r="B2520" s="32" t="s">
        <v>6149</v>
      </c>
      <c r="C2520" s="33" t="s">
        <v>98</v>
      </c>
      <c r="D2520" s="33" t="s">
        <v>59</v>
      </c>
      <c r="E2520" s="33" t="s">
        <v>80</v>
      </c>
      <c r="F2520" s="33" t="s">
        <v>12800</v>
      </c>
      <c r="G2520" s="33" t="s">
        <v>9</v>
      </c>
      <c r="H2520" s="33" t="n">
        <v>10</v>
      </c>
    </row>
    <row r="2521" customFormat="false" ht="54" hidden="false" customHeight="true" outlineLevel="0" collapsed="false">
      <c r="A2521" s="32" t="s">
        <v>12801</v>
      </c>
      <c r="B2521" s="32" t="s">
        <v>6149</v>
      </c>
      <c r="C2521" s="33" t="s">
        <v>98</v>
      </c>
      <c r="D2521" s="33" t="s">
        <v>59</v>
      </c>
      <c r="E2521" s="33" t="s">
        <v>82</v>
      </c>
      <c r="F2521" s="33" t="s">
        <v>6159</v>
      </c>
      <c r="G2521" s="33" t="s">
        <v>9</v>
      </c>
      <c r="H2521" s="33" t="n">
        <v>10</v>
      </c>
    </row>
    <row r="2522" customFormat="false" ht="54" hidden="false" customHeight="true" outlineLevel="0" collapsed="false">
      <c r="A2522" s="32" t="s">
        <v>12802</v>
      </c>
      <c r="B2522" s="32" t="s">
        <v>6149</v>
      </c>
      <c r="C2522" s="33" t="s">
        <v>98</v>
      </c>
      <c r="D2522" s="33" t="s">
        <v>59</v>
      </c>
      <c r="E2522" s="33" t="s">
        <v>83</v>
      </c>
      <c r="F2522" s="33" t="s">
        <v>6160</v>
      </c>
      <c r="G2522" s="33" t="s">
        <v>9</v>
      </c>
      <c r="H2522" s="33" t="n">
        <v>10</v>
      </c>
    </row>
    <row r="2523" customFormat="false" ht="54" hidden="false" customHeight="true" outlineLevel="0" collapsed="false">
      <c r="A2523" s="32" t="s">
        <v>12803</v>
      </c>
      <c r="B2523" s="32" t="s">
        <v>6149</v>
      </c>
      <c r="C2523" s="33" t="s">
        <v>98</v>
      </c>
      <c r="D2523" s="33" t="s">
        <v>59</v>
      </c>
      <c r="E2523" s="33" t="s">
        <v>84</v>
      </c>
      <c r="F2523" s="33" t="s">
        <v>183</v>
      </c>
      <c r="G2523" s="33" t="s">
        <v>9</v>
      </c>
      <c r="H2523" s="33" t="n">
        <v>10</v>
      </c>
    </row>
    <row r="2524" customFormat="false" ht="54" hidden="false" customHeight="true" outlineLevel="0" collapsed="false">
      <c r="A2524" s="32" t="s">
        <v>12804</v>
      </c>
      <c r="B2524" s="32" t="s">
        <v>6163</v>
      </c>
      <c r="C2524" s="33" t="s">
        <v>98</v>
      </c>
      <c r="D2524" s="33" t="s">
        <v>59</v>
      </c>
      <c r="E2524" s="33" t="s">
        <v>80</v>
      </c>
      <c r="F2524" s="33" t="s">
        <v>183</v>
      </c>
      <c r="G2524" s="33" t="s">
        <v>9</v>
      </c>
      <c r="H2524" s="33" t="n">
        <v>10</v>
      </c>
    </row>
    <row r="2525" customFormat="false" ht="54" hidden="false" customHeight="true" outlineLevel="0" collapsed="false">
      <c r="A2525" s="32" t="s">
        <v>12805</v>
      </c>
      <c r="B2525" s="32" t="s">
        <v>6163</v>
      </c>
      <c r="C2525" s="33" t="s">
        <v>98</v>
      </c>
      <c r="D2525" s="33" t="s">
        <v>59</v>
      </c>
      <c r="E2525" s="33" t="s">
        <v>80</v>
      </c>
      <c r="F2525" s="33" t="s">
        <v>12806</v>
      </c>
      <c r="G2525" s="33" t="s">
        <v>9</v>
      </c>
      <c r="H2525" s="33" t="n">
        <v>10</v>
      </c>
    </row>
    <row r="2526" customFormat="false" ht="54" hidden="false" customHeight="true" outlineLevel="0" collapsed="false">
      <c r="A2526" s="32" t="s">
        <v>12807</v>
      </c>
      <c r="B2526" s="32" t="s">
        <v>6163</v>
      </c>
      <c r="C2526" s="33" t="s">
        <v>98</v>
      </c>
      <c r="D2526" s="33" t="s">
        <v>59</v>
      </c>
      <c r="E2526" s="33" t="s">
        <v>80</v>
      </c>
      <c r="F2526" s="33" t="s">
        <v>12808</v>
      </c>
      <c r="G2526" s="33" t="s">
        <v>9</v>
      </c>
      <c r="H2526" s="33" t="n">
        <v>10</v>
      </c>
    </row>
    <row r="2527" customFormat="false" ht="54" hidden="false" customHeight="true" outlineLevel="0" collapsed="false">
      <c r="A2527" s="32" t="s">
        <v>12809</v>
      </c>
      <c r="B2527" s="32" t="s">
        <v>6163</v>
      </c>
      <c r="C2527" s="33" t="s">
        <v>98</v>
      </c>
      <c r="D2527" s="33" t="s">
        <v>59</v>
      </c>
      <c r="E2527" s="33" t="s">
        <v>81</v>
      </c>
      <c r="F2527" s="33" t="s">
        <v>6169</v>
      </c>
      <c r="G2527" s="33" t="s">
        <v>9</v>
      </c>
      <c r="H2527" s="33" t="n">
        <v>10</v>
      </c>
    </row>
    <row r="2528" customFormat="false" ht="54" hidden="false" customHeight="true" outlineLevel="0" collapsed="false">
      <c r="A2528" s="32" t="s">
        <v>12810</v>
      </c>
      <c r="B2528" s="32" t="s">
        <v>6163</v>
      </c>
      <c r="C2528" s="33" t="s">
        <v>98</v>
      </c>
      <c r="D2528" s="33" t="s">
        <v>59</v>
      </c>
      <c r="E2528" s="33" t="s">
        <v>82</v>
      </c>
      <c r="F2528" s="33" t="s">
        <v>6166</v>
      </c>
      <c r="G2528" s="33" t="s">
        <v>9</v>
      </c>
      <c r="H2528" s="33" t="n">
        <v>10</v>
      </c>
    </row>
    <row r="2529" customFormat="false" ht="54" hidden="false" customHeight="true" outlineLevel="0" collapsed="false">
      <c r="A2529" s="32" t="s">
        <v>12811</v>
      </c>
      <c r="B2529" s="32" t="s">
        <v>6163</v>
      </c>
      <c r="C2529" s="33" t="s">
        <v>98</v>
      </c>
      <c r="D2529" s="33" t="s">
        <v>59</v>
      </c>
      <c r="E2529" s="33" t="s">
        <v>82</v>
      </c>
      <c r="F2529" s="33" t="s">
        <v>6167</v>
      </c>
      <c r="G2529" s="33" t="s">
        <v>9</v>
      </c>
      <c r="H2529" s="33" t="n">
        <v>10</v>
      </c>
    </row>
    <row r="2530" customFormat="false" ht="54" hidden="false" customHeight="true" outlineLevel="0" collapsed="false">
      <c r="A2530" s="32" t="s">
        <v>12812</v>
      </c>
      <c r="B2530" s="32" t="s">
        <v>6163</v>
      </c>
      <c r="C2530" s="33" t="s">
        <v>98</v>
      </c>
      <c r="D2530" s="33" t="s">
        <v>59</v>
      </c>
      <c r="E2530" s="33" t="s">
        <v>82</v>
      </c>
      <c r="F2530" s="33" t="s">
        <v>12806</v>
      </c>
      <c r="G2530" s="33" t="s">
        <v>9</v>
      </c>
      <c r="H2530" s="33" t="n">
        <v>10</v>
      </c>
    </row>
    <row r="2531" customFormat="false" ht="54" hidden="false" customHeight="true" outlineLevel="0" collapsed="false">
      <c r="A2531" s="32" t="s">
        <v>12813</v>
      </c>
      <c r="B2531" s="32" t="s">
        <v>6163</v>
      </c>
      <c r="C2531" s="33" t="s">
        <v>98</v>
      </c>
      <c r="D2531" s="33" t="s">
        <v>59</v>
      </c>
      <c r="E2531" s="33" t="s">
        <v>84</v>
      </c>
      <c r="F2531" s="33" t="s">
        <v>6166</v>
      </c>
      <c r="G2531" s="33" t="s">
        <v>9</v>
      </c>
      <c r="H2531" s="33" t="n">
        <v>10</v>
      </c>
    </row>
    <row r="2532" customFormat="false" ht="54" hidden="false" customHeight="true" outlineLevel="0" collapsed="false">
      <c r="A2532" s="32" t="s">
        <v>12814</v>
      </c>
      <c r="B2532" s="32" t="s">
        <v>6163</v>
      </c>
      <c r="C2532" s="33" t="s">
        <v>98</v>
      </c>
      <c r="D2532" s="33" t="s">
        <v>59</v>
      </c>
      <c r="E2532" s="33" t="s">
        <v>84</v>
      </c>
      <c r="F2532" s="33" t="s">
        <v>183</v>
      </c>
      <c r="G2532" s="33" t="s">
        <v>9</v>
      </c>
      <c r="H2532" s="33" t="n">
        <v>10</v>
      </c>
    </row>
    <row r="2533" customFormat="false" ht="54" hidden="false" customHeight="true" outlineLevel="0" collapsed="false">
      <c r="A2533" s="32" t="s">
        <v>12815</v>
      </c>
      <c r="B2533" s="32" t="s">
        <v>6163</v>
      </c>
      <c r="C2533" s="33" t="s">
        <v>98</v>
      </c>
      <c r="D2533" s="33" t="s">
        <v>59</v>
      </c>
      <c r="E2533" s="33" t="s">
        <v>84</v>
      </c>
      <c r="F2533" s="33" t="s">
        <v>12806</v>
      </c>
      <c r="G2533" s="33" t="s">
        <v>9</v>
      </c>
      <c r="H2533" s="33" t="n">
        <v>10</v>
      </c>
    </row>
    <row r="2534" customFormat="false" ht="54" hidden="false" customHeight="true" outlineLevel="0" collapsed="false">
      <c r="A2534" s="32" t="s">
        <v>12816</v>
      </c>
      <c r="B2534" s="32" t="s">
        <v>6176</v>
      </c>
      <c r="C2534" s="33" t="s">
        <v>98</v>
      </c>
      <c r="D2534" s="33" t="s">
        <v>59</v>
      </c>
      <c r="E2534" s="33" t="s">
        <v>80</v>
      </c>
      <c r="F2534" s="33" t="s">
        <v>183</v>
      </c>
      <c r="G2534" s="33" t="s">
        <v>9</v>
      </c>
      <c r="H2534" s="33" t="n">
        <v>10</v>
      </c>
    </row>
    <row r="2535" customFormat="false" ht="54" hidden="false" customHeight="true" outlineLevel="0" collapsed="false">
      <c r="A2535" s="32" t="s">
        <v>12817</v>
      </c>
      <c r="B2535" s="32" t="s">
        <v>6176</v>
      </c>
      <c r="C2535" s="33" t="s">
        <v>98</v>
      </c>
      <c r="D2535" s="33" t="s">
        <v>59</v>
      </c>
      <c r="E2535" s="33" t="s">
        <v>80</v>
      </c>
      <c r="F2535" s="33" t="s">
        <v>12818</v>
      </c>
      <c r="G2535" s="33" t="s">
        <v>9</v>
      </c>
      <c r="H2535" s="33" t="n">
        <v>10</v>
      </c>
    </row>
    <row r="2536" customFormat="false" ht="54" hidden="false" customHeight="true" outlineLevel="0" collapsed="false">
      <c r="A2536" s="32" t="s">
        <v>12819</v>
      </c>
      <c r="B2536" s="32" t="s">
        <v>6176</v>
      </c>
      <c r="C2536" s="33" t="s">
        <v>98</v>
      </c>
      <c r="D2536" s="33" t="s">
        <v>59</v>
      </c>
      <c r="E2536" s="33" t="s">
        <v>84</v>
      </c>
      <c r="F2536" s="33" t="s">
        <v>183</v>
      </c>
      <c r="G2536" s="33" t="s">
        <v>9</v>
      </c>
      <c r="H2536" s="33" t="n">
        <v>10</v>
      </c>
    </row>
    <row r="2537" customFormat="false" ht="54" hidden="false" customHeight="true" outlineLevel="0" collapsed="false">
      <c r="A2537" s="32" t="s">
        <v>12820</v>
      </c>
      <c r="B2537" s="32" t="s">
        <v>6176</v>
      </c>
      <c r="C2537" s="33" t="s">
        <v>98</v>
      </c>
      <c r="D2537" s="33" t="s">
        <v>59</v>
      </c>
      <c r="E2537" s="33" t="s">
        <v>84</v>
      </c>
      <c r="F2537" s="33" t="s">
        <v>12821</v>
      </c>
      <c r="G2537" s="33" t="s">
        <v>9</v>
      </c>
      <c r="H2537" s="33" t="n">
        <v>10</v>
      </c>
    </row>
    <row r="2538" customFormat="false" ht="54" hidden="false" customHeight="true" outlineLevel="0" collapsed="false">
      <c r="A2538" s="32" t="s">
        <v>12822</v>
      </c>
      <c r="B2538" s="32" t="s">
        <v>6187</v>
      </c>
      <c r="C2538" s="33" t="s">
        <v>98</v>
      </c>
      <c r="D2538" s="33" t="s">
        <v>59</v>
      </c>
      <c r="E2538" s="33" t="s">
        <v>80</v>
      </c>
      <c r="F2538" s="33" t="s">
        <v>183</v>
      </c>
      <c r="G2538" s="33" t="s">
        <v>9</v>
      </c>
      <c r="H2538" s="33" t="n">
        <v>10</v>
      </c>
    </row>
    <row r="2539" customFormat="false" ht="54" hidden="false" customHeight="true" outlineLevel="0" collapsed="false">
      <c r="A2539" s="32" t="s">
        <v>12823</v>
      </c>
      <c r="B2539" s="32" t="s">
        <v>6187</v>
      </c>
      <c r="C2539" s="33" t="s">
        <v>98</v>
      </c>
      <c r="D2539" s="33" t="s">
        <v>59</v>
      </c>
      <c r="E2539" s="33" t="s">
        <v>80</v>
      </c>
      <c r="F2539" s="33" t="s">
        <v>12824</v>
      </c>
      <c r="G2539" s="33" t="s">
        <v>9</v>
      </c>
      <c r="H2539" s="33" t="n">
        <v>10</v>
      </c>
    </row>
    <row r="2540" customFormat="false" ht="54" hidden="false" customHeight="true" outlineLevel="0" collapsed="false">
      <c r="A2540" s="32" t="s">
        <v>12825</v>
      </c>
      <c r="B2540" s="32" t="s">
        <v>6187</v>
      </c>
      <c r="C2540" s="33" t="s">
        <v>98</v>
      </c>
      <c r="D2540" s="33" t="s">
        <v>59</v>
      </c>
      <c r="E2540" s="33" t="s">
        <v>80</v>
      </c>
      <c r="F2540" s="33" t="s">
        <v>12826</v>
      </c>
      <c r="G2540" s="33" t="s">
        <v>9</v>
      </c>
      <c r="H2540" s="33" t="n">
        <v>10</v>
      </c>
    </row>
    <row r="2541" customFormat="false" ht="54" hidden="false" customHeight="true" outlineLevel="0" collapsed="false">
      <c r="A2541" s="32" t="s">
        <v>12827</v>
      </c>
      <c r="B2541" s="32" t="s">
        <v>6187</v>
      </c>
      <c r="C2541" s="33" t="s">
        <v>98</v>
      </c>
      <c r="D2541" s="33" t="s">
        <v>59</v>
      </c>
      <c r="E2541" s="33" t="s">
        <v>80</v>
      </c>
      <c r="F2541" s="33" t="s">
        <v>6195</v>
      </c>
      <c r="G2541" s="33" t="s">
        <v>9</v>
      </c>
      <c r="H2541" s="33" t="n">
        <v>10</v>
      </c>
    </row>
    <row r="2542" customFormat="false" ht="54" hidden="false" customHeight="true" outlineLevel="0" collapsed="false">
      <c r="A2542" s="32" t="s">
        <v>12828</v>
      </c>
      <c r="B2542" s="32" t="s">
        <v>6187</v>
      </c>
      <c r="C2542" s="33" t="s">
        <v>98</v>
      </c>
      <c r="D2542" s="33" t="s">
        <v>59</v>
      </c>
      <c r="E2542" s="33" t="s">
        <v>84</v>
      </c>
      <c r="F2542" s="33" t="s">
        <v>183</v>
      </c>
      <c r="G2542" s="33" t="s">
        <v>9</v>
      </c>
      <c r="H2542" s="33" t="n">
        <v>10</v>
      </c>
    </row>
    <row r="2543" customFormat="false" ht="54" hidden="false" customHeight="true" outlineLevel="0" collapsed="false">
      <c r="A2543" s="32" t="s">
        <v>12829</v>
      </c>
      <c r="B2543" s="32" t="s">
        <v>6200</v>
      </c>
      <c r="C2543" s="33" t="s">
        <v>98</v>
      </c>
      <c r="D2543" s="33" t="s">
        <v>59</v>
      </c>
      <c r="E2543" s="33" t="s">
        <v>80</v>
      </c>
      <c r="F2543" s="33" t="s">
        <v>183</v>
      </c>
      <c r="G2543" s="33" t="s">
        <v>9</v>
      </c>
      <c r="H2543" s="33" t="n">
        <v>10</v>
      </c>
    </row>
    <row r="2544" customFormat="false" ht="54" hidden="false" customHeight="true" outlineLevel="0" collapsed="false">
      <c r="A2544" s="32" t="s">
        <v>12830</v>
      </c>
      <c r="B2544" s="32" t="s">
        <v>6200</v>
      </c>
      <c r="C2544" s="33" t="s">
        <v>98</v>
      </c>
      <c r="D2544" s="33" t="s">
        <v>59</v>
      </c>
      <c r="E2544" s="33" t="s">
        <v>80</v>
      </c>
      <c r="F2544" s="33" t="s">
        <v>6210</v>
      </c>
      <c r="G2544" s="33" t="s">
        <v>9</v>
      </c>
      <c r="H2544" s="33" t="n">
        <v>10</v>
      </c>
    </row>
    <row r="2545" customFormat="false" ht="54" hidden="false" customHeight="true" outlineLevel="0" collapsed="false">
      <c r="A2545" s="32" t="s">
        <v>12831</v>
      </c>
      <c r="B2545" s="32" t="s">
        <v>6200</v>
      </c>
      <c r="C2545" s="33" t="s">
        <v>98</v>
      </c>
      <c r="D2545" s="33" t="s">
        <v>59</v>
      </c>
      <c r="E2545" s="33" t="s">
        <v>80</v>
      </c>
      <c r="F2545" s="33" t="s">
        <v>12832</v>
      </c>
      <c r="G2545" s="33" t="s">
        <v>9</v>
      </c>
      <c r="H2545" s="33" t="n">
        <v>10</v>
      </c>
    </row>
    <row r="2546" customFormat="false" ht="54" hidden="false" customHeight="true" outlineLevel="0" collapsed="false">
      <c r="A2546" s="32" t="s">
        <v>12833</v>
      </c>
      <c r="B2546" s="32" t="s">
        <v>6200</v>
      </c>
      <c r="C2546" s="33" t="s">
        <v>98</v>
      </c>
      <c r="D2546" s="33" t="s">
        <v>59</v>
      </c>
      <c r="E2546" s="33" t="s">
        <v>82</v>
      </c>
      <c r="F2546" s="33" t="s">
        <v>6210</v>
      </c>
      <c r="G2546" s="33" t="s">
        <v>9</v>
      </c>
      <c r="H2546" s="33" t="n">
        <v>10</v>
      </c>
    </row>
    <row r="2547" customFormat="false" ht="54" hidden="false" customHeight="true" outlineLevel="0" collapsed="false">
      <c r="A2547" s="32" t="s">
        <v>12834</v>
      </c>
      <c r="B2547" s="32" t="s">
        <v>6200</v>
      </c>
      <c r="C2547" s="33" t="s">
        <v>98</v>
      </c>
      <c r="D2547" s="33" t="s">
        <v>59</v>
      </c>
      <c r="E2547" s="33" t="s">
        <v>84</v>
      </c>
      <c r="F2547" s="33" t="s">
        <v>6205</v>
      </c>
      <c r="G2547" s="33" t="s">
        <v>9</v>
      </c>
      <c r="H2547" s="33" t="n">
        <v>10</v>
      </c>
    </row>
    <row r="2548" customFormat="false" ht="54" hidden="false" customHeight="true" outlineLevel="0" collapsed="false">
      <c r="A2548" s="32" t="s">
        <v>12835</v>
      </c>
      <c r="B2548" s="32" t="s">
        <v>6200</v>
      </c>
      <c r="C2548" s="33" t="s">
        <v>98</v>
      </c>
      <c r="D2548" s="33" t="s">
        <v>59</v>
      </c>
      <c r="E2548" s="33" t="s">
        <v>84</v>
      </c>
      <c r="F2548" s="33" t="s">
        <v>183</v>
      </c>
      <c r="G2548" s="33" t="s">
        <v>9</v>
      </c>
      <c r="H2548" s="33" t="n">
        <v>10</v>
      </c>
    </row>
    <row r="2549" customFormat="false" ht="54" hidden="false" customHeight="true" outlineLevel="0" collapsed="false">
      <c r="A2549" s="32" t="s">
        <v>12836</v>
      </c>
      <c r="B2549" s="32" t="s">
        <v>6200</v>
      </c>
      <c r="C2549" s="33" t="s">
        <v>98</v>
      </c>
      <c r="D2549" s="33" t="s">
        <v>59</v>
      </c>
      <c r="E2549" s="33" t="s">
        <v>84</v>
      </c>
      <c r="F2549" s="33" t="s">
        <v>6210</v>
      </c>
      <c r="G2549" s="33" t="s">
        <v>9</v>
      </c>
      <c r="H2549" s="33" t="n">
        <v>10</v>
      </c>
    </row>
    <row r="2550" customFormat="false" ht="54" hidden="false" customHeight="true" outlineLevel="0" collapsed="false">
      <c r="A2550" s="32" t="s">
        <v>12837</v>
      </c>
      <c r="B2550" s="32" t="s">
        <v>6214</v>
      </c>
      <c r="C2550" s="33" t="s">
        <v>98</v>
      </c>
      <c r="D2550" s="33" t="s">
        <v>59</v>
      </c>
      <c r="E2550" s="33" t="s">
        <v>81</v>
      </c>
      <c r="F2550" s="33" t="s">
        <v>6223</v>
      </c>
      <c r="G2550" s="33" t="s">
        <v>9</v>
      </c>
      <c r="H2550" s="33" t="n">
        <v>10</v>
      </c>
    </row>
    <row r="2551" customFormat="false" ht="54" hidden="false" customHeight="true" outlineLevel="0" collapsed="false">
      <c r="A2551" s="32" t="s">
        <v>12838</v>
      </c>
      <c r="B2551" s="32" t="s">
        <v>6214</v>
      </c>
      <c r="C2551" s="33" t="s">
        <v>98</v>
      </c>
      <c r="D2551" s="33" t="s">
        <v>59</v>
      </c>
      <c r="E2551" s="33" t="s">
        <v>82</v>
      </c>
      <c r="F2551" s="33" t="s">
        <v>6220</v>
      </c>
      <c r="G2551" s="33" t="s">
        <v>9</v>
      </c>
      <c r="H2551" s="33" t="n">
        <v>10</v>
      </c>
    </row>
    <row r="2552" customFormat="false" ht="54" hidden="false" customHeight="true" outlineLevel="0" collapsed="false">
      <c r="A2552" s="32" t="s">
        <v>12839</v>
      </c>
      <c r="B2552" s="32" t="s">
        <v>6214</v>
      </c>
      <c r="C2552" s="33" t="s">
        <v>98</v>
      </c>
      <c r="D2552" s="33" t="s">
        <v>59</v>
      </c>
      <c r="E2552" s="33" t="s">
        <v>84</v>
      </c>
      <c r="F2552" s="33" t="s">
        <v>6219</v>
      </c>
      <c r="G2552" s="33" t="s">
        <v>9</v>
      </c>
      <c r="H2552" s="33" t="n">
        <v>10</v>
      </c>
    </row>
    <row r="2553" customFormat="false" ht="54" hidden="false" customHeight="true" outlineLevel="0" collapsed="false">
      <c r="A2553" s="32" t="s">
        <v>12840</v>
      </c>
      <c r="B2553" s="32" t="s">
        <v>711</v>
      </c>
      <c r="C2553" s="33" t="s">
        <v>98</v>
      </c>
      <c r="D2553" s="33" t="s">
        <v>59</v>
      </c>
      <c r="E2553" s="33" t="s">
        <v>80</v>
      </c>
      <c r="F2553" s="33" t="s">
        <v>6227</v>
      </c>
      <c r="G2553" s="33" t="s">
        <v>9</v>
      </c>
      <c r="H2553" s="33" t="n">
        <v>10</v>
      </c>
    </row>
    <row r="2554" customFormat="false" ht="54" hidden="false" customHeight="true" outlineLevel="0" collapsed="false">
      <c r="A2554" s="32" t="s">
        <v>12841</v>
      </c>
      <c r="B2554" s="32" t="s">
        <v>711</v>
      </c>
      <c r="C2554" s="33" t="s">
        <v>98</v>
      </c>
      <c r="D2554" s="33" t="s">
        <v>59</v>
      </c>
      <c r="E2554" s="33" t="s">
        <v>81</v>
      </c>
      <c r="F2554" s="33" t="s">
        <v>6230</v>
      </c>
      <c r="G2554" s="33" t="s">
        <v>9</v>
      </c>
      <c r="H2554" s="33" t="n">
        <v>10</v>
      </c>
    </row>
    <row r="2555" customFormat="false" ht="54" hidden="false" customHeight="true" outlineLevel="0" collapsed="false">
      <c r="A2555" s="32" t="s">
        <v>12842</v>
      </c>
      <c r="B2555" s="32" t="s">
        <v>711</v>
      </c>
      <c r="C2555" s="33" t="s">
        <v>98</v>
      </c>
      <c r="D2555" s="33" t="s">
        <v>59</v>
      </c>
      <c r="E2555" s="33" t="s">
        <v>82</v>
      </c>
      <c r="F2555" s="33" t="s">
        <v>6227</v>
      </c>
      <c r="G2555" s="33" t="s">
        <v>9</v>
      </c>
      <c r="H2555" s="33" t="n">
        <v>10</v>
      </c>
    </row>
    <row r="2556" customFormat="false" ht="54" hidden="false" customHeight="true" outlineLevel="0" collapsed="false">
      <c r="A2556" s="32" t="s">
        <v>12843</v>
      </c>
      <c r="B2556" s="32" t="s">
        <v>711</v>
      </c>
      <c r="C2556" s="33" t="s">
        <v>98</v>
      </c>
      <c r="D2556" s="33" t="s">
        <v>59</v>
      </c>
      <c r="E2556" s="33" t="s">
        <v>84</v>
      </c>
      <c r="F2556" s="33" t="s">
        <v>6226</v>
      </c>
      <c r="G2556" s="33" t="s">
        <v>9</v>
      </c>
      <c r="H2556" s="33" t="n">
        <v>10</v>
      </c>
    </row>
    <row r="2557" customFormat="false" ht="54" hidden="false" customHeight="true" outlineLevel="0" collapsed="false">
      <c r="A2557" s="32" t="s">
        <v>12844</v>
      </c>
      <c r="B2557" s="32" t="s">
        <v>711</v>
      </c>
      <c r="C2557" s="33" t="s">
        <v>98</v>
      </c>
      <c r="D2557" s="33" t="s">
        <v>59</v>
      </c>
      <c r="E2557" s="33" t="s">
        <v>84</v>
      </c>
      <c r="F2557" s="33" t="s">
        <v>6228</v>
      </c>
      <c r="G2557" s="33" t="s">
        <v>9</v>
      </c>
      <c r="H2557" s="33" t="n">
        <v>10</v>
      </c>
    </row>
    <row r="2558" customFormat="false" ht="54" hidden="false" customHeight="true" outlineLevel="0" collapsed="false">
      <c r="A2558" s="32" t="s">
        <v>12845</v>
      </c>
      <c r="B2558" s="32" t="s">
        <v>408</v>
      </c>
      <c r="C2558" s="33" t="s">
        <v>98</v>
      </c>
      <c r="D2558" s="33" t="s">
        <v>59</v>
      </c>
      <c r="E2558" s="33" t="s">
        <v>80</v>
      </c>
      <c r="F2558" s="33" t="s">
        <v>183</v>
      </c>
      <c r="G2558" s="33" t="s">
        <v>9</v>
      </c>
      <c r="H2558" s="33" t="n">
        <v>10</v>
      </c>
    </row>
    <row r="2559" customFormat="false" ht="54" hidden="false" customHeight="true" outlineLevel="0" collapsed="false">
      <c r="A2559" s="32" t="s">
        <v>12846</v>
      </c>
      <c r="B2559" s="32" t="s">
        <v>408</v>
      </c>
      <c r="C2559" s="33" t="s">
        <v>98</v>
      </c>
      <c r="D2559" s="33" t="s">
        <v>59</v>
      </c>
      <c r="E2559" s="33" t="s">
        <v>84</v>
      </c>
      <c r="F2559" s="33" t="s">
        <v>183</v>
      </c>
      <c r="G2559" s="33" t="s">
        <v>9</v>
      </c>
      <c r="H2559" s="33" t="n">
        <v>10</v>
      </c>
    </row>
    <row r="2560" customFormat="false" ht="54" hidden="false" customHeight="true" outlineLevel="0" collapsed="false">
      <c r="A2560" s="32" t="s">
        <v>12847</v>
      </c>
      <c r="B2560" s="32" t="s">
        <v>408</v>
      </c>
      <c r="C2560" s="33" t="s">
        <v>98</v>
      </c>
      <c r="D2560" s="33" t="s">
        <v>59</v>
      </c>
      <c r="E2560" s="33" t="s">
        <v>86</v>
      </c>
      <c r="F2560" s="33" t="s">
        <v>6240</v>
      </c>
      <c r="G2560" s="33" t="s">
        <v>9</v>
      </c>
      <c r="H2560" s="33" t="n">
        <v>10</v>
      </c>
    </row>
    <row r="2561" customFormat="false" ht="54" hidden="false" customHeight="true" outlineLevel="0" collapsed="false">
      <c r="A2561" s="32" t="s">
        <v>12848</v>
      </c>
      <c r="B2561" s="32" t="s">
        <v>6244</v>
      </c>
      <c r="C2561" s="33" t="s">
        <v>98</v>
      </c>
      <c r="D2561" s="33" t="s">
        <v>59</v>
      </c>
      <c r="E2561" s="33" t="s">
        <v>80</v>
      </c>
      <c r="F2561" s="33" t="s">
        <v>183</v>
      </c>
      <c r="G2561" s="33" t="s">
        <v>9</v>
      </c>
      <c r="H2561" s="33" t="n">
        <v>10</v>
      </c>
    </row>
    <row r="2562" customFormat="false" ht="54" hidden="false" customHeight="true" outlineLevel="0" collapsed="false">
      <c r="A2562" s="32" t="s">
        <v>12849</v>
      </c>
      <c r="B2562" s="32" t="s">
        <v>6244</v>
      </c>
      <c r="C2562" s="33" t="s">
        <v>98</v>
      </c>
      <c r="D2562" s="33" t="s">
        <v>59</v>
      </c>
      <c r="E2562" s="33" t="s">
        <v>80</v>
      </c>
      <c r="F2562" s="33" t="s">
        <v>12850</v>
      </c>
      <c r="G2562" s="33" t="s">
        <v>9</v>
      </c>
      <c r="H2562" s="33" t="n">
        <v>10</v>
      </c>
    </row>
    <row r="2563" customFormat="false" ht="54" hidden="false" customHeight="true" outlineLevel="0" collapsed="false">
      <c r="A2563" s="32" t="s">
        <v>12851</v>
      </c>
      <c r="B2563" s="32" t="s">
        <v>6244</v>
      </c>
      <c r="C2563" s="33" t="s">
        <v>98</v>
      </c>
      <c r="D2563" s="33" t="s">
        <v>59</v>
      </c>
      <c r="E2563" s="33" t="s">
        <v>80</v>
      </c>
      <c r="F2563" s="33" t="s">
        <v>12852</v>
      </c>
      <c r="G2563" s="33" t="s">
        <v>9</v>
      </c>
      <c r="H2563" s="33" t="n">
        <v>10</v>
      </c>
    </row>
    <row r="2564" customFormat="false" ht="54" hidden="false" customHeight="true" outlineLevel="0" collapsed="false">
      <c r="A2564" s="32" t="s">
        <v>12853</v>
      </c>
      <c r="B2564" s="32" t="s">
        <v>6244</v>
      </c>
      <c r="C2564" s="33" t="s">
        <v>98</v>
      </c>
      <c r="D2564" s="33" t="s">
        <v>59</v>
      </c>
      <c r="E2564" s="33" t="s">
        <v>81</v>
      </c>
      <c r="F2564" s="33" t="s">
        <v>6249</v>
      </c>
      <c r="G2564" s="33" t="s">
        <v>9</v>
      </c>
      <c r="H2564" s="33" t="n">
        <v>10</v>
      </c>
    </row>
    <row r="2565" customFormat="false" ht="54" hidden="false" customHeight="true" outlineLevel="0" collapsed="false">
      <c r="A2565" s="32" t="s">
        <v>12854</v>
      </c>
      <c r="B2565" s="32" t="s">
        <v>6244</v>
      </c>
      <c r="C2565" s="33" t="s">
        <v>98</v>
      </c>
      <c r="D2565" s="33" t="s">
        <v>59</v>
      </c>
      <c r="E2565" s="33" t="s">
        <v>81</v>
      </c>
      <c r="F2565" s="33" t="s">
        <v>12850</v>
      </c>
      <c r="G2565" s="33" t="s">
        <v>9</v>
      </c>
      <c r="H2565" s="33" t="n">
        <v>10</v>
      </c>
    </row>
    <row r="2566" customFormat="false" ht="54" hidden="false" customHeight="true" outlineLevel="0" collapsed="false">
      <c r="A2566" s="32" t="s">
        <v>12855</v>
      </c>
      <c r="B2566" s="32" t="s">
        <v>6244</v>
      </c>
      <c r="C2566" s="33" t="s">
        <v>98</v>
      </c>
      <c r="D2566" s="33" t="s">
        <v>59</v>
      </c>
      <c r="E2566" s="33" t="s">
        <v>81</v>
      </c>
      <c r="F2566" s="33" t="s">
        <v>6253</v>
      </c>
      <c r="G2566" s="33" t="s">
        <v>9</v>
      </c>
      <c r="H2566" s="33" t="n">
        <v>10</v>
      </c>
    </row>
    <row r="2567" customFormat="false" ht="54" hidden="false" customHeight="true" outlineLevel="0" collapsed="false">
      <c r="A2567" s="32" t="s">
        <v>12856</v>
      </c>
      <c r="B2567" s="32" t="s">
        <v>6244</v>
      </c>
      <c r="C2567" s="33" t="s">
        <v>98</v>
      </c>
      <c r="D2567" s="33" t="s">
        <v>59</v>
      </c>
      <c r="E2567" s="33" t="s">
        <v>82</v>
      </c>
      <c r="F2567" s="33" t="s">
        <v>6250</v>
      </c>
      <c r="G2567" s="33" t="s">
        <v>9</v>
      </c>
      <c r="H2567" s="33" t="n">
        <v>10</v>
      </c>
    </row>
    <row r="2568" customFormat="false" ht="54" hidden="false" customHeight="true" outlineLevel="0" collapsed="false">
      <c r="A2568" s="32" t="s">
        <v>12857</v>
      </c>
      <c r="B2568" s="32" t="s">
        <v>6244</v>
      </c>
      <c r="C2568" s="33" t="s">
        <v>98</v>
      </c>
      <c r="D2568" s="33" t="s">
        <v>59</v>
      </c>
      <c r="E2568" s="33" t="s">
        <v>82</v>
      </c>
      <c r="F2568" s="33" t="s">
        <v>12850</v>
      </c>
      <c r="G2568" s="33" t="s">
        <v>9</v>
      </c>
      <c r="H2568" s="33" t="n">
        <v>10</v>
      </c>
    </row>
    <row r="2569" customFormat="false" ht="54" hidden="false" customHeight="true" outlineLevel="0" collapsed="false">
      <c r="A2569" s="32" t="s">
        <v>12858</v>
      </c>
      <c r="B2569" s="32" t="s">
        <v>6244</v>
      </c>
      <c r="C2569" s="33" t="s">
        <v>98</v>
      </c>
      <c r="D2569" s="33" t="s">
        <v>59</v>
      </c>
      <c r="E2569" s="33" t="s">
        <v>82</v>
      </c>
      <c r="F2569" s="33" t="s">
        <v>6253</v>
      </c>
      <c r="G2569" s="33" t="s">
        <v>9</v>
      </c>
      <c r="H2569" s="33" t="n">
        <v>10</v>
      </c>
    </row>
    <row r="2570" customFormat="false" ht="54" hidden="false" customHeight="true" outlineLevel="0" collapsed="false">
      <c r="A2570" s="32" t="s">
        <v>12859</v>
      </c>
      <c r="B2570" s="32" t="s">
        <v>6244</v>
      </c>
      <c r="C2570" s="33" t="s">
        <v>98</v>
      </c>
      <c r="D2570" s="33" t="s">
        <v>59</v>
      </c>
      <c r="E2570" s="33" t="s">
        <v>83</v>
      </c>
      <c r="F2570" s="33" t="s">
        <v>6250</v>
      </c>
      <c r="G2570" s="33" t="s">
        <v>9</v>
      </c>
      <c r="H2570" s="33" t="n">
        <v>10</v>
      </c>
    </row>
    <row r="2571" customFormat="false" ht="54" hidden="false" customHeight="true" outlineLevel="0" collapsed="false">
      <c r="A2571" s="32" t="s">
        <v>12860</v>
      </c>
      <c r="B2571" s="32" t="s">
        <v>6244</v>
      </c>
      <c r="C2571" s="33" t="s">
        <v>98</v>
      </c>
      <c r="D2571" s="33" t="s">
        <v>59</v>
      </c>
      <c r="E2571" s="33" t="s">
        <v>84</v>
      </c>
      <c r="F2571" s="33" t="s">
        <v>183</v>
      </c>
      <c r="G2571" s="33" t="s">
        <v>9</v>
      </c>
      <c r="H2571" s="33" t="n">
        <v>10</v>
      </c>
    </row>
    <row r="2572" customFormat="false" ht="54" hidden="false" customHeight="true" outlineLevel="0" collapsed="false">
      <c r="A2572" s="32" t="s">
        <v>12861</v>
      </c>
      <c r="B2572" s="32" t="s">
        <v>6244</v>
      </c>
      <c r="C2572" s="33" t="s">
        <v>98</v>
      </c>
      <c r="D2572" s="33" t="s">
        <v>59</v>
      </c>
      <c r="E2572" s="33" t="s">
        <v>84</v>
      </c>
      <c r="F2572" s="33" t="s">
        <v>12852</v>
      </c>
      <c r="G2572" s="33" t="s">
        <v>9</v>
      </c>
      <c r="H2572" s="33" t="n">
        <v>10</v>
      </c>
    </row>
    <row r="2573" customFormat="false" ht="54" hidden="false" customHeight="true" outlineLevel="0" collapsed="false">
      <c r="A2573" s="32" t="s">
        <v>12862</v>
      </c>
      <c r="B2573" s="32" t="s">
        <v>6262</v>
      </c>
      <c r="C2573" s="33" t="s">
        <v>98</v>
      </c>
      <c r="D2573" s="33" t="s">
        <v>59</v>
      </c>
      <c r="E2573" s="33" t="s">
        <v>80</v>
      </c>
      <c r="F2573" s="33" t="s">
        <v>183</v>
      </c>
      <c r="G2573" s="33" t="s">
        <v>9</v>
      </c>
      <c r="H2573" s="33" t="n">
        <v>10</v>
      </c>
    </row>
    <row r="2574" customFormat="false" ht="54" hidden="false" customHeight="true" outlineLevel="0" collapsed="false">
      <c r="A2574" s="32" t="s">
        <v>12863</v>
      </c>
      <c r="B2574" s="32" t="s">
        <v>6262</v>
      </c>
      <c r="C2574" s="33" t="s">
        <v>98</v>
      </c>
      <c r="D2574" s="33" t="s">
        <v>59</v>
      </c>
      <c r="E2574" s="33" t="s">
        <v>80</v>
      </c>
      <c r="F2574" s="33" t="s">
        <v>12864</v>
      </c>
      <c r="G2574" s="33" t="s">
        <v>9</v>
      </c>
      <c r="H2574" s="33" t="n">
        <v>10</v>
      </c>
    </row>
    <row r="2575" customFormat="false" ht="54" hidden="false" customHeight="true" outlineLevel="0" collapsed="false">
      <c r="A2575" s="32" t="s">
        <v>12865</v>
      </c>
      <c r="B2575" s="32" t="s">
        <v>6262</v>
      </c>
      <c r="C2575" s="33" t="s">
        <v>98</v>
      </c>
      <c r="D2575" s="33" t="s">
        <v>59</v>
      </c>
      <c r="E2575" s="33" t="s">
        <v>80</v>
      </c>
      <c r="F2575" s="33" t="s">
        <v>12622</v>
      </c>
      <c r="G2575" s="33" t="s">
        <v>9</v>
      </c>
      <c r="H2575" s="33" t="n">
        <v>10</v>
      </c>
    </row>
    <row r="2576" customFormat="false" ht="54" hidden="false" customHeight="true" outlineLevel="0" collapsed="false">
      <c r="A2576" s="32" t="s">
        <v>12866</v>
      </c>
      <c r="B2576" s="32" t="s">
        <v>6262</v>
      </c>
      <c r="C2576" s="33" t="s">
        <v>98</v>
      </c>
      <c r="D2576" s="33" t="s">
        <v>59</v>
      </c>
      <c r="E2576" s="33" t="s">
        <v>82</v>
      </c>
      <c r="F2576" s="33" t="s">
        <v>6269</v>
      </c>
      <c r="G2576" s="33" t="s">
        <v>9</v>
      </c>
      <c r="H2576" s="33" t="n">
        <v>10</v>
      </c>
    </row>
    <row r="2577" customFormat="false" ht="54" hidden="false" customHeight="true" outlineLevel="0" collapsed="false">
      <c r="A2577" s="32" t="s">
        <v>12867</v>
      </c>
      <c r="B2577" s="32" t="s">
        <v>6262</v>
      </c>
      <c r="C2577" s="33" t="s">
        <v>98</v>
      </c>
      <c r="D2577" s="33" t="s">
        <v>59</v>
      </c>
      <c r="E2577" s="33" t="s">
        <v>82</v>
      </c>
      <c r="F2577" s="33" t="s">
        <v>12864</v>
      </c>
      <c r="G2577" s="33" t="s">
        <v>9</v>
      </c>
      <c r="H2577" s="33" t="n">
        <v>10</v>
      </c>
    </row>
    <row r="2578" customFormat="false" ht="54" hidden="false" customHeight="true" outlineLevel="0" collapsed="false">
      <c r="A2578" s="32" t="s">
        <v>12868</v>
      </c>
      <c r="B2578" s="32" t="s">
        <v>6262</v>
      </c>
      <c r="C2578" s="33" t="s">
        <v>98</v>
      </c>
      <c r="D2578" s="33" t="s">
        <v>59</v>
      </c>
      <c r="E2578" s="33" t="s">
        <v>82</v>
      </c>
      <c r="F2578" s="33" t="s">
        <v>6276</v>
      </c>
      <c r="G2578" s="33" t="s">
        <v>9</v>
      </c>
      <c r="H2578" s="33" t="n">
        <v>10</v>
      </c>
    </row>
    <row r="2579" customFormat="false" ht="54" hidden="false" customHeight="true" outlineLevel="0" collapsed="false">
      <c r="A2579" s="32" t="s">
        <v>12869</v>
      </c>
      <c r="B2579" s="32" t="s">
        <v>6262</v>
      </c>
      <c r="C2579" s="33" t="s">
        <v>98</v>
      </c>
      <c r="D2579" s="33" t="s">
        <v>59</v>
      </c>
      <c r="E2579" s="33" t="s">
        <v>84</v>
      </c>
      <c r="F2579" s="33" t="s">
        <v>183</v>
      </c>
      <c r="G2579" s="33" t="s">
        <v>9</v>
      </c>
      <c r="H2579" s="33" t="n">
        <v>10</v>
      </c>
    </row>
    <row r="2580" customFormat="false" ht="54" hidden="false" customHeight="true" outlineLevel="0" collapsed="false">
      <c r="A2580" s="32" t="s">
        <v>12870</v>
      </c>
      <c r="B2580" s="32" t="s">
        <v>6262</v>
      </c>
      <c r="C2580" s="33" t="s">
        <v>98</v>
      </c>
      <c r="D2580" s="33" t="s">
        <v>59</v>
      </c>
      <c r="E2580" s="33" t="s">
        <v>84</v>
      </c>
      <c r="F2580" s="33" t="s">
        <v>12864</v>
      </c>
      <c r="G2580" s="33" t="s">
        <v>9</v>
      </c>
      <c r="H2580" s="33" t="n">
        <v>10</v>
      </c>
    </row>
    <row r="2581" customFormat="false" ht="54" hidden="false" customHeight="true" outlineLevel="0" collapsed="false">
      <c r="A2581" s="32" t="s">
        <v>12871</v>
      </c>
      <c r="B2581" s="32" t="s">
        <v>6262</v>
      </c>
      <c r="C2581" s="33" t="s">
        <v>98</v>
      </c>
      <c r="D2581" s="33" t="s">
        <v>59</v>
      </c>
      <c r="E2581" s="33" t="s">
        <v>84</v>
      </c>
      <c r="F2581" s="33" t="s">
        <v>12622</v>
      </c>
      <c r="G2581" s="33" t="s">
        <v>9</v>
      </c>
      <c r="H2581" s="33" t="n">
        <v>10</v>
      </c>
    </row>
    <row r="2582" customFormat="false" ht="54" hidden="false" customHeight="true" outlineLevel="0" collapsed="false">
      <c r="A2582" s="32" t="s">
        <v>12872</v>
      </c>
      <c r="B2582" s="32" t="s">
        <v>6262</v>
      </c>
      <c r="C2582" s="33" t="s">
        <v>98</v>
      </c>
      <c r="D2582" s="33" t="s">
        <v>59</v>
      </c>
      <c r="E2582" s="33" t="s">
        <v>84</v>
      </c>
      <c r="F2582" s="33" t="s">
        <v>12634</v>
      </c>
      <c r="G2582" s="33" t="s">
        <v>9</v>
      </c>
      <c r="H2582" s="33" t="n">
        <v>10</v>
      </c>
    </row>
    <row r="2583" customFormat="false" ht="54" hidden="false" customHeight="true" outlineLevel="0" collapsed="false">
      <c r="A2583" s="32" t="s">
        <v>12873</v>
      </c>
      <c r="B2583" s="32" t="s">
        <v>6262</v>
      </c>
      <c r="C2583" s="33" t="s">
        <v>98</v>
      </c>
      <c r="D2583" s="33" t="s">
        <v>59</v>
      </c>
      <c r="E2583" s="33" t="s">
        <v>86</v>
      </c>
      <c r="F2583" s="33" t="s">
        <v>6276</v>
      </c>
      <c r="G2583" s="33" t="s">
        <v>9</v>
      </c>
      <c r="H2583" s="33" t="n">
        <v>10</v>
      </c>
    </row>
    <row r="2584" customFormat="false" ht="54" hidden="false" customHeight="true" outlineLevel="0" collapsed="false">
      <c r="A2584" s="32" t="s">
        <v>12874</v>
      </c>
      <c r="B2584" s="32" t="s">
        <v>2451</v>
      </c>
      <c r="C2584" s="33" t="s">
        <v>98</v>
      </c>
      <c r="D2584" s="33" t="s">
        <v>59</v>
      </c>
      <c r="E2584" s="33" t="s">
        <v>80</v>
      </c>
      <c r="F2584" s="33" t="s">
        <v>183</v>
      </c>
      <c r="G2584" s="33" t="s">
        <v>9</v>
      </c>
      <c r="H2584" s="33" t="n">
        <v>10</v>
      </c>
    </row>
    <row r="2585" customFormat="false" ht="54" hidden="false" customHeight="true" outlineLevel="0" collapsed="false">
      <c r="A2585" s="32" t="s">
        <v>12875</v>
      </c>
      <c r="B2585" s="32" t="s">
        <v>2451</v>
      </c>
      <c r="C2585" s="33" t="s">
        <v>98</v>
      </c>
      <c r="D2585" s="33" t="s">
        <v>59</v>
      </c>
      <c r="E2585" s="33" t="s">
        <v>80</v>
      </c>
      <c r="F2585" s="33" t="s">
        <v>12876</v>
      </c>
      <c r="G2585" s="33" t="s">
        <v>9</v>
      </c>
      <c r="H2585" s="33" t="n">
        <v>10</v>
      </c>
    </row>
    <row r="2586" customFormat="false" ht="54" hidden="false" customHeight="true" outlineLevel="0" collapsed="false">
      <c r="A2586" s="32" t="s">
        <v>12877</v>
      </c>
      <c r="B2586" s="32" t="s">
        <v>2451</v>
      </c>
      <c r="C2586" s="33" t="s">
        <v>98</v>
      </c>
      <c r="D2586" s="33" t="s">
        <v>59</v>
      </c>
      <c r="E2586" s="33" t="s">
        <v>80</v>
      </c>
      <c r="F2586" s="33" t="s">
        <v>12852</v>
      </c>
      <c r="G2586" s="33" t="s">
        <v>9</v>
      </c>
      <c r="H2586" s="33" t="n">
        <v>10</v>
      </c>
    </row>
    <row r="2587" customFormat="false" ht="54" hidden="false" customHeight="true" outlineLevel="0" collapsed="false">
      <c r="A2587" s="32" t="s">
        <v>12878</v>
      </c>
      <c r="B2587" s="32" t="s">
        <v>2451</v>
      </c>
      <c r="C2587" s="33" t="s">
        <v>98</v>
      </c>
      <c r="D2587" s="33" t="s">
        <v>59</v>
      </c>
      <c r="E2587" s="33" t="s">
        <v>82</v>
      </c>
      <c r="F2587" s="33" t="s">
        <v>12876</v>
      </c>
      <c r="G2587" s="33" t="s">
        <v>9</v>
      </c>
      <c r="H2587" s="33" t="n">
        <v>10</v>
      </c>
    </row>
    <row r="2588" customFormat="false" ht="54" hidden="false" customHeight="true" outlineLevel="0" collapsed="false">
      <c r="A2588" s="32" t="s">
        <v>12879</v>
      </c>
      <c r="B2588" s="32" t="s">
        <v>2451</v>
      </c>
      <c r="C2588" s="33" t="s">
        <v>98</v>
      </c>
      <c r="D2588" s="33" t="s">
        <v>59</v>
      </c>
      <c r="E2588" s="33" t="s">
        <v>82</v>
      </c>
      <c r="F2588" s="33" t="s">
        <v>12880</v>
      </c>
      <c r="G2588" s="33" t="s">
        <v>9</v>
      </c>
      <c r="H2588" s="33" t="n">
        <v>10</v>
      </c>
    </row>
    <row r="2589" customFormat="false" ht="54" hidden="false" customHeight="true" outlineLevel="0" collapsed="false">
      <c r="A2589" s="32" t="s">
        <v>12881</v>
      </c>
      <c r="B2589" s="32" t="s">
        <v>2451</v>
      </c>
      <c r="C2589" s="33" t="s">
        <v>98</v>
      </c>
      <c r="D2589" s="33" t="s">
        <v>59</v>
      </c>
      <c r="E2589" s="33" t="s">
        <v>84</v>
      </c>
      <c r="F2589" s="33" t="s">
        <v>183</v>
      </c>
      <c r="G2589" s="33" t="s">
        <v>9</v>
      </c>
      <c r="H2589" s="33" t="n">
        <v>10</v>
      </c>
    </row>
    <row r="2590" customFormat="false" ht="54" hidden="false" customHeight="true" outlineLevel="0" collapsed="false">
      <c r="A2590" s="32" t="s">
        <v>12882</v>
      </c>
      <c r="B2590" s="32" t="s">
        <v>2451</v>
      </c>
      <c r="C2590" s="33" t="s">
        <v>98</v>
      </c>
      <c r="D2590" s="33" t="s">
        <v>59</v>
      </c>
      <c r="E2590" s="33" t="s">
        <v>84</v>
      </c>
      <c r="F2590" s="33" t="s">
        <v>12852</v>
      </c>
      <c r="G2590" s="33" t="s">
        <v>9</v>
      </c>
      <c r="H2590" s="33" t="n">
        <v>10</v>
      </c>
    </row>
    <row r="2591" customFormat="false" ht="54" hidden="false" customHeight="true" outlineLevel="0" collapsed="false">
      <c r="A2591" s="32" t="s">
        <v>12883</v>
      </c>
      <c r="B2591" s="32" t="s">
        <v>6292</v>
      </c>
      <c r="C2591" s="33" t="s">
        <v>98</v>
      </c>
      <c r="D2591" s="33" t="s">
        <v>59</v>
      </c>
      <c r="E2591" s="33" t="s">
        <v>80</v>
      </c>
      <c r="F2591" s="33" t="s">
        <v>183</v>
      </c>
      <c r="G2591" s="33" t="s">
        <v>9</v>
      </c>
      <c r="H2591" s="33" t="n">
        <v>10</v>
      </c>
    </row>
    <row r="2592" customFormat="false" ht="54" hidden="false" customHeight="true" outlineLevel="0" collapsed="false">
      <c r="A2592" s="32" t="s">
        <v>12884</v>
      </c>
      <c r="B2592" s="32" t="s">
        <v>6292</v>
      </c>
      <c r="C2592" s="33" t="s">
        <v>98</v>
      </c>
      <c r="D2592" s="33" t="s">
        <v>59</v>
      </c>
      <c r="E2592" s="33" t="s">
        <v>84</v>
      </c>
      <c r="F2592" s="33" t="s">
        <v>183</v>
      </c>
      <c r="G2592" s="33" t="s">
        <v>9</v>
      </c>
      <c r="H2592" s="33" t="n">
        <v>10</v>
      </c>
    </row>
    <row r="2593" customFormat="false" ht="54" hidden="false" customHeight="true" outlineLevel="0" collapsed="false">
      <c r="A2593" s="32" t="s">
        <v>12885</v>
      </c>
      <c r="B2593" s="32" t="s">
        <v>6306</v>
      </c>
      <c r="C2593" s="33" t="s">
        <v>98</v>
      </c>
      <c r="D2593" s="33" t="s">
        <v>59</v>
      </c>
      <c r="E2593" s="33" t="s">
        <v>80</v>
      </c>
      <c r="F2593" s="33" t="s">
        <v>183</v>
      </c>
      <c r="G2593" s="33" t="s">
        <v>9</v>
      </c>
      <c r="H2593" s="33" t="n">
        <v>10</v>
      </c>
    </row>
    <row r="2594" customFormat="false" ht="54" hidden="false" customHeight="true" outlineLevel="0" collapsed="false">
      <c r="A2594" s="32" t="s">
        <v>12886</v>
      </c>
      <c r="B2594" s="32" t="s">
        <v>6306</v>
      </c>
      <c r="C2594" s="33" t="s">
        <v>98</v>
      </c>
      <c r="D2594" s="33" t="s">
        <v>59</v>
      </c>
      <c r="E2594" s="33" t="s">
        <v>82</v>
      </c>
      <c r="F2594" s="33" t="s">
        <v>6311</v>
      </c>
      <c r="G2594" s="33" t="s">
        <v>9</v>
      </c>
      <c r="H2594" s="33" t="n">
        <v>10</v>
      </c>
    </row>
    <row r="2595" customFormat="false" ht="54" hidden="false" customHeight="true" outlineLevel="0" collapsed="false">
      <c r="A2595" s="32" t="s">
        <v>12887</v>
      </c>
      <c r="B2595" s="32" t="s">
        <v>6306</v>
      </c>
      <c r="C2595" s="33" t="s">
        <v>98</v>
      </c>
      <c r="D2595" s="33" t="s">
        <v>59</v>
      </c>
      <c r="E2595" s="33" t="s">
        <v>83</v>
      </c>
      <c r="F2595" s="33" t="s">
        <v>6315</v>
      </c>
      <c r="G2595" s="33" t="s">
        <v>9</v>
      </c>
      <c r="H2595" s="33" t="n">
        <v>10</v>
      </c>
    </row>
    <row r="2596" customFormat="false" ht="54" hidden="false" customHeight="true" outlineLevel="0" collapsed="false">
      <c r="A2596" s="32" t="s">
        <v>12888</v>
      </c>
      <c r="B2596" s="32" t="s">
        <v>6306</v>
      </c>
      <c r="C2596" s="33" t="s">
        <v>98</v>
      </c>
      <c r="D2596" s="33" t="s">
        <v>59</v>
      </c>
      <c r="E2596" s="33" t="s">
        <v>84</v>
      </c>
      <c r="F2596" s="33" t="s">
        <v>183</v>
      </c>
      <c r="G2596" s="33" t="s">
        <v>9</v>
      </c>
      <c r="H2596" s="33" t="n">
        <v>10</v>
      </c>
    </row>
    <row r="2597" customFormat="false" ht="54" hidden="false" customHeight="true" outlineLevel="0" collapsed="false">
      <c r="A2597" s="32" t="s">
        <v>12889</v>
      </c>
      <c r="B2597" s="32" t="s">
        <v>6306</v>
      </c>
      <c r="C2597" s="33" t="s">
        <v>98</v>
      </c>
      <c r="D2597" s="33" t="s">
        <v>59</v>
      </c>
      <c r="E2597" s="33" t="s">
        <v>85</v>
      </c>
      <c r="F2597" s="33" t="s">
        <v>6328</v>
      </c>
      <c r="G2597" s="33" t="s">
        <v>9</v>
      </c>
      <c r="H2597" s="33" t="n">
        <v>10</v>
      </c>
    </row>
    <row r="2598" customFormat="false" ht="54" hidden="false" customHeight="true" outlineLevel="0" collapsed="false">
      <c r="A2598" s="32" t="s">
        <v>12890</v>
      </c>
      <c r="B2598" s="32" t="s">
        <v>6306</v>
      </c>
      <c r="C2598" s="33" t="s">
        <v>98</v>
      </c>
      <c r="D2598" s="33" t="s">
        <v>59</v>
      </c>
      <c r="E2598" s="33" t="s">
        <v>85</v>
      </c>
      <c r="F2598" s="33" t="s">
        <v>12891</v>
      </c>
      <c r="G2598" s="33" t="s">
        <v>9</v>
      </c>
      <c r="H2598" s="33" t="n">
        <v>10</v>
      </c>
    </row>
    <row r="2599" customFormat="false" ht="54" hidden="false" customHeight="true" outlineLevel="0" collapsed="false">
      <c r="A2599" s="32" t="s">
        <v>12892</v>
      </c>
      <c r="B2599" s="32" t="s">
        <v>6319</v>
      </c>
      <c r="C2599" s="33" t="s">
        <v>98</v>
      </c>
      <c r="D2599" s="33" t="s">
        <v>59</v>
      </c>
      <c r="E2599" s="33" t="s">
        <v>80</v>
      </c>
      <c r="F2599" s="33" t="s">
        <v>183</v>
      </c>
      <c r="G2599" s="33" t="s">
        <v>9</v>
      </c>
      <c r="H2599" s="33" t="n">
        <v>10</v>
      </c>
    </row>
    <row r="2600" customFormat="false" ht="54" hidden="false" customHeight="true" outlineLevel="0" collapsed="false">
      <c r="A2600" s="32" t="s">
        <v>12893</v>
      </c>
      <c r="B2600" s="32" t="s">
        <v>6319</v>
      </c>
      <c r="C2600" s="33" t="s">
        <v>98</v>
      </c>
      <c r="D2600" s="33" t="s">
        <v>59</v>
      </c>
      <c r="E2600" s="33" t="s">
        <v>82</v>
      </c>
      <c r="F2600" s="33" t="s">
        <v>6323</v>
      </c>
      <c r="G2600" s="33" t="s">
        <v>9</v>
      </c>
      <c r="H2600" s="33" t="n">
        <v>10</v>
      </c>
    </row>
    <row r="2601" customFormat="false" ht="54" hidden="false" customHeight="true" outlineLevel="0" collapsed="false">
      <c r="A2601" s="32" t="s">
        <v>12894</v>
      </c>
      <c r="B2601" s="32" t="s">
        <v>6319</v>
      </c>
      <c r="C2601" s="33" t="s">
        <v>98</v>
      </c>
      <c r="D2601" s="33" t="s">
        <v>59</v>
      </c>
      <c r="E2601" s="33" t="s">
        <v>83</v>
      </c>
      <c r="F2601" s="33" t="s">
        <v>12895</v>
      </c>
      <c r="G2601" s="33" t="s">
        <v>9</v>
      </c>
      <c r="H2601" s="33" t="n">
        <v>10</v>
      </c>
    </row>
    <row r="2602" customFormat="false" ht="54" hidden="false" customHeight="true" outlineLevel="0" collapsed="false">
      <c r="A2602" s="32" t="s">
        <v>12896</v>
      </c>
      <c r="B2602" s="32" t="s">
        <v>6319</v>
      </c>
      <c r="C2602" s="33" t="s">
        <v>98</v>
      </c>
      <c r="D2602" s="33" t="s">
        <v>59</v>
      </c>
      <c r="E2602" s="33" t="s">
        <v>83</v>
      </c>
      <c r="F2602" s="33" t="s">
        <v>6315</v>
      </c>
      <c r="G2602" s="33" t="s">
        <v>9</v>
      </c>
      <c r="H2602" s="33" t="n">
        <v>10</v>
      </c>
    </row>
    <row r="2603" customFormat="false" ht="54" hidden="false" customHeight="true" outlineLevel="0" collapsed="false">
      <c r="A2603" s="32" t="s">
        <v>12897</v>
      </c>
      <c r="B2603" s="32" t="s">
        <v>6319</v>
      </c>
      <c r="C2603" s="33" t="s">
        <v>98</v>
      </c>
      <c r="D2603" s="33" t="s">
        <v>59</v>
      </c>
      <c r="E2603" s="33" t="s">
        <v>84</v>
      </c>
      <c r="F2603" s="33" t="s">
        <v>183</v>
      </c>
      <c r="G2603" s="33" t="s">
        <v>9</v>
      </c>
      <c r="H2603" s="33" t="n">
        <v>10</v>
      </c>
    </row>
    <row r="2604" customFormat="false" ht="54" hidden="false" customHeight="true" outlineLevel="0" collapsed="false">
      <c r="A2604" s="32" t="s">
        <v>12898</v>
      </c>
      <c r="B2604" s="32" t="s">
        <v>6319</v>
      </c>
      <c r="C2604" s="33" t="s">
        <v>98</v>
      </c>
      <c r="D2604" s="33" t="s">
        <v>59</v>
      </c>
      <c r="E2604" s="33" t="s">
        <v>85</v>
      </c>
      <c r="F2604" s="33" t="s">
        <v>6328</v>
      </c>
      <c r="G2604" s="33" t="s">
        <v>9</v>
      </c>
      <c r="H2604" s="33" t="n">
        <v>10</v>
      </c>
    </row>
    <row r="2605" customFormat="false" ht="54" hidden="false" customHeight="true" outlineLevel="0" collapsed="false">
      <c r="A2605" s="32" t="s">
        <v>12899</v>
      </c>
      <c r="B2605" s="32" t="s">
        <v>6330</v>
      </c>
      <c r="C2605" s="33" t="s">
        <v>98</v>
      </c>
      <c r="D2605" s="33" t="s">
        <v>59</v>
      </c>
      <c r="E2605" s="33" t="s">
        <v>80</v>
      </c>
      <c r="F2605" s="33" t="s">
        <v>183</v>
      </c>
      <c r="G2605" s="33" t="s">
        <v>9</v>
      </c>
      <c r="H2605" s="33" t="n">
        <v>10</v>
      </c>
    </row>
    <row r="2606" customFormat="false" ht="54" hidden="false" customHeight="true" outlineLevel="0" collapsed="false">
      <c r="A2606" s="32" t="s">
        <v>12900</v>
      </c>
      <c r="B2606" s="32" t="s">
        <v>6330</v>
      </c>
      <c r="C2606" s="33" t="s">
        <v>98</v>
      </c>
      <c r="D2606" s="33" t="s">
        <v>59</v>
      </c>
      <c r="E2606" s="33" t="s">
        <v>82</v>
      </c>
      <c r="F2606" s="33" t="s">
        <v>6333</v>
      </c>
      <c r="G2606" s="33" t="s">
        <v>9</v>
      </c>
      <c r="H2606" s="33" t="n">
        <v>10</v>
      </c>
    </row>
    <row r="2607" customFormat="false" ht="54" hidden="false" customHeight="true" outlineLevel="0" collapsed="false">
      <c r="A2607" s="32" t="s">
        <v>12901</v>
      </c>
      <c r="B2607" s="32" t="s">
        <v>6330</v>
      </c>
      <c r="C2607" s="33" t="s">
        <v>98</v>
      </c>
      <c r="D2607" s="33" t="s">
        <v>59</v>
      </c>
      <c r="E2607" s="33" t="s">
        <v>83</v>
      </c>
      <c r="F2607" s="33" t="s">
        <v>6315</v>
      </c>
      <c r="G2607" s="33" t="s">
        <v>9</v>
      </c>
      <c r="H2607" s="33" t="n">
        <v>10</v>
      </c>
    </row>
    <row r="2608" customFormat="false" ht="54" hidden="false" customHeight="true" outlineLevel="0" collapsed="false">
      <c r="A2608" s="32" t="s">
        <v>12902</v>
      </c>
      <c r="B2608" s="32" t="s">
        <v>6330</v>
      </c>
      <c r="C2608" s="33" t="s">
        <v>98</v>
      </c>
      <c r="D2608" s="33" t="s">
        <v>59</v>
      </c>
      <c r="E2608" s="33" t="s">
        <v>84</v>
      </c>
      <c r="F2608" s="33" t="s">
        <v>183</v>
      </c>
      <c r="G2608" s="33" t="s">
        <v>9</v>
      </c>
      <c r="H2608" s="33" t="n">
        <v>10</v>
      </c>
    </row>
    <row r="2609" customFormat="false" ht="54" hidden="false" customHeight="true" outlineLevel="0" collapsed="false">
      <c r="A2609" s="32" t="s">
        <v>12903</v>
      </c>
      <c r="B2609" s="32" t="s">
        <v>6330</v>
      </c>
      <c r="C2609" s="33" t="s">
        <v>98</v>
      </c>
      <c r="D2609" s="33" t="s">
        <v>59</v>
      </c>
      <c r="E2609" s="33" t="s">
        <v>85</v>
      </c>
      <c r="F2609" s="33" t="s">
        <v>6337</v>
      </c>
      <c r="G2609" s="33" t="s">
        <v>9</v>
      </c>
      <c r="H2609" s="33" t="n">
        <v>10</v>
      </c>
    </row>
    <row r="2610" customFormat="false" ht="54" hidden="false" customHeight="true" outlineLevel="0" collapsed="false">
      <c r="A2610" s="32" t="s">
        <v>12904</v>
      </c>
      <c r="B2610" s="32" t="s">
        <v>6340</v>
      </c>
      <c r="C2610" s="33" t="s">
        <v>98</v>
      </c>
      <c r="D2610" s="33" t="s">
        <v>59</v>
      </c>
      <c r="E2610" s="33" t="s">
        <v>80</v>
      </c>
      <c r="F2610" s="33" t="s">
        <v>183</v>
      </c>
      <c r="G2610" s="33" t="s">
        <v>9</v>
      </c>
      <c r="H2610" s="33" t="n">
        <v>10</v>
      </c>
    </row>
    <row r="2611" customFormat="false" ht="54" hidden="false" customHeight="true" outlineLevel="0" collapsed="false">
      <c r="A2611" s="32" t="s">
        <v>12905</v>
      </c>
      <c r="B2611" s="32" t="s">
        <v>6340</v>
      </c>
      <c r="C2611" s="33" t="s">
        <v>98</v>
      </c>
      <c r="D2611" s="33" t="s">
        <v>59</v>
      </c>
      <c r="E2611" s="33" t="s">
        <v>82</v>
      </c>
      <c r="F2611" s="33" t="s">
        <v>6345</v>
      </c>
      <c r="G2611" s="33" t="s">
        <v>9</v>
      </c>
      <c r="H2611" s="33" t="n">
        <v>10</v>
      </c>
    </row>
    <row r="2612" customFormat="false" ht="54" hidden="false" customHeight="true" outlineLevel="0" collapsed="false">
      <c r="A2612" s="32" t="s">
        <v>12906</v>
      </c>
      <c r="B2612" s="32" t="s">
        <v>6340</v>
      </c>
      <c r="C2612" s="33" t="s">
        <v>98</v>
      </c>
      <c r="D2612" s="33" t="s">
        <v>59</v>
      </c>
      <c r="E2612" s="33" t="s">
        <v>82</v>
      </c>
      <c r="F2612" s="33" t="s">
        <v>12907</v>
      </c>
      <c r="G2612" s="33" t="s">
        <v>9</v>
      </c>
      <c r="H2612" s="33" t="n">
        <v>10</v>
      </c>
    </row>
    <row r="2613" customFormat="false" ht="54" hidden="false" customHeight="true" outlineLevel="0" collapsed="false">
      <c r="A2613" s="32" t="s">
        <v>12908</v>
      </c>
      <c r="B2613" s="32" t="s">
        <v>6340</v>
      </c>
      <c r="C2613" s="33" t="s">
        <v>98</v>
      </c>
      <c r="D2613" s="33" t="s">
        <v>59</v>
      </c>
      <c r="E2613" s="33" t="s">
        <v>84</v>
      </c>
      <c r="F2613" s="33" t="s">
        <v>183</v>
      </c>
      <c r="G2613" s="33" t="s">
        <v>9</v>
      </c>
      <c r="H2613" s="33" t="n">
        <v>10</v>
      </c>
    </row>
    <row r="2614" customFormat="false" ht="54" hidden="false" customHeight="true" outlineLevel="0" collapsed="false">
      <c r="A2614" s="32" t="s">
        <v>12909</v>
      </c>
      <c r="B2614" s="32" t="s">
        <v>6355</v>
      </c>
      <c r="C2614" s="33" t="s">
        <v>98</v>
      </c>
      <c r="D2614" s="33" t="s">
        <v>59</v>
      </c>
      <c r="E2614" s="33" t="s">
        <v>80</v>
      </c>
      <c r="F2614" s="33" t="s">
        <v>183</v>
      </c>
      <c r="G2614" s="33" t="s">
        <v>9</v>
      </c>
      <c r="H2614" s="33" t="n">
        <v>10</v>
      </c>
    </row>
    <row r="2615" customFormat="false" ht="54" hidden="false" customHeight="true" outlineLevel="0" collapsed="false">
      <c r="A2615" s="32" t="s">
        <v>12910</v>
      </c>
      <c r="B2615" s="32" t="s">
        <v>6355</v>
      </c>
      <c r="C2615" s="33" t="s">
        <v>98</v>
      </c>
      <c r="D2615" s="33" t="s">
        <v>59</v>
      </c>
      <c r="E2615" s="33" t="s">
        <v>82</v>
      </c>
      <c r="F2615" s="33" t="s">
        <v>6365</v>
      </c>
      <c r="G2615" s="33" t="s">
        <v>9</v>
      </c>
      <c r="H2615" s="33" t="n">
        <v>10</v>
      </c>
    </row>
    <row r="2616" customFormat="false" ht="54" hidden="false" customHeight="true" outlineLevel="0" collapsed="false">
      <c r="A2616" s="32" t="s">
        <v>12911</v>
      </c>
      <c r="B2616" s="32" t="s">
        <v>6355</v>
      </c>
      <c r="C2616" s="33" t="s">
        <v>98</v>
      </c>
      <c r="D2616" s="33" t="s">
        <v>59</v>
      </c>
      <c r="E2616" s="33" t="s">
        <v>84</v>
      </c>
      <c r="F2616" s="33" t="s">
        <v>183</v>
      </c>
      <c r="G2616" s="33" t="s">
        <v>9</v>
      </c>
      <c r="H2616" s="33" t="n">
        <v>10</v>
      </c>
    </row>
    <row r="2617" customFormat="false" ht="54" hidden="false" customHeight="true" outlineLevel="0" collapsed="false">
      <c r="A2617" s="32" t="s">
        <v>12912</v>
      </c>
      <c r="B2617" s="32" t="s">
        <v>4430</v>
      </c>
      <c r="C2617" s="33" t="s">
        <v>98</v>
      </c>
      <c r="D2617" s="33" t="s">
        <v>59</v>
      </c>
      <c r="E2617" s="33" t="s">
        <v>80</v>
      </c>
      <c r="F2617" s="33" t="s">
        <v>183</v>
      </c>
      <c r="G2617" s="33" t="s">
        <v>9</v>
      </c>
      <c r="H2617" s="33" t="n">
        <v>10</v>
      </c>
    </row>
    <row r="2618" customFormat="false" ht="54" hidden="false" customHeight="true" outlineLevel="0" collapsed="false">
      <c r="A2618" s="32" t="s">
        <v>12913</v>
      </c>
      <c r="B2618" s="32" t="s">
        <v>4430</v>
      </c>
      <c r="C2618" s="33" t="s">
        <v>98</v>
      </c>
      <c r="D2618" s="33" t="s">
        <v>59</v>
      </c>
      <c r="E2618" s="33" t="s">
        <v>82</v>
      </c>
      <c r="F2618" s="33" t="s">
        <v>6373</v>
      </c>
      <c r="G2618" s="33" t="s">
        <v>9</v>
      </c>
      <c r="H2618" s="33" t="n">
        <v>10</v>
      </c>
    </row>
    <row r="2619" customFormat="false" ht="54" hidden="false" customHeight="true" outlineLevel="0" collapsed="false">
      <c r="A2619" s="32" t="s">
        <v>12914</v>
      </c>
      <c r="B2619" s="32" t="s">
        <v>4430</v>
      </c>
      <c r="C2619" s="33" t="s">
        <v>98</v>
      </c>
      <c r="D2619" s="33" t="s">
        <v>59</v>
      </c>
      <c r="E2619" s="33" t="s">
        <v>82</v>
      </c>
      <c r="F2619" s="33" t="s">
        <v>12915</v>
      </c>
      <c r="G2619" s="33" t="s">
        <v>9</v>
      </c>
      <c r="H2619" s="33" t="n">
        <v>10</v>
      </c>
    </row>
    <row r="2620" customFormat="false" ht="54" hidden="false" customHeight="true" outlineLevel="0" collapsed="false">
      <c r="A2620" s="32" t="s">
        <v>12916</v>
      </c>
      <c r="B2620" s="32" t="s">
        <v>4430</v>
      </c>
      <c r="C2620" s="33" t="s">
        <v>98</v>
      </c>
      <c r="D2620" s="33" t="s">
        <v>59</v>
      </c>
      <c r="E2620" s="33" t="s">
        <v>83</v>
      </c>
      <c r="F2620" s="33" t="s">
        <v>12917</v>
      </c>
      <c r="G2620" s="33" t="s">
        <v>9</v>
      </c>
      <c r="H2620" s="33" t="n">
        <v>10</v>
      </c>
    </row>
    <row r="2621" customFormat="false" ht="54" hidden="false" customHeight="true" outlineLevel="0" collapsed="false">
      <c r="A2621" s="32" t="s">
        <v>12918</v>
      </c>
      <c r="B2621" s="32" t="s">
        <v>4430</v>
      </c>
      <c r="C2621" s="33" t="s">
        <v>98</v>
      </c>
      <c r="D2621" s="33" t="s">
        <v>59</v>
      </c>
      <c r="E2621" s="33" t="s">
        <v>83</v>
      </c>
      <c r="F2621" s="33" t="s">
        <v>12919</v>
      </c>
      <c r="G2621" s="33" t="s">
        <v>9</v>
      </c>
      <c r="H2621" s="33" t="n">
        <v>10</v>
      </c>
    </row>
    <row r="2622" customFormat="false" ht="54" hidden="false" customHeight="true" outlineLevel="0" collapsed="false">
      <c r="A2622" s="32" t="s">
        <v>12920</v>
      </c>
      <c r="B2622" s="32" t="s">
        <v>4430</v>
      </c>
      <c r="C2622" s="33" t="s">
        <v>98</v>
      </c>
      <c r="D2622" s="33" t="s">
        <v>59</v>
      </c>
      <c r="E2622" s="33" t="s">
        <v>84</v>
      </c>
      <c r="F2622" s="33" t="s">
        <v>183</v>
      </c>
      <c r="G2622" s="33" t="s">
        <v>9</v>
      </c>
      <c r="H2622" s="33" t="n">
        <v>10</v>
      </c>
    </row>
    <row r="2623" customFormat="false" ht="54" hidden="false" customHeight="true" outlineLevel="0" collapsed="false">
      <c r="A2623" s="32" t="s">
        <v>12921</v>
      </c>
      <c r="B2623" s="32" t="s">
        <v>6382</v>
      </c>
      <c r="C2623" s="33" t="s">
        <v>98</v>
      </c>
      <c r="D2623" s="33" t="s">
        <v>59</v>
      </c>
      <c r="E2623" s="33" t="s">
        <v>80</v>
      </c>
      <c r="F2623" s="33" t="s">
        <v>183</v>
      </c>
      <c r="G2623" s="33" t="s">
        <v>9</v>
      </c>
      <c r="H2623" s="33" t="n">
        <v>10</v>
      </c>
    </row>
    <row r="2624" customFormat="false" ht="54" hidden="false" customHeight="true" outlineLevel="0" collapsed="false">
      <c r="A2624" s="32" t="s">
        <v>12922</v>
      </c>
      <c r="B2624" s="32" t="s">
        <v>6382</v>
      </c>
      <c r="C2624" s="33" t="s">
        <v>98</v>
      </c>
      <c r="D2624" s="33" t="s">
        <v>59</v>
      </c>
      <c r="E2624" s="33" t="s">
        <v>84</v>
      </c>
      <c r="F2624" s="33" t="s">
        <v>183</v>
      </c>
      <c r="G2624" s="33" t="s">
        <v>9</v>
      </c>
      <c r="H2624" s="33" t="n">
        <v>10</v>
      </c>
    </row>
    <row r="2625" customFormat="false" ht="54" hidden="false" customHeight="true" outlineLevel="0" collapsed="false">
      <c r="A2625" s="32" t="s">
        <v>12923</v>
      </c>
      <c r="B2625" s="32" t="s">
        <v>6382</v>
      </c>
      <c r="C2625" s="33" t="s">
        <v>98</v>
      </c>
      <c r="D2625" s="33" t="s">
        <v>59</v>
      </c>
      <c r="E2625" s="33" t="s">
        <v>85</v>
      </c>
      <c r="F2625" s="33" t="s">
        <v>6386</v>
      </c>
      <c r="G2625" s="33" t="s">
        <v>9</v>
      </c>
      <c r="H2625" s="33" t="n">
        <v>10</v>
      </c>
    </row>
    <row r="2626" customFormat="false" ht="54" hidden="false" customHeight="true" outlineLevel="0" collapsed="false">
      <c r="A2626" s="32" t="s">
        <v>12924</v>
      </c>
      <c r="B2626" s="32" t="s">
        <v>6382</v>
      </c>
      <c r="C2626" s="33" t="s">
        <v>98</v>
      </c>
      <c r="D2626" s="33" t="s">
        <v>59</v>
      </c>
      <c r="E2626" s="33" t="s">
        <v>85</v>
      </c>
      <c r="F2626" s="33" t="s">
        <v>12925</v>
      </c>
      <c r="G2626" s="33" t="s">
        <v>9</v>
      </c>
      <c r="H2626" s="33" t="n">
        <v>10</v>
      </c>
    </row>
    <row r="2627" customFormat="false" ht="54" hidden="false" customHeight="true" outlineLevel="0" collapsed="false">
      <c r="A2627" s="32" t="s">
        <v>12926</v>
      </c>
      <c r="B2627" s="32" t="s">
        <v>6396</v>
      </c>
      <c r="C2627" s="33" t="s">
        <v>98</v>
      </c>
      <c r="D2627" s="33" t="s">
        <v>59</v>
      </c>
      <c r="E2627" s="33" t="s">
        <v>80</v>
      </c>
      <c r="F2627" s="33" t="s">
        <v>183</v>
      </c>
      <c r="G2627" s="33" t="s">
        <v>9</v>
      </c>
      <c r="H2627" s="33" t="n">
        <v>10</v>
      </c>
    </row>
    <row r="2628" customFormat="false" ht="54" hidden="false" customHeight="true" outlineLevel="0" collapsed="false">
      <c r="A2628" s="32" t="s">
        <v>12927</v>
      </c>
      <c r="B2628" s="32" t="s">
        <v>6396</v>
      </c>
      <c r="C2628" s="33" t="s">
        <v>98</v>
      </c>
      <c r="D2628" s="33" t="s">
        <v>59</v>
      </c>
      <c r="E2628" s="33" t="s">
        <v>83</v>
      </c>
      <c r="F2628" s="33" t="s">
        <v>6406</v>
      </c>
      <c r="G2628" s="33" t="s">
        <v>9</v>
      </c>
      <c r="H2628" s="33" t="n">
        <v>10</v>
      </c>
    </row>
    <row r="2629" customFormat="false" ht="54" hidden="false" customHeight="true" outlineLevel="0" collapsed="false">
      <c r="A2629" s="32" t="s">
        <v>12928</v>
      </c>
      <c r="B2629" s="32" t="s">
        <v>6396</v>
      </c>
      <c r="C2629" s="33" t="s">
        <v>98</v>
      </c>
      <c r="D2629" s="33" t="s">
        <v>59</v>
      </c>
      <c r="E2629" s="33" t="s">
        <v>84</v>
      </c>
      <c r="F2629" s="33" t="s">
        <v>183</v>
      </c>
      <c r="G2629" s="33" t="s">
        <v>9</v>
      </c>
      <c r="H2629" s="33" t="n">
        <v>10</v>
      </c>
    </row>
    <row r="2630" customFormat="false" ht="54" hidden="false" customHeight="true" outlineLevel="0" collapsed="false">
      <c r="A2630" s="32" t="s">
        <v>12929</v>
      </c>
      <c r="B2630" s="32" t="s">
        <v>6409</v>
      </c>
      <c r="C2630" s="33" t="s">
        <v>1407</v>
      </c>
      <c r="D2630" s="33" t="s">
        <v>50</v>
      </c>
      <c r="E2630" s="33" t="s">
        <v>80</v>
      </c>
      <c r="F2630" s="33" t="s">
        <v>183</v>
      </c>
      <c r="G2630" s="33" t="s">
        <v>9</v>
      </c>
      <c r="H2630" s="33" t="n">
        <v>10</v>
      </c>
    </row>
    <row r="2631" customFormat="false" ht="54" hidden="false" customHeight="true" outlineLevel="0" collapsed="false">
      <c r="A2631" s="32" t="s">
        <v>12930</v>
      </c>
      <c r="B2631" s="32" t="s">
        <v>6409</v>
      </c>
      <c r="C2631" s="33" t="s">
        <v>1407</v>
      </c>
      <c r="D2631" s="33" t="s">
        <v>50</v>
      </c>
      <c r="E2631" s="33" t="s">
        <v>80</v>
      </c>
      <c r="F2631" s="33" t="s">
        <v>6422</v>
      </c>
      <c r="G2631" s="33" t="s">
        <v>9</v>
      </c>
      <c r="H2631" s="33" t="n">
        <v>10</v>
      </c>
    </row>
    <row r="2632" customFormat="false" ht="54" hidden="false" customHeight="true" outlineLevel="0" collapsed="false">
      <c r="A2632" s="32" t="s">
        <v>12931</v>
      </c>
      <c r="B2632" s="32" t="s">
        <v>6409</v>
      </c>
      <c r="C2632" s="33" t="s">
        <v>1407</v>
      </c>
      <c r="D2632" s="33" t="s">
        <v>50</v>
      </c>
      <c r="E2632" s="33" t="s">
        <v>80</v>
      </c>
      <c r="F2632" s="33" t="s">
        <v>6423</v>
      </c>
      <c r="G2632" s="33" t="s">
        <v>9</v>
      </c>
      <c r="H2632" s="33" t="n">
        <v>10</v>
      </c>
    </row>
    <row r="2633" customFormat="false" ht="54" hidden="false" customHeight="true" outlineLevel="0" collapsed="false">
      <c r="A2633" s="32" t="s">
        <v>12932</v>
      </c>
      <c r="B2633" s="32" t="s">
        <v>6409</v>
      </c>
      <c r="C2633" s="33" t="s">
        <v>1407</v>
      </c>
      <c r="D2633" s="33" t="s">
        <v>50</v>
      </c>
      <c r="E2633" s="33" t="s">
        <v>83</v>
      </c>
      <c r="F2633" s="33" t="s">
        <v>6422</v>
      </c>
      <c r="G2633" s="33" t="s">
        <v>9</v>
      </c>
      <c r="H2633" s="33" t="n">
        <v>10</v>
      </c>
    </row>
    <row r="2634" customFormat="false" ht="54" hidden="false" customHeight="true" outlineLevel="0" collapsed="false">
      <c r="A2634" s="32" t="s">
        <v>12933</v>
      </c>
      <c r="B2634" s="32" t="s">
        <v>6409</v>
      </c>
      <c r="C2634" s="33" t="s">
        <v>1407</v>
      </c>
      <c r="D2634" s="33" t="s">
        <v>50</v>
      </c>
      <c r="E2634" s="33" t="s">
        <v>84</v>
      </c>
      <c r="F2634" s="33" t="s">
        <v>183</v>
      </c>
      <c r="G2634" s="33" t="s">
        <v>9</v>
      </c>
      <c r="H2634" s="33" t="n">
        <v>10</v>
      </c>
    </row>
    <row r="2635" customFormat="false" ht="54" hidden="false" customHeight="true" outlineLevel="0" collapsed="false">
      <c r="A2635" s="32" t="s">
        <v>12934</v>
      </c>
      <c r="B2635" s="32" t="s">
        <v>6409</v>
      </c>
      <c r="C2635" s="33" t="s">
        <v>1407</v>
      </c>
      <c r="D2635" s="33" t="s">
        <v>50</v>
      </c>
      <c r="E2635" s="33" t="s">
        <v>84</v>
      </c>
      <c r="F2635" s="33" t="s">
        <v>6422</v>
      </c>
      <c r="G2635" s="33" t="s">
        <v>9</v>
      </c>
      <c r="H2635" s="33" t="n">
        <v>10</v>
      </c>
    </row>
    <row r="2636" customFormat="false" ht="54" hidden="false" customHeight="true" outlineLevel="0" collapsed="false">
      <c r="A2636" s="32" t="s">
        <v>12935</v>
      </c>
      <c r="B2636" s="32" t="s">
        <v>6409</v>
      </c>
      <c r="C2636" s="33" t="s">
        <v>1407</v>
      </c>
      <c r="D2636" s="33" t="s">
        <v>50</v>
      </c>
      <c r="E2636" s="33" t="s">
        <v>84</v>
      </c>
      <c r="F2636" s="33" t="s">
        <v>6423</v>
      </c>
      <c r="G2636" s="33" t="s">
        <v>9</v>
      </c>
      <c r="H2636" s="33" t="n">
        <v>10</v>
      </c>
    </row>
    <row r="2637" customFormat="false" ht="54" hidden="false" customHeight="true" outlineLevel="0" collapsed="false">
      <c r="A2637" s="32" t="s">
        <v>12936</v>
      </c>
      <c r="B2637" s="32" t="s">
        <v>6409</v>
      </c>
      <c r="C2637" s="33" t="s">
        <v>1407</v>
      </c>
      <c r="D2637" s="33" t="s">
        <v>50</v>
      </c>
      <c r="E2637" s="33" t="s">
        <v>85</v>
      </c>
      <c r="F2637" s="33" t="s">
        <v>6423</v>
      </c>
      <c r="G2637" s="33" t="s">
        <v>9</v>
      </c>
      <c r="H2637" s="33" t="n">
        <v>10</v>
      </c>
    </row>
    <row r="2638" customFormat="false" ht="54" hidden="false" customHeight="true" outlineLevel="0" collapsed="false">
      <c r="A2638" s="32" t="s">
        <v>12937</v>
      </c>
      <c r="B2638" s="32" t="s">
        <v>6425</v>
      </c>
      <c r="C2638" s="33" t="s">
        <v>1407</v>
      </c>
      <c r="D2638" s="33" t="s">
        <v>50</v>
      </c>
      <c r="E2638" s="33" t="s">
        <v>80</v>
      </c>
      <c r="F2638" s="33" t="s">
        <v>183</v>
      </c>
      <c r="G2638" s="33" t="s">
        <v>9</v>
      </c>
      <c r="H2638" s="33" t="n">
        <v>10</v>
      </c>
    </row>
    <row r="2639" customFormat="false" ht="54" hidden="false" customHeight="true" outlineLevel="0" collapsed="false">
      <c r="A2639" s="32" t="s">
        <v>12938</v>
      </c>
      <c r="B2639" s="32" t="s">
        <v>6425</v>
      </c>
      <c r="C2639" s="33" t="s">
        <v>1407</v>
      </c>
      <c r="D2639" s="33" t="s">
        <v>50</v>
      </c>
      <c r="E2639" s="33" t="s">
        <v>80</v>
      </c>
      <c r="F2639" s="33" t="s">
        <v>6423</v>
      </c>
      <c r="G2639" s="33" t="s">
        <v>9</v>
      </c>
      <c r="H2639" s="33" t="n">
        <v>10</v>
      </c>
    </row>
    <row r="2640" customFormat="false" ht="54" hidden="false" customHeight="true" outlineLevel="0" collapsed="false">
      <c r="A2640" s="32" t="s">
        <v>12939</v>
      </c>
      <c r="B2640" s="32" t="s">
        <v>6425</v>
      </c>
      <c r="C2640" s="33" t="s">
        <v>1407</v>
      </c>
      <c r="D2640" s="33" t="s">
        <v>50</v>
      </c>
      <c r="E2640" s="33" t="s">
        <v>83</v>
      </c>
      <c r="F2640" s="33" t="s">
        <v>6436</v>
      </c>
      <c r="G2640" s="33" t="s">
        <v>9</v>
      </c>
      <c r="H2640" s="33" t="n">
        <v>10</v>
      </c>
    </row>
    <row r="2641" customFormat="false" ht="54" hidden="false" customHeight="true" outlineLevel="0" collapsed="false">
      <c r="A2641" s="32" t="s">
        <v>12940</v>
      </c>
      <c r="B2641" s="32" t="s">
        <v>6425</v>
      </c>
      <c r="C2641" s="33" t="s">
        <v>1407</v>
      </c>
      <c r="D2641" s="33" t="s">
        <v>50</v>
      </c>
      <c r="E2641" s="33" t="s">
        <v>84</v>
      </c>
      <c r="F2641" s="33" t="s">
        <v>183</v>
      </c>
      <c r="G2641" s="33" t="s">
        <v>9</v>
      </c>
      <c r="H2641" s="33" t="n">
        <v>10</v>
      </c>
    </row>
    <row r="2642" customFormat="false" ht="54" hidden="false" customHeight="true" outlineLevel="0" collapsed="false">
      <c r="A2642" s="32" t="s">
        <v>12941</v>
      </c>
      <c r="B2642" s="32" t="s">
        <v>6425</v>
      </c>
      <c r="C2642" s="33" t="s">
        <v>1407</v>
      </c>
      <c r="D2642" s="33" t="s">
        <v>50</v>
      </c>
      <c r="E2642" s="33" t="s">
        <v>84</v>
      </c>
      <c r="F2642" s="33" t="s">
        <v>6423</v>
      </c>
      <c r="G2642" s="33" t="s">
        <v>9</v>
      </c>
      <c r="H2642" s="33" t="n">
        <v>10</v>
      </c>
    </row>
    <row r="2643" customFormat="false" ht="54" hidden="false" customHeight="true" outlineLevel="0" collapsed="false">
      <c r="A2643" s="32" t="s">
        <v>12942</v>
      </c>
      <c r="B2643" s="32" t="s">
        <v>6425</v>
      </c>
      <c r="C2643" s="33" t="s">
        <v>1407</v>
      </c>
      <c r="D2643" s="33" t="s">
        <v>50</v>
      </c>
      <c r="E2643" s="33" t="s">
        <v>85</v>
      </c>
      <c r="F2643" s="33" t="s">
        <v>6423</v>
      </c>
      <c r="G2643" s="33" t="s">
        <v>9</v>
      </c>
      <c r="H2643" s="33" t="n">
        <v>10</v>
      </c>
    </row>
    <row r="2644" customFormat="false" ht="54" hidden="false" customHeight="true" outlineLevel="0" collapsed="false">
      <c r="A2644" s="32" t="s">
        <v>12943</v>
      </c>
      <c r="B2644" s="32" t="s">
        <v>2192</v>
      </c>
      <c r="C2644" s="33" t="s">
        <v>1396</v>
      </c>
      <c r="D2644" s="33" t="s">
        <v>55</v>
      </c>
      <c r="E2644" s="33" t="s">
        <v>80</v>
      </c>
      <c r="F2644" s="33" t="s">
        <v>6440</v>
      </c>
      <c r="G2644" s="33" t="s">
        <v>9</v>
      </c>
      <c r="H2644" s="33" t="n">
        <v>10</v>
      </c>
    </row>
    <row r="2645" customFormat="false" ht="54" hidden="false" customHeight="true" outlineLevel="0" collapsed="false">
      <c r="A2645" s="32" t="s">
        <v>12944</v>
      </c>
      <c r="B2645" s="32" t="s">
        <v>2192</v>
      </c>
      <c r="C2645" s="33" t="s">
        <v>1396</v>
      </c>
      <c r="D2645" s="33" t="s">
        <v>55</v>
      </c>
      <c r="E2645" s="33" t="s">
        <v>80</v>
      </c>
      <c r="F2645" s="33" t="s">
        <v>6441</v>
      </c>
      <c r="G2645" s="33" t="s">
        <v>9</v>
      </c>
      <c r="H2645" s="33" t="n">
        <v>10</v>
      </c>
    </row>
    <row r="2646" customFormat="false" ht="54" hidden="false" customHeight="true" outlineLevel="0" collapsed="false">
      <c r="A2646" s="32" t="s">
        <v>12945</v>
      </c>
      <c r="B2646" s="32" t="s">
        <v>2192</v>
      </c>
      <c r="C2646" s="33" t="s">
        <v>1396</v>
      </c>
      <c r="D2646" s="33" t="s">
        <v>55</v>
      </c>
      <c r="E2646" s="33" t="s">
        <v>80</v>
      </c>
      <c r="F2646" s="33" t="s">
        <v>183</v>
      </c>
      <c r="G2646" s="33" t="s">
        <v>9</v>
      </c>
      <c r="H2646" s="33" t="n">
        <v>10</v>
      </c>
    </row>
    <row r="2647" customFormat="false" ht="54" hidden="false" customHeight="true" outlineLevel="0" collapsed="false">
      <c r="A2647" s="32" t="s">
        <v>12946</v>
      </c>
      <c r="B2647" s="32" t="s">
        <v>2192</v>
      </c>
      <c r="C2647" s="33" t="s">
        <v>1396</v>
      </c>
      <c r="D2647" s="33" t="s">
        <v>55</v>
      </c>
      <c r="E2647" s="33" t="s">
        <v>80</v>
      </c>
      <c r="F2647" s="33" t="s">
        <v>12947</v>
      </c>
      <c r="G2647" s="33" t="s">
        <v>9</v>
      </c>
      <c r="H2647" s="33" t="n">
        <v>10</v>
      </c>
    </row>
    <row r="2648" customFormat="false" ht="54" hidden="false" customHeight="true" outlineLevel="0" collapsed="false">
      <c r="A2648" s="32" t="s">
        <v>12948</v>
      </c>
      <c r="B2648" s="32" t="s">
        <v>2192</v>
      </c>
      <c r="C2648" s="33" t="s">
        <v>1396</v>
      </c>
      <c r="D2648" s="33" t="s">
        <v>55</v>
      </c>
      <c r="E2648" s="33" t="s">
        <v>80</v>
      </c>
      <c r="F2648" s="33" t="s">
        <v>12949</v>
      </c>
      <c r="G2648" s="33" t="s">
        <v>9</v>
      </c>
      <c r="H2648" s="33" t="n">
        <v>10</v>
      </c>
    </row>
    <row r="2649" customFormat="false" ht="54" hidden="false" customHeight="true" outlineLevel="0" collapsed="false">
      <c r="A2649" s="32" t="s">
        <v>12950</v>
      </c>
      <c r="B2649" s="32" t="s">
        <v>2192</v>
      </c>
      <c r="C2649" s="33" t="s">
        <v>1396</v>
      </c>
      <c r="D2649" s="33" t="s">
        <v>55</v>
      </c>
      <c r="E2649" s="33" t="s">
        <v>81</v>
      </c>
      <c r="F2649" s="33" t="s">
        <v>6442</v>
      </c>
      <c r="G2649" s="33" t="s">
        <v>9</v>
      </c>
      <c r="H2649" s="33" t="n">
        <v>10</v>
      </c>
    </row>
    <row r="2650" customFormat="false" ht="54" hidden="false" customHeight="true" outlineLevel="0" collapsed="false">
      <c r="A2650" s="32" t="s">
        <v>12951</v>
      </c>
      <c r="B2650" s="32" t="s">
        <v>2192</v>
      </c>
      <c r="C2650" s="33" t="s">
        <v>1396</v>
      </c>
      <c r="D2650" s="33" t="s">
        <v>55</v>
      </c>
      <c r="E2650" s="33" t="s">
        <v>81</v>
      </c>
      <c r="F2650" s="33" t="s">
        <v>6448</v>
      </c>
      <c r="G2650" s="33" t="s">
        <v>9</v>
      </c>
      <c r="H2650" s="33" t="n">
        <v>10</v>
      </c>
    </row>
    <row r="2651" customFormat="false" ht="54" hidden="false" customHeight="true" outlineLevel="0" collapsed="false">
      <c r="A2651" s="32" t="s">
        <v>12952</v>
      </c>
      <c r="B2651" s="32" t="s">
        <v>2192</v>
      </c>
      <c r="C2651" s="33" t="s">
        <v>1396</v>
      </c>
      <c r="D2651" s="33" t="s">
        <v>55</v>
      </c>
      <c r="E2651" s="33" t="s">
        <v>81</v>
      </c>
      <c r="F2651" s="33" t="s">
        <v>12947</v>
      </c>
      <c r="G2651" s="33" t="s">
        <v>9</v>
      </c>
      <c r="H2651" s="33" t="n">
        <v>10</v>
      </c>
    </row>
    <row r="2652" customFormat="false" ht="54" hidden="false" customHeight="true" outlineLevel="0" collapsed="false">
      <c r="A2652" s="32" t="s">
        <v>12953</v>
      </c>
      <c r="B2652" s="32" t="s">
        <v>2192</v>
      </c>
      <c r="C2652" s="33" t="s">
        <v>1396</v>
      </c>
      <c r="D2652" s="33" t="s">
        <v>55</v>
      </c>
      <c r="E2652" s="33" t="s">
        <v>81</v>
      </c>
      <c r="F2652" s="33" t="s">
        <v>12954</v>
      </c>
      <c r="G2652" s="33" t="s">
        <v>9</v>
      </c>
      <c r="H2652" s="33" t="n">
        <v>10</v>
      </c>
    </row>
    <row r="2653" customFormat="false" ht="54" hidden="false" customHeight="true" outlineLevel="0" collapsed="false">
      <c r="A2653" s="32" t="s">
        <v>12955</v>
      </c>
      <c r="B2653" s="32" t="s">
        <v>2192</v>
      </c>
      <c r="C2653" s="33" t="s">
        <v>1396</v>
      </c>
      <c r="D2653" s="33" t="s">
        <v>55</v>
      </c>
      <c r="E2653" s="33" t="s">
        <v>81</v>
      </c>
      <c r="F2653" s="33" t="s">
        <v>6444</v>
      </c>
      <c r="G2653" s="33" t="s">
        <v>9</v>
      </c>
      <c r="H2653" s="33" t="n">
        <v>10</v>
      </c>
    </row>
    <row r="2654" customFormat="false" ht="54" hidden="false" customHeight="true" outlineLevel="0" collapsed="false">
      <c r="A2654" s="32" t="s">
        <v>12956</v>
      </c>
      <c r="B2654" s="32" t="s">
        <v>2192</v>
      </c>
      <c r="C2654" s="33" t="s">
        <v>1396</v>
      </c>
      <c r="D2654" s="33" t="s">
        <v>55</v>
      </c>
      <c r="E2654" s="33" t="s">
        <v>82</v>
      </c>
      <c r="F2654" s="33" t="s">
        <v>6448</v>
      </c>
      <c r="G2654" s="33" t="s">
        <v>9</v>
      </c>
      <c r="H2654" s="33" t="n">
        <v>10</v>
      </c>
    </row>
    <row r="2655" customFormat="false" ht="54" hidden="false" customHeight="true" outlineLevel="0" collapsed="false">
      <c r="A2655" s="32" t="s">
        <v>12957</v>
      </c>
      <c r="B2655" s="32" t="s">
        <v>2192</v>
      </c>
      <c r="C2655" s="33" t="s">
        <v>1396</v>
      </c>
      <c r="D2655" s="33" t="s">
        <v>55</v>
      </c>
      <c r="E2655" s="33" t="s">
        <v>83</v>
      </c>
      <c r="F2655" s="33" t="s">
        <v>6449</v>
      </c>
      <c r="G2655" s="33" t="s">
        <v>9</v>
      </c>
      <c r="H2655" s="33" t="n">
        <v>10</v>
      </c>
    </row>
    <row r="2656" customFormat="false" ht="54" hidden="false" customHeight="true" outlineLevel="0" collapsed="false">
      <c r="A2656" s="32" t="s">
        <v>12958</v>
      </c>
      <c r="B2656" s="32" t="s">
        <v>2192</v>
      </c>
      <c r="C2656" s="33" t="s">
        <v>1396</v>
      </c>
      <c r="D2656" s="33" t="s">
        <v>55</v>
      </c>
      <c r="E2656" s="33" t="s">
        <v>84</v>
      </c>
      <c r="F2656" s="33" t="s">
        <v>6440</v>
      </c>
      <c r="G2656" s="33" t="s">
        <v>9</v>
      </c>
      <c r="H2656" s="33" t="n">
        <v>10</v>
      </c>
    </row>
    <row r="2657" customFormat="false" ht="54" hidden="false" customHeight="true" outlineLevel="0" collapsed="false">
      <c r="A2657" s="32" t="s">
        <v>12959</v>
      </c>
      <c r="B2657" s="32" t="s">
        <v>2192</v>
      </c>
      <c r="C2657" s="33" t="s">
        <v>1396</v>
      </c>
      <c r="D2657" s="33" t="s">
        <v>55</v>
      </c>
      <c r="E2657" s="33" t="s">
        <v>84</v>
      </c>
      <c r="F2657" s="33" t="s">
        <v>6441</v>
      </c>
      <c r="G2657" s="33" t="s">
        <v>9</v>
      </c>
      <c r="H2657" s="33" t="n">
        <v>10</v>
      </c>
    </row>
    <row r="2658" customFormat="false" ht="54" hidden="false" customHeight="true" outlineLevel="0" collapsed="false">
      <c r="A2658" s="32" t="s">
        <v>12960</v>
      </c>
      <c r="B2658" s="32" t="s">
        <v>2192</v>
      </c>
      <c r="C2658" s="33" t="s">
        <v>1396</v>
      </c>
      <c r="D2658" s="33" t="s">
        <v>55</v>
      </c>
      <c r="E2658" s="33" t="s">
        <v>84</v>
      </c>
      <c r="F2658" s="33" t="s">
        <v>183</v>
      </c>
      <c r="G2658" s="33" t="s">
        <v>9</v>
      </c>
      <c r="H2658" s="33" t="n">
        <v>10</v>
      </c>
    </row>
    <row r="2659" customFormat="false" ht="54" hidden="false" customHeight="true" outlineLevel="0" collapsed="false">
      <c r="A2659" s="32" t="s">
        <v>12961</v>
      </c>
      <c r="B2659" s="32" t="s">
        <v>2192</v>
      </c>
      <c r="C2659" s="33" t="s">
        <v>1396</v>
      </c>
      <c r="D2659" s="33" t="s">
        <v>55</v>
      </c>
      <c r="E2659" s="33" t="s">
        <v>84</v>
      </c>
      <c r="F2659" s="33" t="s">
        <v>12947</v>
      </c>
      <c r="G2659" s="33" t="s">
        <v>9</v>
      </c>
      <c r="H2659" s="33" t="n">
        <v>10</v>
      </c>
    </row>
    <row r="2660" customFormat="false" ht="54" hidden="false" customHeight="true" outlineLevel="0" collapsed="false">
      <c r="A2660" s="32" t="s">
        <v>12962</v>
      </c>
      <c r="B2660" s="32" t="s">
        <v>2192</v>
      </c>
      <c r="C2660" s="33" t="s">
        <v>1396</v>
      </c>
      <c r="D2660" s="33" t="s">
        <v>55</v>
      </c>
      <c r="E2660" s="33" t="s">
        <v>84</v>
      </c>
      <c r="F2660" s="33" t="s">
        <v>12949</v>
      </c>
      <c r="G2660" s="33" t="s">
        <v>9</v>
      </c>
      <c r="H2660" s="33" t="n">
        <v>10</v>
      </c>
    </row>
    <row r="2661" customFormat="false" ht="54" hidden="false" customHeight="true" outlineLevel="0" collapsed="false">
      <c r="A2661" s="32" t="s">
        <v>12963</v>
      </c>
      <c r="B2661" s="32" t="s">
        <v>2192</v>
      </c>
      <c r="C2661" s="33" t="s">
        <v>1396</v>
      </c>
      <c r="D2661" s="33" t="s">
        <v>55</v>
      </c>
      <c r="E2661" s="33" t="s">
        <v>84</v>
      </c>
      <c r="F2661" s="33" t="s">
        <v>12964</v>
      </c>
      <c r="G2661" s="33" t="s">
        <v>9</v>
      </c>
      <c r="H2661" s="33" t="n">
        <v>10</v>
      </c>
    </row>
    <row r="2662" customFormat="false" ht="54" hidden="false" customHeight="true" outlineLevel="0" collapsed="false">
      <c r="A2662" s="32" t="s">
        <v>12965</v>
      </c>
      <c r="B2662" s="32" t="s">
        <v>2192</v>
      </c>
      <c r="C2662" s="33" t="s">
        <v>1396</v>
      </c>
      <c r="D2662" s="33" t="s">
        <v>55</v>
      </c>
      <c r="E2662" s="33" t="s">
        <v>86</v>
      </c>
      <c r="F2662" s="33" t="s">
        <v>6442</v>
      </c>
      <c r="G2662" s="33" t="s">
        <v>9</v>
      </c>
      <c r="H2662" s="33" t="n">
        <v>10</v>
      </c>
    </row>
    <row r="2663" customFormat="false" ht="54" hidden="false" customHeight="true" outlineLevel="0" collapsed="false">
      <c r="A2663" s="32" t="s">
        <v>12966</v>
      </c>
      <c r="B2663" s="32" t="s">
        <v>1930</v>
      </c>
      <c r="C2663" s="33" t="s">
        <v>1407</v>
      </c>
      <c r="D2663" s="33" t="s">
        <v>50</v>
      </c>
      <c r="E2663" s="33" t="s">
        <v>80</v>
      </c>
      <c r="F2663" s="33" t="s">
        <v>183</v>
      </c>
      <c r="G2663" s="33" t="s">
        <v>9</v>
      </c>
      <c r="H2663" s="33" t="n">
        <v>10</v>
      </c>
    </row>
    <row r="2664" customFormat="false" ht="54" hidden="false" customHeight="true" outlineLevel="0" collapsed="false">
      <c r="A2664" s="32" t="s">
        <v>12967</v>
      </c>
      <c r="B2664" s="32" t="s">
        <v>1930</v>
      </c>
      <c r="C2664" s="33" t="s">
        <v>1407</v>
      </c>
      <c r="D2664" s="33" t="s">
        <v>50</v>
      </c>
      <c r="E2664" s="33" t="s">
        <v>81</v>
      </c>
      <c r="F2664" s="33" t="s">
        <v>6456</v>
      </c>
      <c r="G2664" s="33" t="s">
        <v>9</v>
      </c>
      <c r="H2664" s="33" t="n">
        <v>10</v>
      </c>
    </row>
    <row r="2665" customFormat="false" ht="54" hidden="false" customHeight="true" outlineLevel="0" collapsed="false">
      <c r="A2665" s="32" t="s">
        <v>12968</v>
      </c>
      <c r="B2665" s="32" t="s">
        <v>1930</v>
      </c>
      <c r="C2665" s="33" t="s">
        <v>1407</v>
      </c>
      <c r="D2665" s="33" t="s">
        <v>50</v>
      </c>
      <c r="E2665" s="33" t="s">
        <v>81</v>
      </c>
      <c r="F2665" s="33" t="s">
        <v>12969</v>
      </c>
      <c r="G2665" s="33" t="s">
        <v>9</v>
      </c>
      <c r="H2665" s="33" t="n">
        <v>10</v>
      </c>
    </row>
    <row r="2666" customFormat="false" ht="54" hidden="false" customHeight="true" outlineLevel="0" collapsed="false">
      <c r="A2666" s="32" t="s">
        <v>12970</v>
      </c>
      <c r="B2666" s="32" t="s">
        <v>1930</v>
      </c>
      <c r="C2666" s="33" t="s">
        <v>1407</v>
      </c>
      <c r="D2666" s="33" t="s">
        <v>50</v>
      </c>
      <c r="E2666" s="33" t="s">
        <v>81</v>
      </c>
      <c r="F2666" s="33" t="s">
        <v>12971</v>
      </c>
      <c r="G2666" s="33" t="s">
        <v>9</v>
      </c>
      <c r="H2666" s="33" t="n">
        <v>10</v>
      </c>
    </row>
    <row r="2667" customFormat="false" ht="54" hidden="false" customHeight="true" outlineLevel="0" collapsed="false">
      <c r="A2667" s="32" t="s">
        <v>12972</v>
      </c>
      <c r="B2667" s="32" t="s">
        <v>1930</v>
      </c>
      <c r="C2667" s="33" t="s">
        <v>1407</v>
      </c>
      <c r="D2667" s="33" t="s">
        <v>50</v>
      </c>
      <c r="E2667" s="33" t="s">
        <v>81</v>
      </c>
      <c r="F2667" s="33" t="s">
        <v>12973</v>
      </c>
      <c r="G2667" s="33" t="s">
        <v>9</v>
      </c>
      <c r="H2667" s="33" t="n">
        <v>10</v>
      </c>
    </row>
    <row r="2668" customFormat="false" ht="54" hidden="false" customHeight="true" outlineLevel="0" collapsed="false">
      <c r="A2668" s="32" t="s">
        <v>12974</v>
      </c>
      <c r="B2668" s="32" t="s">
        <v>1930</v>
      </c>
      <c r="C2668" s="33" t="s">
        <v>1407</v>
      </c>
      <c r="D2668" s="33" t="s">
        <v>50</v>
      </c>
      <c r="E2668" s="33" t="s">
        <v>82</v>
      </c>
      <c r="F2668" s="33" t="s">
        <v>6454</v>
      </c>
      <c r="G2668" s="33" t="s">
        <v>9</v>
      </c>
      <c r="H2668" s="33" t="n">
        <v>10</v>
      </c>
    </row>
    <row r="2669" customFormat="false" ht="54" hidden="false" customHeight="true" outlineLevel="0" collapsed="false">
      <c r="A2669" s="32" t="s">
        <v>12975</v>
      </c>
      <c r="B2669" s="32" t="s">
        <v>1930</v>
      </c>
      <c r="C2669" s="33" t="s">
        <v>1407</v>
      </c>
      <c r="D2669" s="33" t="s">
        <v>50</v>
      </c>
      <c r="E2669" s="33" t="s">
        <v>82</v>
      </c>
      <c r="F2669" s="33" t="s">
        <v>6455</v>
      </c>
      <c r="G2669" s="33" t="s">
        <v>9</v>
      </c>
      <c r="H2669" s="33" t="n">
        <v>10</v>
      </c>
    </row>
    <row r="2670" customFormat="false" ht="54" hidden="false" customHeight="true" outlineLevel="0" collapsed="false">
      <c r="A2670" s="32" t="s">
        <v>12976</v>
      </c>
      <c r="B2670" s="32" t="s">
        <v>1930</v>
      </c>
      <c r="C2670" s="33" t="s">
        <v>1407</v>
      </c>
      <c r="D2670" s="33" t="s">
        <v>50</v>
      </c>
      <c r="E2670" s="33" t="s">
        <v>82</v>
      </c>
      <c r="F2670" s="33" t="s">
        <v>6456</v>
      </c>
      <c r="G2670" s="33" t="s">
        <v>9</v>
      </c>
      <c r="H2670" s="33" t="n">
        <v>10</v>
      </c>
    </row>
    <row r="2671" customFormat="false" ht="54" hidden="false" customHeight="true" outlineLevel="0" collapsed="false">
      <c r="A2671" s="32" t="s">
        <v>12977</v>
      </c>
      <c r="B2671" s="32" t="s">
        <v>1930</v>
      </c>
      <c r="C2671" s="33" t="s">
        <v>1407</v>
      </c>
      <c r="D2671" s="33" t="s">
        <v>50</v>
      </c>
      <c r="E2671" s="33" t="s">
        <v>82</v>
      </c>
      <c r="F2671" s="33" t="s">
        <v>12969</v>
      </c>
      <c r="G2671" s="33" t="s">
        <v>9</v>
      </c>
      <c r="H2671" s="33" t="n">
        <v>10</v>
      </c>
    </row>
    <row r="2672" customFormat="false" ht="54" hidden="false" customHeight="true" outlineLevel="0" collapsed="false">
      <c r="A2672" s="32" t="s">
        <v>12978</v>
      </c>
      <c r="B2672" s="32" t="s">
        <v>1930</v>
      </c>
      <c r="C2672" s="33" t="s">
        <v>1407</v>
      </c>
      <c r="D2672" s="33" t="s">
        <v>50</v>
      </c>
      <c r="E2672" s="33" t="s">
        <v>82</v>
      </c>
      <c r="F2672" s="33" t="s">
        <v>12979</v>
      </c>
      <c r="G2672" s="33" t="s">
        <v>9</v>
      </c>
      <c r="H2672" s="33" t="n">
        <v>10</v>
      </c>
    </row>
    <row r="2673" customFormat="false" ht="54" hidden="false" customHeight="true" outlineLevel="0" collapsed="false">
      <c r="A2673" s="32" t="s">
        <v>12980</v>
      </c>
      <c r="B2673" s="32" t="s">
        <v>1930</v>
      </c>
      <c r="C2673" s="33" t="s">
        <v>1407</v>
      </c>
      <c r="D2673" s="33" t="s">
        <v>50</v>
      </c>
      <c r="E2673" s="33" t="s">
        <v>84</v>
      </c>
      <c r="F2673" s="33" t="s">
        <v>183</v>
      </c>
      <c r="G2673" s="33" t="s">
        <v>9</v>
      </c>
      <c r="H2673" s="33" t="n">
        <v>10</v>
      </c>
    </row>
    <row r="2674" customFormat="false" ht="54" hidden="false" customHeight="true" outlineLevel="0" collapsed="false">
      <c r="A2674" s="32" t="s">
        <v>12981</v>
      </c>
      <c r="B2674" s="32" t="s">
        <v>5157</v>
      </c>
      <c r="C2674" s="33" t="s">
        <v>1407</v>
      </c>
      <c r="D2674" s="33" t="s">
        <v>50</v>
      </c>
      <c r="E2674" s="33" t="s">
        <v>80</v>
      </c>
      <c r="F2674" s="33" t="s">
        <v>6470</v>
      </c>
      <c r="G2674" s="33" t="s">
        <v>9</v>
      </c>
      <c r="H2674" s="33" t="n">
        <v>10</v>
      </c>
    </row>
    <row r="2675" customFormat="false" ht="54" hidden="false" customHeight="true" outlineLevel="0" collapsed="false">
      <c r="A2675" s="32" t="s">
        <v>12982</v>
      </c>
      <c r="B2675" s="32" t="s">
        <v>5157</v>
      </c>
      <c r="C2675" s="33" t="s">
        <v>1407</v>
      </c>
      <c r="D2675" s="33" t="s">
        <v>50</v>
      </c>
      <c r="E2675" s="33" t="s">
        <v>80</v>
      </c>
      <c r="F2675" s="33" t="s">
        <v>183</v>
      </c>
      <c r="G2675" s="33" t="s">
        <v>9</v>
      </c>
      <c r="H2675" s="33" t="n">
        <v>10</v>
      </c>
    </row>
    <row r="2676" customFormat="false" ht="54" hidden="false" customHeight="true" outlineLevel="0" collapsed="false">
      <c r="A2676" s="32" t="s">
        <v>12983</v>
      </c>
      <c r="B2676" s="32" t="s">
        <v>5157</v>
      </c>
      <c r="C2676" s="33" t="s">
        <v>1407</v>
      </c>
      <c r="D2676" s="33" t="s">
        <v>50</v>
      </c>
      <c r="E2676" s="33" t="s">
        <v>80</v>
      </c>
      <c r="F2676" s="33" t="s">
        <v>12984</v>
      </c>
      <c r="G2676" s="33" t="s">
        <v>9</v>
      </c>
      <c r="H2676" s="33" t="n">
        <v>10</v>
      </c>
    </row>
    <row r="2677" customFormat="false" ht="54" hidden="false" customHeight="true" outlineLevel="0" collapsed="false">
      <c r="A2677" s="32" t="s">
        <v>12985</v>
      </c>
      <c r="B2677" s="32" t="s">
        <v>5157</v>
      </c>
      <c r="C2677" s="33" t="s">
        <v>1407</v>
      </c>
      <c r="D2677" s="33" t="s">
        <v>50</v>
      </c>
      <c r="E2677" s="33" t="s">
        <v>80</v>
      </c>
      <c r="F2677" s="33" t="s">
        <v>12986</v>
      </c>
      <c r="G2677" s="33" t="s">
        <v>9</v>
      </c>
      <c r="H2677" s="33" t="n">
        <v>10</v>
      </c>
    </row>
    <row r="2678" customFormat="false" ht="54" hidden="false" customHeight="true" outlineLevel="0" collapsed="false">
      <c r="A2678" s="32" t="s">
        <v>12987</v>
      </c>
      <c r="B2678" s="32" t="s">
        <v>5157</v>
      </c>
      <c r="C2678" s="33" t="s">
        <v>1407</v>
      </c>
      <c r="D2678" s="33" t="s">
        <v>50</v>
      </c>
      <c r="E2678" s="33" t="s">
        <v>80</v>
      </c>
      <c r="F2678" s="33" t="s">
        <v>12988</v>
      </c>
      <c r="G2678" s="33" t="s">
        <v>9</v>
      </c>
      <c r="H2678" s="33" t="n">
        <v>10</v>
      </c>
    </row>
    <row r="2679" customFormat="false" ht="54" hidden="false" customHeight="true" outlineLevel="0" collapsed="false">
      <c r="A2679" s="32" t="s">
        <v>12989</v>
      </c>
      <c r="B2679" s="32" t="s">
        <v>5157</v>
      </c>
      <c r="C2679" s="33" t="s">
        <v>1407</v>
      </c>
      <c r="D2679" s="33" t="s">
        <v>50</v>
      </c>
      <c r="E2679" s="33" t="s">
        <v>81</v>
      </c>
      <c r="F2679" s="33" t="s">
        <v>6468</v>
      </c>
      <c r="G2679" s="33" t="s">
        <v>9</v>
      </c>
      <c r="H2679" s="33" t="n">
        <v>10</v>
      </c>
    </row>
    <row r="2680" customFormat="false" ht="54" hidden="false" customHeight="true" outlineLevel="0" collapsed="false">
      <c r="A2680" s="32" t="s">
        <v>12990</v>
      </c>
      <c r="B2680" s="32" t="s">
        <v>5157</v>
      </c>
      <c r="C2680" s="33" t="s">
        <v>1407</v>
      </c>
      <c r="D2680" s="33" t="s">
        <v>50</v>
      </c>
      <c r="E2680" s="33" t="s">
        <v>81</v>
      </c>
      <c r="F2680" s="33" t="s">
        <v>6470</v>
      </c>
      <c r="G2680" s="33" t="s">
        <v>9</v>
      </c>
      <c r="H2680" s="33" t="n">
        <v>10</v>
      </c>
    </row>
    <row r="2681" customFormat="false" ht="54" hidden="false" customHeight="true" outlineLevel="0" collapsed="false">
      <c r="A2681" s="32" t="s">
        <v>12991</v>
      </c>
      <c r="B2681" s="32" t="s">
        <v>5157</v>
      </c>
      <c r="C2681" s="33" t="s">
        <v>1407</v>
      </c>
      <c r="D2681" s="33" t="s">
        <v>50</v>
      </c>
      <c r="E2681" s="33" t="s">
        <v>81</v>
      </c>
      <c r="F2681" s="33" t="s">
        <v>12984</v>
      </c>
      <c r="G2681" s="33" t="s">
        <v>9</v>
      </c>
      <c r="H2681" s="33" t="n">
        <v>10</v>
      </c>
    </row>
    <row r="2682" customFormat="false" ht="54" hidden="false" customHeight="true" outlineLevel="0" collapsed="false">
      <c r="A2682" s="32" t="s">
        <v>12992</v>
      </c>
      <c r="B2682" s="32" t="s">
        <v>5157</v>
      </c>
      <c r="C2682" s="33" t="s">
        <v>1407</v>
      </c>
      <c r="D2682" s="33" t="s">
        <v>50</v>
      </c>
      <c r="E2682" s="33" t="s">
        <v>81</v>
      </c>
      <c r="F2682" s="33" t="s">
        <v>12986</v>
      </c>
      <c r="G2682" s="33" t="s">
        <v>9</v>
      </c>
      <c r="H2682" s="33" t="n">
        <v>10</v>
      </c>
    </row>
    <row r="2683" customFormat="false" ht="54" hidden="false" customHeight="true" outlineLevel="0" collapsed="false">
      <c r="A2683" s="32" t="s">
        <v>12993</v>
      </c>
      <c r="B2683" s="32" t="s">
        <v>5157</v>
      </c>
      <c r="C2683" s="33" t="s">
        <v>1407</v>
      </c>
      <c r="D2683" s="33" t="s">
        <v>50</v>
      </c>
      <c r="E2683" s="33" t="s">
        <v>81</v>
      </c>
      <c r="F2683" s="33" t="s">
        <v>12994</v>
      </c>
      <c r="G2683" s="33" t="s">
        <v>9</v>
      </c>
      <c r="H2683" s="33" t="n">
        <v>10</v>
      </c>
    </row>
    <row r="2684" customFormat="false" ht="54" hidden="false" customHeight="true" outlineLevel="0" collapsed="false">
      <c r="A2684" s="32" t="s">
        <v>12995</v>
      </c>
      <c r="B2684" s="32" t="s">
        <v>5157</v>
      </c>
      <c r="C2684" s="33" t="s">
        <v>1407</v>
      </c>
      <c r="D2684" s="33" t="s">
        <v>50</v>
      </c>
      <c r="E2684" s="33" t="s">
        <v>84</v>
      </c>
      <c r="F2684" s="33" t="s">
        <v>183</v>
      </c>
      <c r="G2684" s="33" t="s">
        <v>9</v>
      </c>
      <c r="H2684" s="33" t="n">
        <v>10</v>
      </c>
    </row>
    <row r="2685" customFormat="false" ht="54" hidden="false" customHeight="true" outlineLevel="0" collapsed="false">
      <c r="A2685" s="32" t="s">
        <v>12996</v>
      </c>
      <c r="B2685" s="32" t="s">
        <v>5157</v>
      </c>
      <c r="C2685" s="33" t="s">
        <v>1407</v>
      </c>
      <c r="D2685" s="33" t="s">
        <v>50</v>
      </c>
      <c r="E2685" s="33" t="s">
        <v>84</v>
      </c>
      <c r="F2685" s="33" t="s">
        <v>12988</v>
      </c>
      <c r="G2685" s="33" t="s">
        <v>9</v>
      </c>
      <c r="H2685" s="33" t="n">
        <v>10</v>
      </c>
    </row>
    <row r="2686" customFormat="false" ht="54" hidden="false" customHeight="true" outlineLevel="0" collapsed="false">
      <c r="A2686" s="32" t="s">
        <v>12997</v>
      </c>
      <c r="B2686" s="32" t="s">
        <v>5157</v>
      </c>
      <c r="C2686" s="33" t="s">
        <v>1407</v>
      </c>
      <c r="D2686" s="33" t="s">
        <v>50</v>
      </c>
      <c r="E2686" s="33" t="s">
        <v>84</v>
      </c>
      <c r="F2686" s="33" t="s">
        <v>12998</v>
      </c>
      <c r="G2686" s="33" t="s">
        <v>9</v>
      </c>
      <c r="H2686" s="33" t="n">
        <v>10</v>
      </c>
    </row>
    <row r="2687" customFormat="false" ht="54" hidden="false" customHeight="true" outlineLevel="0" collapsed="false">
      <c r="A2687" s="32" t="s">
        <v>12999</v>
      </c>
      <c r="B2687" s="32" t="s">
        <v>6478</v>
      </c>
      <c r="C2687" s="33" t="s">
        <v>1407</v>
      </c>
      <c r="D2687" s="33" t="s">
        <v>50</v>
      </c>
      <c r="E2687" s="33" t="s">
        <v>80</v>
      </c>
      <c r="F2687" s="33" t="s">
        <v>183</v>
      </c>
      <c r="G2687" s="33" t="s">
        <v>9</v>
      </c>
      <c r="H2687" s="33" t="n">
        <v>10</v>
      </c>
    </row>
    <row r="2688" customFormat="false" ht="54" hidden="false" customHeight="true" outlineLevel="0" collapsed="false">
      <c r="A2688" s="32" t="s">
        <v>13000</v>
      </c>
      <c r="B2688" s="32" t="s">
        <v>6478</v>
      </c>
      <c r="C2688" s="33" t="s">
        <v>1407</v>
      </c>
      <c r="D2688" s="33" t="s">
        <v>50</v>
      </c>
      <c r="E2688" s="33" t="s">
        <v>80</v>
      </c>
      <c r="F2688" s="33" t="s">
        <v>6489</v>
      </c>
      <c r="G2688" s="33" t="s">
        <v>9</v>
      </c>
      <c r="H2688" s="33" t="n">
        <v>10</v>
      </c>
    </row>
    <row r="2689" customFormat="false" ht="54" hidden="false" customHeight="true" outlineLevel="0" collapsed="false">
      <c r="A2689" s="32" t="s">
        <v>13001</v>
      </c>
      <c r="B2689" s="32" t="s">
        <v>6478</v>
      </c>
      <c r="C2689" s="33" t="s">
        <v>1407</v>
      </c>
      <c r="D2689" s="33" t="s">
        <v>50</v>
      </c>
      <c r="E2689" s="33" t="s">
        <v>82</v>
      </c>
      <c r="F2689" s="33" t="s">
        <v>6481</v>
      </c>
      <c r="G2689" s="33" t="s">
        <v>9</v>
      </c>
      <c r="H2689" s="33" t="n">
        <v>10</v>
      </c>
    </row>
    <row r="2690" customFormat="false" ht="54" hidden="false" customHeight="true" outlineLevel="0" collapsed="false">
      <c r="A2690" s="32" t="s">
        <v>13002</v>
      </c>
      <c r="B2690" s="32" t="s">
        <v>6478</v>
      </c>
      <c r="C2690" s="33" t="s">
        <v>1407</v>
      </c>
      <c r="D2690" s="33" t="s">
        <v>50</v>
      </c>
      <c r="E2690" s="33" t="s">
        <v>82</v>
      </c>
      <c r="F2690" s="33" t="s">
        <v>6489</v>
      </c>
      <c r="G2690" s="33" t="s">
        <v>9</v>
      </c>
      <c r="H2690" s="33" t="n">
        <v>10</v>
      </c>
    </row>
    <row r="2691" customFormat="false" ht="54" hidden="false" customHeight="true" outlineLevel="0" collapsed="false">
      <c r="A2691" s="32" t="s">
        <v>13003</v>
      </c>
      <c r="B2691" s="32" t="s">
        <v>6478</v>
      </c>
      <c r="C2691" s="33" t="s">
        <v>1407</v>
      </c>
      <c r="D2691" s="33" t="s">
        <v>50</v>
      </c>
      <c r="E2691" s="33" t="s">
        <v>83</v>
      </c>
      <c r="F2691" s="33" t="s">
        <v>6489</v>
      </c>
      <c r="G2691" s="33" t="s">
        <v>9</v>
      </c>
      <c r="H2691" s="33" t="n">
        <v>10</v>
      </c>
    </row>
    <row r="2692" customFormat="false" ht="54" hidden="false" customHeight="true" outlineLevel="0" collapsed="false">
      <c r="A2692" s="32" t="s">
        <v>13004</v>
      </c>
      <c r="B2692" s="32" t="s">
        <v>6478</v>
      </c>
      <c r="C2692" s="33" t="s">
        <v>1407</v>
      </c>
      <c r="D2692" s="33" t="s">
        <v>50</v>
      </c>
      <c r="E2692" s="33" t="s">
        <v>84</v>
      </c>
      <c r="F2692" s="33" t="s">
        <v>183</v>
      </c>
      <c r="G2692" s="33" t="s">
        <v>9</v>
      </c>
      <c r="H2692" s="33" t="n">
        <v>10</v>
      </c>
    </row>
    <row r="2693" customFormat="false" ht="54" hidden="false" customHeight="true" outlineLevel="0" collapsed="false">
      <c r="A2693" s="32" t="s">
        <v>13005</v>
      </c>
      <c r="B2693" s="32" t="s">
        <v>6478</v>
      </c>
      <c r="C2693" s="33" t="s">
        <v>1407</v>
      </c>
      <c r="D2693" s="33" t="s">
        <v>50</v>
      </c>
      <c r="E2693" s="33" t="s">
        <v>84</v>
      </c>
      <c r="F2693" s="33" t="s">
        <v>6489</v>
      </c>
      <c r="G2693" s="33" t="s">
        <v>9</v>
      </c>
      <c r="H2693" s="33" t="n">
        <v>10</v>
      </c>
    </row>
    <row r="2694" customFormat="false" ht="54" hidden="false" customHeight="true" outlineLevel="0" collapsed="false">
      <c r="A2694" s="32" t="s">
        <v>13006</v>
      </c>
      <c r="B2694" s="32" t="s">
        <v>6491</v>
      </c>
      <c r="C2694" s="33" t="s">
        <v>1407</v>
      </c>
      <c r="D2694" s="33" t="s">
        <v>50</v>
      </c>
      <c r="E2694" s="33" t="s">
        <v>80</v>
      </c>
      <c r="F2694" s="33" t="s">
        <v>183</v>
      </c>
      <c r="G2694" s="33" t="s">
        <v>9</v>
      </c>
      <c r="H2694" s="33" t="n">
        <v>10</v>
      </c>
    </row>
    <row r="2695" customFormat="false" ht="54" hidden="false" customHeight="true" outlineLevel="0" collapsed="false">
      <c r="A2695" s="32" t="s">
        <v>13007</v>
      </c>
      <c r="B2695" s="32" t="s">
        <v>6491</v>
      </c>
      <c r="C2695" s="33" t="s">
        <v>1407</v>
      </c>
      <c r="D2695" s="33" t="s">
        <v>50</v>
      </c>
      <c r="E2695" s="33" t="s">
        <v>82</v>
      </c>
      <c r="F2695" s="33" t="s">
        <v>6495</v>
      </c>
      <c r="G2695" s="33" t="s">
        <v>9</v>
      </c>
      <c r="H2695" s="33" t="n">
        <v>10</v>
      </c>
    </row>
    <row r="2696" customFormat="false" ht="54" hidden="false" customHeight="true" outlineLevel="0" collapsed="false">
      <c r="A2696" s="32" t="s">
        <v>13008</v>
      </c>
      <c r="B2696" s="32" t="s">
        <v>6491</v>
      </c>
      <c r="C2696" s="33" t="s">
        <v>1407</v>
      </c>
      <c r="D2696" s="33" t="s">
        <v>50</v>
      </c>
      <c r="E2696" s="33" t="s">
        <v>84</v>
      </c>
      <c r="F2696" s="33" t="s">
        <v>183</v>
      </c>
      <c r="G2696" s="33" t="s">
        <v>9</v>
      </c>
      <c r="H2696" s="33" t="n">
        <v>10</v>
      </c>
    </row>
    <row r="2697" customFormat="false" ht="54" hidden="false" customHeight="true" outlineLevel="0" collapsed="false">
      <c r="A2697" s="32" t="s">
        <v>13009</v>
      </c>
      <c r="B2697" s="32" t="s">
        <v>6501</v>
      </c>
      <c r="C2697" s="33" t="s">
        <v>1407</v>
      </c>
      <c r="D2697" s="33" t="s">
        <v>50</v>
      </c>
      <c r="E2697" s="33" t="s">
        <v>80</v>
      </c>
      <c r="F2697" s="33" t="s">
        <v>183</v>
      </c>
      <c r="G2697" s="33" t="s">
        <v>9</v>
      </c>
      <c r="H2697" s="33" t="n">
        <v>10</v>
      </c>
    </row>
    <row r="2698" customFormat="false" ht="54" hidden="false" customHeight="true" outlineLevel="0" collapsed="false">
      <c r="A2698" s="32" t="s">
        <v>13010</v>
      </c>
      <c r="B2698" s="32" t="s">
        <v>6501</v>
      </c>
      <c r="C2698" s="33" t="s">
        <v>1407</v>
      </c>
      <c r="D2698" s="33" t="s">
        <v>50</v>
      </c>
      <c r="E2698" s="33" t="s">
        <v>80</v>
      </c>
      <c r="F2698" s="33" t="s">
        <v>13011</v>
      </c>
      <c r="G2698" s="33" t="s">
        <v>9</v>
      </c>
      <c r="H2698" s="33" t="n">
        <v>10</v>
      </c>
    </row>
    <row r="2699" customFormat="false" ht="54" hidden="false" customHeight="true" outlineLevel="0" collapsed="false">
      <c r="A2699" s="32" t="s">
        <v>13012</v>
      </c>
      <c r="B2699" s="32" t="s">
        <v>6501</v>
      </c>
      <c r="C2699" s="33" t="s">
        <v>1407</v>
      </c>
      <c r="D2699" s="33" t="s">
        <v>50</v>
      </c>
      <c r="E2699" s="33" t="s">
        <v>80</v>
      </c>
      <c r="F2699" s="33" t="s">
        <v>6489</v>
      </c>
      <c r="G2699" s="33" t="s">
        <v>9</v>
      </c>
      <c r="H2699" s="33" t="n">
        <v>10</v>
      </c>
    </row>
    <row r="2700" customFormat="false" ht="54" hidden="false" customHeight="true" outlineLevel="0" collapsed="false">
      <c r="A2700" s="32" t="s">
        <v>13013</v>
      </c>
      <c r="B2700" s="32" t="s">
        <v>6501</v>
      </c>
      <c r="C2700" s="33" t="s">
        <v>1407</v>
      </c>
      <c r="D2700" s="33" t="s">
        <v>50</v>
      </c>
      <c r="E2700" s="33" t="s">
        <v>80</v>
      </c>
      <c r="F2700" s="33" t="s">
        <v>13014</v>
      </c>
      <c r="G2700" s="33" t="s">
        <v>9</v>
      </c>
      <c r="H2700" s="33" t="n">
        <v>10</v>
      </c>
    </row>
    <row r="2701" customFormat="false" ht="54" hidden="false" customHeight="true" outlineLevel="0" collapsed="false">
      <c r="A2701" s="32" t="s">
        <v>13015</v>
      </c>
      <c r="B2701" s="32" t="s">
        <v>6501</v>
      </c>
      <c r="C2701" s="33" t="s">
        <v>1407</v>
      </c>
      <c r="D2701" s="33" t="s">
        <v>50</v>
      </c>
      <c r="E2701" s="33" t="s">
        <v>81</v>
      </c>
      <c r="F2701" s="33" t="s">
        <v>6506</v>
      </c>
      <c r="G2701" s="33" t="s">
        <v>9</v>
      </c>
      <c r="H2701" s="33" t="n">
        <v>10</v>
      </c>
    </row>
    <row r="2702" customFormat="false" ht="54" hidden="false" customHeight="true" outlineLevel="0" collapsed="false">
      <c r="A2702" s="32" t="s">
        <v>13016</v>
      </c>
      <c r="B2702" s="32" t="s">
        <v>6501</v>
      </c>
      <c r="C2702" s="33" t="s">
        <v>1407</v>
      </c>
      <c r="D2702" s="33" t="s">
        <v>50</v>
      </c>
      <c r="E2702" s="33" t="s">
        <v>81</v>
      </c>
      <c r="F2702" s="33" t="s">
        <v>6507</v>
      </c>
      <c r="G2702" s="33" t="s">
        <v>9</v>
      </c>
      <c r="H2702" s="33" t="n">
        <v>10</v>
      </c>
    </row>
    <row r="2703" customFormat="false" ht="54" hidden="false" customHeight="true" outlineLevel="0" collapsed="false">
      <c r="A2703" s="32" t="s">
        <v>13017</v>
      </c>
      <c r="B2703" s="32" t="s">
        <v>6501</v>
      </c>
      <c r="C2703" s="33" t="s">
        <v>1407</v>
      </c>
      <c r="D2703" s="33" t="s">
        <v>50</v>
      </c>
      <c r="E2703" s="33" t="s">
        <v>81</v>
      </c>
      <c r="F2703" s="33" t="s">
        <v>13018</v>
      </c>
      <c r="G2703" s="33" t="s">
        <v>9</v>
      </c>
      <c r="H2703" s="33" t="n">
        <v>10</v>
      </c>
    </row>
    <row r="2704" customFormat="false" ht="54" hidden="false" customHeight="true" outlineLevel="0" collapsed="false">
      <c r="A2704" s="32" t="s">
        <v>13019</v>
      </c>
      <c r="B2704" s="32" t="s">
        <v>6501</v>
      </c>
      <c r="C2704" s="33" t="s">
        <v>1407</v>
      </c>
      <c r="D2704" s="33" t="s">
        <v>50</v>
      </c>
      <c r="E2704" s="33" t="s">
        <v>81</v>
      </c>
      <c r="F2704" s="33" t="s">
        <v>13020</v>
      </c>
      <c r="G2704" s="33" t="s">
        <v>9</v>
      </c>
      <c r="H2704" s="33" t="n">
        <v>10</v>
      </c>
    </row>
    <row r="2705" customFormat="false" ht="54" hidden="false" customHeight="true" outlineLevel="0" collapsed="false">
      <c r="A2705" s="32" t="s">
        <v>13021</v>
      </c>
      <c r="B2705" s="32" t="s">
        <v>6501</v>
      </c>
      <c r="C2705" s="33" t="s">
        <v>1407</v>
      </c>
      <c r="D2705" s="33" t="s">
        <v>50</v>
      </c>
      <c r="E2705" s="33" t="s">
        <v>81</v>
      </c>
      <c r="F2705" s="33" t="s">
        <v>13022</v>
      </c>
      <c r="G2705" s="33" t="s">
        <v>9</v>
      </c>
      <c r="H2705" s="33" t="n">
        <v>10</v>
      </c>
    </row>
    <row r="2706" customFormat="false" ht="54" hidden="false" customHeight="true" outlineLevel="0" collapsed="false">
      <c r="A2706" s="32" t="s">
        <v>13023</v>
      </c>
      <c r="B2706" s="32" t="s">
        <v>6501</v>
      </c>
      <c r="C2706" s="33" t="s">
        <v>1407</v>
      </c>
      <c r="D2706" s="33" t="s">
        <v>50</v>
      </c>
      <c r="E2706" s="33" t="s">
        <v>82</v>
      </c>
      <c r="F2706" s="33" t="s">
        <v>1612</v>
      </c>
      <c r="G2706" s="33" t="s">
        <v>9</v>
      </c>
      <c r="H2706" s="33" t="n">
        <v>10</v>
      </c>
    </row>
    <row r="2707" customFormat="false" ht="54" hidden="false" customHeight="true" outlineLevel="0" collapsed="false">
      <c r="A2707" s="32" t="s">
        <v>13024</v>
      </c>
      <c r="B2707" s="32" t="s">
        <v>6501</v>
      </c>
      <c r="C2707" s="33" t="s">
        <v>1407</v>
      </c>
      <c r="D2707" s="33" t="s">
        <v>50</v>
      </c>
      <c r="E2707" s="33" t="s">
        <v>82</v>
      </c>
      <c r="F2707" s="33" t="s">
        <v>13011</v>
      </c>
      <c r="G2707" s="33" t="s">
        <v>9</v>
      </c>
      <c r="H2707" s="33" t="n">
        <v>10</v>
      </c>
    </row>
    <row r="2708" customFormat="false" ht="54" hidden="false" customHeight="true" outlineLevel="0" collapsed="false">
      <c r="A2708" s="32" t="s">
        <v>13025</v>
      </c>
      <c r="B2708" s="32" t="s">
        <v>6501</v>
      </c>
      <c r="C2708" s="33" t="s">
        <v>1407</v>
      </c>
      <c r="D2708" s="33" t="s">
        <v>50</v>
      </c>
      <c r="E2708" s="33" t="s">
        <v>82</v>
      </c>
      <c r="F2708" s="33" t="s">
        <v>13026</v>
      </c>
      <c r="G2708" s="33" t="s">
        <v>9</v>
      </c>
      <c r="H2708" s="33" t="n">
        <v>10</v>
      </c>
    </row>
    <row r="2709" customFormat="false" ht="54" hidden="false" customHeight="true" outlineLevel="0" collapsed="false">
      <c r="A2709" s="32" t="s">
        <v>13027</v>
      </c>
      <c r="B2709" s="32" t="s">
        <v>6501</v>
      </c>
      <c r="C2709" s="33" t="s">
        <v>1407</v>
      </c>
      <c r="D2709" s="33" t="s">
        <v>50</v>
      </c>
      <c r="E2709" s="33" t="s">
        <v>82</v>
      </c>
      <c r="F2709" s="33" t="s">
        <v>13028</v>
      </c>
      <c r="G2709" s="33" t="s">
        <v>9</v>
      </c>
      <c r="H2709" s="33" t="n">
        <v>10</v>
      </c>
    </row>
    <row r="2710" customFormat="false" ht="54" hidden="false" customHeight="true" outlineLevel="0" collapsed="false">
      <c r="A2710" s="32" t="s">
        <v>13029</v>
      </c>
      <c r="B2710" s="32" t="s">
        <v>6501</v>
      </c>
      <c r="C2710" s="33" t="s">
        <v>1407</v>
      </c>
      <c r="D2710" s="33" t="s">
        <v>50</v>
      </c>
      <c r="E2710" s="33" t="s">
        <v>82</v>
      </c>
      <c r="F2710" s="33" t="s">
        <v>6489</v>
      </c>
      <c r="G2710" s="33" t="s">
        <v>9</v>
      </c>
      <c r="H2710" s="33" t="n">
        <v>10</v>
      </c>
    </row>
    <row r="2711" customFormat="false" ht="54" hidden="false" customHeight="true" outlineLevel="0" collapsed="false">
      <c r="A2711" s="32" t="s">
        <v>13030</v>
      </c>
      <c r="B2711" s="32" t="s">
        <v>6501</v>
      </c>
      <c r="C2711" s="33" t="s">
        <v>1407</v>
      </c>
      <c r="D2711" s="33" t="s">
        <v>50</v>
      </c>
      <c r="E2711" s="33" t="s">
        <v>82</v>
      </c>
      <c r="F2711" s="33" t="s">
        <v>13018</v>
      </c>
      <c r="G2711" s="33" t="s">
        <v>9</v>
      </c>
      <c r="H2711" s="33" t="n">
        <v>10</v>
      </c>
    </row>
    <row r="2712" customFormat="false" ht="54" hidden="false" customHeight="true" outlineLevel="0" collapsed="false">
      <c r="A2712" s="32" t="s">
        <v>13031</v>
      </c>
      <c r="B2712" s="32" t="s">
        <v>6501</v>
      </c>
      <c r="C2712" s="33" t="s">
        <v>1407</v>
      </c>
      <c r="D2712" s="33" t="s">
        <v>50</v>
      </c>
      <c r="E2712" s="33" t="s">
        <v>82</v>
      </c>
      <c r="F2712" s="33" t="s">
        <v>6516</v>
      </c>
      <c r="G2712" s="33" t="s">
        <v>9</v>
      </c>
      <c r="H2712" s="33" t="n">
        <v>10</v>
      </c>
    </row>
    <row r="2713" customFormat="false" ht="54" hidden="false" customHeight="true" outlineLevel="0" collapsed="false">
      <c r="A2713" s="32" t="s">
        <v>13032</v>
      </c>
      <c r="B2713" s="32" t="s">
        <v>6501</v>
      </c>
      <c r="C2713" s="33" t="s">
        <v>1407</v>
      </c>
      <c r="D2713" s="33" t="s">
        <v>50</v>
      </c>
      <c r="E2713" s="33" t="s">
        <v>82</v>
      </c>
      <c r="F2713" s="33" t="s">
        <v>13020</v>
      </c>
      <c r="G2713" s="33" t="s">
        <v>9</v>
      </c>
      <c r="H2713" s="33" t="n">
        <v>10</v>
      </c>
    </row>
    <row r="2714" customFormat="false" ht="54" hidden="false" customHeight="true" outlineLevel="0" collapsed="false">
      <c r="A2714" s="32" t="s">
        <v>13033</v>
      </c>
      <c r="B2714" s="32" t="s">
        <v>6501</v>
      </c>
      <c r="C2714" s="33" t="s">
        <v>1407</v>
      </c>
      <c r="D2714" s="33" t="s">
        <v>50</v>
      </c>
      <c r="E2714" s="33" t="s">
        <v>83</v>
      </c>
      <c r="F2714" s="33" t="s">
        <v>6489</v>
      </c>
      <c r="G2714" s="33" t="s">
        <v>9</v>
      </c>
      <c r="H2714" s="33" t="n">
        <v>10</v>
      </c>
    </row>
    <row r="2715" customFormat="false" ht="54" hidden="false" customHeight="true" outlineLevel="0" collapsed="false">
      <c r="A2715" s="32" t="s">
        <v>13034</v>
      </c>
      <c r="B2715" s="32" t="s">
        <v>6501</v>
      </c>
      <c r="C2715" s="33" t="s">
        <v>1407</v>
      </c>
      <c r="D2715" s="33" t="s">
        <v>50</v>
      </c>
      <c r="E2715" s="33" t="s">
        <v>83</v>
      </c>
      <c r="F2715" s="33" t="s">
        <v>6516</v>
      </c>
      <c r="G2715" s="33" t="s">
        <v>9</v>
      </c>
      <c r="H2715" s="33" t="n">
        <v>10</v>
      </c>
    </row>
    <row r="2716" customFormat="false" ht="54" hidden="false" customHeight="true" outlineLevel="0" collapsed="false">
      <c r="A2716" s="32" t="s">
        <v>13035</v>
      </c>
      <c r="B2716" s="32" t="s">
        <v>6501</v>
      </c>
      <c r="C2716" s="33" t="s">
        <v>1407</v>
      </c>
      <c r="D2716" s="33" t="s">
        <v>50</v>
      </c>
      <c r="E2716" s="33" t="s">
        <v>84</v>
      </c>
      <c r="F2716" s="33" t="s">
        <v>183</v>
      </c>
      <c r="G2716" s="33" t="s">
        <v>9</v>
      </c>
      <c r="H2716" s="33" t="n">
        <v>10</v>
      </c>
    </row>
    <row r="2717" customFormat="false" ht="54" hidden="false" customHeight="true" outlineLevel="0" collapsed="false">
      <c r="A2717" s="32" t="s">
        <v>13036</v>
      </c>
      <c r="B2717" s="32" t="s">
        <v>6501</v>
      </c>
      <c r="C2717" s="33" t="s">
        <v>1407</v>
      </c>
      <c r="D2717" s="33" t="s">
        <v>50</v>
      </c>
      <c r="E2717" s="33" t="s">
        <v>84</v>
      </c>
      <c r="F2717" s="33" t="s">
        <v>13011</v>
      </c>
      <c r="G2717" s="33" t="s">
        <v>9</v>
      </c>
      <c r="H2717" s="33" t="n">
        <v>10</v>
      </c>
    </row>
    <row r="2718" customFormat="false" ht="54" hidden="false" customHeight="true" outlineLevel="0" collapsed="false">
      <c r="A2718" s="32" t="s">
        <v>13037</v>
      </c>
      <c r="B2718" s="32" t="s">
        <v>6501</v>
      </c>
      <c r="C2718" s="33" t="s">
        <v>1407</v>
      </c>
      <c r="D2718" s="33" t="s">
        <v>50</v>
      </c>
      <c r="E2718" s="33" t="s">
        <v>84</v>
      </c>
      <c r="F2718" s="33" t="s">
        <v>13028</v>
      </c>
      <c r="G2718" s="33" t="s">
        <v>9</v>
      </c>
      <c r="H2718" s="33" t="n">
        <v>10</v>
      </c>
    </row>
    <row r="2719" customFormat="false" ht="54" hidden="false" customHeight="true" outlineLevel="0" collapsed="false">
      <c r="A2719" s="32" t="s">
        <v>13038</v>
      </c>
      <c r="B2719" s="32" t="s">
        <v>6501</v>
      </c>
      <c r="C2719" s="33" t="s">
        <v>1407</v>
      </c>
      <c r="D2719" s="33" t="s">
        <v>50</v>
      </c>
      <c r="E2719" s="33" t="s">
        <v>84</v>
      </c>
      <c r="F2719" s="33" t="s">
        <v>6489</v>
      </c>
      <c r="G2719" s="33" t="s">
        <v>9</v>
      </c>
      <c r="H2719" s="33" t="n">
        <v>10</v>
      </c>
    </row>
    <row r="2720" customFormat="false" ht="54" hidden="false" customHeight="true" outlineLevel="0" collapsed="false">
      <c r="A2720" s="32" t="s">
        <v>13039</v>
      </c>
      <c r="B2720" s="32" t="s">
        <v>6501</v>
      </c>
      <c r="C2720" s="33" t="s">
        <v>1407</v>
      </c>
      <c r="D2720" s="33" t="s">
        <v>50</v>
      </c>
      <c r="E2720" s="33" t="s">
        <v>84</v>
      </c>
      <c r="F2720" s="33" t="s">
        <v>6516</v>
      </c>
      <c r="G2720" s="33" t="s">
        <v>9</v>
      </c>
      <c r="H2720" s="33" t="n">
        <v>10</v>
      </c>
    </row>
    <row r="2721" customFormat="false" ht="54" hidden="false" customHeight="true" outlineLevel="0" collapsed="false">
      <c r="A2721" s="32" t="s">
        <v>13040</v>
      </c>
      <c r="B2721" s="32" t="s">
        <v>6501</v>
      </c>
      <c r="C2721" s="33" t="s">
        <v>1407</v>
      </c>
      <c r="D2721" s="33" t="s">
        <v>50</v>
      </c>
      <c r="E2721" s="33" t="s">
        <v>85</v>
      </c>
      <c r="F2721" s="33" t="s">
        <v>6506</v>
      </c>
      <c r="G2721" s="33" t="s">
        <v>9</v>
      </c>
      <c r="H2721" s="33" t="n">
        <v>10</v>
      </c>
    </row>
    <row r="2722" customFormat="false" ht="54" hidden="false" customHeight="true" outlineLevel="0" collapsed="false">
      <c r="A2722" s="32" t="s">
        <v>13041</v>
      </c>
      <c r="B2722" s="32" t="s">
        <v>6501</v>
      </c>
      <c r="C2722" s="33" t="s">
        <v>1407</v>
      </c>
      <c r="D2722" s="33" t="s">
        <v>50</v>
      </c>
      <c r="E2722" s="33" t="s">
        <v>86</v>
      </c>
      <c r="F2722" s="33" t="s">
        <v>6516</v>
      </c>
      <c r="G2722" s="33" t="s">
        <v>9</v>
      </c>
      <c r="H2722" s="33" t="n">
        <v>10</v>
      </c>
    </row>
    <row r="2723" customFormat="false" ht="54" hidden="false" customHeight="true" outlineLevel="0" collapsed="false">
      <c r="A2723" s="32" t="s">
        <v>13042</v>
      </c>
      <c r="B2723" s="32" t="s">
        <v>6519</v>
      </c>
      <c r="C2723" s="33" t="s">
        <v>1407</v>
      </c>
      <c r="D2723" s="33" t="s">
        <v>50</v>
      </c>
      <c r="E2723" s="33" t="s">
        <v>80</v>
      </c>
      <c r="F2723" s="33" t="s">
        <v>6522</v>
      </c>
      <c r="G2723" s="33" t="s">
        <v>9</v>
      </c>
      <c r="H2723" s="33" t="n">
        <v>10</v>
      </c>
    </row>
    <row r="2724" customFormat="false" ht="54" hidden="false" customHeight="true" outlineLevel="0" collapsed="false">
      <c r="A2724" s="32" t="s">
        <v>13043</v>
      </c>
      <c r="B2724" s="32" t="s">
        <v>6519</v>
      </c>
      <c r="C2724" s="33" t="s">
        <v>1407</v>
      </c>
      <c r="D2724" s="33" t="s">
        <v>50</v>
      </c>
      <c r="E2724" s="33" t="s">
        <v>80</v>
      </c>
      <c r="F2724" s="33" t="s">
        <v>183</v>
      </c>
      <c r="G2724" s="33" t="s">
        <v>9</v>
      </c>
      <c r="H2724" s="33" t="n">
        <v>10</v>
      </c>
    </row>
    <row r="2725" customFormat="false" ht="54" hidden="false" customHeight="true" outlineLevel="0" collapsed="false">
      <c r="A2725" s="32" t="s">
        <v>13044</v>
      </c>
      <c r="B2725" s="32" t="s">
        <v>6519</v>
      </c>
      <c r="C2725" s="33" t="s">
        <v>1407</v>
      </c>
      <c r="D2725" s="33" t="s">
        <v>50</v>
      </c>
      <c r="E2725" s="33" t="s">
        <v>80</v>
      </c>
      <c r="F2725" s="33" t="s">
        <v>13045</v>
      </c>
      <c r="G2725" s="33" t="s">
        <v>9</v>
      </c>
      <c r="H2725" s="33" t="n">
        <v>10</v>
      </c>
    </row>
    <row r="2726" customFormat="false" ht="54" hidden="false" customHeight="true" outlineLevel="0" collapsed="false">
      <c r="A2726" s="32" t="s">
        <v>13046</v>
      </c>
      <c r="B2726" s="32" t="s">
        <v>6519</v>
      </c>
      <c r="C2726" s="33" t="s">
        <v>1407</v>
      </c>
      <c r="D2726" s="33" t="s">
        <v>50</v>
      </c>
      <c r="E2726" s="33" t="s">
        <v>80</v>
      </c>
      <c r="F2726" s="33" t="s">
        <v>6489</v>
      </c>
      <c r="G2726" s="33" t="s">
        <v>9</v>
      </c>
      <c r="H2726" s="33" t="n">
        <v>10</v>
      </c>
    </row>
    <row r="2727" customFormat="false" ht="54" hidden="false" customHeight="true" outlineLevel="0" collapsed="false">
      <c r="A2727" s="32" t="s">
        <v>13047</v>
      </c>
      <c r="B2727" s="32" t="s">
        <v>6519</v>
      </c>
      <c r="C2727" s="33" t="s">
        <v>1407</v>
      </c>
      <c r="D2727" s="33" t="s">
        <v>50</v>
      </c>
      <c r="E2727" s="33" t="s">
        <v>80</v>
      </c>
      <c r="F2727" s="33" t="s">
        <v>13048</v>
      </c>
      <c r="G2727" s="33" t="s">
        <v>9</v>
      </c>
      <c r="H2727" s="33" t="n">
        <v>10</v>
      </c>
    </row>
    <row r="2728" customFormat="false" ht="54" hidden="false" customHeight="true" outlineLevel="0" collapsed="false">
      <c r="A2728" s="32" t="s">
        <v>13049</v>
      </c>
      <c r="B2728" s="32" t="s">
        <v>6519</v>
      </c>
      <c r="C2728" s="33" t="s">
        <v>1407</v>
      </c>
      <c r="D2728" s="33" t="s">
        <v>50</v>
      </c>
      <c r="E2728" s="33" t="s">
        <v>81</v>
      </c>
      <c r="F2728" s="33" t="s">
        <v>6522</v>
      </c>
      <c r="G2728" s="33" t="s">
        <v>9</v>
      </c>
      <c r="H2728" s="33" t="n">
        <v>10</v>
      </c>
    </row>
    <row r="2729" customFormat="false" ht="54" hidden="false" customHeight="true" outlineLevel="0" collapsed="false">
      <c r="A2729" s="32" t="s">
        <v>13050</v>
      </c>
      <c r="B2729" s="32" t="s">
        <v>6519</v>
      </c>
      <c r="C2729" s="33" t="s">
        <v>1407</v>
      </c>
      <c r="D2729" s="33" t="s">
        <v>50</v>
      </c>
      <c r="E2729" s="33" t="s">
        <v>81</v>
      </c>
      <c r="F2729" s="33" t="s">
        <v>6523</v>
      </c>
      <c r="G2729" s="33" t="s">
        <v>9</v>
      </c>
      <c r="H2729" s="33" t="n">
        <v>10</v>
      </c>
    </row>
    <row r="2730" customFormat="false" ht="54" hidden="false" customHeight="true" outlineLevel="0" collapsed="false">
      <c r="A2730" s="32" t="s">
        <v>13051</v>
      </c>
      <c r="B2730" s="32" t="s">
        <v>6519</v>
      </c>
      <c r="C2730" s="33" t="s">
        <v>1407</v>
      </c>
      <c r="D2730" s="33" t="s">
        <v>50</v>
      </c>
      <c r="E2730" s="33" t="s">
        <v>81</v>
      </c>
      <c r="F2730" s="33" t="s">
        <v>13052</v>
      </c>
      <c r="G2730" s="33" t="s">
        <v>9</v>
      </c>
      <c r="H2730" s="33" t="n">
        <v>10</v>
      </c>
    </row>
    <row r="2731" customFormat="false" ht="54" hidden="false" customHeight="true" outlineLevel="0" collapsed="false">
      <c r="A2731" s="32" t="s">
        <v>13053</v>
      </c>
      <c r="B2731" s="32" t="s">
        <v>6519</v>
      </c>
      <c r="C2731" s="33" t="s">
        <v>1407</v>
      </c>
      <c r="D2731" s="33" t="s">
        <v>50</v>
      </c>
      <c r="E2731" s="33" t="s">
        <v>81</v>
      </c>
      <c r="F2731" s="33" t="s">
        <v>13045</v>
      </c>
      <c r="G2731" s="33" t="s">
        <v>9</v>
      </c>
      <c r="H2731" s="33" t="n">
        <v>10</v>
      </c>
    </row>
    <row r="2732" customFormat="false" ht="54" hidden="false" customHeight="true" outlineLevel="0" collapsed="false">
      <c r="A2732" s="32" t="s">
        <v>13054</v>
      </c>
      <c r="B2732" s="32" t="s">
        <v>6519</v>
      </c>
      <c r="C2732" s="33" t="s">
        <v>1407</v>
      </c>
      <c r="D2732" s="33" t="s">
        <v>50</v>
      </c>
      <c r="E2732" s="33" t="s">
        <v>81</v>
      </c>
      <c r="F2732" s="33" t="s">
        <v>6973</v>
      </c>
      <c r="G2732" s="33" t="s">
        <v>9</v>
      </c>
      <c r="H2732" s="33" t="n">
        <v>10</v>
      </c>
    </row>
    <row r="2733" customFormat="false" ht="54" hidden="false" customHeight="true" outlineLevel="0" collapsed="false">
      <c r="A2733" s="32" t="s">
        <v>13055</v>
      </c>
      <c r="B2733" s="32" t="s">
        <v>6519</v>
      </c>
      <c r="C2733" s="33" t="s">
        <v>1407</v>
      </c>
      <c r="D2733" s="33" t="s">
        <v>50</v>
      </c>
      <c r="E2733" s="33" t="s">
        <v>82</v>
      </c>
      <c r="F2733" s="33" t="s">
        <v>1612</v>
      </c>
      <c r="G2733" s="33" t="s">
        <v>9</v>
      </c>
      <c r="H2733" s="33" t="n">
        <v>10</v>
      </c>
    </row>
    <row r="2734" customFormat="false" ht="54" hidden="false" customHeight="true" outlineLevel="0" collapsed="false">
      <c r="A2734" s="32" t="s">
        <v>13056</v>
      </c>
      <c r="B2734" s="32" t="s">
        <v>6519</v>
      </c>
      <c r="C2734" s="33" t="s">
        <v>1407</v>
      </c>
      <c r="D2734" s="33" t="s">
        <v>50</v>
      </c>
      <c r="E2734" s="33" t="s">
        <v>82</v>
      </c>
      <c r="F2734" s="33" t="s">
        <v>13052</v>
      </c>
      <c r="G2734" s="33" t="s">
        <v>9</v>
      </c>
      <c r="H2734" s="33" t="n">
        <v>10</v>
      </c>
    </row>
    <row r="2735" customFormat="false" ht="54" hidden="false" customHeight="true" outlineLevel="0" collapsed="false">
      <c r="A2735" s="32" t="s">
        <v>13057</v>
      </c>
      <c r="B2735" s="32" t="s">
        <v>6519</v>
      </c>
      <c r="C2735" s="33" t="s">
        <v>1407</v>
      </c>
      <c r="D2735" s="33" t="s">
        <v>50</v>
      </c>
      <c r="E2735" s="33" t="s">
        <v>82</v>
      </c>
      <c r="F2735" s="33" t="s">
        <v>13045</v>
      </c>
      <c r="G2735" s="33" t="s">
        <v>9</v>
      </c>
      <c r="H2735" s="33" t="n">
        <v>10</v>
      </c>
    </row>
    <row r="2736" customFormat="false" ht="54" hidden="false" customHeight="true" outlineLevel="0" collapsed="false">
      <c r="A2736" s="32" t="s">
        <v>13058</v>
      </c>
      <c r="B2736" s="32" t="s">
        <v>6519</v>
      </c>
      <c r="C2736" s="33" t="s">
        <v>1407</v>
      </c>
      <c r="D2736" s="33" t="s">
        <v>50</v>
      </c>
      <c r="E2736" s="33" t="s">
        <v>82</v>
      </c>
      <c r="F2736" s="33" t="s">
        <v>6489</v>
      </c>
      <c r="G2736" s="33" t="s">
        <v>9</v>
      </c>
      <c r="H2736" s="33" t="n">
        <v>10</v>
      </c>
    </row>
    <row r="2737" customFormat="false" ht="54" hidden="false" customHeight="true" outlineLevel="0" collapsed="false">
      <c r="A2737" s="32" t="s">
        <v>13059</v>
      </c>
      <c r="B2737" s="32" t="s">
        <v>6519</v>
      </c>
      <c r="C2737" s="33" t="s">
        <v>1407</v>
      </c>
      <c r="D2737" s="33" t="s">
        <v>50</v>
      </c>
      <c r="E2737" s="33" t="s">
        <v>83</v>
      </c>
      <c r="F2737" s="33" t="s">
        <v>6489</v>
      </c>
      <c r="G2737" s="33" t="s">
        <v>9</v>
      </c>
      <c r="H2737" s="33" t="n">
        <v>10</v>
      </c>
    </row>
    <row r="2738" customFormat="false" ht="54" hidden="false" customHeight="true" outlineLevel="0" collapsed="false">
      <c r="A2738" s="32" t="s">
        <v>13060</v>
      </c>
      <c r="B2738" s="32" t="s">
        <v>6519</v>
      </c>
      <c r="C2738" s="33" t="s">
        <v>1407</v>
      </c>
      <c r="D2738" s="33" t="s">
        <v>50</v>
      </c>
      <c r="E2738" s="33" t="s">
        <v>83</v>
      </c>
      <c r="F2738" s="33" t="s">
        <v>6973</v>
      </c>
      <c r="G2738" s="33" t="s">
        <v>9</v>
      </c>
      <c r="H2738" s="33" t="n">
        <v>10</v>
      </c>
    </row>
    <row r="2739" customFormat="false" ht="54" hidden="false" customHeight="true" outlineLevel="0" collapsed="false">
      <c r="A2739" s="32" t="s">
        <v>13061</v>
      </c>
      <c r="B2739" s="32" t="s">
        <v>6519</v>
      </c>
      <c r="C2739" s="33" t="s">
        <v>1407</v>
      </c>
      <c r="D2739" s="33" t="s">
        <v>50</v>
      </c>
      <c r="E2739" s="33" t="s">
        <v>84</v>
      </c>
      <c r="F2739" s="33" t="s">
        <v>183</v>
      </c>
      <c r="G2739" s="33" t="s">
        <v>9</v>
      </c>
      <c r="H2739" s="33" t="n">
        <v>10</v>
      </c>
    </row>
    <row r="2740" customFormat="false" ht="54" hidden="false" customHeight="true" outlineLevel="0" collapsed="false">
      <c r="A2740" s="32" t="s">
        <v>13062</v>
      </c>
      <c r="B2740" s="32" t="s">
        <v>6519</v>
      </c>
      <c r="C2740" s="33" t="s">
        <v>1407</v>
      </c>
      <c r="D2740" s="33" t="s">
        <v>50</v>
      </c>
      <c r="E2740" s="33" t="s">
        <v>84</v>
      </c>
      <c r="F2740" s="33" t="s">
        <v>13063</v>
      </c>
      <c r="G2740" s="33" t="s">
        <v>9</v>
      </c>
      <c r="H2740" s="33" t="n">
        <v>10</v>
      </c>
    </row>
    <row r="2741" customFormat="false" ht="54" hidden="false" customHeight="true" outlineLevel="0" collapsed="false">
      <c r="A2741" s="32" t="s">
        <v>13064</v>
      </c>
      <c r="B2741" s="32" t="s">
        <v>6519</v>
      </c>
      <c r="C2741" s="33" t="s">
        <v>1407</v>
      </c>
      <c r="D2741" s="33" t="s">
        <v>50</v>
      </c>
      <c r="E2741" s="33" t="s">
        <v>84</v>
      </c>
      <c r="F2741" s="33" t="s">
        <v>13045</v>
      </c>
      <c r="G2741" s="33" t="s">
        <v>9</v>
      </c>
      <c r="H2741" s="33" t="n">
        <v>10</v>
      </c>
    </row>
    <row r="2742" customFormat="false" ht="54" hidden="false" customHeight="true" outlineLevel="0" collapsed="false">
      <c r="A2742" s="32" t="s">
        <v>13065</v>
      </c>
      <c r="B2742" s="32" t="s">
        <v>6519</v>
      </c>
      <c r="C2742" s="33" t="s">
        <v>1407</v>
      </c>
      <c r="D2742" s="33" t="s">
        <v>50</v>
      </c>
      <c r="E2742" s="33" t="s">
        <v>84</v>
      </c>
      <c r="F2742" s="33" t="s">
        <v>6489</v>
      </c>
      <c r="G2742" s="33" t="s">
        <v>9</v>
      </c>
      <c r="H2742" s="33" t="n">
        <v>10</v>
      </c>
    </row>
    <row r="2743" customFormat="false" ht="54" hidden="false" customHeight="true" outlineLevel="0" collapsed="false">
      <c r="A2743" s="32" t="s">
        <v>13066</v>
      </c>
      <c r="B2743" s="32" t="s">
        <v>6519</v>
      </c>
      <c r="C2743" s="33" t="s">
        <v>1407</v>
      </c>
      <c r="D2743" s="33" t="s">
        <v>50</v>
      </c>
      <c r="E2743" s="33" t="s">
        <v>84</v>
      </c>
      <c r="F2743" s="33" t="s">
        <v>13048</v>
      </c>
      <c r="G2743" s="33" t="s">
        <v>9</v>
      </c>
      <c r="H2743" s="33" t="n">
        <v>10</v>
      </c>
    </row>
    <row r="2744" customFormat="false" ht="54" hidden="false" customHeight="true" outlineLevel="0" collapsed="false">
      <c r="A2744" s="32" t="s">
        <v>13067</v>
      </c>
      <c r="B2744" s="32" t="s">
        <v>6534</v>
      </c>
      <c r="C2744" s="33" t="s">
        <v>1407</v>
      </c>
      <c r="D2744" s="33" t="s">
        <v>50</v>
      </c>
      <c r="E2744" s="33" t="s">
        <v>80</v>
      </c>
      <c r="F2744" s="33" t="s">
        <v>6538</v>
      </c>
      <c r="G2744" s="33" t="s">
        <v>9</v>
      </c>
      <c r="H2744" s="33" t="n">
        <v>10</v>
      </c>
    </row>
    <row r="2745" customFormat="false" ht="54" hidden="false" customHeight="true" outlineLevel="0" collapsed="false">
      <c r="A2745" s="32" t="s">
        <v>13068</v>
      </c>
      <c r="B2745" s="32" t="s">
        <v>6534</v>
      </c>
      <c r="C2745" s="33" t="s">
        <v>1407</v>
      </c>
      <c r="D2745" s="33" t="s">
        <v>50</v>
      </c>
      <c r="E2745" s="33" t="s">
        <v>80</v>
      </c>
      <c r="F2745" s="33" t="s">
        <v>183</v>
      </c>
      <c r="G2745" s="33" t="s">
        <v>9</v>
      </c>
      <c r="H2745" s="33" t="n">
        <v>10</v>
      </c>
    </row>
    <row r="2746" customFormat="false" ht="54" hidden="false" customHeight="true" outlineLevel="0" collapsed="false">
      <c r="A2746" s="32" t="s">
        <v>13069</v>
      </c>
      <c r="B2746" s="32" t="s">
        <v>6534</v>
      </c>
      <c r="C2746" s="33" t="s">
        <v>1407</v>
      </c>
      <c r="D2746" s="33" t="s">
        <v>50</v>
      </c>
      <c r="E2746" s="33" t="s">
        <v>81</v>
      </c>
      <c r="F2746" s="33" t="s">
        <v>6538</v>
      </c>
      <c r="G2746" s="33" t="s">
        <v>9</v>
      </c>
      <c r="H2746" s="33" t="n">
        <v>10</v>
      </c>
    </row>
    <row r="2747" customFormat="false" ht="54" hidden="false" customHeight="true" outlineLevel="0" collapsed="false">
      <c r="A2747" s="32" t="s">
        <v>13070</v>
      </c>
      <c r="B2747" s="32" t="s">
        <v>6534</v>
      </c>
      <c r="C2747" s="33" t="s">
        <v>1407</v>
      </c>
      <c r="D2747" s="33" t="s">
        <v>50</v>
      </c>
      <c r="E2747" s="33" t="s">
        <v>81</v>
      </c>
      <c r="F2747" s="33" t="s">
        <v>7579</v>
      </c>
      <c r="G2747" s="33" t="s">
        <v>9</v>
      </c>
      <c r="H2747" s="33" t="n">
        <v>10</v>
      </c>
    </row>
    <row r="2748" customFormat="false" ht="54" hidden="false" customHeight="true" outlineLevel="0" collapsed="false">
      <c r="A2748" s="32" t="s">
        <v>13071</v>
      </c>
      <c r="B2748" s="32" t="s">
        <v>6534</v>
      </c>
      <c r="C2748" s="33" t="s">
        <v>1407</v>
      </c>
      <c r="D2748" s="33" t="s">
        <v>50</v>
      </c>
      <c r="E2748" s="33" t="s">
        <v>81</v>
      </c>
      <c r="F2748" s="33" t="s">
        <v>13072</v>
      </c>
      <c r="G2748" s="33" t="s">
        <v>9</v>
      </c>
      <c r="H2748" s="33" t="n">
        <v>10</v>
      </c>
    </row>
    <row r="2749" customFormat="false" ht="54" hidden="false" customHeight="true" outlineLevel="0" collapsed="false">
      <c r="A2749" s="32" t="s">
        <v>13073</v>
      </c>
      <c r="B2749" s="32" t="s">
        <v>6534</v>
      </c>
      <c r="C2749" s="33" t="s">
        <v>1407</v>
      </c>
      <c r="D2749" s="33" t="s">
        <v>50</v>
      </c>
      <c r="E2749" s="33" t="s">
        <v>82</v>
      </c>
      <c r="F2749" s="33" t="s">
        <v>6540</v>
      </c>
      <c r="G2749" s="33" t="s">
        <v>9</v>
      </c>
      <c r="H2749" s="33" t="n">
        <v>10</v>
      </c>
    </row>
    <row r="2750" customFormat="false" ht="54" hidden="false" customHeight="true" outlineLevel="0" collapsed="false">
      <c r="A2750" s="32" t="s">
        <v>13074</v>
      </c>
      <c r="B2750" s="32" t="s">
        <v>6534</v>
      </c>
      <c r="C2750" s="33" t="s">
        <v>1407</v>
      </c>
      <c r="D2750" s="33" t="s">
        <v>50</v>
      </c>
      <c r="E2750" s="33" t="s">
        <v>82</v>
      </c>
      <c r="F2750" s="33" t="s">
        <v>9973</v>
      </c>
      <c r="G2750" s="33" t="s">
        <v>9</v>
      </c>
      <c r="H2750" s="33" t="n">
        <v>10</v>
      </c>
    </row>
    <row r="2751" customFormat="false" ht="54" hidden="false" customHeight="true" outlineLevel="0" collapsed="false">
      <c r="A2751" s="32" t="s">
        <v>13075</v>
      </c>
      <c r="B2751" s="32" t="s">
        <v>6534</v>
      </c>
      <c r="C2751" s="33" t="s">
        <v>1407</v>
      </c>
      <c r="D2751" s="33" t="s">
        <v>50</v>
      </c>
      <c r="E2751" s="33" t="s">
        <v>82</v>
      </c>
      <c r="F2751" s="33" t="s">
        <v>13076</v>
      </c>
      <c r="G2751" s="33" t="s">
        <v>9</v>
      </c>
      <c r="H2751" s="33" t="n">
        <v>10</v>
      </c>
    </row>
    <row r="2752" customFormat="false" ht="54" hidden="false" customHeight="true" outlineLevel="0" collapsed="false">
      <c r="A2752" s="32" t="s">
        <v>13077</v>
      </c>
      <c r="B2752" s="32" t="s">
        <v>6534</v>
      </c>
      <c r="C2752" s="33" t="s">
        <v>1407</v>
      </c>
      <c r="D2752" s="33" t="s">
        <v>50</v>
      </c>
      <c r="E2752" s="33" t="s">
        <v>82</v>
      </c>
      <c r="F2752" s="33" t="s">
        <v>13078</v>
      </c>
      <c r="G2752" s="33" t="s">
        <v>9</v>
      </c>
      <c r="H2752" s="33" t="n">
        <v>10</v>
      </c>
    </row>
    <row r="2753" customFormat="false" ht="54" hidden="false" customHeight="true" outlineLevel="0" collapsed="false">
      <c r="A2753" s="32" t="s">
        <v>13079</v>
      </c>
      <c r="B2753" s="32" t="s">
        <v>6534</v>
      </c>
      <c r="C2753" s="33" t="s">
        <v>1407</v>
      </c>
      <c r="D2753" s="33" t="s">
        <v>50</v>
      </c>
      <c r="E2753" s="33" t="s">
        <v>84</v>
      </c>
      <c r="F2753" s="33" t="s">
        <v>183</v>
      </c>
      <c r="G2753" s="33" t="s">
        <v>9</v>
      </c>
      <c r="H2753" s="33" t="n">
        <v>10</v>
      </c>
    </row>
    <row r="2754" customFormat="false" ht="54" hidden="false" customHeight="true" outlineLevel="0" collapsed="false">
      <c r="A2754" s="32" t="s">
        <v>13080</v>
      </c>
      <c r="B2754" s="32" t="s">
        <v>6549</v>
      </c>
      <c r="C2754" s="33" t="s">
        <v>1407</v>
      </c>
      <c r="D2754" s="33" t="s">
        <v>50</v>
      </c>
      <c r="E2754" s="33" t="s">
        <v>80</v>
      </c>
      <c r="F2754" s="33" t="s">
        <v>1899</v>
      </c>
      <c r="G2754" s="33" t="s">
        <v>9</v>
      </c>
      <c r="H2754" s="33" t="n">
        <v>60</v>
      </c>
    </row>
    <row r="2755" customFormat="false" ht="54" hidden="false" customHeight="true" outlineLevel="0" collapsed="false">
      <c r="A2755" s="32" t="s">
        <v>13081</v>
      </c>
      <c r="B2755" s="32" t="s">
        <v>6549</v>
      </c>
      <c r="C2755" s="33" t="s">
        <v>1407</v>
      </c>
      <c r="D2755" s="33" t="s">
        <v>50</v>
      </c>
      <c r="E2755" s="33" t="s">
        <v>80</v>
      </c>
      <c r="F2755" s="33" t="s">
        <v>183</v>
      </c>
      <c r="G2755" s="33" t="s">
        <v>9</v>
      </c>
      <c r="H2755" s="33" t="n">
        <v>60</v>
      </c>
    </row>
    <row r="2756" customFormat="false" ht="54" hidden="false" customHeight="true" outlineLevel="0" collapsed="false">
      <c r="A2756" s="32" t="s">
        <v>13082</v>
      </c>
      <c r="B2756" s="32" t="s">
        <v>6549</v>
      </c>
      <c r="C2756" s="33" t="s">
        <v>1407</v>
      </c>
      <c r="D2756" s="33" t="s">
        <v>50</v>
      </c>
      <c r="E2756" s="33" t="s">
        <v>80</v>
      </c>
      <c r="F2756" s="33" t="s">
        <v>6489</v>
      </c>
      <c r="G2756" s="33" t="s">
        <v>9</v>
      </c>
      <c r="H2756" s="33" t="n">
        <v>60</v>
      </c>
    </row>
    <row r="2757" customFormat="false" ht="54" hidden="false" customHeight="true" outlineLevel="0" collapsed="false">
      <c r="A2757" s="32" t="s">
        <v>13083</v>
      </c>
      <c r="B2757" s="32" t="s">
        <v>6549</v>
      </c>
      <c r="C2757" s="33" t="s">
        <v>1407</v>
      </c>
      <c r="D2757" s="33" t="s">
        <v>50</v>
      </c>
      <c r="E2757" s="33" t="s">
        <v>81</v>
      </c>
      <c r="F2757" s="33" t="s">
        <v>1899</v>
      </c>
      <c r="G2757" s="33" t="s">
        <v>9</v>
      </c>
      <c r="H2757" s="33" t="n">
        <v>60</v>
      </c>
    </row>
    <row r="2758" customFormat="false" ht="54" hidden="false" customHeight="true" outlineLevel="0" collapsed="false">
      <c r="A2758" s="32" t="s">
        <v>13084</v>
      </c>
      <c r="B2758" s="32" t="s">
        <v>6549</v>
      </c>
      <c r="C2758" s="33" t="s">
        <v>1407</v>
      </c>
      <c r="D2758" s="33" t="s">
        <v>50</v>
      </c>
      <c r="E2758" s="33" t="s">
        <v>81</v>
      </c>
      <c r="F2758" s="33" t="s">
        <v>6552</v>
      </c>
      <c r="G2758" s="33" t="s">
        <v>9</v>
      </c>
      <c r="H2758" s="33" t="n">
        <v>60</v>
      </c>
    </row>
    <row r="2759" customFormat="false" ht="54" hidden="false" customHeight="true" outlineLevel="0" collapsed="false">
      <c r="A2759" s="32" t="s">
        <v>13085</v>
      </c>
      <c r="B2759" s="32" t="s">
        <v>6549</v>
      </c>
      <c r="C2759" s="33" t="s">
        <v>1407</v>
      </c>
      <c r="D2759" s="33" t="s">
        <v>50</v>
      </c>
      <c r="E2759" s="33" t="s">
        <v>81</v>
      </c>
      <c r="F2759" s="33" t="s">
        <v>13086</v>
      </c>
      <c r="G2759" s="33" t="s">
        <v>9</v>
      </c>
      <c r="H2759" s="33" t="n">
        <v>60</v>
      </c>
    </row>
    <row r="2760" customFormat="false" ht="54" hidden="false" customHeight="true" outlineLevel="0" collapsed="false">
      <c r="A2760" s="32" t="s">
        <v>13087</v>
      </c>
      <c r="B2760" s="32" t="s">
        <v>6549</v>
      </c>
      <c r="C2760" s="33" t="s">
        <v>1407</v>
      </c>
      <c r="D2760" s="33" t="s">
        <v>50</v>
      </c>
      <c r="E2760" s="33" t="s">
        <v>81</v>
      </c>
      <c r="F2760" s="33" t="s">
        <v>13088</v>
      </c>
      <c r="G2760" s="33" t="s">
        <v>9</v>
      </c>
      <c r="H2760" s="33" t="n">
        <v>60</v>
      </c>
    </row>
    <row r="2761" customFormat="false" ht="54" hidden="false" customHeight="true" outlineLevel="0" collapsed="false">
      <c r="A2761" s="32" t="s">
        <v>13089</v>
      </c>
      <c r="B2761" s="32" t="s">
        <v>6549</v>
      </c>
      <c r="C2761" s="33" t="s">
        <v>1407</v>
      </c>
      <c r="D2761" s="33" t="s">
        <v>50</v>
      </c>
      <c r="E2761" s="33" t="s">
        <v>82</v>
      </c>
      <c r="F2761" s="33" t="s">
        <v>6553</v>
      </c>
      <c r="G2761" s="33" t="s">
        <v>9</v>
      </c>
      <c r="H2761" s="33" t="n">
        <v>60</v>
      </c>
    </row>
    <row r="2762" customFormat="false" ht="54" hidden="false" customHeight="true" outlineLevel="0" collapsed="false">
      <c r="A2762" s="32" t="s">
        <v>13090</v>
      </c>
      <c r="B2762" s="32" t="s">
        <v>6549</v>
      </c>
      <c r="C2762" s="33" t="s">
        <v>1407</v>
      </c>
      <c r="D2762" s="33" t="s">
        <v>50</v>
      </c>
      <c r="E2762" s="33" t="s">
        <v>82</v>
      </c>
      <c r="F2762" s="33" t="s">
        <v>13091</v>
      </c>
      <c r="G2762" s="33" t="s">
        <v>9</v>
      </c>
      <c r="H2762" s="33" t="n">
        <v>60</v>
      </c>
    </row>
    <row r="2763" customFormat="false" ht="54" hidden="false" customHeight="true" outlineLevel="0" collapsed="false">
      <c r="A2763" s="32" t="s">
        <v>13092</v>
      </c>
      <c r="B2763" s="32" t="s">
        <v>6549</v>
      </c>
      <c r="C2763" s="33" t="s">
        <v>1407</v>
      </c>
      <c r="D2763" s="33" t="s">
        <v>50</v>
      </c>
      <c r="E2763" s="33" t="s">
        <v>82</v>
      </c>
      <c r="F2763" s="33" t="s">
        <v>13093</v>
      </c>
      <c r="G2763" s="33" t="s">
        <v>9</v>
      </c>
      <c r="H2763" s="33" t="n">
        <v>60</v>
      </c>
    </row>
    <row r="2764" customFormat="false" ht="54" hidden="false" customHeight="true" outlineLevel="0" collapsed="false">
      <c r="A2764" s="32" t="s">
        <v>13094</v>
      </c>
      <c r="B2764" s="32" t="s">
        <v>6549</v>
      </c>
      <c r="C2764" s="33" t="s">
        <v>1407</v>
      </c>
      <c r="D2764" s="33" t="s">
        <v>50</v>
      </c>
      <c r="E2764" s="33" t="s">
        <v>82</v>
      </c>
      <c r="F2764" s="33" t="s">
        <v>6489</v>
      </c>
      <c r="G2764" s="33" t="s">
        <v>9</v>
      </c>
      <c r="H2764" s="33" t="n">
        <v>60</v>
      </c>
    </row>
    <row r="2765" customFormat="false" ht="54" hidden="false" customHeight="true" outlineLevel="0" collapsed="false">
      <c r="A2765" s="32" t="s">
        <v>13095</v>
      </c>
      <c r="B2765" s="32" t="s">
        <v>6549</v>
      </c>
      <c r="C2765" s="33" t="s">
        <v>1407</v>
      </c>
      <c r="D2765" s="33" t="s">
        <v>50</v>
      </c>
      <c r="E2765" s="33" t="s">
        <v>83</v>
      </c>
      <c r="F2765" s="33" t="s">
        <v>6489</v>
      </c>
      <c r="G2765" s="33" t="s">
        <v>9</v>
      </c>
      <c r="H2765" s="33" t="n">
        <v>60</v>
      </c>
    </row>
    <row r="2766" customFormat="false" ht="54" hidden="false" customHeight="true" outlineLevel="0" collapsed="false">
      <c r="A2766" s="32" t="s">
        <v>13096</v>
      </c>
      <c r="B2766" s="32" t="s">
        <v>6549</v>
      </c>
      <c r="C2766" s="33" t="s">
        <v>1407</v>
      </c>
      <c r="D2766" s="33" t="s">
        <v>50</v>
      </c>
      <c r="E2766" s="33" t="s">
        <v>83</v>
      </c>
      <c r="F2766" s="33" t="s">
        <v>13097</v>
      </c>
      <c r="G2766" s="33" t="s">
        <v>9</v>
      </c>
      <c r="H2766" s="33" t="n">
        <v>60</v>
      </c>
    </row>
    <row r="2767" customFormat="false" ht="54" hidden="false" customHeight="true" outlineLevel="0" collapsed="false">
      <c r="A2767" s="32" t="s">
        <v>13098</v>
      </c>
      <c r="B2767" s="32" t="s">
        <v>6549</v>
      </c>
      <c r="C2767" s="33" t="s">
        <v>1407</v>
      </c>
      <c r="D2767" s="33" t="s">
        <v>50</v>
      </c>
      <c r="E2767" s="33" t="s">
        <v>83</v>
      </c>
      <c r="F2767" s="33" t="s">
        <v>13088</v>
      </c>
      <c r="G2767" s="33" t="s">
        <v>9</v>
      </c>
      <c r="H2767" s="33" t="n">
        <v>60</v>
      </c>
    </row>
    <row r="2768" customFormat="false" ht="54" hidden="false" customHeight="true" outlineLevel="0" collapsed="false">
      <c r="A2768" s="32" t="s">
        <v>13099</v>
      </c>
      <c r="B2768" s="32" t="s">
        <v>6549</v>
      </c>
      <c r="C2768" s="33" t="s">
        <v>1407</v>
      </c>
      <c r="D2768" s="33" t="s">
        <v>50</v>
      </c>
      <c r="E2768" s="33" t="s">
        <v>84</v>
      </c>
      <c r="F2768" s="33" t="s">
        <v>183</v>
      </c>
      <c r="G2768" s="33" t="s">
        <v>9</v>
      </c>
      <c r="H2768" s="33" t="n">
        <v>60</v>
      </c>
    </row>
    <row r="2769" customFormat="false" ht="54" hidden="false" customHeight="true" outlineLevel="0" collapsed="false">
      <c r="A2769" s="32" t="s">
        <v>13100</v>
      </c>
      <c r="B2769" s="32" t="s">
        <v>6549</v>
      </c>
      <c r="C2769" s="33" t="s">
        <v>1407</v>
      </c>
      <c r="D2769" s="33" t="s">
        <v>50</v>
      </c>
      <c r="E2769" s="33" t="s">
        <v>84</v>
      </c>
      <c r="F2769" s="33" t="s">
        <v>13091</v>
      </c>
      <c r="G2769" s="33" t="s">
        <v>9</v>
      </c>
      <c r="H2769" s="33" t="n">
        <v>60</v>
      </c>
    </row>
    <row r="2770" customFormat="false" ht="54" hidden="false" customHeight="true" outlineLevel="0" collapsed="false">
      <c r="A2770" s="32" t="s">
        <v>13101</v>
      </c>
      <c r="B2770" s="32" t="s">
        <v>6549</v>
      </c>
      <c r="C2770" s="33" t="s">
        <v>1407</v>
      </c>
      <c r="D2770" s="33" t="s">
        <v>50</v>
      </c>
      <c r="E2770" s="33" t="s">
        <v>84</v>
      </c>
      <c r="F2770" s="33" t="s">
        <v>13093</v>
      </c>
      <c r="G2770" s="33" t="s">
        <v>9</v>
      </c>
      <c r="H2770" s="33" t="n">
        <v>60</v>
      </c>
    </row>
    <row r="2771" customFormat="false" ht="54" hidden="false" customHeight="true" outlineLevel="0" collapsed="false">
      <c r="A2771" s="32" t="s">
        <v>13102</v>
      </c>
      <c r="B2771" s="32" t="s">
        <v>6549</v>
      </c>
      <c r="C2771" s="33" t="s">
        <v>1407</v>
      </c>
      <c r="D2771" s="33" t="s">
        <v>50</v>
      </c>
      <c r="E2771" s="33" t="s">
        <v>84</v>
      </c>
      <c r="F2771" s="33" t="s">
        <v>6489</v>
      </c>
      <c r="G2771" s="33" t="s">
        <v>9</v>
      </c>
      <c r="H2771" s="33" t="n">
        <v>60</v>
      </c>
    </row>
    <row r="2772" customFormat="false" ht="54" hidden="false" customHeight="true" outlineLevel="0" collapsed="false">
      <c r="A2772" s="32" t="s">
        <v>13103</v>
      </c>
      <c r="B2772" s="32" t="s">
        <v>6549</v>
      </c>
      <c r="C2772" s="33" t="s">
        <v>1407</v>
      </c>
      <c r="D2772" s="33" t="s">
        <v>50</v>
      </c>
      <c r="E2772" s="33" t="s">
        <v>84</v>
      </c>
      <c r="F2772" s="33" t="s">
        <v>13104</v>
      </c>
      <c r="G2772" s="33" t="s">
        <v>9</v>
      </c>
      <c r="H2772" s="33" t="n">
        <v>60</v>
      </c>
    </row>
    <row r="2773" customFormat="false" ht="54" hidden="false" customHeight="true" outlineLevel="0" collapsed="false">
      <c r="A2773" s="32" t="s">
        <v>13105</v>
      </c>
      <c r="B2773" s="32" t="s">
        <v>6565</v>
      </c>
      <c r="C2773" s="33" t="s">
        <v>1407</v>
      </c>
      <c r="D2773" s="33" t="s">
        <v>50</v>
      </c>
      <c r="E2773" s="33" t="s">
        <v>80</v>
      </c>
      <c r="F2773" s="33" t="s">
        <v>1899</v>
      </c>
      <c r="G2773" s="33" t="s">
        <v>9</v>
      </c>
      <c r="H2773" s="33" t="n">
        <v>10</v>
      </c>
    </row>
    <row r="2774" customFormat="false" ht="54" hidden="false" customHeight="true" outlineLevel="0" collapsed="false">
      <c r="A2774" s="32" t="s">
        <v>13106</v>
      </c>
      <c r="B2774" s="32" t="s">
        <v>6565</v>
      </c>
      <c r="C2774" s="33" t="s">
        <v>1407</v>
      </c>
      <c r="D2774" s="33" t="s">
        <v>50</v>
      </c>
      <c r="E2774" s="33" t="s">
        <v>80</v>
      </c>
      <c r="F2774" s="33" t="s">
        <v>183</v>
      </c>
      <c r="G2774" s="33" t="s">
        <v>9</v>
      </c>
      <c r="H2774" s="33" t="n">
        <v>10</v>
      </c>
    </row>
    <row r="2775" customFormat="false" ht="54" hidden="false" customHeight="true" outlineLevel="0" collapsed="false">
      <c r="A2775" s="32" t="s">
        <v>13107</v>
      </c>
      <c r="B2775" s="32" t="s">
        <v>6565</v>
      </c>
      <c r="C2775" s="33" t="s">
        <v>1407</v>
      </c>
      <c r="D2775" s="33" t="s">
        <v>50</v>
      </c>
      <c r="E2775" s="33" t="s">
        <v>81</v>
      </c>
      <c r="F2775" s="33" t="s">
        <v>1899</v>
      </c>
      <c r="G2775" s="33" t="s">
        <v>9</v>
      </c>
      <c r="H2775" s="33" t="n">
        <v>10</v>
      </c>
    </row>
    <row r="2776" customFormat="false" ht="54" hidden="false" customHeight="true" outlineLevel="0" collapsed="false">
      <c r="A2776" s="32" t="s">
        <v>13108</v>
      </c>
      <c r="B2776" s="32" t="s">
        <v>6565</v>
      </c>
      <c r="C2776" s="33" t="s">
        <v>1407</v>
      </c>
      <c r="D2776" s="33" t="s">
        <v>50</v>
      </c>
      <c r="E2776" s="33" t="s">
        <v>81</v>
      </c>
      <c r="F2776" s="33" t="s">
        <v>6569</v>
      </c>
      <c r="G2776" s="33" t="s">
        <v>9</v>
      </c>
      <c r="H2776" s="33" t="n">
        <v>10</v>
      </c>
    </row>
    <row r="2777" customFormat="false" ht="54" hidden="false" customHeight="true" outlineLevel="0" collapsed="false">
      <c r="A2777" s="32" t="s">
        <v>13109</v>
      </c>
      <c r="B2777" s="32" t="s">
        <v>6565</v>
      </c>
      <c r="C2777" s="33" t="s">
        <v>1407</v>
      </c>
      <c r="D2777" s="33" t="s">
        <v>50</v>
      </c>
      <c r="E2777" s="33" t="s">
        <v>81</v>
      </c>
      <c r="F2777" s="33" t="s">
        <v>13110</v>
      </c>
      <c r="G2777" s="33" t="s">
        <v>9</v>
      </c>
      <c r="H2777" s="33" t="n">
        <v>10</v>
      </c>
    </row>
    <row r="2778" customFormat="false" ht="54" hidden="false" customHeight="true" outlineLevel="0" collapsed="false">
      <c r="A2778" s="32" t="s">
        <v>13111</v>
      </c>
      <c r="B2778" s="32" t="s">
        <v>6565</v>
      </c>
      <c r="C2778" s="33" t="s">
        <v>1407</v>
      </c>
      <c r="D2778" s="33" t="s">
        <v>50</v>
      </c>
      <c r="E2778" s="33" t="s">
        <v>82</v>
      </c>
      <c r="F2778" s="33" t="s">
        <v>6570</v>
      </c>
      <c r="G2778" s="33" t="s">
        <v>9</v>
      </c>
      <c r="H2778" s="33" t="n">
        <v>10</v>
      </c>
    </row>
    <row r="2779" customFormat="false" ht="54" hidden="false" customHeight="true" outlineLevel="0" collapsed="false">
      <c r="A2779" s="32" t="s">
        <v>13112</v>
      </c>
      <c r="B2779" s="32" t="s">
        <v>6565</v>
      </c>
      <c r="C2779" s="33" t="s">
        <v>1407</v>
      </c>
      <c r="D2779" s="33" t="s">
        <v>50</v>
      </c>
      <c r="E2779" s="33" t="s">
        <v>82</v>
      </c>
      <c r="F2779" s="33" t="s">
        <v>13113</v>
      </c>
      <c r="G2779" s="33" t="s">
        <v>9</v>
      </c>
      <c r="H2779" s="33" t="n">
        <v>10</v>
      </c>
    </row>
    <row r="2780" customFormat="false" ht="54" hidden="false" customHeight="true" outlineLevel="0" collapsed="false">
      <c r="A2780" s="32" t="s">
        <v>13114</v>
      </c>
      <c r="B2780" s="32" t="s">
        <v>6565</v>
      </c>
      <c r="C2780" s="33" t="s">
        <v>1407</v>
      </c>
      <c r="D2780" s="33" t="s">
        <v>50</v>
      </c>
      <c r="E2780" s="33" t="s">
        <v>82</v>
      </c>
      <c r="F2780" s="33" t="s">
        <v>13110</v>
      </c>
      <c r="G2780" s="33" t="s">
        <v>9</v>
      </c>
      <c r="H2780" s="33" t="n">
        <v>10</v>
      </c>
    </row>
    <row r="2781" customFormat="false" ht="54" hidden="false" customHeight="true" outlineLevel="0" collapsed="false">
      <c r="A2781" s="32" t="s">
        <v>13115</v>
      </c>
      <c r="B2781" s="32" t="s">
        <v>6565</v>
      </c>
      <c r="C2781" s="33" t="s">
        <v>1407</v>
      </c>
      <c r="D2781" s="33" t="s">
        <v>50</v>
      </c>
      <c r="E2781" s="33" t="s">
        <v>82</v>
      </c>
      <c r="F2781" s="33" t="s">
        <v>13116</v>
      </c>
      <c r="G2781" s="33" t="s">
        <v>9</v>
      </c>
      <c r="H2781" s="33" t="n">
        <v>10</v>
      </c>
    </row>
    <row r="2782" customFormat="false" ht="54" hidden="false" customHeight="true" outlineLevel="0" collapsed="false">
      <c r="A2782" s="32" t="s">
        <v>13117</v>
      </c>
      <c r="B2782" s="32" t="s">
        <v>6565</v>
      </c>
      <c r="C2782" s="33" t="s">
        <v>1407</v>
      </c>
      <c r="D2782" s="33" t="s">
        <v>50</v>
      </c>
      <c r="E2782" s="33" t="s">
        <v>84</v>
      </c>
      <c r="F2782" s="33" t="s">
        <v>183</v>
      </c>
      <c r="G2782" s="33" t="s">
        <v>9</v>
      </c>
      <c r="H2782" s="33" t="n">
        <v>10</v>
      </c>
    </row>
    <row r="2783" customFormat="false" ht="54" hidden="false" customHeight="true" outlineLevel="0" collapsed="false">
      <c r="A2783" s="32" t="s">
        <v>13118</v>
      </c>
      <c r="B2783" s="32" t="s">
        <v>6579</v>
      </c>
      <c r="C2783" s="33" t="s">
        <v>1407</v>
      </c>
      <c r="D2783" s="33" t="s">
        <v>50</v>
      </c>
      <c r="E2783" s="33" t="s">
        <v>80</v>
      </c>
      <c r="F2783" s="33" t="s">
        <v>2140</v>
      </c>
      <c r="G2783" s="33" t="s">
        <v>9</v>
      </c>
      <c r="H2783" s="33" t="n">
        <v>10</v>
      </c>
    </row>
    <row r="2784" customFormat="false" ht="54" hidden="false" customHeight="true" outlineLevel="0" collapsed="false">
      <c r="A2784" s="32" t="s">
        <v>13119</v>
      </c>
      <c r="B2784" s="32" t="s">
        <v>6579</v>
      </c>
      <c r="C2784" s="33" t="s">
        <v>1407</v>
      </c>
      <c r="D2784" s="33" t="s">
        <v>50</v>
      </c>
      <c r="E2784" s="33" t="s">
        <v>80</v>
      </c>
      <c r="F2784" s="33" t="s">
        <v>183</v>
      </c>
      <c r="G2784" s="33" t="s">
        <v>9</v>
      </c>
      <c r="H2784" s="33" t="n">
        <v>10</v>
      </c>
    </row>
    <row r="2785" customFormat="false" ht="54" hidden="false" customHeight="true" outlineLevel="0" collapsed="false">
      <c r="A2785" s="32" t="s">
        <v>13120</v>
      </c>
      <c r="B2785" s="32" t="s">
        <v>6579</v>
      </c>
      <c r="C2785" s="33" t="s">
        <v>1407</v>
      </c>
      <c r="D2785" s="33" t="s">
        <v>50</v>
      </c>
      <c r="E2785" s="33" t="s">
        <v>80</v>
      </c>
      <c r="F2785" s="33" t="s">
        <v>6489</v>
      </c>
      <c r="G2785" s="33" t="s">
        <v>9</v>
      </c>
      <c r="H2785" s="33" t="n">
        <v>10</v>
      </c>
    </row>
    <row r="2786" customFormat="false" ht="54" hidden="false" customHeight="true" outlineLevel="0" collapsed="false">
      <c r="A2786" s="32" t="s">
        <v>13121</v>
      </c>
      <c r="B2786" s="32" t="s">
        <v>6579</v>
      </c>
      <c r="C2786" s="33" t="s">
        <v>1407</v>
      </c>
      <c r="D2786" s="33" t="s">
        <v>50</v>
      </c>
      <c r="E2786" s="33" t="s">
        <v>81</v>
      </c>
      <c r="F2786" s="33" t="s">
        <v>13122</v>
      </c>
      <c r="G2786" s="33" t="s">
        <v>9</v>
      </c>
      <c r="H2786" s="33" t="n">
        <v>10</v>
      </c>
    </row>
    <row r="2787" customFormat="false" ht="54" hidden="false" customHeight="true" outlineLevel="0" collapsed="false">
      <c r="A2787" s="32" t="s">
        <v>13123</v>
      </c>
      <c r="B2787" s="32" t="s">
        <v>6579</v>
      </c>
      <c r="C2787" s="33" t="s">
        <v>1407</v>
      </c>
      <c r="D2787" s="33" t="s">
        <v>50</v>
      </c>
      <c r="E2787" s="33" t="s">
        <v>81</v>
      </c>
      <c r="F2787" s="33" t="s">
        <v>13124</v>
      </c>
      <c r="G2787" s="33" t="s">
        <v>9</v>
      </c>
      <c r="H2787" s="33" t="n">
        <v>10</v>
      </c>
    </row>
    <row r="2788" customFormat="false" ht="54" hidden="false" customHeight="true" outlineLevel="0" collapsed="false">
      <c r="A2788" s="32" t="s">
        <v>13125</v>
      </c>
      <c r="B2788" s="32" t="s">
        <v>6579</v>
      </c>
      <c r="C2788" s="33" t="s">
        <v>1407</v>
      </c>
      <c r="D2788" s="33" t="s">
        <v>50</v>
      </c>
      <c r="E2788" s="33" t="s">
        <v>81</v>
      </c>
      <c r="F2788" s="33" t="s">
        <v>13126</v>
      </c>
      <c r="G2788" s="33" t="s">
        <v>9</v>
      </c>
      <c r="H2788" s="33" t="n">
        <v>10</v>
      </c>
    </row>
    <row r="2789" customFormat="false" ht="54" hidden="false" customHeight="true" outlineLevel="0" collapsed="false">
      <c r="A2789" s="32" t="s">
        <v>13127</v>
      </c>
      <c r="B2789" s="32" t="s">
        <v>6579</v>
      </c>
      <c r="C2789" s="33" t="s">
        <v>1407</v>
      </c>
      <c r="D2789" s="33" t="s">
        <v>50</v>
      </c>
      <c r="E2789" s="33" t="s">
        <v>81</v>
      </c>
      <c r="F2789" s="33" t="s">
        <v>13128</v>
      </c>
      <c r="G2789" s="33" t="s">
        <v>9</v>
      </c>
      <c r="H2789" s="33" t="n">
        <v>10</v>
      </c>
    </row>
    <row r="2790" customFormat="false" ht="54" hidden="false" customHeight="true" outlineLevel="0" collapsed="false">
      <c r="A2790" s="32" t="s">
        <v>13129</v>
      </c>
      <c r="B2790" s="32" t="s">
        <v>6579</v>
      </c>
      <c r="C2790" s="33" t="s">
        <v>1407</v>
      </c>
      <c r="D2790" s="33" t="s">
        <v>50</v>
      </c>
      <c r="E2790" s="33" t="s">
        <v>81</v>
      </c>
      <c r="F2790" s="33" t="s">
        <v>13130</v>
      </c>
      <c r="G2790" s="33" t="s">
        <v>9</v>
      </c>
      <c r="H2790" s="33" t="n">
        <v>10</v>
      </c>
    </row>
    <row r="2791" customFormat="false" ht="54" hidden="false" customHeight="true" outlineLevel="0" collapsed="false">
      <c r="A2791" s="32" t="s">
        <v>13131</v>
      </c>
      <c r="B2791" s="32" t="s">
        <v>6579</v>
      </c>
      <c r="C2791" s="33" t="s">
        <v>1407</v>
      </c>
      <c r="D2791" s="33" t="s">
        <v>50</v>
      </c>
      <c r="E2791" s="33" t="s">
        <v>82</v>
      </c>
      <c r="F2791" s="33" t="s">
        <v>1612</v>
      </c>
      <c r="G2791" s="33" t="s">
        <v>9</v>
      </c>
      <c r="H2791" s="33" t="n">
        <v>10</v>
      </c>
    </row>
    <row r="2792" customFormat="false" ht="54" hidden="false" customHeight="true" outlineLevel="0" collapsed="false">
      <c r="A2792" s="32" t="s">
        <v>13132</v>
      </c>
      <c r="B2792" s="32" t="s">
        <v>6579</v>
      </c>
      <c r="C2792" s="33" t="s">
        <v>1407</v>
      </c>
      <c r="D2792" s="33" t="s">
        <v>50</v>
      </c>
      <c r="E2792" s="33" t="s">
        <v>82</v>
      </c>
      <c r="F2792" s="33" t="s">
        <v>13133</v>
      </c>
      <c r="G2792" s="33" t="s">
        <v>9</v>
      </c>
      <c r="H2792" s="33" t="n">
        <v>10</v>
      </c>
    </row>
    <row r="2793" customFormat="false" ht="54" hidden="false" customHeight="true" outlineLevel="0" collapsed="false">
      <c r="A2793" s="32" t="s">
        <v>13134</v>
      </c>
      <c r="B2793" s="32" t="s">
        <v>6579</v>
      </c>
      <c r="C2793" s="33" t="s">
        <v>1407</v>
      </c>
      <c r="D2793" s="33" t="s">
        <v>50</v>
      </c>
      <c r="E2793" s="33" t="s">
        <v>82</v>
      </c>
      <c r="F2793" s="33" t="s">
        <v>13135</v>
      </c>
      <c r="G2793" s="33" t="s">
        <v>9</v>
      </c>
      <c r="H2793" s="33" t="n">
        <v>10</v>
      </c>
    </row>
    <row r="2794" customFormat="false" ht="54" hidden="false" customHeight="true" outlineLevel="0" collapsed="false">
      <c r="A2794" s="32" t="s">
        <v>13136</v>
      </c>
      <c r="B2794" s="32" t="s">
        <v>6579</v>
      </c>
      <c r="C2794" s="33" t="s">
        <v>1407</v>
      </c>
      <c r="D2794" s="33" t="s">
        <v>50</v>
      </c>
      <c r="E2794" s="33" t="s">
        <v>82</v>
      </c>
      <c r="F2794" s="33" t="s">
        <v>6489</v>
      </c>
      <c r="G2794" s="33" t="s">
        <v>9</v>
      </c>
      <c r="H2794" s="33" t="n">
        <v>10</v>
      </c>
    </row>
    <row r="2795" customFormat="false" ht="54" hidden="false" customHeight="true" outlineLevel="0" collapsed="false">
      <c r="A2795" s="32" t="s">
        <v>13137</v>
      </c>
      <c r="B2795" s="32" t="s">
        <v>6579</v>
      </c>
      <c r="C2795" s="33" t="s">
        <v>1407</v>
      </c>
      <c r="D2795" s="33" t="s">
        <v>50</v>
      </c>
      <c r="E2795" s="33" t="s">
        <v>82</v>
      </c>
      <c r="F2795" s="33" t="s">
        <v>13126</v>
      </c>
      <c r="G2795" s="33" t="s">
        <v>9</v>
      </c>
      <c r="H2795" s="33" t="n">
        <v>10</v>
      </c>
    </row>
    <row r="2796" customFormat="false" ht="54" hidden="false" customHeight="true" outlineLevel="0" collapsed="false">
      <c r="A2796" s="32" t="s">
        <v>13138</v>
      </c>
      <c r="B2796" s="32" t="s">
        <v>6579</v>
      </c>
      <c r="C2796" s="33" t="s">
        <v>1407</v>
      </c>
      <c r="D2796" s="33" t="s">
        <v>50</v>
      </c>
      <c r="E2796" s="33" t="s">
        <v>83</v>
      </c>
      <c r="F2796" s="33" t="s">
        <v>6489</v>
      </c>
      <c r="G2796" s="33" t="s">
        <v>9</v>
      </c>
      <c r="H2796" s="33" t="n">
        <v>10</v>
      </c>
    </row>
    <row r="2797" customFormat="false" ht="54" hidden="false" customHeight="true" outlineLevel="0" collapsed="false">
      <c r="A2797" s="32" t="s">
        <v>13139</v>
      </c>
      <c r="B2797" s="32" t="s">
        <v>6579</v>
      </c>
      <c r="C2797" s="33" t="s">
        <v>1407</v>
      </c>
      <c r="D2797" s="33" t="s">
        <v>50</v>
      </c>
      <c r="E2797" s="33" t="s">
        <v>84</v>
      </c>
      <c r="F2797" s="33" t="s">
        <v>183</v>
      </c>
      <c r="G2797" s="33" t="s">
        <v>9</v>
      </c>
      <c r="H2797" s="33" t="n">
        <v>10</v>
      </c>
    </row>
    <row r="2798" customFormat="false" ht="54" hidden="false" customHeight="true" outlineLevel="0" collapsed="false">
      <c r="A2798" s="32" t="s">
        <v>13140</v>
      </c>
      <c r="B2798" s="32" t="s">
        <v>6579</v>
      </c>
      <c r="C2798" s="33" t="s">
        <v>1407</v>
      </c>
      <c r="D2798" s="33" t="s">
        <v>50</v>
      </c>
      <c r="E2798" s="33" t="s">
        <v>84</v>
      </c>
      <c r="F2798" s="33" t="s">
        <v>13124</v>
      </c>
      <c r="G2798" s="33" t="s">
        <v>9</v>
      </c>
      <c r="H2798" s="33" t="n">
        <v>10</v>
      </c>
    </row>
    <row r="2799" customFormat="false" ht="54" hidden="false" customHeight="true" outlineLevel="0" collapsed="false">
      <c r="A2799" s="32" t="s">
        <v>13141</v>
      </c>
      <c r="B2799" s="32" t="s">
        <v>6579</v>
      </c>
      <c r="C2799" s="33" t="s">
        <v>1407</v>
      </c>
      <c r="D2799" s="33" t="s">
        <v>50</v>
      </c>
      <c r="E2799" s="33" t="s">
        <v>84</v>
      </c>
      <c r="F2799" s="33" t="s">
        <v>13135</v>
      </c>
      <c r="G2799" s="33" t="s">
        <v>9</v>
      </c>
      <c r="H2799" s="33" t="n">
        <v>10</v>
      </c>
    </row>
    <row r="2800" customFormat="false" ht="54" hidden="false" customHeight="true" outlineLevel="0" collapsed="false">
      <c r="A2800" s="32" t="s">
        <v>13142</v>
      </c>
      <c r="B2800" s="32" t="s">
        <v>6579</v>
      </c>
      <c r="C2800" s="33" t="s">
        <v>1407</v>
      </c>
      <c r="D2800" s="33" t="s">
        <v>50</v>
      </c>
      <c r="E2800" s="33" t="s">
        <v>84</v>
      </c>
      <c r="F2800" s="33" t="s">
        <v>6489</v>
      </c>
      <c r="G2800" s="33" t="s">
        <v>9</v>
      </c>
      <c r="H2800" s="33" t="n">
        <v>10</v>
      </c>
    </row>
    <row r="2801" customFormat="false" ht="54" hidden="false" customHeight="true" outlineLevel="0" collapsed="false">
      <c r="A2801" s="32" t="s">
        <v>13143</v>
      </c>
      <c r="B2801" s="32" t="s">
        <v>6579</v>
      </c>
      <c r="C2801" s="33" t="s">
        <v>1407</v>
      </c>
      <c r="D2801" s="33" t="s">
        <v>50</v>
      </c>
      <c r="E2801" s="33" t="s">
        <v>84</v>
      </c>
      <c r="F2801" s="33" t="s">
        <v>13144</v>
      </c>
      <c r="G2801" s="33" t="s">
        <v>9</v>
      </c>
      <c r="H2801" s="33" t="n">
        <v>10</v>
      </c>
    </row>
    <row r="2802" customFormat="false" ht="54" hidden="false" customHeight="true" outlineLevel="0" collapsed="false">
      <c r="A2802" s="32" t="s">
        <v>13145</v>
      </c>
      <c r="B2802" s="32" t="s">
        <v>6592</v>
      </c>
      <c r="C2802" s="33" t="s">
        <v>1407</v>
      </c>
      <c r="D2802" s="33" t="s">
        <v>50</v>
      </c>
      <c r="E2802" s="33" t="s">
        <v>80</v>
      </c>
      <c r="F2802" s="33" t="s">
        <v>6596</v>
      </c>
      <c r="G2802" s="33" t="s">
        <v>9</v>
      </c>
      <c r="H2802" s="33" t="n">
        <v>10</v>
      </c>
    </row>
    <row r="2803" customFormat="false" ht="54" hidden="false" customHeight="true" outlineLevel="0" collapsed="false">
      <c r="A2803" s="32" t="s">
        <v>13146</v>
      </c>
      <c r="B2803" s="32" t="s">
        <v>6592</v>
      </c>
      <c r="C2803" s="33" t="s">
        <v>1407</v>
      </c>
      <c r="D2803" s="33" t="s">
        <v>50</v>
      </c>
      <c r="E2803" s="33" t="s">
        <v>80</v>
      </c>
      <c r="F2803" s="33" t="s">
        <v>6598</v>
      </c>
      <c r="G2803" s="33" t="s">
        <v>9</v>
      </c>
      <c r="H2803" s="33" t="n">
        <v>10</v>
      </c>
    </row>
    <row r="2804" customFormat="false" ht="54" hidden="false" customHeight="true" outlineLevel="0" collapsed="false">
      <c r="A2804" s="32" t="s">
        <v>13147</v>
      </c>
      <c r="B2804" s="32" t="s">
        <v>6592</v>
      </c>
      <c r="C2804" s="33" t="s">
        <v>1407</v>
      </c>
      <c r="D2804" s="33" t="s">
        <v>50</v>
      </c>
      <c r="E2804" s="33" t="s">
        <v>80</v>
      </c>
      <c r="F2804" s="33" t="s">
        <v>183</v>
      </c>
      <c r="G2804" s="33" t="s">
        <v>9</v>
      </c>
      <c r="H2804" s="33" t="n">
        <v>10</v>
      </c>
    </row>
    <row r="2805" customFormat="false" ht="54" hidden="false" customHeight="true" outlineLevel="0" collapsed="false">
      <c r="A2805" s="32" t="s">
        <v>13148</v>
      </c>
      <c r="B2805" s="32" t="s">
        <v>6592</v>
      </c>
      <c r="C2805" s="33" t="s">
        <v>1407</v>
      </c>
      <c r="D2805" s="33" t="s">
        <v>50</v>
      </c>
      <c r="E2805" s="33" t="s">
        <v>80</v>
      </c>
      <c r="F2805" s="33" t="s">
        <v>13149</v>
      </c>
      <c r="G2805" s="33" t="s">
        <v>9</v>
      </c>
      <c r="H2805" s="33" t="n">
        <v>10</v>
      </c>
    </row>
    <row r="2806" customFormat="false" ht="54" hidden="false" customHeight="true" outlineLevel="0" collapsed="false">
      <c r="A2806" s="32" t="s">
        <v>13150</v>
      </c>
      <c r="B2806" s="32" t="s">
        <v>6592</v>
      </c>
      <c r="C2806" s="33" t="s">
        <v>1407</v>
      </c>
      <c r="D2806" s="33" t="s">
        <v>50</v>
      </c>
      <c r="E2806" s="33" t="s">
        <v>80</v>
      </c>
      <c r="F2806" s="33" t="s">
        <v>13151</v>
      </c>
      <c r="G2806" s="33" t="s">
        <v>9</v>
      </c>
      <c r="H2806" s="33" t="n">
        <v>10</v>
      </c>
    </row>
    <row r="2807" customFormat="false" ht="54" hidden="false" customHeight="true" outlineLevel="0" collapsed="false">
      <c r="A2807" s="32" t="s">
        <v>13152</v>
      </c>
      <c r="B2807" s="32" t="s">
        <v>6592</v>
      </c>
      <c r="C2807" s="33" t="s">
        <v>1407</v>
      </c>
      <c r="D2807" s="33" t="s">
        <v>50</v>
      </c>
      <c r="E2807" s="33" t="s">
        <v>81</v>
      </c>
      <c r="F2807" s="33" t="s">
        <v>6596</v>
      </c>
      <c r="G2807" s="33" t="s">
        <v>9</v>
      </c>
      <c r="H2807" s="33" t="n">
        <v>10</v>
      </c>
    </row>
    <row r="2808" customFormat="false" ht="54" hidden="false" customHeight="true" outlineLevel="0" collapsed="false">
      <c r="A2808" s="32" t="s">
        <v>13153</v>
      </c>
      <c r="B2808" s="32" t="s">
        <v>6592</v>
      </c>
      <c r="C2808" s="33" t="s">
        <v>1407</v>
      </c>
      <c r="D2808" s="33" t="s">
        <v>50</v>
      </c>
      <c r="E2808" s="33" t="s">
        <v>81</v>
      </c>
      <c r="F2808" s="33" t="s">
        <v>6597</v>
      </c>
      <c r="G2808" s="33" t="s">
        <v>9</v>
      </c>
      <c r="H2808" s="33" t="n">
        <v>10</v>
      </c>
    </row>
    <row r="2809" customFormat="false" ht="54" hidden="false" customHeight="true" outlineLevel="0" collapsed="false">
      <c r="A2809" s="32" t="s">
        <v>13154</v>
      </c>
      <c r="B2809" s="32" t="s">
        <v>6592</v>
      </c>
      <c r="C2809" s="33" t="s">
        <v>1407</v>
      </c>
      <c r="D2809" s="33" t="s">
        <v>50</v>
      </c>
      <c r="E2809" s="33" t="s">
        <v>81</v>
      </c>
      <c r="F2809" s="33" t="s">
        <v>13149</v>
      </c>
      <c r="G2809" s="33" t="s">
        <v>9</v>
      </c>
      <c r="H2809" s="33" t="n">
        <v>10</v>
      </c>
    </row>
    <row r="2810" customFormat="false" ht="54" hidden="false" customHeight="true" outlineLevel="0" collapsed="false">
      <c r="A2810" s="32" t="s">
        <v>13155</v>
      </c>
      <c r="B2810" s="32" t="s">
        <v>6592</v>
      </c>
      <c r="C2810" s="33" t="s">
        <v>1407</v>
      </c>
      <c r="D2810" s="33" t="s">
        <v>50</v>
      </c>
      <c r="E2810" s="33" t="s">
        <v>82</v>
      </c>
      <c r="F2810" s="33" t="s">
        <v>6598</v>
      </c>
      <c r="G2810" s="33" t="s">
        <v>9</v>
      </c>
      <c r="H2810" s="33" t="n">
        <v>10</v>
      </c>
    </row>
    <row r="2811" customFormat="false" ht="54" hidden="false" customHeight="true" outlineLevel="0" collapsed="false">
      <c r="A2811" s="32" t="s">
        <v>13156</v>
      </c>
      <c r="B2811" s="32" t="s">
        <v>6592</v>
      </c>
      <c r="C2811" s="33" t="s">
        <v>1407</v>
      </c>
      <c r="D2811" s="33" t="s">
        <v>50</v>
      </c>
      <c r="E2811" s="33" t="s">
        <v>82</v>
      </c>
      <c r="F2811" s="33" t="s">
        <v>13157</v>
      </c>
      <c r="G2811" s="33" t="s">
        <v>9</v>
      </c>
      <c r="H2811" s="33" t="n">
        <v>10</v>
      </c>
    </row>
    <row r="2812" customFormat="false" ht="54" hidden="false" customHeight="true" outlineLevel="0" collapsed="false">
      <c r="A2812" s="32" t="s">
        <v>13158</v>
      </c>
      <c r="B2812" s="32" t="s">
        <v>6592</v>
      </c>
      <c r="C2812" s="33" t="s">
        <v>1407</v>
      </c>
      <c r="D2812" s="33" t="s">
        <v>50</v>
      </c>
      <c r="E2812" s="33" t="s">
        <v>84</v>
      </c>
      <c r="F2812" s="33" t="s">
        <v>6598</v>
      </c>
      <c r="G2812" s="33" t="s">
        <v>9</v>
      </c>
      <c r="H2812" s="33" t="n">
        <v>10</v>
      </c>
    </row>
    <row r="2813" customFormat="false" ht="54" hidden="false" customHeight="true" outlineLevel="0" collapsed="false">
      <c r="A2813" s="32" t="s">
        <v>13159</v>
      </c>
      <c r="B2813" s="32" t="s">
        <v>6592</v>
      </c>
      <c r="C2813" s="33" t="s">
        <v>1407</v>
      </c>
      <c r="D2813" s="33" t="s">
        <v>50</v>
      </c>
      <c r="E2813" s="33" t="s">
        <v>84</v>
      </c>
      <c r="F2813" s="33" t="s">
        <v>183</v>
      </c>
      <c r="G2813" s="33" t="s">
        <v>9</v>
      </c>
      <c r="H2813" s="33" t="n">
        <v>10</v>
      </c>
    </row>
    <row r="2814" customFormat="false" ht="54" hidden="false" customHeight="true" outlineLevel="0" collapsed="false">
      <c r="A2814" s="32" t="s">
        <v>13160</v>
      </c>
      <c r="B2814" s="32" t="s">
        <v>6592</v>
      </c>
      <c r="C2814" s="33" t="s">
        <v>1407</v>
      </c>
      <c r="D2814" s="33" t="s">
        <v>50</v>
      </c>
      <c r="E2814" s="33" t="s">
        <v>84</v>
      </c>
      <c r="F2814" s="33" t="s">
        <v>13149</v>
      </c>
      <c r="G2814" s="33" t="s">
        <v>9</v>
      </c>
      <c r="H2814" s="33" t="n">
        <v>10</v>
      </c>
    </row>
    <row r="2815" customFormat="false" ht="54" hidden="false" customHeight="true" outlineLevel="0" collapsed="false">
      <c r="A2815" s="32" t="s">
        <v>13161</v>
      </c>
      <c r="B2815" s="32" t="s">
        <v>6592</v>
      </c>
      <c r="C2815" s="33" t="s">
        <v>1407</v>
      </c>
      <c r="D2815" s="33" t="s">
        <v>50</v>
      </c>
      <c r="E2815" s="33" t="s">
        <v>84</v>
      </c>
      <c r="F2815" s="33" t="s">
        <v>13151</v>
      </c>
      <c r="G2815" s="33" t="s">
        <v>9</v>
      </c>
      <c r="H2815" s="33" t="n">
        <v>10</v>
      </c>
    </row>
    <row r="2816" customFormat="false" ht="54" hidden="false" customHeight="true" outlineLevel="0" collapsed="false">
      <c r="A2816" s="32" t="s">
        <v>13162</v>
      </c>
      <c r="B2816" s="32" t="s">
        <v>1641</v>
      </c>
      <c r="C2816" s="33" t="s">
        <v>1407</v>
      </c>
      <c r="D2816" s="33" t="s">
        <v>50</v>
      </c>
      <c r="E2816" s="33" t="s">
        <v>80</v>
      </c>
      <c r="F2816" s="33" t="s">
        <v>183</v>
      </c>
      <c r="G2816" s="33" t="s">
        <v>9</v>
      </c>
      <c r="H2816" s="33" t="n">
        <v>10</v>
      </c>
    </row>
    <row r="2817" customFormat="false" ht="54" hidden="false" customHeight="true" outlineLevel="0" collapsed="false">
      <c r="A2817" s="32" t="s">
        <v>13163</v>
      </c>
      <c r="B2817" s="32" t="s">
        <v>1641</v>
      </c>
      <c r="C2817" s="33" t="s">
        <v>1407</v>
      </c>
      <c r="D2817" s="33" t="s">
        <v>50</v>
      </c>
      <c r="E2817" s="33" t="s">
        <v>81</v>
      </c>
      <c r="F2817" s="33" t="s">
        <v>6617</v>
      </c>
      <c r="G2817" s="33" t="s">
        <v>9</v>
      </c>
      <c r="H2817" s="33" t="n">
        <v>10</v>
      </c>
    </row>
    <row r="2818" customFormat="false" ht="54" hidden="false" customHeight="true" outlineLevel="0" collapsed="false">
      <c r="A2818" s="32" t="s">
        <v>13164</v>
      </c>
      <c r="B2818" s="32" t="s">
        <v>1641</v>
      </c>
      <c r="C2818" s="33" t="s">
        <v>1407</v>
      </c>
      <c r="D2818" s="33" t="s">
        <v>50</v>
      </c>
      <c r="E2818" s="33" t="s">
        <v>83</v>
      </c>
      <c r="F2818" s="33" t="s">
        <v>6615</v>
      </c>
      <c r="G2818" s="33" t="s">
        <v>9</v>
      </c>
      <c r="H2818" s="33" t="n">
        <v>10</v>
      </c>
    </row>
    <row r="2819" customFormat="false" ht="54" hidden="false" customHeight="true" outlineLevel="0" collapsed="false">
      <c r="A2819" s="32" t="s">
        <v>13165</v>
      </c>
      <c r="B2819" s="32" t="s">
        <v>1641</v>
      </c>
      <c r="C2819" s="33" t="s">
        <v>1407</v>
      </c>
      <c r="D2819" s="33" t="s">
        <v>50</v>
      </c>
      <c r="E2819" s="33" t="s">
        <v>84</v>
      </c>
      <c r="F2819" s="33" t="s">
        <v>183</v>
      </c>
      <c r="G2819" s="33" t="s">
        <v>9</v>
      </c>
      <c r="H2819" s="33" t="n">
        <v>10</v>
      </c>
    </row>
    <row r="2820" customFormat="false" ht="54" hidden="false" customHeight="true" outlineLevel="0" collapsed="false">
      <c r="A2820" s="32" t="s">
        <v>13166</v>
      </c>
      <c r="B2820" s="32" t="s">
        <v>1641</v>
      </c>
      <c r="C2820" s="33" t="s">
        <v>1407</v>
      </c>
      <c r="D2820" s="33" t="s">
        <v>50</v>
      </c>
      <c r="E2820" s="33" t="s">
        <v>84</v>
      </c>
      <c r="F2820" s="33" t="s">
        <v>13167</v>
      </c>
      <c r="G2820" s="33" t="s">
        <v>9</v>
      </c>
      <c r="H2820" s="33" t="n">
        <v>10</v>
      </c>
    </row>
    <row r="2821" customFormat="false" ht="54" hidden="false" customHeight="true" outlineLevel="0" collapsed="false">
      <c r="A2821" s="32" t="s">
        <v>13168</v>
      </c>
      <c r="B2821" s="32" t="s">
        <v>6622</v>
      </c>
      <c r="C2821" s="33" t="s">
        <v>1407</v>
      </c>
      <c r="D2821" s="33" t="s">
        <v>50</v>
      </c>
      <c r="E2821" s="33" t="s">
        <v>80</v>
      </c>
      <c r="F2821" s="33" t="s">
        <v>183</v>
      </c>
      <c r="G2821" s="33" t="s">
        <v>9</v>
      </c>
      <c r="H2821" s="33" t="n">
        <v>10</v>
      </c>
    </row>
    <row r="2822" customFormat="false" ht="54" hidden="false" customHeight="true" outlineLevel="0" collapsed="false">
      <c r="A2822" s="32" t="s">
        <v>13169</v>
      </c>
      <c r="B2822" s="32" t="s">
        <v>6622</v>
      </c>
      <c r="C2822" s="33" t="s">
        <v>1407</v>
      </c>
      <c r="D2822" s="33" t="s">
        <v>50</v>
      </c>
      <c r="E2822" s="33" t="s">
        <v>80</v>
      </c>
      <c r="F2822" s="33" t="s">
        <v>13170</v>
      </c>
      <c r="G2822" s="33" t="s">
        <v>9</v>
      </c>
      <c r="H2822" s="33" t="n">
        <v>10</v>
      </c>
    </row>
    <row r="2823" customFormat="false" ht="54" hidden="false" customHeight="true" outlineLevel="0" collapsed="false">
      <c r="A2823" s="32" t="s">
        <v>13171</v>
      </c>
      <c r="B2823" s="32" t="s">
        <v>6622</v>
      </c>
      <c r="C2823" s="33" t="s">
        <v>1407</v>
      </c>
      <c r="D2823" s="33" t="s">
        <v>50</v>
      </c>
      <c r="E2823" s="33" t="s">
        <v>80</v>
      </c>
      <c r="F2823" s="33" t="s">
        <v>13172</v>
      </c>
      <c r="G2823" s="33" t="s">
        <v>9</v>
      </c>
      <c r="H2823" s="33" t="n">
        <v>10</v>
      </c>
    </row>
    <row r="2824" customFormat="false" ht="54" hidden="false" customHeight="true" outlineLevel="0" collapsed="false">
      <c r="A2824" s="32" t="s">
        <v>13173</v>
      </c>
      <c r="B2824" s="32" t="s">
        <v>6622</v>
      </c>
      <c r="C2824" s="33" t="s">
        <v>1407</v>
      </c>
      <c r="D2824" s="33" t="s">
        <v>50</v>
      </c>
      <c r="E2824" s="33" t="s">
        <v>80</v>
      </c>
      <c r="F2824" s="33" t="s">
        <v>13174</v>
      </c>
      <c r="G2824" s="33" t="s">
        <v>9</v>
      </c>
      <c r="H2824" s="33" t="n">
        <v>10</v>
      </c>
    </row>
    <row r="2825" customFormat="false" ht="54" hidden="false" customHeight="true" outlineLevel="0" collapsed="false">
      <c r="A2825" s="32" t="s">
        <v>13175</v>
      </c>
      <c r="B2825" s="32" t="s">
        <v>6622</v>
      </c>
      <c r="C2825" s="33" t="s">
        <v>1407</v>
      </c>
      <c r="D2825" s="33" t="s">
        <v>50</v>
      </c>
      <c r="E2825" s="33" t="s">
        <v>84</v>
      </c>
      <c r="F2825" s="33" t="s">
        <v>183</v>
      </c>
      <c r="G2825" s="33" t="s">
        <v>9</v>
      </c>
      <c r="H2825" s="33" t="n">
        <v>10</v>
      </c>
    </row>
    <row r="2826" customFormat="false" ht="54" hidden="false" customHeight="true" outlineLevel="0" collapsed="false">
      <c r="A2826" s="32" t="s">
        <v>13176</v>
      </c>
      <c r="B2826" s="32" t="s">
        <v>6622</v>
      </c>
      <c r="C2826" s="33" t="s">
        <v>1407</v>
      </c>
      <c r="D2826" s="33" t="s">
        <v>50</v>
      </c>
      <c r="E2826" s="33" t="s">
        <v>84</v>
      </c>
      <c r="F2826" s="33" t="s">
        <v>13170</v>
      </c>
      <c r="G2826" s="33" t="s">
        <v>9</v>
      </c>
      <c r="H2826" s="33" t="n">
        <v>10</v>
      </c>
    </row>
    <row r="2827" customFormat="false" ht="54" hidden="false" customHeight="true" outlineLevel="0" collapsed="false">
      <c r="A2827" s="32" t="s">
        <v>13177</v>
      </c>
      <c r="B2827" s="32" t="s">
        <v>6622</v>
      </c>
      <c r="C2827" s="33" t="s">
        <v>1407</v>
      </c>
      <c r="D2827" s="33" t="s">
        <v>50</v>
      </c>
      <c r="E2827" s="33" t="s">
        <v>84</v>
      </c>
      <c r="F2827" s="33" t="s">
        <v>13172</v>
      </c>
      <c r="G2827" s="33" t="s">
        <v>9</v>
      </c>
      <c r="H2827" s="33" t="n">
        <v>10</v>
      </c>
    </row>
    <row r="2828" customFormat="false" ht="54" hidden="false" customHeight="true" outlineLevel="0" collapsed="false">
      <c r="A2828" s="32" t="s">
        <v>13178</v>
      </c>
      <c r="B2828" s="32" t="s">
        <v>6622</v>
      </c>
      <c r="C2828" s="33" t="s">
        <v>1407</v>
      </c>
      <c r="D2828" s="33" t="s">
        <v>50</v>
      </c>
      <c r="E2828" s="33" t="s">
        <v>84</v>
      </c>
      <c r="F2828" s="33" t="s">
        <v>13174</v>
      </c>
      <c r="G2828" s="33" t="s">
        <v>9</v>
      </c>
      <c r="H2828" s="33" t="n">
        <v>10</v>
      </c>
    </row>
    <row r="2829" customFormat="false" ht="54" hidden="false" customHeight="true" outlineLevel="0" collapsed="false">
      <c r="A2829" s="32" t="s">
        <v>13179</v>
      </c>
      <c r="B2829" s="32" t="s">
        <v>6635</v>
      </c>
      <c r="C2829" s="33" t="s">
        <v>6636</v>
      </c>
      <c r="D2829" s="33" t="s">
        <v>52</v>
      </c>
      <c r="E2829" s="33" t="s">
        <v>81</v>
      </c>
      <c r="F2829" s="33" t="s">
        <v>6649</v>
      </c>
      <c r="G2829" s="33" t="s">
        <v>9</v>
      </c>
      <c r="H2829" s="33" t="n">
        <v>10</v>
      </c>
    </row>
    <row r="2830" customFormat="false" ht="54" hidden="false" customHeight="true" outlineLevel="0" collapsed="false">
      <c r="A2830" s="32" t="s">
        <v>13180</v>
      </c>
      <c r="B2830" s="32" t="s">
        <v>6635</v>
      </c>
      <c r="C2830" s="33" t="s">
        <v>6636</v>
      </c>
      <c r="D2830" s="33" t="s">
        <v>52</v>
      </c>
      <c r="E2830" s="33" t="s">
        <v>81</v>
      </c>
      <c r="F2830" s="33" t="s">
        <v>6648</v>
      </c>
      <c r="G2830" s="33" t="s">
        <v>9</v>
      </c>
      <c r="H2830" s="33" t="n">
        <v>10</v>
      </c>
    </row>
    <row r="2831" customFormat="false" ht="54" hidden="false" customHeight="true" outlineLevel="0" collapsed="false">
      <c r="A2831" s="32" t="s">
        <v>13181</v>
      </c>
      <c r="B2831" s="32" t="s">
        <v>6635</v>
      </c>
      <c r="C2831" s="33" t="s">
        <v>6636</v>
      </c>
      <c r="D2831" s="33" t="s">
        <v>52</v>
      </c>
      <c r="E2831" s="33" t="s">
        <v>81</v>
      </c>
      <c r="F2831" s="33" t="s">
        <v>13182</v>
      </c>
      <c r="G2831" s="33" t="s">
        <v>9</v>
      </c>
      <c r="H2831" s="33" t="n">
        <v>10</v>
      </c>
    </row>
    <row r="2832" customFormat="false" ht="54" hidden="false" customHeight="true" outlineLevel="0" collapsed="false">
      <c r="A2832" s="32" t="s">
        <v>13183</v>
      </c>
      <c r="B2832" s="32" t="s">
        <v>6635</v>
      </c>
      <c r="C2832" s="33" t="s">
        <v>6636</v>
      </c>
      <c r="D2832" s="33" t="s">
        <v>52</v>
      </c>
      <c r="E2832" s="33" t="s">
        <v>83</v>
      </c>
      <c r="F2832" s="33" t="s">
        <v>6648</v>
      </c>
      <c r="G2832" s="33" t="s">
        <v>9</v>
      </c>
      <c r="H2832" s="33" t="n">
        <v>10</v>
      </c>
    </row>
    <row r="2833" customFormat="false" ht="54" hidden="false" customHeight="true" outlineLevel="0" collapsed="false">
      <c r="A2833" s="32" t="s">
        <v>13184</v>
      </c>
      <c r="B2833" s="32" t="s">
        <v>6635</v>
      </c>
      <c r="C2833" s="33" t="s">
        <v>6636</v>
      </c>
      <c r="D2833" s="33" t="s">
        <v>52</v>
      </c>
      <c r="E2833" s="33" t="s">
        <v>86</v>
      </c>
      <c r="F2833" s="33" t="s">
        <v>6649</v>
      </c>
      <c r="G2833" s="33" t="s">
        <v>9</v>
      </c>
      <c r="H2833" s="33" t="n">
        <v>10</v>
      </c>
    </row>
    <row r="2834" customFormat="false" ht="54" hidden="false" customHeight="true" outlineLevel="0" collapsed="false">
      <c r="A2834" s="32" t="s">
        <v>13185</v>
      </c>
      <c r="B2834" s="32" t="s">
        <v>6652</v>
      </c>
      <c r="C2834" s="33" t="s">
        <v>1407</v>
      </c>
      <c r="D2834" s="33" t="s">
        <v>50</v>
      </c>
      <c r="E2834" s="33" t="s">
        <v>80</v>
      </c>
      <c r="F2834" s="33" t="s">
        <v>183</v>
      </c>
      <c r="G2834" s="33" t="s">
        <v>9</v>
      </c>
      <c r="H2834" s="33" t="n">
        <v>10</v>
      </c>
    </row>
    <row r="2835" customFormat="false" ht="54" hidden="false" customHeight="true" outlineLevel="0" collapsed="false">
      <c r="A2835" s="32" t="s">
        <v>13186</v>
      </c>
      <c r="B2835" s="32" t="s">
        <v>6652</v>
      </c>
      <c r="C2835" s="33" t="s">
        <v>1407</v>
      </c>
      <c r="D2835" s="33" t="s">
        <v>50</v>
      </c>
      <c r="E2835" s="33" t="s">
        <v>80</v>
      </c>
      <c r="F2835" s="33" t="s">
        <v>6489</v>
      </c>
      <c r="G2835" s="33" t="s">
        <v>9</v>
      </c>
      <c r="H2835" s="33" t="n">
        <v>10</v>
      </c>
    </row>
    <row r="2836" customFormat="false" ht="54" hidden="false" customHeight="true" outlineLevel="0" collapsed="false">
      <c r="A2836" s="32" t="s">
        <v>13187</v>
      </c>
      <c r="B2836" s="32" t="s">
        <v>6652</v>
      </c>
      <c r="C2836" s="33" t="s">
        <v>1407</v>
      </c>
      <c r="D2836" s="33" t="s">
        <v>50</v>
      </c>
      <c r="E2836" s="33" t="s">
        <v>80</v>
      </c>
      <c r="F2836" s="33" t="s">
        <v>6707</v>
      </c>
      <c r="G2836" s="33" t="s">
        <v>9</v>
      </c>
      <c r="H2836" s="33" t="n">
        <v>10</v>
      </c>
    </row>
    <row r="2837" customFormat="false" ht="54" hidden="false" customHeight="true" outlineLevel="0" collapsed="false">
      <c r="A2837" s="32" t="s">
        <v>13188</v>
      </c>
      <c r="B2837" s="32" t="s">
        <v>6652</v>
      </c>
      <c r="C2837" s="33" t="s">
        <v>1407</v>
      </c>
      <c r="D2837" s="33" t="s">
        <v>50</v>
      </c>
      <c r="E2837" s="33" t="s">
        <v>81</v>
      </c>
      <c r="F2837" s="33" t="s">
        <v>6707</v>
      </c>
      <c r="G2837" s="33" t="s">
        <v>9</v>
      </c>
      <c r="H2837" s="33" t="n">
        <v>10</v>
      </c>
    </row>
    <row r="2838" customFormat="false" ht="54" hidden="false" customHeight="true" outlineLevel="0" collapsed="false">
      <c r="A2838" s="32" t="s">
        <v>13189</v>
      </c>
      <c r="B2838" s="32" t="s">
        <v>6652</v>
      </c>
      <c r="C2838" s="33" t="s">
        <v>1407</v>
      </c>
      <c r="D2838" s="33" t="s">
        <v>50</v>
      </c>
      <c r="E2838" s="33" t="s">
        <v>81</v>
      </c>
      <c r="F2838" s="33" t="s">
        <v>13190</v>
      </c>
      <c r="G2838" s="33" t="s">
        <v>9</v>
      </c>
      <c r="H2838" s="33" t="n">
        <v>10</v>
      </c>
    </row>
    <row r="2839" customFormat="false" ht="54" hidden="false" customHeight="true" outlineLevel="0" collapsed="false">
      <c r="A2839" s="32" t="s">
        <v>13191</v>
      </c>
      <c r="B2839" s="32" t="s">
        <v>6652</v>
      </c>
      <c r="C2839" s="33" t="s">
        <v>1407</v>
      </c>
      <c r="D2839" s="33" t="s">
        <v>50</v>
      </c>
      <c r="E2839" s="33" t="s">
        <v>82</v>
      </c>
      <c r="F2839" s="33" t="s">
        <v>6658</v>
      </c>
      <c r="G2839" s="33" t="s">
        <v>9</v>
      </c>
      <c r="H2839" s="33" t="n">
        <v>10</v>
      </c>
    </row>
    <row r="2840" customFormat="false" ht="54" hidden="false" customHeight="true" outlineLevel="0" collapsed="false">
      <c r="A2840" s="32" t="s">
        <v>13192</v>
      </c>
      <c r="B2840" s="32" t="s">
        <v>6652</v>
      </c>
      <c r="C2840" s="33" t="s">
        <v>1407</v>
      </c>
      <c r="D2840" s="33" t="s">
        <v>50</v>
      </c>
      <c r="E2840" s="33" t="s">
        <v>82</v>
      </c>
      <c r="F2840" s="33" t="s">
        <v>13193</v>
      </c>
      <c r="G2840" s="33" t="s">
        <v>9</v>
      </c>
      <c r="H2840" s="33" t="n">
        <v>10</v>
      </c>
    </row>
    <row r="2841" customFormat="false" ht="54" hidden="false" customHeight="true" outlineLevel="0" collapsed="false">
      <c r="A2841" s="32" t="s">
        <v>13194</v>
      </c>
      <c r="B2841" s="32" t="s">
        <v>6652</v>
      </c>
      <c r="C2841" s="33" t="s">
        <v>1407</v>
      </c>
      <c r="D2841" s="33" t="s">
        <v>50</v>
      </c>
      <c r="E2841" s="33" t="s">
        <v>82</v>
      </c>
      <c r="F2841" s="33" t="s">
        <v>6489</v>
      </c>
      <c r="G2841" s="33" t="s">
        <v>9</v>
      </c>
      <c r="H2841" s="33" t="n">
        <v>10</v>
      </c>
    </row>
    <row r="2842" customFormat="false" ht="54" hidden="false" customHeight="true" outlineLevel="0" collapsed="false">
      <c r="A2842" s="32" t="s">
        <v>13195</v>
      </c>
      <c r="B2842" s="32" t="s">
        <v>6652</v>
      </c>
      <c r="C2842" s="33" t="s">
        <v>1407</v>
      </c>
      <c r="D2842" s="33" t="s">
        <v>50</v>
      </c>
      <c r="E2842" s="33" t="s">
        <v>83</v>
      </c>
      <c r="F2842" s="33" t="s">
        <v>6489</v>
      </c>
      <c r="G2842" s="33" t="s">
        <v>9</v>
      </c>
      <c r="H2842" s="33" t="n">
        <v>10</v>
      </c>
    </row>
    <row r="2843" customFormat="false" ht="54" hidden="false" customHeight="true" outlineLevel="0" collapsed="false">
      <c r="A2843" s="32" t="s">
        <v>13196</v>
      </c>
      <c r="B2843" s="32" t="s">
        <v>6652</v>
      </c>
      <c r="C2843" s="33" t="s">
        <v>1407</v>
      </c>
      <c r="D2843" s="33" t="s">
        <v>50</v>
      </c>
      <c r="E2843" s="33" t="s">
        <v>84</v>
      </c>
      <c r="F2843" s="33" t="s">
        <v>183</v>
      </c>
      <c r="G2843" s="33" t="s">
        <v>9</v>
      </c>
      <c r="H2843" s="33" t="n">
        <v>10</v>
      </c>
    </row>
    <row r="2844" customFormat="false" ht="54" hidden="false" customHeight="true" outlineLevel="0" collapsed="false">
      <c r="A2844" s="32" t="s">
        <v>13197</v>
      </c>
      <c r="B2844" s="32" t="s">
        <v>6652</v>
      </c>
      <c r="C2844" s="33" t="s">
        <v>1407</v>
      </c>
      <c r="D2844" s="33" t="s">
        <v>50</v>
      </c>
      <c r="E2844" s="33" t="s">
        <v>84</v>
      </c>
      <c r="F2844" s="33" t="s">
        <v>13193</v>
      </c>
      <c r="G2844" s="33" t="s">
        <v>9</v>
      </c>
      <c r="H2844" s="33" t="n">
        <v>10</v>
      </c>
    </row>
    <row r="2845" customFormat="false" ht="54" hidden="false" customHeight="true" outlineLevel="0" collapsed="false">
      <c r="A2845" s="32" t="s">
        <v>13198</v>
      </c>
      <c r="B2845" s="32" t="s">
        <v>6652</v>
      </c>
      <c r="C2845" s="33" t="s">
        <v>1407</v>
      </c>
      <c r="D2845" s="33" t="s">
        <v>50</v>
      </c>
      <c r="E2845" s="33" t="s">
        <v>84</v>
      </c>
      <c r="F2845" s="33" t="s">
        <v>13199</v>
      </c>
      <c r="G2845" s="33" t="s">
        <v>9</v>
      </c>
      <c r="H2845" s="33" t="n">
        <v>10</v>
      </c>
    </row>
    <row r="2846" customFormat="false" ht="54" hidden="false" customHeight="true" outlineLevel="0" collapsed="false">
      <c r="A2846" s="32" t="s">
        <v>13200</v>
      </c>
      <c r="B2846" s="32" t="s">
        <v>6652</v>
      </c>
      <c r="C2846" s="33" t="s">
        <v>1407</v>
      </c>
      <c r="D2846" s="33" t="s">
        <v>50</v>
      </c>
      <c r="E2846" s="33" t="s">
        <v>84</v>
      </c>
      <c r="F2846" s="33" t="s">
        <v>6489</v>
      </c>
      <c r="G2846" s="33" t="s">
        <v>9</v>
      </c>
      <c r="H2846" s="33" t="n">
        <v>10</v>
      </c>
    </row>
    <row r="2847" customFormat="false" ht="54" hidden="false" customHeight="true" outlineLevel="0" collapsed="false">
      <c r="A2847" s="32" t="s">
        <v>13201</v>
      </c>
      <c r="B2847" s="32" t="s">
        <v>6652</v>
      </c>
      <c r="C2847" s="33" t="s">
        <v>1407</v>
      </c>
      <c r="D2847" s="33" t="s">
        <v>50</v>
      </c>
      <c r="E2847" s="33" t="s">
        <v>84</v>
      </c>
      <c r="F2847" s="33" t="s">
        <v>13202</v>
      </c>
      <c r="G2847" s="33" t="s">
        <v>9</v>
      </c>
      <c r="H2847" s="33" t="n">
        <v>10</v>
      </c>
    </row>
    <row r="2848" customFormat="false" ht="54" hidden="false" customHeight="true" outlineLevel="0" collapsed="false">
      <c r="A2848" s="32" t="s">
        <v>13203</v>
      </c>
      <c r="B2848" s="32" t="s">
        <v>6652</v>
      </c>
      <c r="C2848" s="33" t="s">
        <v>1407</v>
      </c>
      <c r="D2848" s="33" t="s">
        <v>50</v>
      </c>
      <c r="E2848" s="33" t="s">
        <v>84</v>
      </c>
      <c r="F2848" s="33" t="s">
        <v>6660</v>
      </c>
      <c r="G2848" s="33" t="s">
        <v>9</v>
      </c>
      <c r="H2848" s="33" t="n">
        <v>10</v>
      </c>
    </row>
    <row r="2849" customFormat="false" ht="54" hidden="false" customHeight="true" outlineLevel="0" collapsed="false">
      <c r="A2849" s="32" t="s">
        <v>13204</v>
      </c>
      <c r="B2849" s="32" t="s">
        <v>6668</v>
      </c>
      <c r="C2849" s="33" t="s">
        <v>1407</v>
      </c>
      <c r="D2849" s="33" t="s">
        <v>50</v>
      </c>
      <c r="E2849" s="33" t="s">
        <v>80</v>
      </c>
      <c r="F2849" s="33" t="s">
        <v>6672</v>
      </c>
      <c r="G2849" s="33" t="s">
        <v>9</v>
      </c>
      <c r="H2849" s="33" t="n">
        <v>10</v>
      </c>
    </row>
    <row r="2850" customFormat="false" ht="54" hidden="false" customHeight="true" outlineLevel="0" collapsed="false">
      <c r="A2850" s="32" t="s">
        <v>13205</v>
      </c>
      <c r="B2850" s="32" t="s">
        <v>6668</v>
      </c>
      <c r="C2850" s="33" t="s">
        <v>1407</v>
      </c>
      <c r="D2850" s="33" t="s">
        <v>50</v>
      </c>
      <c r="E2850" s="33" t="s">
        <v>80</v>
      </c>
      <c r="F2850" s="33" t="s">
        <v>183</v>
      </c>
      <c r="G2850" s="33" t="s">
        <v>9</v>
      </c>
      <c r="H2850" s="33" t="n">
        <v>10</v>
      </c>
    </row>
    <row r="2851" customFormat="false" ht="54" hidden="false" customHeight="true" outlineLevel="0" collapsed="false">
      <c r="A2851" s="32" t="s">
        <v>13206</v>
      </c>
      <c r="B2851" s="32" t="s">
        <v>6668</v>
      </c>
      <c r="C2851" s="33" t="s">
        <v>1407</v>
      </c>
      <c r="D2851" s="33" t="s">
        <v>50</v>
      </c>
      <c r="E2851" s="33" t="s">
        <v>80</v>
      </c>
      <c r="F2851" s="33" t="s">
        <v>13207</v>
      </c>
      <c r="G2851" s="33" t="s">
        <v>9</v>
      </c>
      <c r="H2851" s="33" t="n">
        <v>10</v>
      </c>
    </row>
    <row r="2852" customFormat="false" ht="54" hidden="false" customHeight="true" outlineLevel="0" collapsed="false">
      <c r="A2852" s="32" t="s">
        <v>13208</v>
      </c>
      <c r="B2852" s="32" t="s">
        <v>6668</v>
      </c>
      <c r="C2852" s="33" t="s">
        <v>1407</v>
      </c>
      <c r="D2852" s="33" t="s">
        <v>50</v>
      </c>
      <c r="E2852" s="33" t="s">
        <v>81</v>
      </c>
      <c r="F2852" s="33" t="s">
        <v>6672</v>
      </c>
      <c r="G2852" s="33" t="s">
        <v>9</v>
      </c>
      <c r="H2852" s="33" t="n">
        <v>10</v>
      </c>
    </row>
    <row r="2853" customFormat="false" ht="54" hidden="false" customHeight="true" outlineLevel="0" collapsed="false">
      <c r="A2853" s="32" t="s">
        <v>13209</v>
      </c>
      <c r="B2853" s="32" t="s">
        <v>6668</v>
      </c>
      <c r="C2853" s="33" t="s">
        <v>1407</v>
      </c>
      <c r="D2853" s="33" t="s">
        <v>50</v>
      </c>
      <c r="E2853" s="33" t="s">
        <v>81</v>
      </c>
      <c r="F2853" s="33" t="s">
        <v>13210</v>
      </c>
      <c r="G2853" s="33" t="s">
        <v>9</v>
      </c>
      <c r="H2853" s="33" t="n">
        <v>10</v>
      </c>
    </row>
    <row r="2854" customFormat="false" ht="54" hidden="false" customHeight="true" outlineLevel="0" collapsed="false">
      <c r="A2854" s="32" t="s">
        <v>13211</v>
      </c>
      <c r="B2854" s="32" t="s">
        <v>6668</v>
      </c>
      <c r="C2854" s="33" t="s">
        <v>1407</v>
      </c>
      <c r="D2854" s="33" t="s">
        <v>50</v>
      </c>
      <c r="E2854" s="33" t="s">
        <v>81</v>
      </c>
      <c r="F2854" s="33" t="s">
        <v>13212</v>
      </c>
      <c r="G2854" s="33" t="s">
        <v>9</v>
      </c>
      <c r="H2854" s="33" t="n">
        <v>10</v>
      </c>
    </row>
    <row r="2855" customFormat="false" ht="54" hidden="false" customHeight="true" outlineLevel="0" collapsed="false">
      <c r="A2855" s="32" t="s">
        <v>13213</v>
      </c>
      <c r="B2855" s="32" t="s">
        <v>6668</v>
      </c>
      <c r="C2855" s="33" t="s">
        <v>1407</v>
      </c>
      <c r="D2855" s="33" t="s">
        <v>50</v>
      </c>
      <c r="E2855" s="33" t="s">
        <v>81</v>
      </c>
      <c r="F2855" s="33" t="s">
        <v>13214</v>
      </c>
      <c r="G2855" s="33" t="s">
        <v>9</v>
      </c>
      <c r="H2855" s="33" t="n">
        <v>10</v>
      </c>
    </row>
    <row r="2856" customFormat="false" ht="54" hidden="false" customHeight="true" outlineLevel="0" collapsed="false">
      <c r="A2856" s="32" t="s">
        <v>13215</v>
      </c>
      <c r="B2856" s="32" t="s">
        <v>6668</v>
      </c>
      <c r="C2856" s="33" t="s">
        <v>1407</v>
      </c>
      <c r="D2856" s="33" t="s">
        <v>50</v>
      </c>
      <c r="E2856" s="33" t="s">
        <v>82</v>
      </c>
      <c r="F2856" s="33" t="s">
        <v>6674</v>
      </c>
      <c r="G2856" s="33" t="s">
        <v>9</v>
      </c>
      <c r="H2856" s="33" t="n">
        <v>10</v>
      </c>
    </row>
    <row r="2857" customFormat="false" ht="54" hidden="false" customHeight="true" outlineLevel="0" collapsed="false">
      <c r="A2857" s="32" t="s">
        <v>13216</v>
      </c>
      <c r="B2857" s="32" t="s">
        <v>6668</v>
      </c>
      <c r="C2857" s="33" t="s">
        <v>1407</v>
      </c>
      <c r="D2857" s="33" t="s">
        <v>50</v>
      </c>
      <c r="E2857" s="33" t="s">
        <v>82</v>
      </c>
      <c r="F2857" s="33" t="s">
        <v>10086</v>
      </c>
      <c r="G2857" s="33" t="s">
        <v>9</v>
      </c>
      <c r="H2857" s="33" t="n">
        <v>10</v>
      </c>
    </row>
    <row r="2858" customFormat="false" ht="54" hidden="false" customHeight="true" outlineLevel="0" collapsed="false">
      <c r="A2858" s="32" t="s">
        <v>13217</v>
      </c>
      <c r="B2858" s="32" t="s">
        <v>6668</v>
      </c>
      <c r="C2858" s="33" t="s">
        <v>1407</v>
      </c>
      <c r="D2858" s="33" t="s">
        <v>50</v>
      </c>
      <c r="E2858" s="33" t="s">
        <v>82</v>
      </c>
      <c r="F2858" s="33" t="s">
        <v>13207</v>
      </c>
      <c r="G2858" s="33" t="s">
        <v>9</v>
      </c>
      <c r="H2858" s="33" t="n">
        <v>10</v>
      </c>
    </row>
    <row r="2859" customFormat="false" ht="54" hidden="false" customHeight="true" outlineLevel="0" collapsed="false">
      <c r="A2859" s="32" t="s">
        <v>13218</v>
      </c>
      <c r="B2859" s="32" t="s">
        <v>6668</v>
      </c>
      <c r="C2859" s="33" t="s">
        <v>1407</v>
      </c>
      <c r="D2859" s="33" t="s">
        <v>50</v>
      </c>
      <c r="E2859" s="33" t="s">
        <v>84</v>
      </c>
      <c r="F2859" s="33" t="s">
        <v>183</v>
      </c>
      <c r="G2859" s="33" t="s">
        <v>9</v>
      </c>
      <c r="H2859" s="33" t="n">
        <v>10</v>
      </c>
    </row>
    <row r="2860" customFormat="false" ht="54" hidden="false" customHeight="true" outlineLevel="0" collapsed="false">
      <c r="A2860" s="32" t="s">
        <v>13219</v>
      </c>
      <c r="B2860" s="32" t="s">
        <v>6668</v>
      </c>
      <c r="C2860" s="33" t="s">
        <v>1407</v>
      </c>
      <c r="D2860" s="33" t="s">
        <v>50</v>
      </c>
      <c r="E2860" s="33" t="s">
        <v>84</v>
      </c>
      <c r="F2860" s="33" t="s">
        <v>13207</v>
      </c>
      <c r="G2860" s="33" t="s">
        <v>9</v>
      </c>
      <c r="H2860" s="33" t="n">
        <v>10</v>
      </c>
    </row>
    <row r="2861" customFormat="false" ht="54" hidden="false" customHeight="true" outlineLevel="0" collapsed="false">
      <c r="A2861" s="32" t="s">
        <v>13220</v>
      </c>
      <c r="B2861" s="32" t="s">
        <v>6668</v>
      </c>
      <c r="C2861" s="33" t="s">
        <v>1407</v>
      </c>
      <c r="D2861" s="33" t="s">
        <v>50</v>
      </c>
      <c r="E2861" s="33" t="s">
        <v>84</v>
      </c>
      <c r="F2861" s="33" t="s">
        <v>13212</v>
      </c>
      <c r="G2861" s="33" t="s">
        <v>9</v>
      </c>
      <c r="H2861" s="33" t="n">
        <v>10</v>
      </c>
    </row>
    <row r="2862" customFormat="false" ht="54" hidden="false" customHeight="true" outlineLevel="0" collapsed="false">
      <c r="A2862" s="32" t="s">
        <v>13221</v>
      </c>
      <c r="B2862" s="32" t="s">
        <v>6668</v>
      </c>
      <c r="C2862" s="33" t="s">
        <v>1407</v>
      </c>
      <c r="D2862" s="33" t="s">
        <v>50</v>
      </c>
      <c r="E2862" s="33" t="s">
        <v>84</v>
      </c>
      <c r="F2862" s="33" t="s">
        <v>13222</v>
      </c>
      <c r="G2862" s="33" t="s">
        <v>9</v>
      </c>
      <c r="H2862" s="33" t="n">
        <v>10</v>
      </c>
    </row>
    <row r="2863" customFormat="false" ht="54" hidden="false" customHeight="true" outlineLevel="0" collapsed="false">
      <c r="A2863" s="32" t="s">
        <v>13223</v>
      </c>
      <c r="B2863" s="32" t="s">
        <v>6668</v>
      </c>
      <c r="C2863" s="33" t="s">
        <v>1407</v>
      </c>
      <c r="D2863" s="33" t="s">
        <v>50</v>
      </c>
      <c r="E2863" s="33" t="s">
        <v>86</v>
      </c>
      <c r="F2863" s="33" t="s">
        <v>6682</v>
      </c>
      <c r="G2863" s="33" t="s">
        <v>9</v>
      </c>
      <c r="H2863" s="33" t="n">
        <v>10</v>
      </c>
    </row>
    <row r="2864" customFormat="false" ht="54" hidden="false" customHeight="true" outlineLevel="0" collapsed="false">
      <c r="A2864" s="32" t="s">
        <v>13224</v>
      </c>
      <c r="B2864" s="32" t="s">
        <v>6685</v>
      </c>
      <c r="C2864" s="33" t="s">
        <v>1407</v>
      </c>
      <c r="D2864" s="33" t="s">
        <v>50</v>
      </c>
      <c r="E2864" s="33" t="s">
        <v>80</v>
      </c>
      <c r="F2864" s="33" t="s">
        <v>6672</v>
      </c>
      <c r="G2864" s="33" t="s">
        <v>9</v>
      </c>
      <c r="H2864" s="33" t="n">
        <v>10</v>
      </c>
    </row>
    <row r="2865" customFormat="false" ht="54" hidden="false" customHeight="true" outlineLevel="0" collapsed="false">
      <c r="A2865" s="32" t="s">
        <v>13225</v>
      </c>
      <c r="B2865" s="32" t="s">
        <v>6685</v>
      </c>
      <c r="C2865" s="33" t="s">
        <v>1407</v>
      </c>
      <c r="D2865" s="33" t="s">
        <v>50</v>
      </c>
      <c r="E2865" s="33" t="s">
        <v>80</v>
      </c>
      <c r="F2865" s="33" t="s">
        <v>183</v>
      </c>
      <c r="G2865" s="33" t="s">
        <v>9</v>
      </c>
      <c r="H2865" s="33" t="n">
        <v>10</v>
      </c>
    </row>
    <row r="2866" customFormat="false" ht="54" hidden="false" customHeight="true" outlineLevel="0" collapsed="false">
      <c r="A2866" s="32" t="s">
        <v>13226</v>
      </c>
      <c r="B2866" s="32" t="s">
        <v>6685</v>
      </c>
      <c r="C2866" s="33" t="s">
        <v>1407</v>
      </c>
      <c r="D2866" s="33" t="s">
        <v>50</v>
      </c>
      <c r="E2866" s="33" t="s">
        <v>81</v>
      </c>
      <c r="F2866" s="33" t="s">
        <v>6672</v>
      </c>
      <c r="G2866" s="33" t="s">
        <v>9</v>
      </c>
      <c r="H2866" s="33" t="n">
        <v>10</v>
      </c>
    </row>
    <row r="2867" customFormat="false" ht="54" hidden="false" customHeight="true" outlineLevel="0" collapsed="false">
      <c r="A2867" s="32" t="s">
        <v>13227</v>
      </c>
      <c r="B2867" s="32" t="s">
        <v>6685</v>
      </c>
      <c r="C2867" s="33" t="s">
        <v>1407</v>
      </c>
      <c r="D2867" s="33" t="s">
        <v>50</v>
      </c>
      <c r="E2867" s="33" t="s">
        <v>81</v>
      </c>
      <c r="F2867" s="33" t="s">
        <v>13210</v>
      </c>
      <c r="G2867" s="33" t="s">
        <v>9</v>
      </c>
      <c r="H2867" s="33" t="n">
        <v>10</v>
      </c>
    </row>
    <row r="2868" customFormat="false" ht="54" hidden="false" customHeight="true" outlineLevel="0" collapsed="false">
      <c r="A2868" s="32" t="s">
        <v>13228</v>
      </c>
      <c r="B2868" s="32" t="s">
        <v>6685</v>
      </c>
      <c r="C2868" s="33" t="s">
        <v>1407</v>
      </c>
      <c r="D2868" s="33" t="s">
        <v>50</v>
      </c>
      <c r="E2868" s="33" t="s">
        <v>81</v>
      </c>
      <c r="F2868" s="33" t="s">
        <v>13229</v>
      </c>
      <c r="G2868" s="33" t="s">
        <v>9</v>
      </c>
      <c r="H2868" s="33" t="n">
        <v>10</v>
      </c>
    </row>
    <row r="2869" customFormat="false" ht="54" hidden="false" customHeight="true" outlineLevel="0" collapsed="false">
      <c r="A2869" s="32" t="s">
        <v>13230</v>
      </c>
      <c r="B2869" s="32" t="s">
        <v>6685</v>
      </c>
      <c r="C2869" s="33" t="s">
        <v>1407</v>
      </c>
      <c r="D2869" s="33" t="s">
        <v>50</v>
      </c>
      <c r="E2869" s="33" t="s">
        <v>82</v>
      </c>
      <c r="F2869" s="33" t="s">
        <v>13231</v>
      </c>
      <c r="G2869" s="33" t="s">
        <v>9</v>
      </c>
      <c r="H2869" s="33" t="n">
        <v>10</v>
      </c>
    </row>
    <row r="2870" customFormat="false" ht="54" hidden="false" customHeight="true" outlineLevel="0" collapsed="false">
      <c r="A2870" s="32" t="s">
        <v>13232</v>
      </c>
      <c r="B2870" s="32" t="s">
        <v>6685</v>
      </c>
      <c r="C2870" s="33" t="s">
        <v>1407</v>
      </c>
      <c r="D2870" s="33" t="s">
        <v>50</v>
      </c>
      <c r="E2870" s="33" t="s">
        <v>82</v>
      </c>
      <c r="F2870" s="33" t="s">
        <v>13233</v>
      </c>
      <c r="G2870" s="33" t="s">
        <v>9</v>
      </c>
      <c r="H2870" s="33" t="n">
        <v>10</v>
      </c>
    </row>
    <row r="2871" customFormat="false" ht="54" hidden="false" customHeight="true" outlineLevel="0" collapsed="false">
      <c r="A2871" s="32" t="s">
        <v>13234</v>
      </c>
      <c r="B2871" s="32" t="s">
        <v>6685</v>
      </c>
      <c r="C2871" s="33" t="s">
        <v>1407</v>
      </c>
      <c r="D2871" s="33" t="s">
        <v>50</v>
      </c>
      <c r="E2871" s="33" t="s">
        <v>82</v>
      </c>
      <c r="F2871" s="33" t="s">
        <v>13235</v>
      </c>
      <c r="G2871" s="33" t="s">
        <v>9</v>
      </c>
      <c r="H2871" s="33" t="n">
        <v>10</v>
      </c>
    </row>
    <row r="2872" customFormat="false" ht="54" hidden="false" customHeight="true" outlineLevel="0" collapsed="false">
      <c r="A2872" s="32" t="s">
        <v>13236</v>
      </c>
      <c r="B2872" s="32" t="s">
        <v>6685</v>
      </c>
      <c r="C2872" s="33" t="s">
        <v>1407</v>
      </c>
      <c r="D2872" s="33" t="s">
        <v>50</v>
      </c>
      <c r="E2872" s="33" t="s">
        <v>82</v>
      </c>
      <c r="F2872" s="33" t="s">
        <v>13237</v>
      </c>
      <c r="G2872" s="33" t="s">
        <v>9</v>
      </c>
      <c r="H2872" s="33" t="n">
        <v>10</v>
      </c>
    </row>
    <row r="2873" customFormat="false" ht="54" hidden="false" customHeight="true" outlineLevel="0" collapsed="false">
      <c r="A2873" s="32" t="s">
        <v>13238</v>
      </c>
      <c r="B2873" s="32" t="s">
        <v>6685</v>
      </c>
      <c r="C2873" s="33" t="s">
        <v>1407</v>
      </c>
      <c r="D2873" s="33" t="s">
        <v>50</v>
      </c>
      <c r="E2873" s="33" t="s">
        <v>82</v>
      </c>
      <c r="F2873" s="33" t="s">
        <v>13229</v>
      </c>
      <c r="G2873" s="33" t="s">
        <v>9</v>
      </c>
      <c r="H2873" s="33" t="n">
        <v>10</v>
      </c>
    </row>
    <row r="2874" customFormat="false" ht="54" hidden="false" customHeight="true" outlineLevel="0" collapsed="false">
      <c r="A2874" s="32" t="s">
        <v>13239</v>
      </c>
      <c r="B2874" s="32" t="s">
        <v>6685</v>
      </c>
      <c r="C2874" s="33" t="s">
        <v>1407</v>
      </c>
      <c r="D2874" s="33" t="s">
        <v>50</v>
      </c>
      <c r="E2874" s="33" t="s">
        <v>82</v>
      </c>
      <c r="F2874" s="33" t="s">
        <v>13240</v>
      </c>
      <c r="G2874" s="33" t="s">
        <v>9</v>
      </c>
      <c r="H2874" s="33" t="n">
        <v>10</v>
      </c>
    </row>
    <row r="2875" customFormat="false" ht="54" hidden="false" customHeight="true" outlineLevel="0" collapsed="false">
      <c r="A2875" s="32" t="s">
        <v>13241</v>
      </c>
      <c r="B2875" s="32" t="s">
        <v>6685</v>
      </c>
      <c r="C2875" s="33" t="s">
        <v>1407</v>
      </c>
      <c r="D2875" s="33" t="s">
        <v>50</v>
      </c>
      <c r="E2875" s="33" t="s">
        <v>84</v>
      </c>
      <c r="F2875" s="33" t="s">
        <v>183</v>
      </c>
      <c r="G2875" s="33" t="s">
        <v>9</v>
      </c>
      <c r="H2875" s="33" t="n">
        <v>10</v>
      </c>
    </row>
    <row r="2876" customFormat="false" ht="54" hidden="false" customHeight="true" outlineLevel="0" collapsed="false">
      <c r="A2876" s="32" t="s">
        <v>13242</v>
      </c>
      <c r="B2876" s="32" t="s">
        <v>6698</v>
      </c>
      <c r="C2876" s="33" t="s">
        <v>1407</v>
      </c>
      <c r="D2876" s="33" t="s">
        <v>50</v>
      </c>
      <c r="E2876" s="33" t="s">
        <v>80</v>
      </c>
      <c r="F2876" s="33" t="s">
        <v>183</v>
      </c>
      <c r="G2876" s="33" t="s">
        <v>9</v>
      </c>
      <c r="H2876" s="33" t="n">
        <v>10</v>
      </c>
    </row>
    <row r="2877" customFormat="false" ht="54" hidden="false" customHeight="true" outlineLevel="0" collapsed="false">
      <c r="A2877" s="32" t="s">
        <v>13243</v>
      </c>
      <c r="B2877" s="32" t="s">
        <v>6698</v>
      </c>
      <c r="C2877" s="33" t="s">
        <v>1407</v>
      </c>
      <c r="D2877" s="33" t="s">
        <v>50</v>
      </c>
      <c r="E2877" s="33" t="s">
        <v>80</v>
      </c>
      <c r="F2877" s="33" t="s">
        <v>6489</v>
      </c>
      <c r="G2877" s="33" t="s">
        <v>9</v>
      </c>
      <c r="H2877" s="33" t="n">
        <v>10</v>
      </c>
    </row>
    <row r="2878" customFormat="false" ht="54" hidden="false" customHeight="true" outlineLevel="0" collapsed="false">
      <c r="A2878" s="32" t="s">
        <v>13244</v>
      </c>
      <c r="B2878" s="32" t="s">
        <v>6698</v>
      </c>
      <c r="C2878" s="33" t="s">
        <v>1407</v>
      </c>
      <c r="D2878" s="33" t="s">
        <v>50</v>
      </c>
      <c r="E2878" s="33" t="s">
        <v>80</v>
      </c>
      <c r="F2878" s="33" t="s">
        <v>6707</v>
      </c>
      <c r="G2878" s="33" t="s">
        <v>9</v>
      </c>
      <c r="H2878" s="33" t="n">
        <v>10</v>
      </c>
    </row>
    <row r="2879" customFormat="false" ht="54" hidden="false" customHeight="true" outlineLevel="0" collapsed="false">
      <c r="A2879" s="32" t="s">
        <v>13245</v>
      </c>
      <c r="B2879" s="32" t="s">
        <v>6698</v>
      </c>
      <c r="C2879" s="33" t="s">
        <v>1407</v>
      </c>
      <c r="D2879" s="33" t="s">
        <v>50</v>
      </c>
      <c r="E2879" s="33" t="s">
        <v>81</v>
      </c>
      <c r="F2879" s="33" t="s">
        <v>6707</v>
      </c>
      <c r="G2879" s="33" t="s">
        <v>9</v>
      </c>
      <c r="H2879" s="33" t="n">
        <v>10</v>
      </c>
    </row>
    <row r="2880" customFormat="false" ht="54" hidden="false" customHeight="true" outlineLevel="0" collapsed="false">
      <c r="A2880" s="32" t="s">
        <v>13246</v>
      </c>
      <c r="B2880" s="32" t="s">
        <v>6698</v>
      </c>
      <c r="C2880" s="33" t="s">
        <v>1407</v>
      </c>
      <c r="D2880" s="33" t="s">
        <v>50</v>
      </c>
      <c r="E2880" s="33" t="s">
        <v>82</v>
      </c>
      <c r="F2880" s="33" t="s">
        <v>6703</v>
      </c>
      <c r="G2880" s="33" t="s">
        <v>9</v>
      </c>
      <c r="H2880" s="33" t="n">
        <v>10</v>
      </c>
    </row>
    <row r="2881" customFormat="false" ht="54" hidden="false" customHeight="true" outlineLevel="0" collapsed="false">
      <c r="A2881" s="32" t="s">
        <v>13247</v>
      </c>
      <c r="B2881" s="32" t="s">
        <v>6698</v>
      </c>
      <c r="C2881" s="33" t="s">
        <v>1407</v>
      </c>
      <c r="D2881" s="33" t="s">
        <v>50</v>
      </c>
      <c r="E2881" s="33" t="s">
        <v>82</v>
      </c>
      <c r="F2881" s="33" t="s">
        <v>13248</v>
      </c>
      <c r="G2881" s="33" t="s">
        <v>9</v>
      </c>
      <c r="H2881" s="33" t="n">
        <v>10</v>
      </c>
    </row>
    <row r="2882" customFormat="false" ht="54" hidden="false" customHeight="true" outlineLevel="0" collapsed="false">
      <c r="A2882" s="32" t="s">
        <v>13249</v>
      </c>
      <c r="B2882" s="32" t="s">
        <v>6698</v>
      </c>
      <c r="C2882" s="33" t="s">
        <v>1407</v>
      </c>
      <c r="D2882" s="33" t="s">
        <v>50</v>
      </c>
      <c r="E2882" s="33" t="s">
        <v>82</v>
      </c>
      <c r="F2882" s="33" t="s">
        <v>6489</v>
      </c>
      <c r="G2882" s="33" t="s">
        <v>9</v>
      </c>
      <c r="H2882" s="33" t="n">
        <v>10</v>
      </c>
    </row>
    <row r="2883" customFormat="false" ht="54" hidden="false" customHeight="true" outlineLevel="0" collapsed="false">
      <c r="A2883" s="32" t="s">
        <v>13250</v>
      </c>
      <c r="B2883" s="32" t="s">
        <v>6698</v>
      </c>
      <c r="C2883" s="33" t="s">
        <v>1407</v>
      </c>
      <c r="D2883" s="33" t="s">
        <v>50</v>
      </c>
      <c r="E2883" s="33" t="s">
        <v>82</v>
      </c>
      <c r="F2883" s="33" t="s">
        <v>13251</v>
      </c>
      <c r="G2883" s="33" t="s">
        <v>9</v>
      </c>
      <c r="H2883" s="33" t="n">
        <v>10</v>
      </c>
    </row>
    <row r="2884" customFormat="false" ht="54" hidden="false" customHeight="true" outlineLevel="0" collapsed="false">
      <c r="A2884" s="32" t="s">
        <v>13252</v>
      </c>
      <c r="B2884" s="32" t="s">
        <v>6698</v>
      </c>
      <c r="C2884" s="33" t="s">
        <v>1407</v>
      </c>
      <c r="D2884" s="33" t="s">
        <v>50</v>
      </c>
      <c r="E2884" s="33" t="s">
        <v>82</v>
      </c>
      <c r="F2884" s="33" t="s">
        <v>13253</v>
      </c>
      <c r="G2884" s="33" t="s">
        <v>9</v>
      </c>
      <c r="H2884" s="33" t="n">
        <v>10</v>
      </c>
    </row>
    <row r="2885" customFormat="false" ht="54" hidden="false" customHeight="true" outlineLevel="0" collapsed="false">
      <c r="A2885" s="32" t="s">
        <v>13254</v>
      </c>
      <c r="B2885" s="32" t="s">
        <v>6698</v>
      </c>
      <c r="C2885" s="33" t="s">
        <v>1407</v>
      </c>
      <c r="D2885" s="33" t="s">
        <v>50</v>
      </c>
      <c r="E2885" s="33" t="s">
        <v>83</v>
      </c>
      <c r="F2885" s="33" t="s">
        <v>6489</v>
      </c>
      <c r="G2885" s="33" t="s">
        <v>9</v>
      </c>
      <c r="H2885" s="33" t="n">
        <v>10</v>
      </c>
    </row>
    <row r="2886" customFormat="false" ht="54" hidden="false" customHeight="true" outlineLevel="0" collapsed="false">
      <c r="A2886" s="32" t="s">
        <v>13255</v>
      </c>
      <c r="B2886" s="32" t="s">
        <v>6698</v>
      </c>
      <c r="C2886" s="33" t="s">
        <v>1407</v>
      </c>
      <c r="D2886" s="33" t="s">
        <v>50</v>
      </c>
      <c r="E2886" s="33" t="s">
        <v>84</v>
      </c>
      <c r="F2886" s="33" t="s">
        <v>183</v>
      </c>
      <c r="G2886" s="33" t="s">
        <v>9</v>
      </c>
      <c r="H2886" s="33" t="n">
        <v>10</v>
      </c>
    </row>
    <row r="2887" customFormat="false" ht="54" hidden="false" customHeight="true" outlineLevel="0" collapsed="false">
      <c r="A2887" s="32" t="s">
        <v>13256</v>
      </c>
      <c r="B2887" s="32" t="s">
        <v>6698</v>
      </c>
      <c r="C2887" s="33" t="s">
        <v>1407</v>
      </c>
      <c r="D2887" s="33" t="s">
        <v>50</v>
      </c>
      <c r="E2887" s="33" t="s">
        <v>84</v>
      </c>
      <c r="F2887" s="33" t="s">
        <v>13248</v>
      </c>
      <c r="G2887" s="33" t="s">
        <v>9</v>
      </c>
      <c r="H2887" s="33" t="n">
        <v>10</v>
      </c>
    </row>
    <row r="2888" customFormat="false" ht="54" hidden="false" customHeight="true" outlineLevel="0" collapsed="false">
      <c r="A2888" s="32" t="s">
        <v>13257</v>
      </c>
      <c r="B2888" s="32" t="s">
        <v>6698</v>
      </c>
      <c r="C2888" s="33" t="s">
        <v>1407</v>
      </c>
      <c r="D2888" s="33" t="s">
        <v>50</v>
      </c>
      <c r="E2888" s="33" t="s">
        <v>84</v>
      </c>
      <c r="F2888" s="33" t="s">
        <v>6489</v>
      </c>
      <c r="G2888" s="33" t="s">
        <v>9</v>
      </c>
      <c r="H2888" s="33" t="n">
        <v>10</v>
      </c>
    </row>
    <row r="2889" customFormat="false" ht="54" hidden="false" customHeight="true" outlineLevel="0" collapsed="false">
      <c r="A2889" s="32" t="s">
        <v>13258</v>
      </c>
      <c r="B2889" s="32" t="s">
        <v>6698</v>
      </c>
      <c r="C2889" s="33" t="s">
        <v>1407</v>
      </c>
      <c r="D2889" s="33" t="s">
        <v>50</v>
      </c>
      <c r="E2889" s="33" t="s">
        <v>84</v>
      </c>
      <c r="F2889" s="33" t="s">
        <v>13202</v>
      </c>
      <c r="G2889" s="33" t="s">
        <v>9</v>
      </c>
      <c r="H2889" s="33" t="n">
        <v>10</v>
      </c>
    </row>
    <row r="2890" customFormat="false" ht="54" hidden="false" customHeight="true" outlineLevel="0" collapsed="false">
      <c r="A2890" s="32" t="s">
        <v>13259</v>
      </c>
      <c r="B2890" s="32" t="s">
        <v>6712</v>
      </c>
      <c r="C2890" s="33" t="s">
        <v>1407</v>
      </c>
      <c r="D2890" s="33" t="s">
        <v>50</v>
      </c>
      <c r="E2890" s="33" t="s">
        <v>80</v>
      </c>
      <c r="F2890" s="33" t="s">
        <v>1594</v>
      </c>
      <c r="G2890" s="33" t="s">
        <v>9</v>
      </c>
      <c r="H2890" s="33" t="n">
        <v>10</v>
      </c>
    </row>
    <row r="2891" customFormat="false" ht="54" hidden="false" customHeight="true" outlineLevel="0" collapsed="false">
      <c r="A2891" s="32" t="s">
        <v>13260</v>
      </c>
      <c r="B2891" s="32" t="s">
        <v>6712</v>
      </c>
      <c r="C2891" s="33" t="s">
        <v>1407</v>
      </c>
      <c r="D2891" s="33" t="s">
        <v>50</v>
      </c>
      <c r="E2891" s="33" t="s">
        <v>80</v>
      </c>
      <c r="F2891" s="33" t="s">
        <v>183</v>
      </c>
      <c r="G2891" s="33" t="s">
        <v>9</v>
      </c>
      <c r="H2891" s="33" t="n">
        <v>10</v>
      </c>
    </row>
    <row r="2892" customFormat="false" ht="54" hidden="false" customHeight="true" outlineLevel="0" collapsed="false">
      <c r="A2892" s="32" t="s">
        <v>13261</v>
      </c>
      <c r="B2892" s="32" t="s">
        <v>6712</v>
      </c>
      <c r="C2892" s="33" t="s">
        <v>1407</v>
      </c>
      <c r="D2892" s="33" t="s">
        <v>50</v>
      </c>
      <c r="E2892" s="33" t="s">
        <v>80</v>
      </c>
      <c r="F2892" s="33" t="s">
        <v>13262</v>
      </c>
      <c r="G2892" s="33" t="s">
        <v>9</v>
      </c>
      <c r="H2892" s="33" t="n">
        <v>10</v>
      </c>
    </row>
    <row r="2893" customFormat="false" ht="54" hidden="false" customHeight="true" outlineLevel="0" collapsed="false">
      <c r="A2893" s="32" t="s">
        <v>13263</v>
      </c>
      <c r="B2893" s="32" t="s">
        <v>6712</v>
      </c>
      <c r="C2893" s="33" t="s">
        <v>1407</v>
      </c>
      <c r="D2893" s="33" t="s">
        <v>50</v>
      </c>
      <c r="E2893" s="33" t="s">
        <v>81</v>
      </c>
      <c r="F2893" s="33" t="s">
        <v>1594</v>
      </c>
      <c r="G2893" s="33" t="s">
        <v>9</v>
      </c>
      <c r="H2893" s="33" t="n">
        <v>10</v>
      </c>
    </row>
    <row r="2894" customFormat="false" ht="54" hidden="false" customHeight="true" outlineLevel="0" collapsed="false">
      <c r="A2894" s="32" t="s">
        <v>13264</v>
      </c>
      <c r="B2894" s="32" t="s">
        <v>6712</v>
      </c>
      <c r="C2894" s="33" t="s">
        <v>1407</v>
      </c>
      <c r="D2894" s="33" t="s">
        <v>50</v>
      </c>
      <c r="E2894" s="33" t="s">
        <v>81</v>
      </c>
      <c r="F2894" s="33" t="s">
        <v>6715</v>
      </c>
      <c r="G2894" s="33" t="s">
        <v>9</v>
      </c>
      <c r="H2894" s="33" t="n">
        <v>10</v>
      </c>
    </row>
    <row r="2895" customFormat="false" ht="54" hidden="false" customHeight="true" outlineLevel="0" collapsed="false">
      <c r="A2895" s="32" t="s">
        <v>13265</v>
      </c>
      <c r="B2895" s="32" t="s">
        <v>6712</v>
      </c>
      <c r="C2895" s="33" t="s">
        <v>1407</v>
      </c>
      <c r="D2895" s="33" t="s">
        <v>50</v>
      </c>
      <c r="E2895" s="33" t="s">
        <v>82</v>
      </c>
      <c r="F2895" s="33" t="s">
        <v>6716</v>
      </c>
      <c r="G2895" s="33" t="s">
        <v>9</v>
      </c>
      <c r="H2895" s="33" t="n">
        <v>10</v>
      </c>
    </row>
    <row r="2896" customFormat="false" ht="54" hidden="false" customHeight="true" outlineLevel="0" collapsed="false">
      <c r="A2896" s="32" t="s">
        <v>13266</v>
      </c>
      <c r="B2896" s="32" t="s">
        <v>6712</v>
      </c>
      <c r="C2896" s="33" t="s">
        <v>1407</v>
      </c>
      <c r="D2896" s="33" t="s">
        <v>50</v>
      </c>
      <c r="E2896" s="33" t="s">
        <v>82</v>
      </c>
      <c r="F2896" s="33" t="s">
        <v>13267</v>
      </c>
      <c r="G2896" s="33" t="s">
        <v>9</v>
      </c>
      <c r="H2896" s="33" t="n">
        <v>10</v>
      </c>
    </row>
    <row r="2897" customFormat="false" ht="54" hidden="false" customHeight="true" outlineLevel="0" collapsed="false">
      <c r="A2897" s="32" t="s">
        <v>13268</v>
      </c>
      <c r="B2897" s="32" t="s">
        <v>6712</v>
      </c>
      <c r="C2897" s="33" t="s">
        <v>1407</v>
      </c>
      <c r="D2897" s="33" t="s">
        <v>50</v>
      </c>
      <c r="E2897" s="33" t="s">
        <v>82</v>
      </c>
      <c r="F2897" s="33" t="s">
        <v>10086</v>
      </c>
      <c r="G2897" s="33" t="s">
        <v>9</v>
      </c>
      <c r="H2897" s="33" t="n">
        <v>10</v>
      </c>
    </row>
    <row r="2898" customFormat="false" ht="54" hidden="false" customHeight="true" outlineLevel="0" collapsed="false">
      <c r="A2898" s="32" t="s">
        <v>13269</v>
      </c>
      <c r="B2898" s="32" t="s">
        <v>6712</v>
      </c>
      <c r="C2898" s="33" t="s">
        <v>1407</v>
      </c>
      <c r="D2898" s="33" t="s">
        <v>50</v>
      </c>
      <c r="E2898" s="33" t="s">
        <v>82</v>
      </c>
      <c r="F2898" s="33" t="s">
        <v>13262</v>
      </c>
      <c r="G2898" s="33" t="s">
        <v>9</v>
      </c>
      <c r="H2898" s="33" t="n">
        <v>10</v>
      </c>
    </row>
    <row r="2899" customFormat="false" ht="54" hidden="false" customHeight="true" outlineLevel="0" collapsed="false">
      <c r="A2899" s="32" t="s">
        <v>13270</v>
      </c>
      <c r="B2899" s="32" t="s">
        <v>6712</v>
      </c>
      <c r="C2899" s="33" t="s">
        <v>1407</v>
      </c>
      <c r="D2899" s="33" t="s">
        <v>50</v>
      </c>
      <c r="E2899" s="33" t="s">
        <v>84</v>
      </c>
      <c r="F2899" s="33" t="s">
        <v>183</v>
      </c>
      <c r="G2899" s="33" t="s">
        <v>9</v>
      </c>
      <c r="H2899" s="33" t="n">
        <v>10</v>
      </c>
    </row>
    <row r="2900" customFormat="false" ht="54" hidden="false" customHeight="true" outlineLevel="0" collapsed="false">
      <c r="A2900" s="32" t="s">
        <v>13271</v>
      </c>
      <c r="B2900" s="32" t="s">
        <v>6712</v>
      </c>
      <c r="C2900" s="33" t="s">
        <v>1407</v>
      </c>
      <c r="D2900" s="33" t="s">
        <v>50</v>
      </c>
      <c r="E2900" s="33" t="s">
        <v>84</v>
      </c>
      <c r="F2900" s="33" t="s">
        <v>13262</v>
      </c>
      <c r="G2900" s="33" t="s">
        <v>9</v>
      </c>
      <c r="H2900" s="33" t="n">
        <v>10</v>
      </c>
    </row>
    <row r="2901" customFormat="false" ht="54" hidden="false" customHeight="true" outlineLevel="0" collapsed="false">
      <c r="A2901" s="32" t="s">
        <v>13272</v>
      </c>
      <c r="B2901" s="32" t="s">
        <v>6724</v>
      </c>
      <c r="C2901" s="33" t="s">
        <v>1407</v>
      </c>
      <c r="D2901" s="33" t="s">
        <v>50</v>
      </c>
      <c r="E2901" s="33" t="s">
        <v>80</v>
      </c>
      <c r="F2901" s="33" t="s">
        <v>6522</v>
      </c>
      <c r="G2901" s="33" t="s">
        <v>9</v>
      </c>
      <c r="H2901" s="33" t="n">
        <v>10</v>
      </c>
    </row>
    <row r="2902" customFormat="false" ht="54" hidden="false" customHeight="true" outlineLevel="0" collapsed="false">
      <c r="A2902" s="32" t="s">
        <v>13273</v>
      </c>
      <c r="B2902" s="32" t="s">
        <v>6724</v>
      </c>
      <c r="C2902" s="33" t="s">
        <v>1407</v>
      </c>
      <c r="D2902" s="33" t="s">
        <v>50</v>
      </c>
      <c r="E2902" s="33" t="s">
        <v>80</v>
      </c>
      <c r="F2902" s="33" t="s">
        <v>183</v>
      </c>
      <c r="G2902" s="33" t="s">
        <v>9</v>
      </c>
      <c r="H2902" s="33" t="n">
        <v>10</v>
      </c>
    </row>
    <row r="2903" customFormat="false" ht="54" hidden="false" customHeight="true" outlineLevel="0" collapsed="false">
      <c r="A2903" s="32" t="s">
        <v>13274</v>
      </c>
      <c r="B2903" s="32" t="s">
        <v>6724</v>
      </c>
      <c r="C2903" s="33" t="s">
        <v>1407</v>
      </c>
      <c r="D2903" s="33" t="s">
        <v>50</v>
      </c>
      <c r="E2903" s="33" t="s">
        <v>80</v>
      </c>
      <c r="F2903" s="33" t="s">
        <v>13275</v>
      </c>
      <c r="G2903" s="33" t="s">
        <v>9</v>
      </c>
      <c r="H2903" s="33" t="n">
        <v>10</v>
      </c>
    </row>
    <row r="2904" customFormat="false" ht="54" hidden="false" customHeight="true" outlineLevel="0" collapsed="false">
      <c r="A2904" s="32" t="s">
        <v>13276</v>
      </c>
      <c r="B2904" s="32" t="s">
        <v>6724</v>
      </c>
      <c r="C2904" s="33" t="s">
        <v>1407</v>
      </c>
      <c r="D2904" s="33" t="s">
        <v>50</v>
      </c>
      <c r="E2904" s="33" t="s">
        <v>81</v>
      </c>
      <c r="F2904" s="33" t="s">
        <v>6522</v>
      </c>
      <c r="G2904" s="33" t="s">
        <v>9</v>
      </c>
      <c r="H2904" s="33" t="n">
        <v>10</v>
      </c>
    </row>
    <row r="2905" customFormat="false" ht="54" hidden="false" customHeight="true" outlineLevel="0" collapsed="false">
      <c r="A2905" s="32" t="s">
        <v>13277</v>
      </c>
      <c r="B2905" s="32" t="s">
        <v>6724</v>
      </c>
      <c r="C2905" s="33" t="s">
        <v>1407</v>
      </c>
      <c r="D2905" s="33" t="s">
        <v>50</v>
      </c>
      <c r="E2905" s="33" t="s">
        <v>81</v>
      </c>
      <c r="F2905" s="33" t="s">
        <v>6523</v>
      </c>
      <c r="G2905" s="33" t="s">
        <v>9</v>
      </c>
      <c r="H2905" s="33" t="n">
        <v>10</v>
      </c>
    </row>
    <row r="2906" customFormat="false" ht="54" hidden="false" customHeight="true" outlineLevel="0" collapsed="false">
      <c r="A2906" s="32" t="s">
        <v>13278</v>
      </c>
      <c r="B2906" s="32" t="s">
        <v>6724</v>
      </c>
      <c r="C2906" s="33" t="s">
        <v>1407</v>
      </c>
      <c r="D2906" s="33" t="s">
        <v>50</v>
      </c>
      <c r="E2906" s="33" t="s">
        <v>82</v>
      </c>
      <c r="F2906" s="33" t="s">
        <v>6726</v>
      </c>
      <c r="G2906" s="33" t="s">
        <v>9</v>
      </c>
      <c r="H2906" s="33" t="n">
        <v>10</v>
      </c>
    </row>
    <row r="2907" customFormat="false" ht="54" hidden="false" customHeight="true" outlineLevel="0" collapsed="false">
      <c r="A2907" s="32" t="s">
        <v>13279</v>
      </c>
      <c r="B2907" s="32" t="s">
        <v>6724</v>
      </c>
      <c r="C2907" s="33" t="s">
        <v>1407</v>
      </c>
      <c r="D2907" s="33" t="s">
        <v>50</v>
      </c>
      <c r="E2907" s="33" t="s">
        <v>82</v>
      </c>
      <c r="F2907" s="33" t="s">
        <v>13280</v>
      </c>
      <c r="G2907" s="33" t="s">
        <v>9</v>
      </c>
      <c r="H2907" s="33" t="n">
        <v>10</v>
      </c>
    </row>
    <row r="2908" customFormat="false" ht="54" hidden="false" customHeight="true" outlineLevel="0" collapsed="false">
      <c r="A2908" s="32" t="s">
        <v>13281</v>
      </c>
      <c r="B2908" s="32" t="s">
        <v>6724</v>
      </c>
      <c r="C2908" s="33" t="s">
        <v>1407</v>
      </c>
      <c r="D2908" s="33" t="s">
        <v>50</v>
      </c>
      <c r="E2908" s="33" t="s">
        <v>82</v>
      </c>
      <c r="F2908" s="33" t="s">
        <v>13282</v>
      </c>
      <c r="G2908" s="33" t="s">
        <v>9</v>
      </c>
      <c r="H2908" s="33" t="n">
        <v>10</v>
      </c>
    </row>
    <row r="2909" customFormat="false" ht="54" hidden="false" customHeight="true" outlineLevel="0" collapsed="false">
      <c r="A2909" s="32" t="s">
        <v>13283</v>
      </c>
      <c r="B2909" s="32" t="s">
        <v>6724</v>
      </c>
      <c r="C2909" s="33" t="s">
        <v>1407</v>
      </c>
      <c r="D2909" s="33" t="s">
        <v>50</v>
      </c>
      <c r="E2909" s="33" t="s">
        <v>82</v>
      </c>
      <c r="F2909" s="33" t="s">
        <v>13275</v>
      </c>
      <c r="G2909" s="33" t="s">
        <v>9</v>
      </c>
      <c r="H2909" s="33" t="n">
        <v>10</v>
      </c>
    </row>
    <row r="2910" customFormat="false" ht="54" hidden="false" customHeight="true" outlineLevel="0" collapsed="false">
      <c r="A2910" s="32" t="s">
        <v>13284</v>
      </c>
      <c r="B2910" s="32" t="s">
        <v>6724</v>
      </c>
      <c r="C2910" s="33" t="s">
        <v>1407</v>
      </c>
      <c r="D2910" s="33" t="s">
        <v>50</v>
      </c>
      <c r="E2910" s="33" t="s">
        <v>84</v>
      </c>
      <c r="F2910" s="33" t="s">
        <v>183</v>
      </c>
      <c r="G2910" s="33" t="s">
        <v>9</v>
      </c>
      <c r="H2910" s="33" t="n">
        <v>10</v>
      </c>
    </row>
    <row r="2911" customFormat="false" ht="54" hidden="false" customHeight="true" outlineLevel="0" collapsed="false">
      <c r="A2911" s="32" t="s">
        <v>13285</v>
      </c>
      <c r="B2911" s="32" t="s">
        <v>6724</v>
      </c>
      <c r="C2911" s="33" t="s">
        <v>1407</v>
      </c>
      <c r="D2911" s="33" t="s">
        <v>50</v>
      </c>
      <c r="E2911" s="33" t="s">
        <v>84</v>
      </c>
      <c r="F2911" s="33" t="s">
        <v>13275</v>
      </c>
      <c r="G2911" s="33" t="s">
        <v>9</v>
      </c>
      <c r="H2911" s="33" t="n">
        <v>10</v>
      </c>
    </row>
    <row r="2912" customFormat="false" ht="54" hidden="false" customHeight="true" outlineLevel="0" collapsed="false">
      <c r="A2912" s="32" t="s">
        <v>13286</v>
      </c>
      <c r="B2912" s="32" t="s">
        <v>6734</v>
      </c>
      <c r="C2912" s="33" t="s">
        <v>1407</v>
      </c>
      <c r="D2912" s="33" t="s">
        <v>50</v>
      </c>
      <c r="E2912" s="33" t="s">
        <v>80</v>
      </c>
      <c r="F2912" s="33" t="s">
        <v>183</v>
      </c>
      <c r="G2912" s="33" t="s">
        <v>9</v>
      </c>
      <c r="H2912" s="33" t="n">
        <v>10</v>
      </c>
    </row>
    <row r="2913" customFormat="false" ht="54" hidden="false" customHeight="true" outlineLevel="0" collapsed="false">
      <c r="A2913" s="32" t="s">
        <v>13287</v>
      </c>
      <c r="B2913" s="32" t="s">
        <v>6734</v>
      </c>
      <c r="C2913" s="33" t="s">
        <v>1407</v>
      </c>
      <c r="D2913" s="33" t="s">
        <v>50</v>
      </c>
      <c r="E2913" s="33" t="s">
        <v>80</v>
      </c>
      <c r="F2913" s="33" t="s">
        <v>13288</v>
      </c>
      <c r="G2913" s="33" t="s">
        <v>9</v>
      </c>
      <c r="H2913" s="33" t="n">
        <v>10</v>
      </c>
    </row>
    <row r="2914" customFormat="false" ht="54" hidden="false" customHeight="true" outlineLevel="0" collapsed="false">
      <c r="A2914" s="32" t="s">
        <v>13289</v>
      </c>
      <c r="B2914" s="32" t="s">
        <v>6734</v>
      </c>
      <c r="C2914" s="33" t="s">
        <v>1407</v>
      </c>
      <c r="D2914" s="33" t="s">
        <v>50</v>
      </c>
      <c r="E2914" s="33" t="s">
        <v>80</v>
      </c>
      <c r="F2914" s="33" t="s">
        <v>6489</v>
      </c>
      <c r="G2914" s="33" t="s">
        <v>9</v>
      </c>
      <c r="H2914" s="33" t="n">
        <v>10</v>
      </c>
    </row>
    <row r="2915" customFormat="false" ht="54" hidden="false" customHeight="true" outlineLevel="0" collapsed="false">
      <c r="A2915" s="32" t="s">
        <v>13290</v>
      </c>
      <c r="B2915" s="32" t="s">
        <v>6734</v>
      </c>
      <c r="C2915" s="33" t="s">
        <v>1407</v>
      </c>
      <c r="D2915" s="33" t="s">
        <v>50</v>
      </c>
      <c r="E2915" s="33" t="s">
        <v>80</v>
      </c>
      <c r="F2915" s="33" t="s">
        <v>6707</v>
      </c>
      <c r="G2915" s="33" t="s">
        <v>9</v>
      </c>
      <c r="H2915" s="33" t="n">
        <v>10</v>
      </c>
    </row>
    <row r="2916" customFormat="false" ht="54" hidden="false" customHeight="true" outlineLevel="0" collapsed="false">
      <c r="A2916" s="32" t="s">
        <v>13291</v>
      </c>
      <c r="B2916" s="32" t="s">
        <v>6734</v>
      </c>
      <c r="C2916" s="33" t="s">
        <v>1407</v>
      </c>
      <c r="D2916" s="33" t="s">
        <v>50</v>
      </c>
      <c r="E2916" s="33" t="s">
        <v>80</v>
      </c>
      <c r="F2916" s="33" t="s">
        <v>13292</v>
      </c>
      <c r="G2916" s="33" t="s">
        <v>9</v>
      </c>
      <c r="H2916" s="33" t="n">
        <v>10</v>
      </c>
    </row>
    <row r="2917" customFormat="false" ht="54" hidden="false" customHeight="true" outlineLevel="0" collapsed="false">
      <c r="A2917" s="32" t="s">
        <v>13293</v>
      </c>
      <c r="B2917" s="32" t="s">
        <v>6734</v>
      </c>
      <c r="C2917" s="33" t="s">
        <v>1407</v>
      </c>
      <c r="D2917" s="33" t="s">
        <v>50</v>
      </c>
      <c r="E2917" s="33" t="s">
        <v>81</v>
      </c>
      <c r="F2917" s="33" t="s">
        <v>6707</v>
      </c>
      <c r="G2917" s="33" t="s">
        <v>9</v>
      </c>
      <c r="H2917" s="33" t="n">
        <v>10</v>
      </c>
    </row>
    <row r="2918" customFormat="false" ht="54" hidden="false" customHeight="true" outlineLevel="0" collapsed="false">
      <c r="A2918" s="32" t="s">
        <v>13294</v>
      </c>
      <c r="B2918" s="32" t="s">
        <v>6734</v>
      </c>
      <c r="C2918" s="33" t="s">
        <v>1407</v>
      </c>
      <c r="D2918" s="33" t="s">
        <v>50</v>
      </c>
      <c r="E2918" s="33" t="s">
        <v>82</v>
      </c>
      <c r="F2918" s="33" t="s">
        <v>6738</v>
      </c>
      <c r="G2918" s="33" t="s">
        <v>9</v>
      </c>
      <c r="H2918" s="33" t="n">
        <v>10</v>
      </c>
    </row>
    <row r="2919" customFormat="false" ht="54" hidden="false" customHeight="true" outlineLevel="0" collapsed="false">
      <c r="A2919" s="32" t="s">
        <v>13295</v>
      </c>
      <c r="B2919" s="32" t="s">
        <v>6734</v>
      </c>
      <c r="C2919" s="33" t="s">
        <v>1407</v>
      </c>
      <c r="D2919" s="33" t="s">
        <v>50</v>
      </c>
      <c r="E2919" s="33" t="s">
        <v>82</v>
      </c>
      <c r="F2919" s="33" t="s">
        <v>13288</v>
      </c>
      <c r="G2919" s="33" t="s">
        <v>9</v>
      </c>
      <c r="H2919" s="33" t="n">
        <v>10</v>
      </c>
    </row>
    <row r="2920" customFormat="false" ht="54" hidden="false" customHeight="true" outlineLevel="0" collapsed="false">
      <c r="A2920" s="32" t="s">
        <v>13296</v>
      </c>
      <c r="B2920" s="32" t="s">
        <v>6734</v>
      </c>
      <c r="C2920" s="33" t="s">
        <v>1407</v>
      </c>
      <c r="D2920" s="33" t="s">
        <v>50</v>
      </c>
      <c r="E2920" s="33" t="s">
        <v>82</v>
      </c>
      <c r="F2920" s="33" t="s">
        <v>6489</v>
      </c>
      <c r="G2920" s="33" t="s">
        <v>9</v>
      </c>
      <c r="H2920" s="33" t="n">
        <v>10</v>
      </c>
    </row>
    <row r="2921" customFormat="false" ht="54" hidden="false" customHeight="true" outlineLevel="0" collapsed="false">
      <c r="A2921" s="32" t="s">
        <v>13297</v>
      </c>
      <c r="B2921" s="32" t="s">
        <v>6734</v>
      </c>
      <c r="C2921" s="33" t="s">
        <v>1407</v>
      </c>
      <c r="D2921" s="33" t="s">
        <v>50</v>
      </c>
      <c r="E2921" s="33" t="s">
        <v>82</v>
      </c>
      <c r="F2921" s="33" t="s">
        <v>13298</v>
      </c>
      <c r="G2921" s="33" t="s">
        <v>9</v>
      </c>
      <c r="H2921" s="33" t="n">
        <v>10</v>
      </c>
    </row>
    <row r="2922" customFormat="false" ht="54" hidden="false" customHeight="true" outlineLevel="0" collapsed="false">
      <c r="A2922" s="32" t="s">
        <v>13299</v>
      </c>
      <c r="B2922" s="32" t="s">
        <v>6734</v>
      </c>
      <c r="C2922" s="33" t="s">
        <v>1407</v>
      </c>
      <c r="D2922" s="33" t="s">
        <v>50</v>
      </c>
      <c r="E2922" s="33" t="s">
        <v>83</v>
      </c>
      <c r="F2922" s="33" t="s">
        <v>13300</v>
      </c>
      <c r="G2922" s="33" t="s">
        <v>9</v>
      </c>
      <c r="H2922" s="33" t="n">
        <v>10</v>
      </c>
    </row>
    <row r="2923" customFormat="false" ht="54" hidden="false" customHeight="true" outlineLevel="0" collapsed="false">
      <c r="A2923" s="32" t="s">
        <v>13301</v>
      </c>
      <c r="B2923" s="32" t="s">
        <v>6734</v>
      </c>
      <c r="C2923" s="33" t="s">
        <v>1407</v>
      </c>
      <c r="D2923" s="33" t="s">
        <v>50</v>
      </c>
      <c r="E2923" s="33" t="s">
        <v>83</v>
      </c>
      <c r="F2923" s="33" t="s">
        <v>6489</v>
      </c>
      <c r="G2923" s="33" t="s">
        <v>9</v>
      </c>
      <c r="H2923" s="33" t="n">
        <v>10</v>
      </c>
    </row>
    <row r="2924" customFormat="false" ht="54" hidden="false" customHeight="true" outlineLevel="0" collapsed="false">
      <c r="A2924" s="32" t="s">
        <v>13302</v>
      </c>
      <c r="B2924" s="32" t="s">
        <v>6734</v>
      </c>
      <c r="C2924" s="33" t="s">
        <v>1407</v>
      </c>
      <c r="D2924" s="33" t="s">
        <v>50</v>
      </c>
      <c r="E2924" s="33" t="s">
        <v>84</v>
      </c>
      <c r="F2924" s="33" t="s">
        <v>183</v>
      </c>
      <c r="G2924" s="33" t="s">
        <v>9</v>
      </c>
      <c r="H2924" s="33" t="n">
        <v>10</v>
      </c>
    </row>
    <row r="2925" customFormat="false" ht="54" hidden="false" customHeight="true" outlineLevel="0" collapsed="false">
      <c r="A2925" s="32" t="s">
        <v>13303</v>
      </c>
      <c r="B2925" s="32" t="s">
        <v>6734</v>
      </c>
      <c r="C2925" s="33" t="s">
        <v>1407</v>
      </c>
      <c r="D2925" s="33" t="s">
        <v>50</v>
      </c>
      <c r="E2925" s="33" t="s">
        <v>84</v>
      </c>
      <c r="F2925" s="33" t="s">
        <v>13288</v>
      </c>
      <c r="G2925" s="33" t="s">
        <v>9</v>
      </c>
      <c r="H2925" s="33" t="n">
        <v>10</v>
      </c>
    </row>
    <row r="2926" customFormat="false" ht="54" hidden="false" customHeight="true" outlineLevel="0" collapsed="false">
      <c r="A2926" s="32" t="s">
        <v>13304</v>
      </c>
      <c r="B2926" s="32" t="s">
        <v>6734</v>
      </c>
      <c r="C2926" s="33" t="s">
        <v>1407</v>
      </c>
      <c r="D2926" s="33" t="s">
        <v>50</v>
      </c>
      <c r="E2926" s="33" t="s">
        <v>84</v>
      </c>
      <c r="F2926" s="33" t="s">
        <v>6489</v>
      </c>
      <c r="G2926" s="33" t="s">
        <v>9</v>
      </c>
      <c r="H2926" s="33" t="n">
        <v>10</v>
      </c>
    </row>
    <row r="2927" customFormat="false" ht="54" hidden="false" customHeight="true" outlineLevel="0" collapsed="false">
      <c r="A2927" s="32" t="s">
        <v>13305</v>
      </c>
      <c r="B2927" s="32" t="s">
        <v>6734</v>
      </c>
      <c r="C2927" s="33" t="s">
        <v>1407</v>
      </c>
      <c r="D2927" s="33" t="s">
        <v>50</v>
      </c>
      <c r="E2927" s="33" t="s">
        <v>84</v>
      </c>
      <c r="F2927" s="33" t="s">
        <v>13202</v>
      </c>
      <c r="G2927" s="33" t="s">
        <v>9</v>
      </c>
      <c r="H2927" s="33" t="n">
        <v>10</v>
      </c>
    </row>
    <row r="2928" customFormat="false" ht="54" hidden="false" customHeight="true" outlineLevel="0" collapsed="false">
      <c r="A2928" s="32" t="s">
        <v>13306</v>
      </c>
      <c r="B2928" s="32" t="s">
        <v>6734</v>
      </c>
      <c r="C2928" s="33" t="s">
        <v>1407</v>
      </c>
      <c r="D2928" s="33" t="s">
        <v>50</v>
      </c>
      <c r="E2928" s="33" t="s">
        <v>84</v>
      </c>
      <c r="F2928" s="33" t="s">
        <v>13292</v>
      </c>
      <c r="G2928" s="33" t="s">
        <v>9</v>
      </c>
      <c r="H2928" s="33" t="n">
        <v>10</v>
      </c>
    </row>
    <row r="2929" customFormat="false" ht="54" hidden="false" customHeight="true" outlineLevel="0" collapsed="false">
      <c r="A2929" s="32" t="s">
        <v>13307</v>
      </c>
      <c r="B2929" s="32" t="s">
        <v>1652</v>
      </c>
      <c r="C2929" s="33" t="s">
        <v>1407</v>
      </c>
      <c r="D2929" s="33" t="s">
        <v>50</v>
      </c>
      <c r="E2929" s="33" t="s">
        <v>80</v>
      </c>
      <c r="F2929" s="33" t="s">
        <v>183</v>
      </c>
      <c r="G2929" s="33" t="s">
        <v>9</v>
      </c>
      <c r="H2929" s="33" t="n">
        <v>10</v>
      </c>
    </row>
    <row r="2930" customFormat="false" ht="54" hidden="false" customHeight="true" outlineLevel="0" collapsed="false">
      <c r="A2930" s="32" t="s">
        <v>13308</v>
      </c>
      <c r="B2930" s="32" t="s">
        <v>1652</v>
      </c>
      <c r="C2930" s="33" t="s">
        <v>1407</v>
      </c>
      <c r="D2930" s="33" t="s">
        <v>50</v>
      </c>
      <c r="E2930" s="33" t="s">
        <v>84</v>
      </c>
      <c r="F2930" s="33" t="s">
        <v>183</v>
      </c>
      <c r="G2930" s="33" t="s">
        <v>9</v>
      </c>
      <c r="H2930" s="33" t="n">
        <v>10</v>
      </c>
    </row>
    <row r="2931" customFormat="false" ht="54" hidden="false" customHeight="true" outlineLevel="0" collapsed="false">
      <c r="A2931" s="32" t="s">
        <v>13309</v>
      </c>
      <c r="B2931" s="32" t="s">
        <v>6758</v>
      </c>
      <c r="C2931" s="33" t="s">
        <v>1407</v>
      </c>
      <c r="D2931" s="33" t="s">
        <v>50</v>
      </c>
      <c r="E2931" s="33" t="s">
        <v>80</v>
      </c>
      <c r="F2931" s="33" t="s">
        <v>6762</v>
      </c>
      <c r="G2931" s="33" t="s">
        <v>9</v>
      </c>
      <c r="H2931" s="33" t="n">
        <v>10</v>
      </c>
    </row>
    <row r="2932" customFormat="false" ht="54" hidden="false" customHeight="true" outlineLevel="0" collapsed="false">
      <c r="A2932" s="32" t="s">
        <v>13310</v>
      </c>
      <c r="B2932" s="32" t="s">
        <v>6758</v>
      </c>
      <c r="C2932" s="33" t="s">
        <v>1407</v>
      </c>
      <c r="D2932" s="33" t="s">
        <v>50</v>
      </c>
      <c r="E2932" s="33" t="s">
        <v>80</v>
      </c>
      <c r="F2932" s="33" t="s">
        <v>183</v>
      </c>
      <c r="G2932" s="33" t="s">
        <v>9</v>
      </c>
      <c r="H2932" s="33" t="n">
        <v>10</v>
      </c>
    </row>
    <row r="2933" customFormat="false" ht="54" hidden="false" customHeight="true" outlineLevel="0" collapsed="false">
      <c r="A2933" s="32" t="s">
        <v>13311</v>
      </c>
      <c r="B2933" s="32" t="s">
        <v>6758</v>
      </c>
      <c r="C2933" s="33" t="s">
        <v>1407</v>
      </c>
      <c r="D2933" s="33" t="s">
        <v>50</v>
      </c>
      <c r="E2933" s="33" t="s">
        <v>81</v>
      </c>
      <c r="F2933" s="33" t="s">
        <v>6762</v>
      </c>
      <c r="G2933" s="33" t="s">
        <v>9</v>
      </c>
      <c r="H2933" s="33" t="n">
        <v>10</v>
      </c>
    </row>
    <row r="2934" customFormat="false" ht="54" hidden="false" customHeight="true" outlineLevel="0" collapsed="false">
      <c r="A2934" s="32" t="s">
        <v>13312</v>
      </c>
      <c r="B2934" s="32" t="s">
        <v>6758</v>
      </c>
      <c r="C2934" s="33" t="s">
        <v>1407</v>
      </c>
      <c r="D2934" s="33" t="s">
        <v>50</v>
      </c>
      <c r="E2934" s="33" t="s">
        <v>81</v>
      </c>
      <c r="F2934" s="33" t="s">
        <v>7106</v>
      </c>
      <c r="G2934" s="33" t="s">
        <v>9</v>
      </c>
      <c r="H2934" s="33" t="n">
        <v>10</v>
      </c>
    </row>
    <row r="2935" customFormat="false" ht="54" hidden="false" customHeight="true" outlineLevel="0" collapsed="false">
      <c r="A2935" s="32" t="s">
        <v>13313</v>
      </c>
      <c r="B2935" s="32" t="s">
        <v>6758</v>
      </c>
      <c r="C2935" s="33" t="s">
        <v>1407</v>
      </c>
      <c r="D2935" s="33" t="s">
        <v>50</v>
      </c>
      <c r="E2935" s="33" t="s">
        <v>82</v>
      </c>
      <c r="F2935" s="33" t="s">
        <v>1749</v>
      </c>
      <c r="G2935" s="33" t="s">
        <v>9</v>
      </c>
      <c r="H2935" s="33" t="n">
        <v>10</v>
      </c>
    </row>
    <row r="2936" customFormat="false" ht="54" hidden="false" customHeight="true" outlineLevel="0" collapsed="false">
      <c r="A2936" s="32" t="s">
        <v>13314</v>
      </c>
      <c r="B2936" s="32" t="s">
        <v>6758</v>
      </c>
      <c r="C2936" s="33" t="s">
        <v>1407</v>
      </c>
      <c r="D2936" s="33" t="s">
        <v>50</v>
      </c>
      <c r="E2936" s="33" t="s">
        <v>82</v>
      </c>
      <c r="F2936" s="33" t="s">
        <v>13315</v>
      </c>
      <c r="G2936" s="33" t="s">
        <v>9</v>
      </c>
      <c r="H2936" s="33" t="n">
        <v>10</v>
      </c>
    </row>
    <row r="2937" customFormat="false" ht="54" hidden="false" customHeight="true" outlineLevel="0" collapsed="false">
      <c r="A2937" s="32" t="s">
        <v>13316</v>
      </c>
      <c r="B2937" s="32" t="s">
        <v>6758</v>
      </c>
      <c r="C2937" s="33" t="s">
        <v>1407</v>
      </c>
      <c r="D2937" s="33" t="s">
        <v>50</v>
      </c>
      <c r="E2937" s="33" t="s">
        <v>82</v>
      </c>
      <c r="F2937" s="33" t="s">
        <v>13317</v>
      </c>
      <c r="G2937" s="33" t="s">
        <v>9</v>
      </c>
      <c r="H2937" s="33" t="n">
        <v>10</v>
      </c>
    </row>
    <row r="2938" customFormat="false" ht="54" hidden="false" customHeight="true" outlineLevel="0" collapsed="false">
      <c r="A2938" s="32" t="s">
        <v>13318</v>
      </c>
      <c r="B2938" s="32" t="s">
        <v>6758</v>
      </c>
      <c r="C2938" s="33" t="s">
        <v>1407</v>
      </c>
      <c r="D2938" s="33" t="s">
        <v>50</v>
      </c>
      <c r="E2938" s="33" t="s">
        <v>82</v>
      </c>
      <c r="F2938" s="33" t="s">
        <v>13319</v>
      </c>
      <c r="G2938" s="33" t="s">
        <v>9</v>
      </c>
      <c r="H2938" s="33" t="n">
        <v>10</v>
      </c>
    </row>
    <row r="2939" customFormat="false" ht="54" hidden="false" customHeight="true" outlineLevel="0" collapsed="false">
      <c r="A2939" s="32" t="s">
        <v>13320</v>
      </c>
      <c r="B2939" s="32" t="s">
        <v>6758</v>
      </c>
      <c r="C2939" s="33" t="s">
        <v>1407</v>
      </c>
      <c r="D2939" s="33" t="s">
        <v>50</v>
      </c>
      <c r="E2939" s="33" t="s">
        <v>82</v>
      </c>
      <c r="F2939" s="33" t="s">
        <v>13321</v>
      </c>
      <c r="G2939" s="33" t="s">
        <v>9</v>
      </c>
      <c r="H2939" s="33" t="n">
        <v>10</v>
      </c>
    </row>
    <row r="2940" customFormat="false" ht="54" hidden="false" customHeight="true" outlineLevel="0" collapsed="false">
      <c r="A2940" s="32" t="s">
        <v>13322</v>
      </c>
      <c r="B2940" s="32" t="s">
        <v>6758</v>
      </c>
      <c r="C2940" s="33" t="s">
        <v>1407</v>
      </c>
      <c r="D2940" s="33" t="s">
        <v>50</v>
      </c>
      <c r="E2940" s="33" t="s">
        <v>83</v>
      </c>
      <c r="F2940" s="33" t="s">
        <v>6762</v>
      </c>
      <c r="G2940" s="33" t="s">
        <v>9</v>
      </c>
      <c r="H2940" s="33" t="n">
        <v>10</v>
      </c>
    </row>
    <row r="2941" customFormat="false" ht="54" hidden="false" customHeight="true" outlineLevel="0" collapsed="false">
      <c r="A2941" s="32" t="s">
        <v>13323</v>
      </c>
      <c r="B2941" s="32" t="s">
        <v>6758</v>
      </c>
      <c r="C2941" s="33" t="s">
        <v>1407</v>
      </c>
      <c r="D2941" s="33" t="s">
        <v>50</v>
      </c>
      <c r="E2941" s="33" t="s">
        <v>84</v>
      </c>
      <c r="F2941" s="33" t="s">
        <v>183</v>
      </c>
      <c r="G2941" s="33" t="s">
        <v>9</v>
      </c>
      <c r="H2941" s="33" t="n">
        <v>10</v>
      </c>
    </row>
    <row r="2942" customFormat="false" ht="54" hidden="false" customHeight="true" outlineLevel="0" collapsed="false">
      <c r="A2942" s="32" t="s">
        <v>13324</v>
      </c>
      <c r="B2942" s="32" t="s">
        <v>6772</v>
      </c>
      <c r="C2942" s="33" t="s">
        <v>1407</v>
      </c>
      <c r="D2942" s="33" t="s">
        <v>50</v>
      </c>
      <c r="E2942" s="33" t="s">
        <v>80</v>
      </c>
      <c r="F2942" s="33" t="s">
        <v>6776</v>
      </c>
      <c r="G2942" s="33" t="s">
        <v>9</v>
      </c>
      <c r="H2942" s="33" t="n">
        <v>10</v>
      </c>
    </row>
    <row r="2943" customFormat="false" ht="54" hidden="false" customHeight="true" outlineLevel="0" collapsed="false">
      <c r="A2943" s="32" t="s">
        <v>13325</v>
      </c>
      <c r="B2943" s="32" t="s">
        <v>6772</v>
      </c>
      <c r="C2943" s="33" t="s">
        <v>1407</v>
      </c>
      <c r="D2943" s="33" t="s">
        <v>50</v>
      </c>
      <c r="E2943" s="33" t="s">
        <v>80</v>
      </c>
      <c r="F2943" s="33" t="s">
        <v>183</v>
      </c>
      <c r="G2943" s="33" t="s">
        <v>9</v>
      </c>
      <c r="H2943" s="33" t="n">
        <v>10</v>
      </c>
    </row>
    <row r="2944" customFormat="false" ht="54" hidden="false" customHeight="true" outlineLevel="0" collapsed="false">
      <c r="A2944" s="32" t="s">
        <v>13326</v>
      </c>
      <c r="B2944" s="32" t="s">
        <v>6772</v>
      </c>
      <c r="C2944" s="33" t="s">
        <v>1407</v>
      </c>
      <c r="D2944" s="33" t="s">
        <v>50</v>
      </c>
      <c r="E2944" s="33" t="s">
        <v>80</v>
      </c>
      <c r="F2944" s="33" t="s">
        <v>13327</v>
      </c>
      <c r="G2944" s="33" t="s">
        <v>9</v>
      </c>
      <c r="H2944" s="33" t="n">
        <v>10</v>
      </c>
    </row>
    <row r="2945" customFormat="false" ht="54" hidden="false" customHeight="true" outlineLevel="0" collapsed="false">
      <c r="A2945" s="32" t="s">
        <v>13328</v>
      </c>
      <c r="B2945" s="32" t="s">
        <v>6772</v>
      </c>
      <c r="C2945" s="33" t="s">
        <v>1407</v>
      </c>
      <c r="D2945" s="33" t="s">
        <v>50</v>
      </c>
      <c r="E2945" s="33" t="s">
        <v>81</v>
      </c>
      <c r="F2945" s="33" t="s">
        <v>6776</v>
      </c>
      <c r="G2945" s="33" t="s">
        <v>9</v>
      </c>
      <c r="H2945" s="33" t="n">
        <v>10</v>
      </c>
    </row>
    <row r="2946" customFormat="false" ht="54" hidden="false" customHeight="true" outlineLevel="0" collapsed="false">
      <c r="A2946" s="32" t="s">
        <v>13329</v>
      </c>
      <c r="B2946" s="32" t="s">
        <v>6772</v>
      </c>
      <c r="C2946" s="33" t="s">
        <v>1407</v>
      </c>
      <c r="D2946" s="33" t="s">
        <v>50</v>
      </c>
      <c r="E2946" s="33" t="s">
        <v>81</v>
      </c>
      <c r="F2946" s="33" t="s">
        <v>6778</v>
      </c>
      <c r="G2946" s="33" t="s">
        <v>9</v>
      </c>
      <c r="H2946" s="33" t="n">
        <v>10</v>
      </c>
    </row>
    <row r="2947" customFormat="false" ht="54" hidden="false" customHeight="true" outlineLevel="0" collapsed="false">
      <c r="A2947" s="32" t="s">
        <v>13330</v>
      </c>
      <c r="B2947" s="32" t="s">
        <v>6772</v>
      </c>
      <c r="C2947" s="33" t="s">
        <v>1407</v>
      </c>
      <c r="D2947" s="33" t="s">
        <v>50</v>
      </c>
      <c r="E2947" s="33" t="s">
        <v>81</v>
      </c>
      <c r="F2947" s="33" t="s">
        <v>13331</v>
      </c>
      <c r="G2947" s="33" t="s">
        <v>9</v>
      </c>
      <c r="H2947" s="33" t="n">
        <v>10</v>
      </c>
    </row>
    <row r="2948" customFormat="false" ht="54" hidden="false" customHeight="true" outlineLevel="0" collapsed="false">
      <c r="A2948" s="32" t="s">
        <v>13332</v>
      </c>
      <c r="B2948" s="32" t="s">
        <v>6772</v>
      </c>
      <c r="C2948" s="33" t="s">
        <v>1407</v>
      </c>
      <c r="D2948" s="33" t="s">
        <v>50</v>
      </c>
      <c r="E2948" s="33" t="s">
        <v>81</v>
      </c>
      <c r="F2948" s="33" t="s">
        <v>13333</v>
      </c>
      <c r="G2948" s="33" t="s">
        <v>9</v>
      </c>
      <c r="H2948" s="33" t="n">
        <v>10</v>
      </c>
    </row>
    <row r="2949" customFormat="false" ht="54" hidden="false" customHeight="true" outlineLevel="0" collapsed="false">
      <c r="A2949" s="32" t="s">
        <v>13334</v>
      </c>
      <c r="B2949" s="32" t="s">
        <v>6772</v>
      </c>
      <c r="C2949" s="33" t="s">
        <v>1407</v>
      </c>
      <c r="D2949" s="33" t="s">
        <v>50</v>
      </c>
      <c r="E2949" s="33" t="s">
        <v>81</v>
      </c>
      <c r="F2949" s="33" t="s">
        <v>13327</v>
      </c>
      <c r="G2949" s="33" t="s">
        <v>9</v>
      </c>
      <c r="H2949" s="33" t="n">
        <v>10</v>
      </c>
    </row>
    <row r="2950" customFormat="false" ht="54" hidden="false" customHeight="true" outlineLevel="0" collapsed="false">
      <c r="A2950" s="32" t="s">
        <v>13335</v>
      </c>
      <c r="B2950" s="32" t="s">
        <v>6772</v>
      </c>
      <c r="C2950" s="33" t="s">
        <v>1407</v>
      </c>
      <c r="D2950" s="33" t="s">
        <v>50</v>
      </c>
      <c r="E2950" s="33" t="s">
        <v>82</v>
      </c>
      <c r="F2950" s="33" t="s">
        <v>6778</v>
      </c>
      <c r="G2950" s="33" t="s">
        <v>9</v>
      </c>
      <c r="H2950" s="33" t="n">
        <v>10</v>
      </c>
    </row>
    <row r="2951" customFormat="false" ht="54" hidden="false" customHeight="true" outlineLevel="0" collapsed="false">
      <c r="A2951" s="32" t="s">
        <v>13336</v>
      </c>
      <c r="B2951" s="32" t="s">
        <v>6772</v>
      </c>
      <c r="C2951" s="33" t="s">
        <v>1407</v>
      </c>
      <c r="D2951" s="33" t="s">
        <v>50</v>
      </c>
      <c r="E2951" s="33" t="s">
        <v>82</v>
      </c>
      <c r="F2951" s="33" t="s">
        <v>13331</v>
      </c>
      <c r="G2951" s="33" t="s">
        <v>9</v>
      </c>
      <c r="H2951" s="33" t="n">
        <v>10</v>
      </c>
    </row>
    <row r="2952" customFormat="false" ht="54" hidden="false" customHeight="true" outlineLevel="0" collapsed="false">
      <c r="A2952" s="32" t="s">
        <v>13337</v>
      </c>
      <c r="B2952" s="32" t="s">
        <v>6772</v>
      </c>
      <c r="C2952" s="33" t="s">
        <v>1407</v>
      </c>
      <c r="D2952" s="33" t="s">
        <v>50</v>
      </c>
      <c r="E2952" s="33" t="s">
        <v>84</v>
      </c>
      <c r="F2952" s="33" t="s">
        <v>6776</v>
      </c>
      <c r="G2952" s="33" t="s">
        <v>9</v>
      </c>
      <c r="H2952" s="33" t="n">
        <v>10</v>
      </c>
    </row>
    <row r="2953" customFormat="false" ht="54" hidden="false" customHeight="true" outlineLevel="0" collapsed="false">
      <c r="A2953" s="32" t="s">
        <v>13338</v>
      </c>
      <c r="B2953" s="32" t="s">
        <v>6772</v>
      </c>
      <c r="C2953" s="33" t="s">
        <v>1407</v>
      </c>
      <c r="D2953" s="33" t="s">
        <v>50</v>
      </c>
      <c r="E2953" s="33" t="s">
        <v>84</v>
      </c>
      <c r="F2953" s="33" t="s">
        <v>183</v>
      </c>
      <c r="G2953" s="33" t="s">
        <v>9</v>
      </c>
      <c r="H2953" s="33" t="n">
        <v>10</v>
      </c>
    </row>
    <row r="2954" customFormat="false" ht="54" hidden="false" customHeight="true" outlineLevel="0" collapsed="false">
      <c r="A2954" s="32" t="s">
        <v>13339</v>
      </c>
      <c r="B2954" s="32" t="s">
        <v>6772</v>
      </c>
      <c r="C2954" s="33" t="s">
        <v>1407</v>
      </c>
      <c r="D2954" s="33" t="s">
        <v>50</v>
      </c>
      <c r="E2954" s="33" t="s">
        <v>84</v>
      </c>
      <c r="F2954" s="33" t="s">
        <v>13333</v>
      </c>
      <c r="G2954" s="33" t="s">
        <v>9</v>
      </c>
      <c r="H2954" s="33" t="n">
        <v>10</v>
      </c>
    </row>
    <row r="2955" customFormat="false" ht="54" hidden="false" customHeight="true" outlineLevel="0" collapsed="false">
      <c r="A2955" s="32" t="s">
        <v>13340</v>
      </c>
      <c r="B2955" s="32" t="s">
        <v>6788</v>
      </c>
      <c r="C2955" s="33" t="s">
        <v>1407</v>
      </c>
      <c r="D2955" s="33" t="s">
        <v>50</v>
      </c>
      <c r="E2955" s="33" t="s">
        <v>80</v>
      </c>
      <c r="F2955" s="33" t="s">
        <v>183</v>
      </c>
      <c r="G2955" s="33" t="s">
        <v>9</v>
      </c>
      <c r="H2955" s="33" t="n">
        <v>10</v>
      </c>
    </row>
    <row r="2956" customFormat="false" ht="54" hidden="false" customHeight="true" outlineLevel="0" collapsed="false">
      <c r="A2956" s="32" t="s">
        <v>13341</v>
      </c>
      <c r="B2956" s="32" t="s">
        <v>6788</v>
      </c>
      <c r="C2956" s="33" t="s">
        <v>1407</v>
      </c>
      <c r="D2956" s="33" t="s">
        <v>50</v>
      </c>
      <c r="E2956" s="33" t="s">
        <v>81</v>
      </c>
      <c r="F2956" s="33" t="s">
        <v>6794</v>
      </c>
      <c r="G2956" s="33" t="s">
        <v>9</v>
      </c>
      <c r="H2956" s="33" t="n">
        <v>10</v>
      </c>
    </row>
    <row r="2957" customFormat="false" ht="54" hidden="false" customHeight="true" outlineLevel="0" collapsed="false">
      <c r="A2957" s="32" t="s">
        <v>13342</v>
      </c>
      <c r="B2957" s="32" t="s">
        <v>6788</v>
      </c>
      <c r="C2957" s="33" t="s">
        <v>1407</v>
      </c>
      <c r="D2957" s="33" t="s">
        <v>50</v>
      </c>
      <c r="E2957" s="33" t="s">
        <v>81</v>
      </c>
      <c r="F2957" s="33" t="s">
        <v>13343</v>
      </c>
      <c r="G2957" s="33" t="s">
        <v>9</v>
      </c>
      <c r="H2957" s="33" t="n">
        <v>10</v>
      </c>
    </row>
    <row r="2958" customFormat="false" ht="54" hidden="false" customHeight="true" outlineLevel="0" collapsed="false">
      <c r="A2958" s="32" t="s">
        <v>13344</v>
      </c>
      <c r="B2958" s="32" t="s">
        <v>6788</v>
      </c>
      <c r="C2958" s="33" t="s">
        <v>1407</v>
      </c>
      <c r="D2958" s="33" t="s">
        <v>50</v>
      </c>
      <c r="E2958" s="33" t="s">
        <v>81</v>
      </c>
      <c r="F2958" s="33" t="s">
        <v>13345</v>
      </c>
      <c r="G2958" s="33" t="s">
        <v>9</v>
      </c>
      <c r="H2958" s="33" t="n">
        <v>10</v>
      </c>
    </row>
    <row r="2959" customFormat="false" ht="54" hidden="false" customHeight="true" outlineLevel="0" collapsed="false">
      <c r="A2959" s="32" t="s">
        <v>13346</v>
      </c>
      <c r="B2959" s="32" t="s">
        <v>6788</v>
      </c>
      <c r="C2959" s="33" t="s">
        <v>1407</v>
      </c>
      <c r="D2959" s="33" t="s">
        <v>50</v>
      </c>
      <c r="E2959" s="33" t="s">
        <v>81</v>
      </c>
      <c r="F2959" s="33" t="s">
        <v>13347</v>
      </c>
      <c r="G2959" s="33" t="s">
        <v>9</v>
      </c>
      <c r="H2959" s="33" t="n">
        <v>10</v>
      </c>
    </row>
    <row r="2960" customFormat="false" ht="54" hidden="false" customHeight="true" outlineLevel="0" collapsed="false">
      <c r="A2960" s="32" t="s">
        <v>13348</v>
      </c>
      <c r="B2960" s="32" t="s">
        <v>6788</v>
      </c>
      <c r="C2960" s="33" t="s">
        <v>1407</v>
      </c>
      <c r="D2960" s="33" t="s">
        <v>50</v>
      </c>
      <c r="E2960" s="33" t="s">
        <v>82</v>
      </c>
      <c r="F2960" s="33" t="s">
        <v>6799</v>
      </c>
      <c r="G2960" s="33" t="s">
        <v>9</v>
      </c>
      <c r="H2960" s="33" t="n">
        <v>10</v>
      </c>
    </row>
    <row r="2961" customFormat="false" ht="54" hidden="false" customHeight="true" outlineLevel="0" collapsed="false">
      <c r="A2961" s="32" t="s">
        <v>13349</v>
      </c>
      <c r="B2961" s="32" t="s">
        <v>6788</v>
      </c>
      <c r="C2961" s="33" t="s">
        <v>1407</v>
      </c>
      <c r="D2961" s="33" t="s">
        <v>50</v>
      </c>
      <c r="E2961" s="33" t="s">
        <v>83</v>
      </c>
      <c r="F2961" s="33" t="s">
        <v>6800</v>
      </c>
      <c r="G2961" s="33" t="s">
        <v>9</v>
      </c>
      <c r="H2961" s="33" t="n">
        <v>10</v>
      </c>
    </row>
    <row r="2962" customFormat="false" ht="54" hidden="false" customHeight="true" outlineLevel="0" collapsed="false">
      <c r="A2962" s="32" t="s">
        <v>13350</v>
      </c>
      <c r="B2962" s="32" t="s">
        <v>6788</v>
      </c>
      <c r="C2962" s="33" t="s">
        <v>1407</v>
      </c>
      <c r="D2962" s="33" t="s">
        <v>50</v>
      </c>
      <c r="E2962" s="33" t="s">
        <v>84</v>
      </c>
      <c r="F2962" s="33" t="s">
        <v>183</v>
      </c>
      <c r="G2962" s="33" t="s">
        <v>9</v>
      </c>
      <c r="H2962" s="33" t="n">
        <v>10</v>
      </c>
    </row>
    <row r="2963" customFormat="false" ht="54" hidden="false" customHeight="true" outlineLevel="0" collapsed="false">
      <c r="A2963" s="32" t="s">
        <v>13351</v>
      </c>
      <c r="B2963" s="32" t="s">
        <v>6788</v>
      </c>
      <c r="C2963" s="33" t="s">
        <v>1407</v>
      </c>
      <c r="D2963" s="33" t="s">
        <v>50</v>
      </c>
      <c r="E2963" s="33" t="s">
        <v>84</v>
      </c>
      <c r="F2963" s="33" t="s">
        <v>6799</v>
      </c>
      <c r="G2963" s="33" t="s">
        <v>9</v>
      </c>
      <c r="H2963" s="33" t="n">
        <v>10</v>
      </c>
    </row>
    <row r="2964" customFormat="false" ht="54" hidden="false" customHeight="true" outlineLevel="0" collapsed="false">
      <c r="A2964" s="32" t="s">
        <v>13352</v>
      </c>
      <c r="B2964" s="32" t="s">
        <v>6804</v>
      </c>
      <c r="C2964" s="33" t="s">
        <v>1407</v>
      </c>
      <c r="D2964" s="33" t="s">
        <v>50</v>
      </c>
      <c r="E2964" s="33" t="s">
        <v>80</v>
      </c>
      <c r="F2964" s="33" t="s">
        <v>6807</v>
      </c>
      <c r="G2964" s="33" t="s">
        <v>9</v>
      </c>
      <c r="H2964" s="33" t="n">
        <v>10</v>
      </c>
    </row>
    <row r="2965" customFormat="false" ht="54" hidden="false" customHeight="true" outlineLevel="0" collapsed="false">
      <c r="A2965" s="32" t="s">
        <v>13353</v>
      </c>
      <c r="B2965" s="32" t="s">
        <v>6804</v>
      </c>
      <c r="C2965" s="33" t="s">
        <v>1407</v>
      </c>
      <c r="D2965" s="33" t="s">
        <v>50</v>
      </c>
      <c r="E2965" s="33" t="s">
        <v>80</v>
      </c>
      <c r="F2965" s="33" t="s">
        <v>183</v>
      </c>
      <c r="G2965" s="33" t="s">
        <v>9</v>
      </c>
      <c r="H2965" s="33" t="n">
        <v>10</v>
      </c>
    </row>
    <row r="2966" customFormat="false" ht="54" hidden="false" customHeight="true" outlineLevel="0" collapsed="false">
      <c r="A2966" s="32" t="s">
        <v>13354</v>
      </c>
      <c r="B2966" s="32" t="s">
        <v>6804</v>
      </c>
      <c r="C2966" s="33" t="s">
        <v>1407</v>
      </c>
      <c r="D2966" s="33" t="s">
        <v>50</v>
      </c>
      <c r="E2966" s="33" t="s">
        <v>80</v>
      </c>
      <c r="F2966" s="33" t="s">
        <v>13355</v>
      </c>
      <c r="G2966" s="33" t="s">
        <v>9</v>
      </c>
      <c r="H2966" s="33" t="n">
        <v>10</v>
      </c>
    </row>
    <row r="2967" customFormat="false" ht="54" hidden="false" customHeight="true" outlineLevel="0" collapsed="false">
      <c r="A2967" s="32" t="s">
        <v>13356</v>
      </c>
      <c r="B2967" s="32" t="s">
        <v>6804</v>
      </c>
      <c r="C2967" s="33" t="s">
        <v>1407</v>
      </c>
      <c r="D2967" s="33" t="s">
        <v>50</v>
      </c>
      <c r="E2967" s="33" t="s">
        <v>80</v>
      </c>
      <c r="F2967" s="33" t="s">
        <v>13357</v>
      </c>
      <c r="G2967" s="33" t="s">
        <v>9</v>
      </c>
      <c r="H2967" s="33" t="n">
        <v>10</v>
      </c>
    </row>
    <row r="2968" customFormat="false" ht="54" hidden="false" customHeight="true" outlineLevel="0" collapsed="false">
      <c r="A2968" s="32" t="s">
        <v>13358</v>
      </c>
      <c r="B2968" s="32" t="s">
        <v>6804</v>
      </c>
      <c r="C2968" s="33" t="s">
        <v>1407</v>
      </c>
      <c r="D2968" s="33" t="s">
        <v>50</v>
      </c>
      <c r="E2968" s="33" t="s">
        <v>80</v>
      </c>
      <c r="F2968" s="33" t="s">
        <v>13359</v>
      </c>
      <c r="G2968" s="33" t="s">
        <v>9</v>
      </c>
      <c r="H2968" s="33" t="n">
        <v>10</v>
      </c>
    </row>
    <row r="2969" customFormat="false" ht="54" hidden="false" customHeight="true" outlineLevel="0" collapsed="false">
      <c r="A2969" s="32" t="s">
        <v>13360</v>
      </c>
      <c r="B2969" s="32" t="s">
        <v>6804</v>
      </c>
      <c r="C2969" s="33" t="s">
        <v>1407</v>
      </c>
      <c r="D2969" s="33" t="s">
        <v>50</v>
      </c>
      <c r="E2969" s="33" t="s">
        <v>81</v>
      </c>
      <c r="F2969" s="33" t="s">
        <v>6807</v>
      </c>
      <c r="G2969" s="33" t="s">
        <v>9</v>
      </c>
      <c r="H2969" s="33" t="n">
        <v>10</v>
      </c>
    </row>
    <row r="2970" customFormat="false" ht="54" hidden="false" customHeight="true" outlineLevel="0" collapsed="false">
      <c r="A2970" s="32" t="s">
        <v>13361</v>
      </c>
      <c r="B2970" s="32" t="s">
        <v>6804</v>
      </c>
      <c r="C2970" s="33" t="s">
        <v>1407</v>
      </c>
      <c r="D2970" s="33" t="s">
        <v>50</v>
      </c>
      <c r="E2970" s="33" t="s">
        <v>81</v>
      </c>
      <c r="F2970" s="33" t="s">
        <v>1624</v>
      </c>
      <c r="G2970" s="33" t="s">
        <v>9</v>
      </c>
      <c r="H2970" s="33" t="n">
        <v>10</v>
      </c>
    </row>
    <row r="2971" customFormat="false" ht="54" hidden="false" customHeight="true" outlineLevel="0" collapsed="false">
      <c r="A2971" s="32" t="s">
        <v>13362</v>
      </c>
      <c r="B2971" s="32" t="s">
        <v>6804</v>
      </c>
      <c r="C2971" s="33" t="s">
        <v>1407</v>
      </c>
      <c r="D2971" s="33" t="s">
        <v>50</v>
      </c>
      <c r="E2971" s="33" t="s">
        <v>82</v>
      </c>
      <c r="F2971" s="33" t="s">
        <v>6809</v>
      </c>
      <c r="G2971" s="33" t="s">
        <v>9</v>
      </c>
      <c r="H2971" s="33" t="n">
        <v>10</v>
      </c>
    </row>
    <row r="2972" customFormat="false" ht="54" hidden="false" customHeight="true" outlineLevel="0" collapsed="false">
      <c r="A2972" s="32" t="s">
        <v>13363</v>
      </c>
      <c r="B2972" s="32" t="s">
        <v>6804</v>
      </c>
      <c r="C2972" s="33" t="s">
        <v>1407</v>
      </c>
      <c r="D2972" s="33" t="s">
        <v>50</v>
      </c>
      <c r="E2972" s="33" t="s">
        <v>82</v>
      </c>
      <c r="F2972" s="33" t="s">
        <v>13364</v>
      </c>
      <c r="G2972" s="33" t="s">
        <v>9</v>
      </c>
      <c r="H2972" s="33" t="n">
        <v>10</v>
      </c>
    </row>
    <row r="2973" customFormat="false" ht="54" hidden="false" customHeight="true" outlineLevel="0" collapsed="false">
      <c r="A2973" s="32" t="s">
        <v>13365</v>
      </c>
      <c r="B2973" s="32" t="s">
        <v>6804</v>
      </c>
      <c r="C2973" s="33" t="s">
        <v>1407</v>
      </c>
      <c r="D2973" s="33" t="s">
        <v>50</v>
      </c>
      <c r="E2973" s="33" t="s">
        <v>82</v>
      </c>
      <c r="F2973" s="33" t="s">
        <v>13366</v>
      </c>
      <c r="G2973" s="33" t="s">
        <v>9</v>
      </c>
      <c r="H2973" s="33" t="n">
        <v>10</v>
      </c>
    </row>
    <row r="2974" customFormat="false" ht="54" hidden="false" customHeight="true" outlineLevel="0" collapsed="false">
      <c r="A2974" s="32" t="s">
        <v>13367</v>
      </c>
      <c r="B2974" s="32" t="s">
        <v>6804</v>
      </c>
      <c r="C2974" s="33" t="s">
        <v>1407</v>
      </c>
      <c r="D2974" s="33" t="s">
        <v>50</v>
      </c>
      <c r="E2974" s="33" t="s">
        <v>84</v>
      </c>
      <c r="F2974" s="33" t="s">
        <v>183</v>
      </c>
      <c r="G2974" s="33" t="s">
        <v>9</v>
      </c>
      <c r="H2974" s="33" t="n">
        <v>10</v>
      </c>
    </row>
    <row r="2975" customFormat="false" ht="54" hidden="false" customHeight="true" outlineLevel="0" collapsed="false">
      <c r="A2975" s="32" t="s">
        <v>13368</v>
      </c>
      <c r="B2975" s="32" t="s">
        <v>6804</v>
      </c>
      <c r="C2975" s="33" t="s">
        <v>1407</v>
      </c>
      <c r="D2975" s="33" t="s">
        <v>50</v>
      </c>
      <c r="E2975" s="33" t="s">
        <v>84</v>
      </c>
      <c r="F2975" s="33" t="s">
        <v>13357</v>
      </c>
      <c r="G2975" s="33" t="s">
        <v>9</v>
      </c>
      <c r="H2975" s="33" t="n">
        <v>10</v>
      </c>
    </row>
    <row r="2976" customFormat="false" ht="54" hidden="false" customHeight="true" outlineLevel="0" collapsed="false">
      <c r="A2976" s="32" t="s">
        <v>13369</v>
      </c>
      <c r="B2976" s="32" t="s">
        <v>6819</v>
      </c>
      <c r="C2976" s="33" t="s">
        <v>1407</v>
      </c>
      <c r="D2976" s="33" t="s">
        <v>50</v>
      </c>
      <c r="E2976" s="33" t="s">
        <v>80</v>
      </c>
      <c r="F2976" s="33" t="s">
        <v>183</v>
      </c>
      <c r="G2976" s="33" t="s">
        <v>9</v>
      </c>
      <c r="H2976" s="33" t="n">
        <v>10</v>
      </c>
    </row>
    <row r="2977" customFormat="false" ht="54" hidden="false" customHeight="true" outlineLevel="0" collapsed="false">
      <c r="A2977" s="32" t="s">
        <v>13370</v>
      </c>
      <c r="B2977" s="32" t="s">
        <v>6819</v>
      </c>
      <c r="C2977" s="33" t="s">
        <v>1407</v>
      </c>
      <c r="D2977" s="33" t="s">
        <v>50</v>
      </c>
      <c r="E2977" s="33" t="s">
        <v>80</v>
      </c>
      <c r="F2977" s="33" t="s">
        <v>13371</v>
      </c>
      <c r="G2977" s="33" t="s">
        <v>9</v>
      </c>
      <c r="H2977" s="33" t="n">
        <v>10</v>
      </c>
    </row>
    <row r="2978" customFormat="false" ht="54" hidden="false" customHeight="true" outlineLevel="0" collapsed="false">
      <c r="A2978" s="32" t="s">
        <v>13372</v>
      </c>
      <c r="B2978" s="32" t="s">
        <v>6819</v>
      </c>
      <c r="C2978" s="33" t="s">
        <v>1407</v>
      </c>
      <c r="D2978" s="33" t="s">
        <v>50</v>
      </c>
      <c r="E2978" s="33" t="s">
        <v>84</v>
      </c>
      <c r="F2978" s="33" t="s">
        <v>183</v>
      </c>
      <c r="G2978" s="33" t="s">
        <v>9</v>
      </c>
      <c r="H2978" s="33" t="n">
        <v>10</v>
      </c>
    </row>
    <row r="2979" customFormat="false" ht="54" hidden="false" customHeight="true" outlineLevel="0" collapsed="false">
      <c r="A2979" s="32" t="s">
        <v>13373</v>
      </c>
      <c r="B2979" s="32" t="s">
        <v>6819</v>
      </c>
      <c r="C2979" s="33" t="s">
        <v>1407</v>
      </c>
      <c r="D2979" s="33" t="s">
        <v>50</v>
      </c>
      <c r="E2979" s="33" t="s">
        <v>84</v>
      </c>
      <c r="F2979" s="33" t="s">
        <v>13371</v>
      </c>
      <c r="G2979" s="33" t="s">
        <v>9</v>
      </c>
      <c r="H2979" s="33" t="n">
        <v>10</v>
      </c>
    </row>
    <row r="2980" customFormat="false" ht="54" hidden="false" customHeight="true" outlineLevel="0" collapsed="false">
      <c r="A2980" s="32" t="s">
        <v>13374</v>
      </c>
      <c r="B2980" s="32" t="s">
        <v>6832</v>
      </c>
      <c r="C2980" s="33" t="s">
        <v>1407</v>
      </c>
      <c r="D2980" s="33" t="s">
        <v>50</v>
      </c>
      <c r="E2980" s="33" t="s">
        <v>80</v>
      </c>
      <c r="F2980" s="33" t="s">
        <v>183</v>
      </c>
      <c r="G2980" s="33" t="s">
        <v>9</v>
      </c>
      <c r="H2980" s="33" t="n">
        <v>10</v>
      </c>
    </row>
    <row r="2981" customFormat="false" ht="54" hidden="false" customHeight="true" outlineLevel="0" collapsed="false">
      <c r="A2981" s="32" t="s">
        <v>13375</v>
      </c>
      <c r="B2981" s="32" t="s">
        <v>6832</v>
      </c>
      <c r="C2981" s="33" t="s">
        <v>1407</v>
      </c>
      <c r="D2981" s="33" t="s">
        <v>50</v>
      </c>
      <c r="E2981" s="33" t="s">
        <v>80</v>
      </c>
      <c r="F2981" s="33" t="s">
        <v>13376</v>
      </c>
      <c r="G2981" s="33" t="s">
        <v>9</v>
      </c>
      <c r="H2981" s="33" t="n">
        <v>10</v>
      </c>
    </row>
    <row r="2982" customFormat="false" ht="54" hidden="false" customHeight="true" outlineLevel="0" collapsed="false">
      <c r="A2982" s="32" t="s">
        <v>13377</v>
      </c>
      <c r="B2982" s="32" t="s">
        <v>6832</v>
      </c>
      <c r="C2982" s="33" t="s">
        <v>1407</v>
      </c>
      <c r="D2982" s="33" t="s">
        <v>50</v>
      </c>
      <c r="E2982" s="33" t="s">
        <v>80</v>
      </c>
      <c r="F2982" s="33" t="s">
        <v>13378</v>
      </c>
      <c r="G2982" s="33" t="s">
        <v>9</v>
      </c>
      <c r="H2982" s="33" t="n">
        <v>10</v>
      </c>
    </row>
    <row r="2983" customFormat="false" ht="54" hidden="false" customHeight="true" outlineLevel="0" collapsed="false">
      <c r="A2983" s="32" t="s">
        <v>13379</v>
      </c>
      <c r="B2983" s="32" t="s">
        <v>6832</v>
      </c>
      <c r="C2983" s="33" t="s">
        <v>1407</v>
      </c>
      <c r="D2983" s="33" t="s">
        <v>50</v>
      </c>
      <c r="E2983" s="33" t="s">
        <v>84</v>
      </c>
      <c r="F2983" s="33" t="s">
        <v>183</v>
      </c>
      <c r="G2983" s="33" t="s">
        <v>9</v>
      </c>
      <c r="H2983" s="33" t="n">
        <v>10</v>
      </c>
    </row>
    <row r="2984" customFormat="false" ht="54" hidden="false" customHeight="true" outlineLevel="0" collapsed="false">
      <c r="A2984" s="32" t="s">
        <v>13380</v>
      </c>
      <c r="B2984" s="32" t="s">
        <v>6832</v>
      </c>
      <c r="C2984" s="33" t="s">
        <v>1407</v>
      </c>
      <c r="D2984" s="33" t="s">
        <v>50</v>
      </c>
      <c r="E2984" s="33" t="s">
        <v>84</v>
      </c>
      <c r="F2984" s="33" t="s">
        <v>13376</v>
      </c>
      <c r="G2984" s="33" t="s">
        <v>9</v>
      </c>
      <c r="H2984" s="33" t="n">
        <v>10</v>
      </c>
    </row>
    <row r="2985" customFormat="false" ht="54" hidden="false" customHeight="true" outlineLevel="0" collapsed="false">
      <c r="A2985" s="32" t="s">
        <v>13381</v>
      </c>
      <c r="B2985" s="32" t="s">
        <v>6832</v>
      </c>
      <c r="C2985" s="33" t="s">
        <v>1407</v>
      </c>
      <c r="D2985" s="33" t="s">
        <v>50</v>
      </c>
      <c r="E2985" s="33" t="s">
        <v>84</v>
      </c>
      <c r="F2985" s="33" t="s">
        <v>13378</v>
      </c>
      <c r="G2985" s="33" t="s">
        <v>9</v>
      </c>
      <c r="H2985" s="33" t="n">
        <v>10</v>
      </c>
    </row>
    <row r="2986" customFormat="false" ht="54" hidden="false" customHeight="true" outlineLevel="0" collapsed="false">
      <c r="A2986" s="32" t="s">
        <v>13382</v>
      </c>
      <c r="B2986" s="32" t="s">
        <v>6844</v>
      </c>
      <c r="C2986" s="33" t="s">
        <v>1407</v>
      </c>
      <c r="D2986" s="33" t="s">
        <v>50</v>
      </c>
      <c r="E2986" s="33" t="s">
        <v>80</v>
      </c>
      <c r="F2986" s="33" t="s">
        <v>1594</v>
      </c>
      <c r="G2986" s="33" t="s">
        <v>9</v>
      </c>
      <c r="H2986" s="33" t="n">
        <v>10</v>
      </c>
    </row>
    <row r="2987" customFormat="false" ht="54" hidden="false" customHeight="true" outlineLevel="0" collapsed="false">
      <c r="A2987" s="32" t="s">
        <v>13383</v>
      </c>
      <c r="B2987" s="32" t="s">
        <v>6844</v>
      </c>
      <c r="C2987" s="33" t="s">
        <v>1407</v>
      </c>
      <c r="D2987" s="33" t="s">
        <v>50</v>
      </c>
      <c r="E2987" s="33" t="s">
        <v>80</v>
      </c>
      <c r="F2987" s="33" t="s">
        <v>183</v>
      </c>
      <c r="G2987" s="33" t="s">
        <v>9</v>
      </c>
      <c r="H2987" s="33" t="n">
        <v>10</v>
      </c>
    </row>
    <row r="2988" customFormat="false" ht="54" hidden="false" customHeight="true" outlineLevel="0" collapsed="false">
      <c r="A2988" s="32" t="s">
        <v>13384</v>
      </c>
      <c r="B2988" s="32" t="s">
        <v>6844</v>
      </c>
      <c r="C2988" s="33" t="s">
        <v>1407</v>
      </c>
      <c r="D2988" s="33" t="s">
        <v>50</v>
      </c>
      <c r="E2988" s="33" t="s">
        <v>80</v>
      </c>
      <c r="F2988" s="33" t="s">
        <v>13385</v>
      </c>
      <c r="G2988" s="33" t="s">
        <v>9</v>
      </c>
      <c r="H2988" s="33" t="n">
        <v>10</v>
      </c>
    </row>
    <row r="2989" customFormat="false" ht="54" hidden="false" customHeight="true" outlineLevel="0" collapsed="false">
      <c r="A2989" s="32" t="s">
        <v>13386</v>
      </c>
      <c r="B2989" s="32" t="s">
        <v>6844</v>
      </c>
      <c r="C2989" s="33" t="s">
        <v>1407</v>
      </c>
      <c r="D2989" s="33" t="s">
        <v>50</v>
      </c>
      <c r="E2989" s="33" t="s">
        <v>80</v>
      </c>
      <c r="F2989" s="33" t="s">
        <v>6489</v>
      </c>
      <c r="G2989" s="33" t="s">
        <v>9</v>
      </c>
      <c r="H2989" s="33" t="n">
        <v>10</v>
      </c>
    </row>
    <row r="2990" customFormat="false" ht="54" hidden="false" customHeight="true" outlineLevel="0" collapsed="false">
      <c r="A2990" s="32" t="s">
        <v>13387</v>
      </c>
      <c r="B2990" s="32" t="s">
        <v>6844</v>
      </c>
      <c r="C2990" s="33" t="s">
        <v>1407</v>
      </c>
      <c r="D2990" s="33" t="s">
        <v>50</v>
      </c>
      <c r="E2990" s="33" t="s">
        <v>81</v>
      </c>
      <c r="F2990" s="33" t="s">
        <v>1594</v>
      </c>
      <c r="G2990" s="33" t="s">
        <v>9</v>
      </c>
      <c r="H2990" s="33" t="n">
        <v>10</v>
      </c>
    </row>
    <row r="2991" customFormat="false" ht="54" hidden="false" customHeight="true" outlineLevel="0" collapsed="false">
      <c r="A2991" s="32" t="s">
        <v>13388</v>
      </c>
      <c r="B2991" s="32" t="s">
        <v>6844</v>
      </c>
      <c r="C2991" s="33" t="s">
        <v>1407</v>
      </c>
      <c r="D2991" s="33" t="s">
        <v>50</v>
      </c>
      <c r="E2991" s="33" t="s">
        <v>81</v>
      </c>
      <c r="F2991" s="33" t="s">
        <v>6715</v>
      </c>
      <c r="G2991" s="33" t="s">
        <v>9</v>
      </c>
      <c r="H2991" s="33" t="n">
        <v>10</v>
      </c>
    </row>
    <row r="2992" customFormat="false" ht="54" hidden="false" customHeight="true" outlineLevel="0" collapsed="false">
      <c r="A2992" s="32" t="s">
        <v>13389</v>
      </c>
      <c r="B2992" s="32" t="s">
        <v>6844</v>
      </c>
      <c r="C2992" s="33" t="s">
        <v>1407</v>
      </c>
      <c r="D2992" s="33" t="s">
        <v>50</v>
      </c>
      <c r="E2992" s="33" t="s">
        <v>81</v>
      </c>
      <c r="F2992" s="33" t="s">
        <v>13385</v>
      </c>
      <c r="G2992" s="33" t="s">
        <v>9</v>
      </c>
      <c r="H2992" s="33" t="n">
        <v>10</v>
      </c>
    </row>
    <row r="2993" customFormat="false" ht="54" hidden="false" customHeight="true" outlineLevel="0" collapsed="false">
      <c r="A2993" s="32" t="s">
        <v>13390</v>
      </c>
      <c r="B2993" s="32" t="s">
        <v>6844</v>
      </c>
      <c r="C2993" s="33" t="s">
        <v>1407</v>
      </c>
      <c r="D2993" s="33" t="s">
        <v>50</v>
      </c>
      <c r="E2993" s="33" t="s">
        <v>81</v>
      </c>
      <c r="F2993" s="33" t="s">
        <v>6851</v>
      </c>
      <c r="G2993" s="33" t="s">
        <v>9</v>
      </c>
      <c r="H2993" s="33" t="n">
        <v>10</v>
      </c>
    </row>
    <row r="2994" customFormat="false" ht="54" hidden="false" customHeight="true" outlineLevel="0" collapsed="false">
      <c r="A2994" s="32" t="s">
        <v>13391</v>
      </c>
      <c r="B2994" s="32" t="s">
        <v>6844</v>
      </c>
      <c r="C2994" s="33" t="s">
        <v>1407</v>
      </c>
      <c r="D2994" s="33" t="s">
        <v>50</v>
      </c>
      <c r="E2994" s="33" t="s">
        <v>82</v>
      </c>
      <c r="F2994" s="33" t="s">
        <v>6849</v>
      </c>
      <c r="G2994" s="33" t="s">
        <v>9</v>
      </c>
      <c r="H2994" s="33" t="n">
        <v>10</v>
      </c>
    </row>
    <row r="2995" customFormat="false" ht="54" hidden="false" customHeight="true" outlineLevel="0" collapsed="false">
      <c r="A2995" s="32" t="s">
        <v>13392</v>
      </c>
      <c r="B2995" s="32" t="s">
        <v>6844</v>
      </c>
      <c r="C2995" s="33" t="s">
        <v>1407</v>
      </c>
      <c r="D2995" s="33" t="s">
        <v>50</v>
      </c>
      <c r="E2995" s="33" t="s">
        <v>82</v>
      </c>
      <c r="F2995" s="33" t="s">
        <v>13393</v>
      </c>
      <c r="G2995" s="33" t="s">
        <v>9</v>
      </c>
      <c r="H2995" s="33" t="n">
        <v>10</v>
      </c>
    </row>
    <row r="2996" customFormat="false" ht="54" hidden="false" customHeight="true" outlineLevel="0" collapsed="false">
      <c r="A2996" s="32" t="s">
        <v>13394</v>
      </c>
      <c r="B2996" s="32" t="s">
        <v>6844</v>
      </c>
      <c r="C2996" s="33" t="s">
        <v>1407</v>
      </c>
      <c r="D2996" s="33" t="s">
        <v>50</v>
      </c>
      <c r="E2996" s="33" t="s">
        <v>82</v>
      </c>
      <c r="F2996" s="33" t="s">
        <v>13282</v>
      </c>
      <c r="G2996" s="33" t="s">
        <v>9</v>
      </c>
      <c r="H2996" s="33" t="n">
        <v>10</v>
      </c>
    </row>
    <row r="2997" customFormat="false" ht="54" hidden="false" customHeight="true" outlineLevel="0" collapsed="false">
      <c r="A2997" s="32" t="s">
        <v>13395</v>
      </c>
      <c r="B2997" s="32" t="s">
        <v>6844</v>
      </c>
      <c r="C2997" s="33" t="s">
        <v>1407</v>
      </c>
      <c r="D2997" s="33" t="s">
        <v>50</v>
      </c>
      <c r="E2997" s="33" t="s">
        <v>82</v>
      </c>
      <c r="F2997" s="33" t="s">
        <v>13385</v>
      </c>
      <c r="G2997" s="33" t="s">
        <v>9</v>
      </c>
      <c r="H2997" s="33" t="n">
        <v>10</v>
      </c>
    </row>
    <row r="2998" customFormat="false" ht="54" hidden="false" customHeight="true" outlineLevel="0" collapsed="false">
      <c r="A2998" s="32" t="s">
        <v>13396</v>
      </c>
      <c r="B2998" s="32" t="s">
        <v>6844</v>
      </c>
      <c r="C2998" s="33" t="s">
        <v>1407</v>
      </c>
      <c r="D2998" s="33" t="s">
        <v>50</v>
      </c>
      <c r="E2998" s="33" t="s">
        <v>82</v>
      </c>
      <c r="F2998" s="33" t="s">
        <v>6489</v>
      </c>
      <c r="G2998" s="33" t="s">
        <v>9</v>
      </c>
      <c r="H2998" s="33" t="n">
        <v>10</v>
      </c>
    </row>
    <row r="2999" customFormat="false" ht="54" hidden="false" customHeight="true" outlineLevel="0" collapsed="false">
      <c r="A2999" s="32" t="s">
        <v>13397</v>
      </c>
      <c r="B2999" s="32" t="s">
        <v>6844</v>
      </c>
      <c r="C2999" s="33" t="s">
        <v>1407</v>
      </c>
      <c r="D2999" s="33" t="s">
        <v>50</v>
      </c>
      <c r="E2999" s="33" t="s">
        <v>82</v>
      </c>
      <c r="F2999" s="33" t="s">
        <v>13398</v>
      </c>
      <c r="G2999" s="33" t="s">
        <v>9</v>
      </c>
      <c r="H2999" s="33" t="n">
        <v>10</v>
      </c>
    </row>
    <row r="3000" customFormat="false" ht="54" hidden="false" customHeight="true" outlineLevel="0" collapsed="false">
      <c r="A3000" s="32" t="s">
        <v>13399</v>
      </c>
      <c r="B3000" s="32" t="s">
        <v>6844</v>
      </c>
      <c r="C3000" s="33" t="s">
        <v>1407</v>
      </c>
      <c r="D3000" s="33" t="s">
        <v>50</v>
      </c>
      <c r="E3000" s="33" t="s">
        <v>82</v>
      </c>
      <c r="F3000" s="33" t="s">
        <v>13400</v>
      </c>
      <c r="G3000" s="33" t="s">
        <v>9</v>
      </c>
      <c r="H3000" s="33" t="n">
        <v>10</v>
      </c>
    </row>
    <row r="3001" customFormat="false" ht="54" hidden="false" customHeight="true" outlineLevel="0" collapsed="false">
      <c r="A3001" s="32" t="s">
        <v>13401</v>
      </c>
      <c r="B3001" s="32" t="s">
        <v>6844</v>
      </c>
      <c r="C3001" s="33" t="s">
        <v>1407</v>
      </c>
      <c r="D3001" s="33" t="s">
        <v>50</v>
      </c>
      <c r="E3001" s="33" t="s">
        <v>83</v>
      </c>
      <c r="F3001" s="33" t="s">
        <v>6489</v>
      </c>
      <c r="G3001" s="33" t="s">
        <v>9</v>
      </c>
      <c r="H3001" s="33" t="n">
        <v>10</v>
      </c>
    </row>
    <row r="3002" customFormat="false" ht="54" hidden="false" customHeight="true" outlineLevel="0" collapsed="false">
      <c r="A3002" s="32" t="s">
        <v>13402</v>
      </c>
      <c r="B3002" s="32" t="s">
        <v>6844</v>
      </c>
      <c r="C3002" s="33" t="s">
        <v>1407</v>
      </c>
      <c r="D3002" s="33" t="s">
        <v>50</v>
      </c>
      <c r="E3002" s="33" t="s">
        <v>83</v>
      </c>
      <c r="F3002" s="33" t="s">
        <v>13403</v>
      </c>
      <c r="G3002" s="33" t="s">
        <v>9</v>
      </c>
      <c r="H3002" s="33" t="n">
        <v>10</v>
      </c>
    </row>
    <row r="3003" customFormat="false" ht="54" hidden="false" customHeight="true" outlineLevel="0" collapsed="false">
      <c r="A3003" s="32" t="s">
        <v>13404</v>
      </c>
      <c r="B3003" s="32" t="s">
        <v>6844</v>
      </c>
      <c r="C3003" s="33" t="s">
        <v>1407</v>
      </c>
      <c r="D3003" s="33" t="s">
        <v>50</v>
      </c>
      <c r="E3003" s="33" t="s">
        <v>83</v>
      </c>
      <c r="F3003" s="33" t="s">
        <v>13400</v>
      </c>
      <c r="G3003" s="33" t="s">
        <v>9</v>
      </c>
      <c r="H3003" s="33" t="n">
        <v>10</v>
      </c>
    </row>
    <row r="3004" customFormat="false" ht="54" hidden="false" customHeight="true" outlineLevel="0" collapsed="false">
      <c r="A3004" s="32" t="s">
        <v>13405</v>
      </c>
      <c r="B3004" s="32" t="s">
        <v>6844</v>
      </c>
      <c r="C3004" s="33" t="s">
        <v>1407</v>
      </c>
      <c r="D3004" s="33" t="s">
        <v>50</v>
      </c>
      <c r="E3004" s="33" t="s">
        <v>83</v>
      </c>
      <c r="F3004" s="33" t="s">
        <v>13406</v>
      </c>
      <c r="G3004" s="33" t="s">
        <v>9</v>
      </c>
      <c r="H3004" s="33" t="n">
        <v>10</v>
      </c>
    </row>
    <row r="3005" customFormat="false" ht="54" hidden="false" customHeight="true" outlineLevel="0" collapsed="false">
      <c r="A3005" s="32" t="s">
        <v>13407</v>
      </c>
      <c r="B3005" s="32" t="s">
        <v>6844</v>
      </c>
      <c r="C3005" s="33" t="s">
        <v>1407</v>
      </c>
      <c r="D3005" s="33" t="s">
        <v>50</v>
      </c>
      <c r="E3005" s="33" t="s">
        <v>84</v>
      </c>
      <c r="F3005" s="33" t="s">
        <v>183</v>
      </c>
      <c r="G3005" s="33" t="s">
        <v>9</v>
      </c>
      <c r="H3005" s="33" t="n">
        <v>10</v>
      </c>
    </row>
    <row r="3006" customFormat="false" ht="54" hidden="false" customHeight="true" outlineLevel="0" collapsed="false">
      <c r="A3006" s="32" t="s">
        <v>13408</v>
      </c>
      <c r="B3006" s="32" t="s">
        <v>6844</v>
      </c>
      <c r="C3006" s="33" t="s">
        <v>1407</v>
      </c>
      <c r="D3006" s="33" t="s">
        <v>50</v>
      </c>
      <c r="E3006" s="33" t="s">
        <v>84</v>
      </c>
      <c r="F3006" s="33" t="s">
        <v>13385</v>
      </c>
      <c r="G3006" s="33" t="s">
        <v>9</v>
      </c>
      <c r="H3006" s="33" t="n">
        <v>10</v>
      </c>
    </row>
    <row r="3007" customFormat="false" ht="54" hidden="false" customHeight="true" outlineLevel="0" collapsed="false">
      <c r="A3007" s="32" t="s">
        <v>13409</v>
      </c>
      <c r="B3007" s="32" t="s">
        <v>6844</v>
      </c>
      <c r="C3007" s="33" t="s">
        <v>1407</v>
      </c>
      <c r="D3007" s="33" t="s">
        <v>50</v>
      </c>
      <c r="E3007" s="33" t="s">
        <v>84</v>
      </c>
      <c r="F3007" s="33" t="s">
        <v>6489</v>
      </c>
      <c r="G3007" s="33" t="s">
        <v>9</v>
      </c>
      <c r="H3007" s="33" t="n">
        <v>10</v>
      </c>
    </row>
    <row r="3008" customFormat="false" ht="54" hidden="false" customHeight="true" outlineLevel="0" collapsed="false">
      <c r="A3008" s="32" t="s">
        <v>13410</v>
      </c>
      <c r="B3008" s="32" t="s">
        <v>6844</v>
      </c>
      <c r="C3008" s="33" t="s">
        <v>1407</v>
      </c>
      <c r="D3008" s="33" t="s">
        <v>50</v>
      </c>
      <c r="E3008" s="33" t="s">
        <v>84</v>
      </c>
      <c r="F3008" s="33" t="s">
        <v>13400</v>
      </c>
      <c r="G3008" s="33" t="s">
        <v>9</v>
      </c>
      <c r="H3008" s="33" t="n">
        <v>10</v>
      </c>
    </row>
    <row r="3009" customFormat="false" ht="54" hidden="false" customHeight="true" outlineLevel="0" collapsed="false">
      <c r="A3009" s="32" t="s">
        <v>13411</v>
      </c>
      <c r="B3009" s="32" t="s">
        <v>6860</v>
      </c>
      <c r="C3009" s="33" t="s">
        <v>98</v>
      </c>
      <c r="D3009" s="33" t="s">
        <v>59</v>
      </c>
      <c r="E3009" s="33" t="s">
        <v>80</v>
      </c>
      <c r="F3009" s="33" t="s">
        <v>183</v>
      </c>
      <c r="G3009" s="33" t="s">
        <v>9</v>
      </c>
      <c r="H3009" s="33" t="n">
        <v>10</v>
      </c>
    </row>
    <row r="3010" customFormat="false" ht="54" hidden="false" customHeight="true" outlineLevel="0" collapsed="false">
      <c r="A3010" s="32" t="s">
        <v>13412</v>
      </c>
      <c r="B3010" s="32" t="s">
        <v>6860</v>
      </c>
      <c r="C3010" s="33" t="s">
        <v>98</v>
      </c>
      <c r="D3010" s="33" t="s">
        <v>59</v>
      </c>
      <c r="E3010" s="33" t="s">
        <v>81</v>
      </c>
      <c r="F3010" s="33" t="s">
        <v>6864</v>
      </c>
      <c r="G3010" s="33" t="s">
        <v>9</v>
      </c>
      <c r="H3010" s="33" t="n">
        <v>10</v>
      </c>
    </row>
    <row r="3011" customFormat="false" ht="54" hidden="false" customHeight="true" outlineLevel="0" collapsed="false">
      <c r="A3011" s="32" t="s">
        <v>13413</v>
      </c>
      <c r="B3011" s="32" t="s">
        <v>6860</v>
      </c>
      <c r="C3011" s="33" t="s">
        <v>98</v>
      </c>
      <c r="D3011" s="33" t="s">
        <v>59</v>
      </c>
      <c r="E3011" s="33" t="s">
        <v>81</v>
      </c>
      <c r="F3011" s="33" t="s">
        <v>6865</v>
      </c>
      <c r="G3011" s="33" t="s">
        <v>9</v>
      </c>
      <c r="H3011" s="33" t="n">
        <v>10</v>
      </c>
    </row>
    <row r="3012" customFormat="false" ht="54" hidden="false" customHeight="true" outlineLevel="0" collapsed="false">
      <c r="A3012" s="32" t="s">
        <v>13414</v>
      </c>
      <c r="B3012" s="32" t="s">
        <v>6860</v>
      </c>
      <c r="C3012" s="33" t="s">
        <v>98</v>
      </c>
      <c r="D3012" s="33" t="s">
        <v>59</v>
      </c>
      <c r="E3012" s="33" t="s">
        <v>81</v>
      </c>
      <c r="F3012" s="33" t="s">
        <v>6866</v>
      </c>
      <c r="G3012" s="33" t="s">
        <v>9</v>
      </c>
      <c r="H3012" s="33" t="n">
        <v>10</v>
      </c>
    </row>
    <row r="3013" customFormat="false" ht="54" hidden="false" customHeight="true" outlineLevel="0" collapsed="false">
      <c r="A3013" s="32" t="s">
        <v>13415</v>
      </c>
      <c r="B3013" s="32" t="s">
        <v>6860</v>
      </c>
      <c r="C3013" s="33" t="s">
        <v>98</v>
      </c>
      <c r="D3013" s="33" t="s">
        <v>59</v>
      </c>
      <c r="E3013" s="33" t="s">
        <v>81</v>
      </c>
      <c r="F3013" s="33" t="s">
        <v>13416</v>
      </c>
      <c r="G3013" s="33" t="s">
        <v>9</v>
      </c>
      <c r="H3013" s="33" t="n">
        <v>10</v>
      </c>
    </row>
    <row r="3014" customFormat="false" ht="54" hidden="false" customHeight="true" outlineLevel="0" collapsed="false">
      <c r="A3014" s="32" t="s">
        <v>13417</v>
      </c>
      <c r="B3014" s="32" t="s">
        <v>6860</v>
      </c>
      <c r="C3014" s="33" t="s">
        <v>98</v>
      </c>
      <c r="D3014" s="33" t="s">
        <v>59</v>
      </c>
      <c r="E3014" s="33" t="s">
        <v>84</v>
      </c>
      <c r="F3014" s="33" t="s">
        <v>183</v>
      </c>
      <c r="G3014" s="33" t="s">
        <v>9</v>
      </c>
      <c r="H3014" s="33" t="n">
        <v>10</v>
      </c>
    </row>
    <row r="3015" customFormat="false" ht="54" hidden="false" customHeight="true" outlineLevel="0" collapsed="false">
      <c r="A3015" s="32" t="s">
        <v>13418</v>
      </c>
      <c r="B3015" s="32" t="s">
        <v>6860</v>
      </c>
      <c r="C3015" s="33" t="s">
        <v>98</v>
      </c>
      <c r="D3015" s="33" t="s">
        <v>59</v>
      </c>
      <c r="E3015" s="33" t="s">
        <v>84</v>
      </c>
      <c r="F3015" s="33" t="s">
        <v>13419</v>
      </c>
      <c r="G3015" s="33" t="s">
        <v>9</v>
      </c>
      <c r="H3015" s="33" t="n">
        <v>10</v>
      </c>
    </row>
    <row r="3016" customFormat="false" ht="54" hidden="false" customHeight="true" outlineLevel="0" collapsed="false">
      <c r="A3016" s="32" t="s">
        <v>13420</v>
      </c>
      <c r="B3016" s="32" t="s">
        <v>6860</v>
      </c>
      <c r="C3016" s="33" t="s">
        <v>98</v>
      </c>
      <c r="D3016" s="33" t="s">
        <v>59</v>
      </c>
      <c r="E3016" s="33" t="s">
        <v>84</v>
      </c>
      <c r="F3016" s="33" t="s">
        <v>13421</v>
      </c>
      <c r="G3016" s="33" t="s">
        <v>9</v>
      </c>
      <c r="H3016" s="33" t="n">
        <v>10</v>
      </c>
    </row>
    <row r="3017" customFormat="false" ht="54" hidden="false" customHeight="true" outlineLevel="0" collapsed="false">
      <c r="A3017" s="32" t="s">
        <v>13422</v>
      </c>
      <c r="B3017" s="32" t="s">
        <v>6874</v>
      </c>
      <c r="C3017" s="33" t="s">
        <v>1407</v>
      </c>
      <c r="D3017" s="33" t="s">
        <v>50</v>
      </c>
      <c r="E3017" s="33" t="s">
        <v>80</v>
      </c>
      <c r="F3017" s="33" t="s">
        <v>1735</v>
      </c>
      <c r="G3017" s="33" t="s">
        <v>9</v>
      </c>
      <c r="H3017" s="33" t="n">
        <v>10</v>
      </c>
    </row>
    <row r="3018" customFormat="false" ht="54" hidden="false" customHeight="true" outlineLevel="0" collapsed="false">
      <c r="A3018" s="32" t="s">
        <v>13423</v>
      </c>
      <c r="B3018" s="32" t="s">
        <v>6874</v>
      </c>
      <c r="C3018" s="33" t="s">
        <v>1407</v>
      </c>
      <c r="D3018" s="33" t="s">
        <v>50</v>
      </c>
      <c r="E3018" s="33" t="s">
        <v>80</v>
      </c>
      <c r="F3018" s="33" t="s">
        <v>183</v>
      </c>
      <c r="G3018" s="33" t="s">
        <v>9</v>
      </c>
      <c r="H3018" s="33" t="n">
        <v>10</v>
      </c>
    </row>
    <row r="3019" customFormat="false" ht="54" hidden="false" customHeight="true" outlineLevel="0" collapsed="false">
      <c r="A3019" s="32" t="s">
        <v>13424</v>
      </c>
      <c r="B3019" s="32" t="s">
        <v>6874</v>
      </c>
      <c r="C3019" s="33" t="s">
        <v>1407</v>
      </c>
      <c r="D3019" s="33" t="s">
        <v>50</v>
      </c>
      <c r="E3019" s="33" t="s">
        <v>81</v>
      </c>
      <c r="F3019" s="33" t="s">
        <v>1735</v>
      </c>
      <c r="G3019" s="33" t="s">
        <v>9</v>
      </c>
      <c r="H3019" s="33" t="n">
        <v>10</v>
      </c>
    </row>
    <row r="3020" customFormat="false" ht="54" hidden="false" customHeight="true" outlineLevel="0" collapsed="false">
      <c r="A3020" s="32" t="s">
        <v>13425</v>
      </c>
      <c r="B3020" s="32" t="s">
        <v>6874</v>
      </c>
      <c r="C3020" s="33" t="s">
        <v>1407</v>
      </c>
      <c r="D3020" s="33" t="s">
        <v>50</v>
      </c>
      <c r="E3020" s="33" t="s">
        <v>81</v>
      </c>
      <c r="F3020" s="33" t="s">
        <v>6878</v>
      </c>
      <c r="G3020" s="33" t="s">
        <v>9</v>
      </c>
      <c r="H3020" s="33" t="n">
        <v>10</v>
      </c>
    </row>
    <row r="3021" customFormat="false" ht="54" hidden="false" customHeight="true" outlineLevel="0" collapsed="false">
      <c r="A3021" s="32" t="s">
        <v>13426</v>
      </c>
      <c r="B3021" s="32" t="s">
        <v>6874</v>
      </c>
      <c r="C3021" s="33" t="s">
        <v>1407</v>
      </c>
      <c r="D3021" s="33" t="s">
        <v>50</v>
      </c>
      <c r="E3021" s="33" t="s">
        <v>82</v>
      </c>
      <c r="F3021" s="33" t="s">
        <v>6879</v>
      </c>
      <c r="G3021" s="33" t="s">
        <v>9</v>
      </c>
      <c r="H3021" s="33" t="n">
        <v>10</v>
      </c>
    </row>
    <row r="3022" customFormat="false" ht="54" hidden="false" customHeight="true" outlineLevel="0" collapsed="false">
      <c r="A3022" s="32" t="s">
        <v>13427</v>
      </c>
      <c r="B3022" s="32" t="s">
        <v>6874</v>
      </c>
      <c r="C3022" s="33" t="s">
        <v>1407</v>
      </c>
      <c r="D3022" s="33" t="s">
        <v>50</v>
      </c>
      <c r="E3022" s="33" t="s">
        <v>82</v>
      </c>
      <c r="F3022" s="33" t="s">
        <v>13428</v>
      </c>
      <c r="G3022" s="33" t="s">
        <v>9</v>
      </c>
      <c r="H3022" s="33" t="n">
        <v>10</v>
      </c>
    </row>
    <row r="3023" customFormat="false" ht="54" hidden="false" customHeight="true" outlineLevel="0" collapsed="false">
      <c r="A3023" s="32" t="s">
        <v>13429</v>
      </c>
      <c r="B3023" s="32" t="s">
        <v>6874</v>
      </c>
      <c r="C3023" s="33" t="s">
        <v>1407</v>
      </c>
      <c r="D3023" s="33" t="s">
        <v>50</v>
      </c>
      <c r="E3023" s="33" t="s">
        <v>82</v>
      </c>
      <c r="F3023" s="33" t="s">
        <v>13430</v>
      </c>
      <c r="G3023" s="33" t="s">
        <v>9</v>
      </c>
      <c r="H3023" s="33" t="n">
        <v>10</v>
      </c>
    </row>
    <row r="3024" customFormat="false" ht="54" hidden="false" customHeight="true" outlineLevel="0" collapsed="false">
      <c r="A3024" s="32" t="s">
        <v>13431</v>
      </c>
      <c r="B3024" s="32" t="s">
        <v>6874</v>
      </c>
      <c r="C3024" s="33" t="s">
        <v>1407</v>
      </c>
      <c r="D3024" s="33" t="s">
        <v>50</v>
      </c>
      <c r="E3024" s="33" t="s">
        <v>82</v>
      </c>
      <c r="F3024" s="33" t="s">
        <v>13432</v>
      </c>
      <c r="G3024" s="33" t="s">
        <v>9</v>
      </c>
      <c r="H3024" s="33" t="n">
        <v>10</v>
      </c>
    </row>
    <row r="3025" customFormat="false" ht="54" hidden="false" customHeight="true" outlineLevel="0" collapsed="false">
      <c r="A3025" s="32" t="s">
        <v>13433</v>
      </c>
      <c r="B3025" s="32" t="s">
        <v>6874</v>
      </c>
      <c r="C3025" s="33" t="s">
        <v>1407</v>
      </c>
      <c r="D3025" s="33" t="s">
        <v>50</v>
      </c>
      <c r="E3025" s="33" t="s">
        <v>84</v>
      </c>
      <c r="F3025" s="33" t="s">
        <v>183</v>
      </c>
      <c r="G3025" s="33" t="s">
        <v>9</v>
      </c>
      <c r="H3025" s="33" t="n">
        <v>10</v>
      </c>
    </row>
    <row r="3026" customFormat="false" ht="54" hidden="false" customHeight="true" outlineLevel="0" collapsed="false">
      <c r="A3026" s="32" t="s">
        <v>13434</v>
      </c>
      <c r="B3026" s="32" t="s">
        <v>1938</v>
      </c>
      <c r="C3026" s="33" t="s">
        <v>1407</v>
      </c>
      <c r="D3026" s="33" t="s">
        <v>50</v>
      </c>
      <c r="E3026" s="33" t="s">
        <v>80</v>
      </c>
      <c r="F3026" s="33" t="s">
        <v>183</v>
      </c>
      <c r="G3026" s="33" t="s">
        <v>9</v>
      </c>
      <c r="H3026" s="33" t="n">
        <v>10</v>
      </c>
    </row>
    <row r="3027" customFormat="false" ht="54" hidden="false" customHeight="true" outlineLevel="0" collapsed="false">
      <c r="A3027" s="32" t="s">
        <v>13435</v>
      </c>
      <c r="B3027" s="32" t="s">
        <v>1938</v>
      </c>
      <c r="C3027" s="33" t="s">
        <v>1407</v>
      </c>
      <c r="D3027" s="33" t="s">
        <v>50</v>
      </c>
      <c r="E3027" s="33" t="s">
        <v>80</v>
      </c>
      <c r="F3027" s="33" t="s">
        <v>6489</v>
      </c>
      <c r="G3027" s="33" t="s">
        <v>9</v>
      </c>
      <c r="H3027" s="33" t="n">
        <v>10</v>
      </c>
    </row>
    <row r="3028" customFormat="false" ht="54" hidden="false" customHeight="true" outlineLevel="0" collapsed="false">
      <c r="A3028" s="32" t="s">
        <v>13436</v>
      </c>
      <c r="B3028" s="32" t="s">
        <v>1938</v>
      </c>
      <c r="C3028" s="33" t="s">
        <v>1407</v>
      </c>
      <c r="D3028" s="33" t="s">
        <v>50</v>
      </c>
      <c r="E3028" s="33" t="s">
        <v>81</v>
      </c>
      <c r="F3028" s="33" t="s">
        <v>13437</v>
      </c>
      <c r="G3028" s="33" t="s">
        <v>9</v>
      </c>
      <c r="H3028" s="33" t="n">
        <v>10</v>
      </c>
    </row>
    <row r="3029" customFormat="false" ht="54" hidden="false" customHeight="true" outlineLevel="0" collapsed="false">
      <c r="A3029" s="32" t="s">
        <v>13438</v>
      </c>
      <c r="B3029" s="32" t="s">
        <v>1938</v>
      </c>
      <c r="C3029" s="33" t="s">
        <v>1407</v>
      </c>
      <c r="D3029" s="33" t="s">
        <v>50</v>
      </c>
      <c r="E3029" s="33" t="s">
        <v>81</v>
      </c>
      <c r="F3029" s="33" t="s">
        <v>13439</v>
      </c>
      <c r="G3029" s="33" t="s">
        <v>9</v>
      </c>
      <c r="H3029" s="33" t="n">
        <v>10</v>
      </c>
    </row>
    <row r="3030" customFormat="false" ht="54" hidden="false" customHeight="true" outlineLevel="0" collapsed="false">
      <c r="A3030" s="32" t="s">
        <v>13440</v>
      </c>
      <c r="B3030" s="32" t="s">
        <v>1938</v>
      </c>
      <c r="C3030" s="33" t="s">
        <v>1407</v>
      </c>
      <c r="D3030" s="33" t="s">
        <v>50</v>
      </c>
      <c r="E3030" s="33" t="s">
        <v>82</v>
      </c>
      <c r="F3030" s="33" t="s">
        <v>13441</v>
      </c>
      <c r="G3030" s="33" t="s">
        <v>9</v>
      </c>
      <c r="H3030" s="33" t="n">
        <v>10</v>
      </c>
    </row>
    <row r="3031" customFormat="false" ht="54" hidden="false" customHeight="true" outlineLevel="0" collapsed="false">
      <c r="A3031" s="32" t="s">
        <v>13442</v>
      </c>
      <c r="B3031" s="32" t="s">
        <v>1938</v>
      </c>
      <c r="C3031" s="33" t="s">
        <v>1407</v>
      </c>
      <c r="D3031" s="33" t="s">
        <v>50</v>
      </c>
      <c r="E3031" s="33" t="s">
        <v>82</v>
      </c>
      <c r="F3031" s="33" t="s">
        <v>6489</v>
      </c>
      <c r="G3031" s="33" t="s">
        <v>9</v>
      </c>
      <c r="H3031" s="33" t="n">
        <v>10</v>
      </c>
    </row>
    <row r="3032" customFormat="false" ht="54" hidden="false" customHeight="true" outlineLevel="0" collapsed="false">
      <c r="A3032" s="32" t="s">
        <v>13443</v>
      </c>
      <c r="B3032" s="32" t="s">
        <v>1938</v>
      </c>
      <c r="C3032" s="33" t="s">
        <v>1407</v>
      </c>
      <c r="D3032" s="33" t="s">
        <v>50</v>
      </c>
      <c r="E3032" s="33" t="s">
        <v>82</v>
      </c>
      <c r="F3032" s="33" t="s">
        <v>13444</v>
      </c>
      <c r="G3032" s="33" t="s">
        <v>9</v>
      </c>
      <c r="H3032" s="33" t="n">
        <v>10</v>
      </c>
    </row>
    <row r="3033" customFormat="false" ht="54" hidden="false" customHeight="true" outlineLevel="0" collapsed="false">
      <c r="A3033" s="32" t="s">
        <v>13445</v>
      </c>
      <c r="B3033" s="32" t="s">
        <v>1938</v>
      </c>
      <c r="C3033" s="33" t="s">
        <v>1407</v>
      </c>
      <c r="D3033" s="33" t="s">
        <v>50</v>
      </c>
      <c r="E3033" s="33" t="s">
        <v>83</v>
      </c>
      <c r="F3033" s="33" t="s">
        <v>6489</v>
      </c>
      <c r="G3033" s="33" t="s">
        <v>9</v>
      </c>
      <c r="H3033" s="33" t="n">
        <v>10</v>
      </c>
    </row>
    <row r="3034" customFormat="false" ht="54" hidden="false" customHeight="true" outlineLevel="0" collapsed="false">
      <c r="A3034" s="32" t="s">
        <v>13446</v>
      </c>
      <c r="B3034" s="32" t="s">
        <v>1938</v>
      </c>
      <c r="C3034" s="33" t="s">
        <v>1407</v>
      </c>
      <c r="D3034" s="33" t="s">
        <v>50</v>
      </c>
      <c r="E3034" s="33" t="s">
        <v>84</v>
      </c>
      <c r="F3034" s="33" t="s">
        <v>183</v>
      </c>
      <c r="G3034" s="33" t="s">
        <v>9</v>
      </c>
      <c r="H3034" s="33" t="n">
        <v>10</v>
      </c>
    </row>
    <row r="3035" customFormat="false" ht="54" hidden="false" customHeight="true" outlineLevel="0" collapsed="false">
      <c r="A3035" s="32" t="s">
        <v>13447</v>
      </c>
      <c r="B3035" s="32" t="s">
        <v>1938</v>
      </c>
      <c r="C3035" s="33" t="s">
        <v>1407</v>
      </c>
      <c r="D3035" s="33" t="s">
        <v>50</v>
      </c>
      <c r="E3035" s="33" t="s">
        <v>84</v>
      </c>
      <c r="F3035" s="33" t="s">
        <v>6489</v>
      </c>
      <c r="G3035" s="33" t="s">
        <v>9</v>
      </c>
      <c r="H3035" s="33" t="n">
        <v>10</v>
      </c>
    </row>
    <row r="3036" customFormat="false" ht="54" hidden="false" customHeight="true" outlineLevel="0" collapsed="false">
      <c r="A3036" s="32" t="s">
        <v>13448</v>
      </c>
      <c r="B3036" s="32" t="s">
        <v>1938</v>
      </c>
      <c r="C3036" s="33" t="s">
        <v>1407</v>
      </c>
      <c r="D3036" s="33" t="s">
        <v>50</v>
      </c>
      <c r="E3036" s="33" t="s">
        <v>86</v>
      </c>
      <c r="F3036" s="33" t="s">
        <v>13441</v>
      </c>
      <c r="G3036" s="33" t="s">
        <v>9</v>
      </c>
      <c r="H3036" s="33" t="n">
        <v>10</v>
      </c>
    </row>
    <row r="3037" customFormat="false" ht="54" hidden="false" customHeight="true" outlineLevel="0" collapsed="false">
      <c r="A3037" s="32" t="s">
        <v>13449</v>
      </c>
      <c r="B3037" s="32" t="s">
        <v>1938</v>
      </c>
      <c r="C3037" s="33" t="s">
        <v>1407</v>
      </c>
      <c r="D3037" s="33" t="s">
        <v>50</v>
      </c>
      <c r="E3037" s="33" t="s">
        <v>86</v>
      </c>
      <c r="F3037" s="33" t="s">
        <v>13444</v>
      </c>
      <c r="G3037" s="33" t="s">
        <v>9</v>
      </c>
      <c r="H3037" s="33" t="n">
        <v>10</v>
      </c>
    </row>
    <row r="3038" customFormat="false" ht="54" hidden="false" customHeight="true" outlineLevel="0" collapsed="false">
      <c r="A3038" s="32" t="s">
        <v>13450</v>
      </c>
      <c r="B3038" s="32" t="s">
        <v>1368</v>
      </c>
      <c r="C3038" s="33" t="s">
        <v>1407</v>
      </c>
      <c r="D3038" s="33" t="s">
        <v>50</v>
      </c>
      <c r="E3038" s="33" t="s">
        <v>80</v>
      </c>
      <c r="F3038" s="33" t="s">
        <v>183</v>
      </c>
      <c r="G3038" s="33" t="s">
        <v>9</v>
      </c>
      <c r="H3038" s="33" t="n">
        <v>10</v>
      </c>
    </row>
    <row r="3039" customFormat="false" ht="54" hidden="false" customHeight="true" outlineLevel="0" collapsed="false">
      <c r="A3039" s="32" t="s">
        <v>13451</v>
      </c>
      <c r="B3039" s="32" t="s">
        <v>1368</v>
      </c>
      <c r="C3039" s="33" t="s">
        <v>1407</v>
      </c>
      <c r="D3039" s="33" t="s">
        <v>50</v>
      </c>
      <c r="E3039" s="33" t="s">
        <v>81</v>
      </c>
      <c r="F3039" s="33" t="s">
        <v>6910</v>
      </c>
      <c r="G3039" s="33" t="s">
        <v>9</v>
      </c>
      <c r="H3039" s="33" t="n">
        <v>10</v>
      </c>
    </row>
    <row r="3040" customFormat="false" ht="54" hidden="false" customHeight="true" outlineLevel="0" collapsed="false">
      <c r="A3040" s="32" t="s">
        <v>13452</v>
      </c>
      <c r="B3040" s="32" t="s">
        <v>1368</v>
      </c>
      <c r="C3040" s="33" t="s">
        <v>1407</v>
      </c>
      <c r="D3040" s="33" t="s">
        <v>50</v>
      </c>
      <c r="E3040" s="33" t="s">
        <v>82</v>
      </c>
      <c r="F3040" s="33" t="s">
        <v>13453</v>
      </c>
      <c r="G3040" s="33" t="s">
        <v>9</v>
      </c>
      <c r="H3040" s="33" t="n">
        <v>10</v>
      </c>
    </row>
    <row r="3041" customFormat="false" ht="54" hidden="false" customHeight="true" outlineLevel="0" collapsed="false">
      <c r="A3041" s="32" t="s">
        <v>13454</v>
      </c>
      <c r="B3041" s="32" t="s">
        <v>1368</v>
      </c>
      <c r="C3041" s="33" t="s">
        <v>1407</v>
      </c>
      <c r="D3041" s="33" t="s">
        <v>50</v>
      </c>
      <c r="E3041" s="33" t="s">
        <v>82</v>
      </c>
      <c r="F3041" s="33" t="s">
        <v>13455</v>
      </c>
      <c r="G3041" s="33" t="s">
        <v>9</v>
      </c>
      <c r="H3041" s="33" t="n">
        <v>10</v>
      </c>
    </row>
    <row r="3042" customFormat="false" ht="54" hidden="false" customHeight="true" outlineLevel="0" collapsed="false">
      <c r="A3042" s="32" t="s">
        <v>13456</v>
      </c>
      <c r="B3042" s="32" t="s">
        <v>1368</v>
      </c>
      <c r="C3042" s="33" t="s">
        <v>1407</v>
      </c>
      <c r="D3042" s="33" t="s">
        <v>50</v>
      </c>
      <c r="E3042" s="33" t="s">
        <v>82</v>
      </c>
      <c r="F3042" s="33" t="s">
        <v>13457</v>
      </c>
      <c r="G3042" s="33" t="s">
        <v>9</v>
      </c>
      <c r="H3042" s="33" t="n">
        <v>10</v>
      </c>
    </row>
    <row r="3043" customFormat="false" ht="54" hidden="false" customHeight="true" outlineLevel="0" collapsed="false">
      <c r="A3043" s="32" t="s">
        <v>13458</v>
      </c>
      <c r="B3043" s="32" t="s">
        <v>1368</v>
      </c>
      <c r="C3043" s="33" t="s">
        <v>1407</v>
      </c>
      <c r="D3043" s="33" t="s">
        <v>50</v>
      </c>
      <c r="E3043" s="33" t="s">
        <v>82</v>
      </c>
      <c r="F3043" s="33" t="s">
        <v>13459</v>
      </c>
      <c r="G3043" s="33" t="s">
        <v>9</v>
      </c>
      <c r="H3043" s="33" t="n">
        <v>10</v>
      </c>
    </row>
    <row r="3044" customFormat="false" ht="54" hidden="false" customHeight="true" outlineLevel="0" collapsed="false">
      <c r="A3044" s="32" t="s">
        <v>13460</v>
      </c>
      <c r="B3044" s="32" t="s">
        <v>1368</v>
      </c>
      <c r="C3044" s="33" t="s">
        <v>1407</v>
      </c>
      <c r="D3044" s="33" t="s">
        <v>50</v>
      </c>
      <c r="E3044" s="33" t="s">
        <v>84</v>
      </c>
      <c r="F3044" s="33" t="s">
        <v>183</v>
      </c>
      <c r="G3044" s="33" t="s">
        <v>9</v>
      </c>
      <c r="H3044" s="33" t="n">
        <v>10</v>
      </c>
    </row>
    <row r="3045" customFormat="false" ht="54" hidden="false" customHeight="true" outlineLevel="0" collapsed="false">
      <c r="A3045" s="32" t="s">
        <v>13461</v>
      </c>
      <c r="B3045" s="32" t="s">
        <v>6914</v>
      </c>
      <c r="C3045" s="33" t="s">
        <v>1407</v>
      </c>
      <c r="D3045" s="33" t="s">
        <v>50</v>
      </c>
      <c r="E3045" s="33" t="s">
        <v>80</v>
      </c>
      <c r="F3045" s="33" t="s">
        <v>183</v>
      </c>
      <c r="G3045" s="33" t="s">
        <v>9</v>
      </c>
      <c r="H3045" s="33" t="n">
        <v>10</v>
      </c>
    </row>
    <row r="3046" customFormat="false" ht="54" hidden="false" customHeight="true" outlineLevel="0" collapsed="false">
      <c r="A3046" s="32" t="s">
        <v>13462</v>
      </c>
      <c r="B3046" s="32" t="s">
        <v>6914</v>
      </c>
      <c r="C3046" s="33" t="s">
        <v>1407</v>
      </c>
      <c r="D3046" s="33" t="s">
        <v>50</v>
      </c>
      <c r="E3046" s="33" t="s">
        <v>81</v>
      </c>
      <c r="F3046" s="33" t="s">
        <v>6917</v>
      </c>
      <c r="G3046" s="33" t="s">
        <v>9</v>
      </c>
      <c r="H3046" s="33" t="n">
        <v>10</v>
      </c>
    </row>
    <row r="3047" customFormat="false" ht="54" hidden="false" customHeight="true" outlineLevel="0" collapsed="false">
      <c r="A3047" s="32" t="s">
        <v>13463</v>
      </c>
      <c r="B3047" s="32" t="s">
        <v>6914</v>
      </c>
      <c r="C3047" s="33" t="s">
        <v>1407</v>
      </c>
      <c r="D3047" s="33" t="s">
        <v>50</v>
      </c>
      <c r="E3047" s="33" t="s">
        <v>81</v>
      </c>
      <c r="F3047" s="33" t="s">
        <v>6919</v>
      </c>
      <c r="G3047" s="33" t="s">
        <v>9</v>
      </c>
      <c r="H3047" s="33" t="n">
        <v>10</v>
      </c>
    </row>
    <row r="3048" customFormat="false" ht="54" hidden="false" customHeight="true" outlineLevel="0" collapsed="false">
      <c r="A3048" s="32" t="s">
        <v>13464</v>
      </c>
      <c r="B3048" s="32" t="s">
        <v>6914</v>
      </c>
      <c r="C3048" s="33" t="s">
        <v>1407</v>
      </c>
      <c r="D3048" s="33" t="s">
        <v>50</v>
      </c>
      <c r="E3048" s="33" t="s">
        <v>81</v>
      </c>
      <c r="F3048" s="33" t="s">
        <v>13465</v>
      </c>
      <c r="G3048" s="33" t="s">
        <v>9</v>
      </c>
      <c r="H3048" s="33" t="n">
        <v>10</v>
      </c>
    </row>
    <row r="3049" customFormat="false" ht="54" hidden="false" customHeight="true" outlineLevel="0" collapsed="false">
      <c r="A3049" s="32" t="s">
        <v>13466</v>
      </c>
      <c r="B3049" s="32" t="s">
        <v>6914</v>
      </c>
      <c r="C3049" s="33" t="s">
        <v>1407</v>
      </c>
      <c r="D3049" s="33" t="s">
        <v>50</v>
      </c>
      <c r="E3049" s="33" t="s">
        <v>82</v>
      </c>
      <c r="F3049" s="33" t="s">
        <v>6924</v>
      </c>
      <c r="G3049" s="33" t="s">
        <v>9</v>
      </c>
      <c r="H3049" s="33" t="n">
        <v>10</v>
      </c>
    </row>
    <row r="3050" customFormat="false" ht="54" hidden="false" customHeight="true" outlineLevel="0" collapsed="false">
      <c r="A3050" s="32" t="s">
        <v>13467</v>
      </c>
      <c r="B3050" s="32" t="s">
        <v>6914</v>
      </c>
      <c r="C3050" s="33" t="s">
        <v>1407</v>
      </c>
      <c r="D3050" s="33" t="s">
        <v>50</v>
      </c>
      <c r="E3050" s="33" t="s">
        <v>84</v>
      </c>
      <c r="F3050" s="33" t="s">
        <v>183</v>
      </c>
      <c r="G3050" s="33" t="s">
        <v>9</v>
      </c>
      <c r="H3050" s="33" t="n">
        <v>10</v>
      </c>
    </row>
    <row r="3051" customFormat="false" ht="54" hidden="false" customHeight="true" outlineLevel="0" collapsed="false">
      <c r="A3051" s="32" t="s">
        <v>13468</v>
      </c>
      <c r="B3051" s="32" t="s">
        <v>6927</v>
      </c>
      <c r="C3051" s="33" t="s">
        <v>1407</v>
      </c>
      <c r="D3051" s="33" t="s">
        <v>50</v>
      </c>
      <c r="E3051" s="33" t="s">
        <v>80</v>
      </c>
      <c r="F3051" s="33" t="s">
        <v>6522</v>
      </c>
      <c r="G3051" s="33" t="s">
        <v>9</v>
      </c>
      <c r="H3051" s="33" t="n">
        <v>10</v>
      </c>
    </row>
    <row r="3052" customFormat="false" ht="54" hidden="false" customHeight="true" outlineLevel="0" collapsed="false">
      <c r="A3052" s="32" t="s">
        <v>13469</v>
      </c>
      <c r="B3052" s="32" t="s">
        <v>6927</v>
      </c>
      <c r="C3052" s="33" t="s">
        <v>1407</v>
      </c>
      <c r="D3052" s="33" t="s">
        <v>50</v>
      </c>
      <c r="E3052" s="33" t="s">
        <v>80</v>
      </c>
      <c r="F3052" s="33" t="s">
        <v>183</v>
      </c>
      <c r="G3052" s="33" t="s">
        <v>9</v>
      </c>
      <c r="H3052" s="33" t="n">
        <v>10</v>
      </c>
    </row>
    <row r="3053" customFormat="false" ht="54" hidden="false" customHeight="true" outlineLevel="0" collapsed="false">
      <c r="A3053" s="32" t="s">
        <v>13470</v>
      </c>
      <c r="B3053" s="32" t="s">
        <v>6927</v>
      </c>
      <c r="C3053" s="33" t="s">
        <v>1407</v>
      </c>
      <c r="D3053" s="33" t="s">
        <v>50</v>
      </c>
      <c r="E3053" s="33" t="s">
        <v>80</v>
      </c>
      <c r="F3053" s="33" t="s">
        <v>13471</v>
      </c>
      <c r="G3053" s="33" t="s">
        <v>9</v>
      </c>
      <c r="H3053" s="33" t="n">
        <v>10</v>
      </c>
    </row>
    <row r="3054" customFormat="false" ht="54" hidden="false" customHeight="true" outlineLevel="0" collapsed="false">
      <c r="A3054" s="32" t="s">
        <v>13472</v>
      </c>
      <c r="B3054" s="32" t="s">
        <v>6927</v>
      </c>
      <c r="C3054" s="33" t="s">
        <v>1407</v>
      </c>
      <c r="D3054" s="33" t="s">
        <v>50</v>
      </c>
      <c r="E3054" s="33" t="s">
        <v>80</v>
      </c>
      <c r="F3054" s="33" t="s">
        <v>13473</v>
      </c>
      <c r="G3054" s="33" t="s">
        <v>9</v>
      </c>
      <c r="H3054" s="33" t="n">
        <v>10</v>
      </c>
    </row>
    <row r="3055" customFormat="false" ht="54" hidden="false" customHeight="true" outlineLevel="0" collapsed="false">
      <c r="A3055" s="32" t="s">
        <v>13474</v>
      </c>
      <c r="B3055" s="32" t="s">
        <v>6927</v>
      </c>
      <c r="C3055" s="33" t="s">
        <v>1407</v>
      </c>
      <c r="D3055" s="33" t="s">
        <v>50</v>
      </c>
      <c r="E3055" s="33" t="s">
        <v>80</v>
      </c>
      <c r="F3055" s="33" t="s">
        <v>13475</v>
      </c>
      <c r="G3055" s="33" t="s">
        <v>9</v>
      </c>
      <c r="H3055" s="33" t="n">
        <v>10</v>
      </c>
    </row>
    <row r="3056" customFormat="false" ht="54" hidden="false" customHeight="true" outlineLevel="0" collapsed="false">
      <c r="A3056" s="32" t="s">
        <v>13476</v>
      </c>
      <c r="B3056" s="32" t="s">
        <v>6927</v>
      </c>
      <c r="C3056" s="33" t="s">
        <v>1407</v>
      </c>
      <c r="D3056" s="33" t="s">
        <v>50</v>
      </c>
      <c r="E3056" s="33" t="s">
        <v>81</v>
      </c>
      <c r="F3056" s="33" t="s">
        <v>6522</v>
      </c>
      <c r="G3056" s="33" t="s">
        <v>9</v>
      </c>
      <c r="H3056" s="33" t="n">
        <v>10</v>
      </c>
    </row>
    <row r="3057" customFormat="false" ht="54" hidden="false" customHeight="true" outlineLevel="0" collapsed="false">
      <c r="A3057" s="32" t="s">
        <v>13477</v>
      </c>
      <c r="B3057" s="32" t="s">
        <v>6927</v>
      </c>
      <c r="C3057" s="33" t="s">
        <v>1407</v>
      </c>
      <c r="D3057" s="33" t="s">
        <v>50</v>
      </c>
      <c r="E3057" s="33" t="s">
        <v>82</v>
      </c>
      <c r="F3057" s="33" t="s">
        <v>6931</v>
      </c>
      <c r="G3057" s="33" t="s">
        <v>9</v>
      </c>
      <c r="H3057" s="33" t="n">
        <v>10</v>
      </c>
    </row>
    <row r="3058" customFormat="false" ht="54" hidden="false" customHeight="true" outlineLevel="0" collapsed="false">
      <c r="A3058" s="32" t="s">
        <v>13478</v>
      </c>
      <c r="B3058" s="32" t="s">
        <v>6927</v>
      </c>
      <c r="C3058" s="33" t="s">
        <v>1407</v>
      </c>
      <c r="D3058" s="33" t="s">
        <v>50</v>
      </c>
      <c r="E3058" s="33" t="s">
        <v>84</v>
      </c>
      <c r="F3058" s="33" t="s">
        <v>183</v>
      </c>
      <c r="G3058" s="33" t="s">
        <v>9</v>
      </c>
      <c r="H3058" s="33" t="n">
        <v>10</v>
      </c>
    </row>
    <row r="3059" customFormat="false" ht="54" hidden="false" customHeight="true" outlineLevel="0" collapsed="false">
      <c r="A3059" s="32" t="s">
        <v>13479</v>
      </c>
      <c r="B3059" s="32" t="s">
        <v>6927</v>
      </c>
      <c r="C3059" s="33" t="s">
        <v>1407</v>
      </c>
      <c r="D3059" s="33" t="s">
        <v>50</v>
      </c>
      <c r="E3059" s="33" t="s">
        <v>84</v>
      </c>
      <c r="F3059" s="33" t="s">
        <v>13471</v>
      </c>
      <c r="G3059" s="33" t="s">
        <v>9</v>
      </c>
      <c r="H3059" s="33" t="n">
        <v>10</v>
      </c>
    </row>
    <row r="3060" customFormat="false" ht="54" hidden="false" customHeight="true" outlineLevel="0" collapsed="false">
      <c r="A3060" s="32" t="s">
        <v>13480</v>
      </c>
      <c r="B3060" s="32" t="s">
        <v>6927</v>
      </c>
      <c r="C3060" s="33" t="s">
        <v>1407</v>
      </c>
      <c r="D3060" s="33" t="s">
        <v>50</v>
      </c>
      <c r="E3060" s="33" t="s">
        <v>84</v>
      </c>
      <c r="F3060" s="33" t="s">
        <v>13473</v>
      </c>
      <c r="G3060" s="33" t="s">
        <v>9</v>
      </c>
      <c r="H3060" s="33" t="n">
        <v>10</v>
      </c>
    </row>
    <row r="3061" customFormat="false" ht="54" hidden="false" customHeight="true" outlineLevel="0" collapsed="false">
      <c r="A3061" s="32" t="s">
        <v>13481</v>
      </c>
      <c r="B3061" s="32" t="s">
        <v>6927</v>
      </c>
      <c r="C3061" s="33" t="s">
        <v>1407</v>
      </c>
      <c r="D3061" s="33" t="s">
        <v>50</v>
      </c>
      <c r="E3061" s="33" t="s">
        <v>84</v>
      </c>
      <c r="F3061" s="33" t="s">
        <v>13475</v>
      </c>
      <c r="G3061" s="33" t="s">
        <v>9</v>
      </c>
      <c r="H3061" s="33" t="n">
        <v>10</v>
      </c>
    </row>
    <row r="3062" customFormat="false" ht="54" hidden="false" customHeight="true" outlineLevel="0" collapsed="false">
      <c r="A3062" s="32" t="s">
        <v>13482</v>
      </c>
      <c r="B3062" s="32" t="s">
        <v>6939</v>
      </c>
      <c r="C3062" s="33" t="s">
        <v>1407</v>
      </c>
      <c r="D3062" s="33" t="s">
        <v>50</v>
      </c>
      <c r="E3062" s="33" t="s">
        <v>80</v>
      </c>
      <c r="F3062" s="33" t="s">
        <v>1747</v>
      </c>
      <c r="G3062" s="33" t="s">
        <v>9</v>
      </c>
      <c r="H3062" s="33" t="n">
        <v>10</v>
      </c>
    </row>
    <row r="3063" customFormat="false" ht="54" hidden="false" customHeight="true" outlineLevel="0" collapsed="false">
      <c r="A3063" s="32" t="s">
        <v>13483</v>
      </c>
      <c r="B3063" s="32" t="s">
        <v>6939</v>
      </c>
      <c r="C3063" s="33" t="s">
        <v>1407</v>
      </c>
      <c r="D3063" s="33" t="s">
        <v>50</v>
      </c>
      <c r="E3063" s="33" t="s">
        <v>80</v>
      </c>
      <c r="F3063" s="33" t="s">
        <v>183</v>
      </c>
      <c r="G3063" s="33" t="s">
        <v>9</v>
      </c>
      <c r="H3063" s="33" t="n">
        <v>10</v>
      </c>
    </row>
    <row r="3064" customFormat="false" ht="54" hidden="false" customHeight="true" outlineLevel="0" collapsed="false">
      <c r="A3064" s="32" t="s">
        <v>13484</v>
      </c>
      <c r="B3064" s="32" t="s">
        <v>6939</v>
      </c>
      <c r="C3064" s="33" t="s">
        <v>1407</v>
      </c>
      <c r="D3064" s="33" t="s">
        <v>50</v>
      </c>
      <c r="E3064" s="33" t="s">
        <v>81</v>
      </c>
      <c r="F3064" s="33" t="s">
        <v>1747</v>
      </c>
      <c r="G3064" s="33" t="s">
        <v>9</v>
      </c>
      <c r="H3064" s="33" t="n">
        <v>10</v>
      </c>
    </row>
    <row r="3065" customFormat="false" ht="54" hidden="false" customHeight="true" outlineLevel="0" collapsed="false">
      <c r="A3065" s="32" t="s">
        <v>13485</v>
      </c>
      <c r="B3065" s="32" t="s">
        <v>6939</v>
      </c>
      <c r="C3065" s="33" t="s">
        <v>1407</v>
      </c>
      <c r="D3065" s="33" t="s">
        <v>50</v>
      </c>
      <c r="E3065" s="33" t="s">
        <v>81</v>
      </c>
      <c r="F3065" s="33" t="s">
        <v>1748</v>
      </c>
      <c r="G3065" s="33" t="s">
        <v>9</v>
      </c>
      <c r="H3065" s="33" t="n">
        <v>10</v>
      </c>
    </row>
    <row r="3066" customFormat="false" ht="54" hidden="false" customHeight="true" outlineLevel="0" collapsed="false">
      <c r="A3066" s="32" t="s">
        <v>13486</v>
      </c>
      <c r="B3066" s="32" t="s">
        <v>6939</v>
      </c>
      <c r="C3066" s="33" t="s">
        <v>1407</v>
      </c>
      <c r="D3066" s="33" t="s">
        <v>50</v>
      </c>
      <c r="E3066" s="33" t="s">
        <v>84</v>
      </c>
      <c r="F3066" s="33" t="s">
        <v>183</v>
      </c>
      <c r="G3066" s="33" t="s">
        <v>9</v>
      </c>
      <c r="H3066" s="33" t="n">
        <v>10</v>
      </c>
    </row>
    <row r="3067" customFormat="false" ht="54" hidden="false" customHeight="true" outlineLevel="0" collapsed="false">
      <c r="A3067" s="32" t="s">
        <v>13487</v>
      </c>
      <c r="B3067" s="32" t="s">
        <v>6939</v>
      </c>
      <c r="C3067" s="33" t="s">
        <v>1407</v>
      </c>
      <c r="D3067" s="33" t="s">
        <v>50</v>
      </c>
      <c r="E3067" s="33" t="s">
        <v>84</v>
      </c>
      <c r="F3067" s="33" t="s">
        <v>13488</v>
      </c>
      <c r="G3067" s="33" t="s">
        <v>9</v>
      </c>
      <c r="H3067" s="33" t="n">
        <v>10</v>
      </c>
    </row>
    <row r="3068" customFormat="false" ht="54" hidden="false" customHeight="true" outlineLevel="0" collapsed="false">
      <c r="A3068" s="32" t="s">
        <v>13489</v>
      </c>
      <c r="B3068" s="32" t="s">
        <v>6939</v>
      </c>
      <c r="C3068" s="33" t="s">
        <v>1407</v>
      </c>
      <c r="D3068" s="33" t="s">
        <v>50</v>
      </c>
      <c r="E3068" s="33" t="s">
        <v>84</v>
      </c>
      <c r="F3068" s="33" t="s">
        <v>13490</v>
      </c>
      <c r="G3068" s="33" t="s">
        <v>9</v>
      </c>
      <c r="H3068" s="33" t="n">
        <v>10</v>
      </c>
    </row>
    <row r="3069" customFormat="false" ht="54" hidden="false" customHeight="true" outlineLevel="0" collapsed="false">
      <c r="A3069" s="32" t="s">
        <v>13491</v>
      </c>
      <c r="B3069" s="32" t="s">
        <v>6950</v>
      </c>
      <c r="C3069" s="33" t="s">
        <v>98</v>
      </c>
      <c r="D3069" s="33" t="s">
        <v>59</v>
      </c>
      <c r="E3069" s="33" t="s">
        <v>80</v>
      </c>
      <c r="F3069" s="33" t="s">
        <v>183</v>
      </c>
      <c r="G3069" s="33" t="s">
        <v>9</v>
      </c>
      <c r="H3069" s="33" t="n">
        <v>10</v>
      </c>
    </row>
    <row r="3070" customFormat="false" ht="54" hidden="false" customHeight="true" outlineLevel="0" collapsed="false">
      <c r="A3070" s="32" t="s">
        <v>13492</v>
      </c>
      <c r="B3070" s="32" t="s">
        <v>6950</v>
      </c>
      <c r="C3070" s="33" t="s">
        <v>98</v>
      </c>
      <c r="D3070" s="33" t="s">
        <v>59</v>
      </c>
      <c r="E3070" s="33" t="s">
        <v>80</v>
      </c>
      <c r="F3070" s="33" t="s">
        <v>13493</v>
      </c>
      <c r="G3070" s="33" t="s">
        <v>9</v>
      </c>
      <c r="H3070" s="33" t="n">
        <v>10</v>
      </c>
    </row>
    <row r="3071" customFormat="false" ht="54" hidden="false" customHeight="true" outlineLevel="0" collapsed="false">
      <c r="A3071" s="32" t="s">
        <v>13494</v>
      </c>
      <c r="B3071" s="32" t="s">
        <v>6950</v>
      </c>
      <c r="C3071" s="33" t="s">
        <v>98</v>
      </c>
      <c r="D3071" s="33" t="s">
        <v>59</v>
      </c>
      <c r="E3071" s="33" t="s">
        <v>80</v>
      </c>
      <c r="F3071" s="33" t="s">
        <v>13495</v>
      </c>
      <c r="G3071" s="33" t="s">
        <v>9</v>
      </c>
      <c r="H3071" s="33" t="n">
        <v>10</v>
      </c>
    </row>
    <row r="3072" customFormat="false" ht="54" hidden="false" customHeight="true" outlineLevel="0" collapsed="false">
      <c r="A3072" s="32" t="s">
        <v>13496</v>
      </c>
      <c r="B3072" s="32" t="s">
        <v>6950</v>
      </c>
      <c r="C3072" s="33" t="s">
        <v>98</v>
      </c>
      <c r="D3072" s="33" t="s">
        <v>59</v>
      </c>
      <c r="E3072" s="33" t="s">
        <v>80</v>
      </c>
      <c r="F3072" s="33" t="s">
        <v>13497</v>
      </c>
      <c r="G3072" s="33" t="s">
        <v>9</v>
      </c>
      <c r="H3072" s="33" t="n">
        <v>10</v>
      </c>
    </row>
    <row r="3073" customFormat="false" ht="54" hidden="false" customHeight="true" outlineLevel="0" collapsed="false">
      <c r="A3073" s="32" t="s">
        <v>13498</v>
      </c>
      <c r="B3073" s="32" t="s">
        <v>6950</v>
      </c>
      <c r="C3073" s="33" t="s">
        <v>98</v>
      </c>
      <c r="D3073" s="33" t="s">
        <v>59</v>
      </c>
      <c r="E3073" s="33" t="s">
        <v>81</v>
      </c>
      <c r="F3073" s="33" t="s">
        <v>6956</v>
      </c>
      <c r="G3073" s="33" t="s">
        <v>9</v>
      </c>
      <c r="H3073" s="33" t="n">
        <v>10</v>
      </c>
    </row>
    <row r="3074" customFormat="false" ht="54" hidden="false" customHeight="true" outlineLevel="0" collapsed="false">
      <c r="A3074" s="32" t="s">
        <v>13499</v>
      </c>
      <c r="B3074" s="32" t="s">
        <v>6950</v>
      </c>
      <c r="C3074" s="33" t="s">
        <v>98</v>
      </c>
      <c r="D3074" s="33" t="s">
        <v>59</v>
      </c>
      <c r="E3074" s="33" t="s">
        <v>81</v>
      </c>
      <c r="F3074" s="33" t="s">
        <v>13500</v>
      </c>
      <c r="G3074" s="33" t="s">
        <v>9</v>
      </c>
      <c r="H3074" s="33" t="n">
        <v>10</v>
      </c>
    </row>
    <row r="3075" customFormat="false" ht="54" hidden="false" customHeight="true" outlineLevel="0" collapsed="false">
      <c r="A3075" s="32" t="s">
        <v>13501</v>
      </c>
      <c r="B3075" s="32" t="s">
        <v>6950</v>
      </c>
      <c r="C3075" s="33" t="s">
        <v>98</v>
      </c>
      <c r="D3075" s="33" t="s">
        <v>59</v>
      </c>
      <c r="E3075" s="33" t="s">
        <v>81</v>
      </c>
      <c r="F3075" s="33" t="s">
        <v>13493</v>
      </c>
      <c r="G3075" s="33" t="s">
        <v>9</v>
      </c>
      <c r="H3075" s="33" t="n">
        <v>10</v>
      </c>
    </row>
    <row r="3076" customFormat="false" ht="54" hidden="false" customHeight="true" outlineLevel="0" collapsed="false">
      <c r="A3076" s="32" t="s">
        <v>13502</v>
      </c>
      <c r="B3076" s="32" t="s">
        <v>6950</v>
      </c>
      <c r="C3076" s="33" t="s">
        <v>98</v>
      </c>
      <c r="D3076" s="33" t="s">
        <v>59</v>
      </c>
      <c r="E3076" s="33" t="s">
        <v>81</v>
      </c>
      <c r="F3076" s="33" t="s">
        <v>13503</v>
      </c>
      <c r="G3076" s="33" t="s">
        <v>9</v>
      </c>
      <c r="H3076" s="33" t="n">
        <v>10</v>
      </c>
    </row>
    <row r="3077" customFormat="false" ht="54" hidden="false" customHeight="true" outlineLevel="0" collapsed="false">
      <c r="A3077" s="32" t="s">
        <v>13504</v>
      </c>
      <c r="B3077" s="32" t="s">
        <v>6950</v>
      </c>
      <c r="C3077" s="33" t="s">
        <v>98</v>
      </c>
      <c r="D3077" s="33" t="s">
        <v>59</v>
      </c>
      <c r="E3077" s="33" t="s">
        <v>81</v>
      </c>
      <c r="F3077" s="33" t="s">
        <v>13505</v>
      </c>
      <c r="G3077" s="33" t="s">
        <v>9</v>
      </c>
      <c r="H3077" s="33" t="n">
        <v>10</v>
      </c>
    </row>
    <row r="3078" customFormat="false" ht="54" hidden="false" customHeight="true" outlineLevel="0" collapsed="false">
      <c r="A3078" s="32" t="s">
        <v>13506</v>
      </c>
      <c r="B3078" s="32" t="s">
        <v>6950</v>
      </c>
      <c r="C3078" s="33" t="s">
        <v>98</v>
      </c>
      <c r="D3078" s="33" t="s">
        <v>59</v>
      </c>
      <c r="E3078" s="33" t="s">
        <v>84</v>
      </c>
      <c r="F3078" s="33" t="s">
        <v>183</v>
      </c>
      <c r="G3078" s="33" t="s">
        <v>9</v>
      </c>
      <c r="H3078" s="33" t="n">
        <v>10</v>
      </c>
    </row>
    <row r="3079" customFormat="false" ht="54" hidden="false" customHeight="true" outlineLevel="0" collapsed="false">
      <c r="A3079" s="32" t="s">
        <v>13507</v>
      </c>
      <c r="B3079" s="32" t="s">
        <v>6950</v>
      </c>
      <c r="C3079" s="33" t="s">
        <v>98</v>
      </c>
      <c r="D3079" s="33" t="s">
        <v>59</v>
      </c>
      <c r="E3079" s="33" t="s">
        <v>84</v>
      </c>
      <c r="F3079" s="33" t="s">
        <v>13493</v>
      </c>
      <c r="G3079" s="33" t="s">
        <v>9</v>
      </c>
      <c r="H3079" s="33" t="n">
        <v>10</v>
      </c>
    </row>
    <row r="3080" customFormat="false" ht="54" hidden="false" customHeight="true" outlineLevel="0" collapsed="false">
      <c r="A3080" s="32" t="s">
        <v>13508</v>
      </c>
      <c r="B3080" s="32" t="s">
        <v>6950</v>
      </c>
      <c r="C3080" s="33" t="s">
        <v>98</v>
      </c>
      <c r="D3080" s="33" t="s">
        <v>59</v>
      </c>
      <c r="E3080" s="33" t="s">
        <v>84</v>
      </c>
      <c r="F3080" s="33" t="s">
        <v>13497</v>
      </c>
      <c r="G3080" s="33" t="s">
        <v>9</v>
      </c>
      <c r="H3080" s="33" t="n">
        <v>10</v>
      </c>
    </row>
    <row r="3081" customFormat="false" ht="54" hidden="false" customHeight="true" outlineLevel="0" collapsed="false">
      <c r="A3081" s="32" t="s">
        <v>13509</v>
      </c>
      <c r="B3081" s="32" t="s">
        <v>6964</v>
      </c>
      <c r="C3081" s="33" t="s">
        <v>1407</v>
      </c>
      <c r="D3081" s="33" t="s">
        <v>50</v>
      </c>
      <c r="E3081" s="33" t="s">
        <v>80</v>
      </c>
      <c r="F3081" s="33" t="s">
        <v>6672</v>
      </c>
      <c r="G3081" s="33" t="s">
        <v>9</v>
      </c>
      <c r="H3081" s="33" t="n">
        <v>10</v>
      </c>
    </row>
    <row r="3082" customFormat="false" ht="54" hidden="false" customHeight="true" outlineLevel="0" collapsed="false">
      <c r="A3082" s="32" t="s">
        <v>13510</v>
      </c>
      <c r="B3082" s="32" t="s">
        <v>6964</v>
      </c>
      <c r="C3082" s="33" t="s">
        <v>1407</v>
      </c>
      <c r="D3082" s="33" t="s">
        <v>50</v>
      </c>
      <c r="E3082" s="33" t="s">
        <v>80</v>
      </c>
      <c r="F3082" s="33" t="s">
        <v>183</v>
      </c>
      <c r="G3082" s="33" t="s">
        <v>9</v>
      </c>
      <c r="H3082" s="33" t="n">
        <v>10</v>
      </c>
    </row>
    <row r="3083" customFormat="false" ht="54" hidden="false" customHeight="true" outlineLevel="0" collapsed="false">
      <c r="A3083" s="32" t="s">
        <v>13511</v>
      </c>
      <c r="B3083" s="32" t="s">
        <v>6964</v>
      </c>
      <c r="C3083" s="33" t="s">
        <v>1407</v>
      </c>
      <c r="D3083" s="33" t="s">
        <v>50</v>
      </c>
      <c r="E3083" s="33" t="s">
        <v>80</v>
      </c>
      <c r="F3083" s="33" t="s">
        <v>13048</v>
      </c>
      <c r="G3083" s="33" t="s">
        <v>9</v>
      </c>
      <c r="H3083" s="33" t="n">
        <v>10</v>
      </c>
    </row>
    <row r="3084" customFormat="false" ht="54" hidden="false" customHeight="true" outlineLevel="0" collapsed="false">
      <c r="A3084" s="32" t="s">
        <v>13512</v>
      </c>
      <c r="B3084" s="32" t="s">
        <v>6964</v>
      </c>
      <c r="C3084" s="33" t="s">
        <v>1407</v>
      </c>
      <c r="D3084" s="33" t="s">
        <v>50</v>
      </c>
      <c r="E3084" s="33" t="s">
        <v>80</v>
      </c>
      <c r="F3084" s="33" t="s">
        <v>13513</v>
      </c>
      <c r="G3084" s="33" t="s">
        <v>9</v>
      </c>
      <c r="H3084" s="33" t="n">
        <v>10</v>
      </c>
    </row>
    <row r="3085" customFormat="false" ht="54" hidden="false" customHeight="true" outlineLevel="0" collapsed="false">
      <c r="A3085" s="32" t="s">
        <v>13514</v>
      </c>
      <c r="B3085" s="32" t="s">
        <v>6964</v>
      </c>
      <c r="C3085" s="33" t="s">
        <v>1407</v>
      </c>
      <c r="D3085" s="33" t="s">
        <v>50</v>
      </c>
      <c r="E3085" s="33" t="s">
        <v>81</v>
      </c>
      <c r="F3085" s="33" t="s">
        <v>6672</v>
      </c>
      <c r="G3085" s="33" t="s">
        <v>9</v>
      </c>
      <c r="H3085" s="33" t="n">
        <v>10</v>
      </c>
    </row>
    <row r="3086" customFormat="false" ht="54" hidden="false" customHeight="true" outlineLevel="0" collapsed="false">
      <c r="A3086" s="32" t="s">
        <v>13515</v>
      </c>
      <c r="B3086" s="32" t="s">
        <v>6964</v>
      </c>
      <c r="C3086" s="33" t="s">
        <v>1407</v>
      </c>
      <c r="D3086" s="33" t="s">
        <v>50</v>
      </c>
      <c r="E3086" s="33" t="s">
        <v>81</v>
      </c>
      <c r="F3086" s="33" t="s">
        <v>13516</v>
      </c>
      <c r="G3086" s="33" t="s">
        <v>9</v>
      </c>
      <c r="H3086" s="33" t="n">
        <v>10</v>
      </c>
    </row>
    <row r="3087" customFormat="false" ht="54" hidden="false" customHeight="true" outlineLevel="0" collapsed="false">
      <c r="A3087" s="32" t="s">
        <v>13517</v>
      </c>
      <c r="B3087" s="32" t="s">
        <v>6964</v>
      </c>
      <c r="C3087" s="33" t="s">
        <v>1407</v>
      </c>
      <c r="D3087" s="33" t="s">
        <v>50</v>
      </c>
      <c r="E3087" s="33" t="s">
        <v>81</v>
      </c>
      <c r="F3087" s="33" t="s">
        <v>6973</v>
      </c>
      <c r="G3087" s="33" t="s">
        <v>9</v>
      </c>
      <c r="H3087" s="33" t="n">
        <v>10</v>
      </c>
    </row>
    <row r="3088" customFormat="false" ht="54" hidden="false" customHeight="true" outlineLevel="0" collapsed="false">
      <c r="A3088" s="32" t="s">
        <v>13518</v>
      </c>
      <c r="B3088" s="32" t="s">
        <v>6964</v>
      </c>
      <c r="C3088" s="33" t="s">
        <v>1407</v>
      </c>
      <c r="D3088" s="33" t="s">
        <v>50</v>
      </c>
      <c r="E3088" s="33" t="s">
        <v>82</v>
      </c>
      <c r="F3088" s="33" t="s">
        <v>5410</v>
      </c>
      <c r="G3088" s="33" t="s">
        <v>9</v>
      </c>
      <c r="H3088" s="33" t="n">
        <v>10</v>
      </c>
    </row>
    <row r="3089" customFormat="false" ht="54" hidden="false" customHeight="true" outlineLevel="0" collapsed="false">
      <c r="A3089" s="32" t="s">
        <v>13519</v>
      </c>
      <c r="B3089" s="32" t="s">
        <v>6964</v>
      </c>
      <c r="C3089" s="33" t="s">
        <v>1407</v>
      </c>
      <c r="D3089" s="33" t="s">
        <v>50</v>
      </c>
      <c r="E3089" s="33" t="s">
        <v>82</v>
      </c>
      <c r="F3089" s="33" t="s">
        <v>13520</v>
      </c>
      <c r="G3089" s="33" t="s">
        <v>9</v>
      </c>
      <c r="H3089" s="33" t="n">
        <v>10</v>
      </c>
    </row>
    <row r="3090" customFormat="false" ht="54" hidden="false" customHeight="true" outlineLevel="0" collapsed="false">
      <c r="A3090" s="32" t="s">
        <v>13521</v>
      </c>
      <c r="B3090" s="32" t="s">
        <v>6964</v>
      </c>
      <c r="C3090" s="33" t="s">
        <v>1407</v>
      </c>
      <c r="D3090" s="33" t="s">
        <v>50</v>
      </c>
      <c r="E3090" s="33" t="s">
        <v>82</v>
      </c>
      <c r="F3090" s="33" t="s">
        <v>13516</v>
      </c>
      <c r="G3090" s="33" t="s">
        <v>9</v>
      </c>
      <c r="H3090" s="33" t="n">
        <v>10</v>
      </c>
    </row>
    <row r="3091" customFormat="false" ht="54" hidden="false" customHeight="true" outlineLevel="0" collapsed="false">
      <c r="A3091" s="32" t="s">
        <v>13522</v>
      </c>
      <c r="B3091" s="32" t="s">
        <v>6964</v>
      </c>
      <c r="C3091" s="33" t="s">
        <v>1407</v>
      </c>
      <c r="D3091" s="33" t="s">
        <v>50</v>
      </c>
      <c r="E3091" s="33" t="s">
        <v>83</v>
      </c>
      <c r="F3091" s="33" t="s">
        <v>6973</v>
      </c>
      <c r="G3091" s="33" t="s">
        <v>9</v>
      </c>
      <c r="H3091" s="33" t="n">
        <v>10</v>
      </c>
    </row>
    <row r="3092" customFormat="false" ht="54" hidden="false" customHeight="true" outlineLevel="0" collapsed="false">
      <c r="A3092" s="32" t="s">
        <v>13523</v>
      </c>
      <c r="B3092" s="32" t="s">
        <v>6964</v>
      </c>
      <c r="C3092" s="33" t="s">
        <v>1407</v>
      </c>
      <c r="D3092" s="33" t="s">
        <v>50</v>
      </c>
      <c r="E3092" s="33" t="s">
        <v>84</v>
      </c>
      <c r="F3092" s="33" t="s">
        <v>183</v>
      </c>
      <c r="G3092" s="33" t="s">
        <v>9</v>
      </c>
      <c r="H3092" s="33" t="n">
        <v>10</v>
      </c>
    </row>
    <row r="3093" customFormat="false" ht="54" hidden="false" customHeight="true" outlineLevel="0" collapsed="false">
      <c r="A3093" s="32" t="s">
        <v>13524</v>
      </c>
      <c r="B3093" s="32" t="s">
        <v>6964</v>
      </c>
      <c r="C3093" s="33" t="s">
        <v>1407</v>
      </c>
      <c r="D3093" s="33" t="s">
        <v>50</v>
      </c>
      <c r="E3093" s="33" t="s">
        <v>84</v>
      </c>
      <c r="F3093" s="33" t="s">
        <v>13048</v>
      </c>
      <c r="G3093" s="33" t="s">
        <v>9</v>
      </c>
      <c r="H3093" s="33" t="n">
        <v>10</v>
      </c>
    </row>
    <row r="3094" customFormat="false" ht="54" hidden="false" customHeight="true" outlineLevel="0" collapsed="false">
      <c r="A3094" s="32" t="s">
        <v>13525</v>
      </c>
      <c r="B3094" s="32" t="s">
        <v>6964</v>
      </c>
      <c r="C3094" s="33" t="s">
        <v>1407</v>
      </c>
      <c r="D3094" s="33" t="s">
        <v>50</v>
      </c>
      <c r="E3094" s="33" t="s">
        <v>84</v>
      </c>
      <c r="F3094" s="33" t="s">
        <v>13513</v>
      </c>
      <c r="G3094" s="33" t="s">
        <v>9</v>
      </c>
      <c r="H3094" s="33" t="n">
        <v>10</v>
      </c>
    </row>
    <row r="3095" customFormat="false" ht="54" hidden="false" customHeight="true" outlineLevel="0" collapsed="false">
      <c r="A3095" s="32" t="s">
        <v>13526</v>
      </c>
      <c r="B3095" s="32" t="s">
        <v>6977</v>
      </c>
      <c r="C3095" s="33" t="s">
        <v>1407</v>
      </c>
      <c r="D3095" s="33" t="s">
        <v>50</v>
      </c>
      <c r="E3095" s="33" t="s">
        <v>80</v>
      </c>
      <c r="F3095" s="33" t="s">
        <v>6979</v>
      </c>
      <c r="G3095" s="33" t="s">
        <v>9</v>
      </c>
      <c r="H3095" s="33" t="n">
        <v>10</v>
      </c>
    </row>
    <row r="3096" customFormat="false" ht="54" hidden="false" customHeight="true" outlineLevel="0" collapsed="false">
      <c r="A3096" s="32" t="s">
        <v>13527</v>
      </c>
      <c r="B3096" s="32" t="s">
        <v>6977</v>
      </c>
      <c r="C3096" s="33" t="s">
        <v>1407</v>
      </c>
      <c r="D3096" s="33" t="s">
        <v>50</v>
      </c>
      <c r="E3096" s="33" t="s">
        <v>80</v>
      </c>
      <c r="F3096" s="33" t="s">
        <v>183</v>
      </c>
      <c r="G3096" s="33" t="s">
        <v>9</v>
      </c>
      <c r="H3096" s="33" t="n">
        <v>10</v>
      </c>
    </row>
    <row r="3097" customFormat="false" ht="54" hidden="false" customHeight="true" outlineLevel="0" collapsed="false">
      <c r="A3097" s="32" t="s">
        <v>13528</v>
      </c>
      <c r="B3097" s="32" t="s">
        <v>6977</v>
      </c>
      <c r="C3097" s="33" t="s">
        <v>1407</v>
      </c>
      <c r="D3097" s="33" t="s">
        <v>50</v>
      </c>
      <c r="E3097" s="33" t="s">
        <v>80</v>
      </c>
      <c r="F3097" s="33" t="s">
        <v>13048</v>
      </c>
      <c r="G3097" s="33" t="s">
        <v>9</v>
      </c>
      <c r="H3097" s="33" t="n">
        <v>10</v>
      </c>
    </row>
    <row r="3098" customFormat="false" ht="54" hidden="false" customHeight="true" outlineLevel="0" collapsed="false">
      <c r="A3098" s="32" t="s">
        <v>13529</v>
      </c>
      <c r="B3098" s="32" t="s">
        <v>6977</v>
      </c>
      <c r="C3098" s="33" t="s">
        <v>1407</v>
      </c>
      <c r="D3098" s="33" t="s">
        <v>50</v>
      </c>
      <c r="E3098" s="33" t="s">
        <v>81</v>
      </c>
      <c r="F3098" s="33" t="s">
        <v>6979</v>
      </c>
      <c r="G3098" s="33" t="s">
        <v>9</v>
      </c>
      <c r="H3098" s="33" t="n">
        <v>10</v>
      </c>
    </row>
    <row r="3099" customFormat="false" ht="54" hidden="false" customHeight="true" outlineLevel="0" collapsed="false">
      <c r="A3099" s="32" t="s">
        <v>13530</v>
      </c>
      <c r="B3099" s="32" t="s">
        <v>6977</v>
      </c>
      <c r="C3099" s="33" t="s">
        <v>1407</v>
      </c>
      <c r="D3099" s="33" t="s">
        <v>50</v>
      </c>
      <c r="E3099" s="33" t="s">
        <v>81</v>
      </c>
      <c r="F3099" s="33" t="s">
        <v>13531</v>
      </c>
      <c r="G3099" s="33" t="s">
        <v>9</v>
      </c>
      <c r="H3099" s="33" t="n">
        <v>10</v>
      </c>
    </row>
    <row r="3100" customFormat="false" ht="54" hidden="false" customHeight="true" outlineLevel="0" collapsed="false">
      <c r="A3100" s="32" t="s">
        <v>13532</v>
      </c>
      <c r="B3100" s="32" t="s">
        <v>6977</v>
      </c>
      <c r="C3100" s="33" t="s">
        <v>1407</v>
      </c>
      <c r="D3100" s="33" t="s">
        <v>50</v>
      </c>
      <c r="E3100" s="33" t="s">
        <v>81</v>
      </c>
      <c r="F3100" s="33" t="s">
        <v>6973</v>
      </c>
      <c r="G3100" s="33" t="s">
        <v>9</v>
      </c>
      <c r="H3100" s="33" t="n">
        <v>10</v>
      </c>
    </row>
    <row r="3101" customFormat="false" ht="54" hidden="false" customHeight="true" outlineLevel="0" collapsed="false">
      <c r="A3101" s="32" t="s">
        <v>13533</v>
      </c>
      <c r="B3101" s="32" t="s">
        <v>6977</v>
      </c>
      <c r="C3101" s="33" t="s">
        <v>1407</v>
      </c>
      <c r="D3101" s="33" t="s">
        <v>50</v>
      </c>
      <c r="E3101" s="33" t="s">
        <v>82</v>
      </c>
      <c r="F3101" s="33" t="s">
        <v>5410</v>
      </c>
      <c r="G3101" s="33" t="s">
        <v>9</v>
      </c>
      <c r="H3101" s="33" t="n">
        <v>10</v>
      </c>
    </row>
    <row r="3102" customFormat="false" ht="54" hidden="false" customHeight="true" outlineLevel="0" collapsed="false">
      <c r="A3102" s="32" t="s">
        <v>13534</v>
      </c>
      <c r="B3102" s="32" t="s">
        <v>6977</v>
      </c>
      <c r="C3102" s="33" t="s">
        <v>1407</v>
      </c>
      <c r="D3102" s="33" t="s">
        <v>50</v>
      </c>
      <c r="E3102" s="33" t="s">
        <v>82</v>
      </c>
      <c r="F3102" s="33" t="s">
        <v>13535</v>
      </c>
      <c r="G3102" s="33" t="s">
        <v>9</v>
      </c>
      <c r="H3102" s="33" t="n">
        <v>10</v>
      </c>
    </row>
    <row r="3103" customFormat="false" ht="54" hidden="false" customHeight="true" outlineLevel="0" collapsed="false">
      <c r="A3103" s="32" t="s">
        <v>13536</v>
      </c>
      <c r="B3103" s="32" t="s">
        <v>6977</v>
      </c>
      <c r="C3103" s="33" t="s">
        <v>1407</v>
      </c>
      <c r="D3103" s="33" t="s">
        <v>50</v>
      </c>
      <c r="E3103" s="33" t="s">
        <v>82</v>
      </c>
      <c r="F3103" s="33" t="s">
        <v>13531</v>
      </c>
      <c r="G3103" s="33" t="s">
        <v>9</v>
      </c>
      <c r="H3103" s="33" t="n">
        <v>10</v>
      </c>
    </row>
    <row r="3104" customFormat="false" ht="54" hidden="false" customHeight="true" outlineLevel="0" collapsed="false">
      <c r="A3104" s="32" t="s">
        <v>13537</v>
      </c>
      <c r="B3104" s="32" t="s">
        <v>6977</v>
      </c>
      <c r="C3104" s="33" t="s">
        <v>1407</v>
      </c>
      <c r="D3104" s="33" t="s">
        <v>50</v>
      </c>
      <c r="E3104" s="33" t="s">
        <v>83</v>
      </c>
      <c r="F3104" s="33" t="s">
        <v>6973</v>
      </c>
      <c r="G3104" s="33" t="s">
        <v>9</v>
      </c>
      <c r="H3104" s="33" t="n">
        <v>10</v>
      </c>
    </row>
    <row r="3105" customFormat="false" ht="54" hidden="false" customHeight="true" outlineLevel="0" collapsed="false">
      <c r="A3105" s="32" t="s">
        <v>13538</v>
      </c>
      <c r="B3105" s="32" t="s">
        <v>6977</v>
      </c>
      <c r="C3105" s="33" t="s">
        <v>1407</v>
      </c>
      <c r="D3105" s="33" t="s">
        <v>50</v>
      </c>
      <c r="E3105" s="33" t="s">
        <v>84</v>
      </c>
      <c r="F3105" s="33" t="s">
        <v>183</v>
      </c>
      <c r="G3105" s="33" t="s">
        <v>9</v>
      </c>
      <c r="H3105" s="33" t="n">
        <v>10</v>
      </c>
    </row>
    <row r="3106" customFormat="false" ht="54" hidden="false" customHeight="true" outlineLevel="0" collapsed="false">
      <c r="A3106" s="32" t="s">
        <v>13539</v>
      </c>
      <c r="B3106" s="32" t="s">
        <v>6977</v>
      </c>
      <c r="C3106" s="33" t="s">
        <v>1407</v>
      </c>
      <c r="D3106" s="33" t="s">
        <v>50</v>
      </c>
      <c r="E3106" s="33" t="s">
        <v>84</v>
      </c>
      <c r="F3106" s="33" t="s">
        <v>13048</v>
      </c>
      <c r="G3106" s="33" t="s">
        <v>9</v>
      </c>
      <c r="H3106" s="33" t="n">
        <v>10</v>
      </c>
    </row>
    <row r="3107" customFormat="false" ht="54" hidden="false" customHeight="true" outlineLevel="0" collapsed="false">
      <c r="A3107" s="32" t="s">
        <v>13540</v>
      </c>
      <c r="B3107" s="32" t="s">
        <v>6989</v>
      </c>
      <c r="C3107" s="33" t="s">
        <v>1407</v>
      </c>
      <c r="D3107" s="33" t="s">
        <v>50</v>
      </c>
      <c r="E3107" s="33" t="s">
        <v>80</v>
      </c>
      <c r="F3107" s="33" t="s">
        <v>183</v>
      </c>
      <c r="G3107" s="33" t="s">
        <v>9</v>
      </c>
      <c r="H3107" s="33" t="n">
        <v>60</v>
      </c>
    </row>
    <row r="3108" customFormat="false" ht="54" hidden="false" customHeight="true" outlineLevel="0" collapsed="false">
      <c r="A3108" s="32" t="s">
        <v>13541</v>
      </c>
      <c r="B3108" s="32" t="s">
        <v>6989</v>
      </c>
      <c r="C3108" s="33" t="s">
        <v>1407</v>
      </c>
      <c r="D3108" s="33" t="s">
        <v>50</v>
      </c>
      <c r="E3108" s="33" t="s">
        <v>80</v>
      </c>
      <c r="F3108" s="33" t="s">
        <v>13542</v>
      </c>
      <c r="G3108" s="33" t="s">
        <v>9</v>
      </c>
      <c r="H3108" s="33" t="n">
        <v>60</v>
      </c>
    </row>
    <row r="3109" customFormat="false" ht="54" hidden="false" customHeight="true" outlineLevel="0" collapsed="false">
      <c r="A3109" s="32" t="s">
        <v>13543</v>
      </c>
      <c r="B3109" s="32" t="s">
        <v>6989</v>
      </c>
      <c r="C3109" s="33" t="s">
        <v>1407</v>
      </c>
      <c r="D3109" s="33" t="s">
        <v>50</v>
      </c>
      <c r="E3109" s="33" t="s">
        <v>80</v>
      </c>
      <c r="F3109" s="33" t="s">
        <v>13544</v>
      </c>
      <c r="G3109" s="33" t="s">
        <v>9</v>
      </c>
      <c r="H3109" s="33" t="n">
        <v>60</v>
      </c>
    </row>
    <row r="3110" customFormat="false" ht="54" hidden="false" customHeight="true" outlineLevel="0" collapsed="false">
      <c r="A3110" s="32" t="s">
        <v>13545</v>
      </c>
      <c r="B3110" s="32" t="s">
        <v>6989</v>
      </c>
      <c r="C3110" s="33" t="s">
        <v>1407</v>
      </c>
      <c r="D3110" s="33" t="s">
        <v>50</v>
      </c>
      <c r="E3110" s="33" t="s">
        <v>80</v>
      </c>
      <c r="F3110" s="33" t="s">
        <v>13546</v>
      </c>
      <c r="G3110" s="33" t="s">
        <v>9</v>
      </c>
      <c r="H3110" s="33" t="n">
        <v>60</v>
      </c>
    </row>
    <row r="3111" customFormat="false" ht="54" hidden="false" customHeight="true" outlineLevel="0" collapsed="false">
      <c r="A3111" s="32" t="s">
        <v>13547</v>
      </c>
      <c r="B3111" s="32" t="s">
        <v>6989</v>
      </c>
      <c r="C3111" s="33" t="s">
        <v>1407</v>
      </c>
      <c r="D3111" s="33" t="s">
        <v>50</v>
      </c>
      <c r="E3111" s="33" t="s">
        <v>80</v>
      </c>
      <c r="F3111" s="33" t="s">
        <v>13548</v>
      </c>
      <c r="G3111" s="33" t="s">
        <v>9</v>
      </c>
      <c r="H3111" s="33" t="n">
        <v>60</v>
      </c>
    </row>
    <row r="3112" customFormat="false" ht="54" hidden="false" customHeight="true" outlineLevel="0" collapsed="false">
      <c r="A3112" s="32" t="s">
        <v>13549</v>
      </c>
      <c r="B3112" s="32" t="s">
        <v>6989</v>
      </c>
      <c r="C3112" s="33" t="s">
        <v>1407</v>
      </c>
      <c r="D3112" s="33" t="s">
        <v>50</v>
      </c>
      <c r="E3112" s="33" t="s">
        <v>81</v>
      </c>
      <c r="F3112" s="33" t="s">
        <v>6993</v>
      </c>
      <c r="G3112" s="33" t="s">
        <v>9</v>
      </c>
      <c r="H3112" s="33" t="n">
        <v>60</v>
      </c>
    </row>
    <row r="3113" customFormat="false" ht="54" hidden="false" customHeight="true" outlineLevel="0" collapsed="false">
      <c r="A3113" s="32" t="s">
        <v>13550</v>
      </c>
      <c r="B3113" s="32" t="s">
        <v>6989</v>
      </c>
      <c r="C3113" s="33" t="s">
        <v>1407</v>
      </c>
      <c r="D3113" s="33" t="s">
        <v>50</v>
      </c>
      <c r="E3113" s="33" t="s">
        <v>81</v>
      </c>
      <c r="F3113" s="33" t="s">
        <v>13542</v>
      </c>
      <c r="G3113" s="33" t="s">
        <v>9</v>
      </c>
      <c r="H3113" s="33" t="n">
        <v>60</v>
      </c>
    </row>
    <row r="3114" customFormat="false" ht="54" hidden="false" customHeight="true" outlineLevel="0" collapsed="false">
      <c r="A3114" s="32" t="s">
        <v>13551</v>
      </c>
      <c r="B3114" s="32" t="s">
        <v>6989</v>
      </c>
      <c r="C3114" s="33" t="s">
        <v>1407</v>
      </c>
      <c r="D3114" s="33" t="s">
        <v>50</v>
      </c>
      <c r="E3114" s="33" t="s">
        <v>81</v>
      </c>
      <c r="F3114" s="33" t="s">
        <v>13546</v>
      </c>
      <c r="G3114" s="33" t="s">
        <v>9</v>
      </c>
      <c r="H3114" s="33" t="n">
        <v>60</v>
      </c>
    </row>
    <row r="3115" customFormat="false" ht="54" hidden="false" customHeight="true" outlineLevel="0" collapsed="false">
      <c r="A3115" s="32" t="s">
        <v>13552</v>
      </c>
      <c r="B3115" s="32" t="s">
        <v>6989</v>
      </c>
      <c r="C3115" s="33" t="s">
        <v>1407</v>
      </c>
      <c r="D3115" s="33" t="s">
        <v>50</v>
      </c>
      <c r="E3115" s="33" t="s">
        <v>84</v>
      </c>
      <c r="F3115" s="33" t="s">
        <v>6994</v>
      </c>
      <c r="G3115" s="33" t="s">
        <v>9</v>
      </c>
      <c r="H3115" s="33" t="n">
        <v>60</v>
      </c>
    </row>
    <row r="3116" customFormat="false" ht="54" hidden="false" customHeight="true" outlineLevel="0" collapsed="false">
      <c r="A3116" s="32" t="s">
        <v>13553</v>
      </c>
      <c r="B3116" s="32" t="s">
        <v>6989</v>
      </c>
      <c r="C3116" s="33" t="s">
        <v>1407</v>
      </c>
      <c r="D3116" s="33" t="s">
        <v>50</v>
      </c>
      <c r="E3116" s="33" t="s">
        <v>84</v>
      </c>
      <c r="F3116" s="33" t="s">
        <v>183</v>
      </c>
      <c r="G3116" s="33" t="s">
        <v>9</v>
      </c>
      <c r="H3116" s="33" t="n">
        <v>60</v>
      </c>
    </row>
    <row r="3117" customFormat="false" ht="54" hidden="false" customHeight="true" outlineLevel="0" collapsed="false">
      <c r="A3117" s="32" t="s">
        <v>13554</v>
      </c>
      <c r="B3117" s="32" t="s">
        <v>6989</v>
      </c>
      <c r="C3117" s="33" t="s">
        <v>1407</v>
      </c>
      <c r="D3117" s="33" t="s">
        <v>50</v>
      </c>
      <c r="E3117" s="33" t="s">
        <v>84</v>
      </c>
      <c r="F3117" s="33" t="s">
        <v>13542</v>
      </c>
      <c r="G3117" s="33" t="s">
        <v>9</v>
      </c>
      <c r="H3117" s="33" t="n">
        <v>60</v>
      </c>
    </row>
    <row r="3118" customFormat="false" ht="54" hidden="false" customHeight="true" outlineLevel="0" collapsed="false">
      <c r="A3118" s="32" t="s">
        <v>13555</v>
      </c>
      <c r="B3118" s="32" t="s">
        <v>6989</v>
      </c>
      <c r="C3118" s="33" t="s">
        <v>1407</v>
      </c>
      <c r="D3118" s="33" t="s">
        <v>50</v>
      </c>
      <c r="E3118" s="33" t="s">
        <v>84</v>
      </c>
      <c r="F3118" s="33" t="s">
        <v>13546</v>
      </c>
      <c r="G3118" s="33" t="s">
        <v>9</v>
      </c>
      <c r="H3118" s="33" t="n">
        <v>60</v>
      </c>
    </row>
    <row r="3119" customFormat="false" ht="54" hidden="false" customHeight="true" outlineLevel="0" collapsed="false">
      <c r="A3119" s="32" t="s">
        <v>13556</v>
      </c>
      <c r="B3119" s="32" t="s">
        <v>3663</v>
      </c>
      <c r="C3119" s="33" t="s">
        <v>1407</v>
      </c>
      <c r="D3119" s="33" t="s">
        <v>50</v>
      </c>
      <c r="E3119" s="33" t="s">
        <v>80</v>
      </c>
      <c r="F3119" s="33" t="s">
        <v>183</v>
      </c>
      <c r="G3119" s="33" t="s">
        <v>12</v>
      </c>
      <c r="H3119" s="33" t="n">
        <v>10</v>
      </c>
    </row>
    <row r="3120" customFormat="false" ht="54" hidden="false" customHeight="true" outlineLevel="0" collapsed="false">
      <c r="A3120" s="32" t="s">
        <v>13557</v>
      </c>
      <c r="B3120" s="32" t="s">
        <v>3663</v>
      </c>
      <c r="C3120" s="33" t="s">
        <v>1407</v>
      </c>
      <c r="D3120" s="33" t="s">
        <v>50</v>
      </c>
      <c r="E3120" s="33" t="s">
        <v>81</v>
      </c>
      <c r="F3120" s="33" t="s">
        <v>7013</v>
      </c>
      <c r="G3120" s="33" t="s">
        <v>12</v>
      </c>
      <c r="H3120" s="33" t="n">
        <v>10</v>
      </c>
    </row>
    <row r="3121" customFormat="false" ht="54" hidden="false" customHeight="true" outlineLevel="0" collapsed="false">
      <c r="A3121" s="32" t="s">
        <v>13558</v>
      </c>
      <c r="B3121" s="32" t="s">
        <v>3663</v>
      </c>
      <c r="C3121" s="33" t="s">
        <v>1407</v>
      </c>
      <c r="D3121" s="33" t="s">
        <v>50</v>
      </c>
      <c r="E3121" s="33" t="s">
        <v>82</v>
      </c>
      <c r="F3121" s="33" t="s">
        <v>7014</v>
      </c>
      <c r="G3121" s="33" t="s">
        <v>12</v>
      </c>
      <c r="H3121" s="33" t="n">
        <v>10</v>
      </c>
    </row>
    <row r="3122" customFormat="false" ht="54" hidden="false" customHeight="true" outlineLevel="0" collapsed="false">
      <c r="A3122" s="32" t="s">
        <v>13559</v>
      </c>
      <c r="B3122" s="32" t="s">
        <v>3663</v>
      </c>
      <c r="C3122" s="33" t="s">
        <v>1407</v>
      </c>
      <c r="D3122" s="33" t="s">
        <v>50</v>
      </c>
      <c r="E3122" s="33" t="s">
        <v>84</v>
      </c>
      <c r="F3122" s="33" t="s">
        <v>183</v>
      </c>
      <c r="G3122" s="33" t="s">
        <v>12</v>
      </c>
      <c r="H3122" s="33" t="n">
        <v>10</v>
      </c>
    </row>
    <row r="3123" customFormat="false" ht="54" hidden="false" customHeight="true" outlineLevel="0" collapsed="false">
      <c r="A3123" s="32" t="s">
        <v>13560</v>
      </c>
      <c r="B3123" s="32" t="s">
        <v>7017</v>
      </c>
      <c r="C3123" s="33" t="s">
        <v>1407</v>
      </c>
      <c r="D3123" s="33" t="s">
        <v>50</v>
      </c>
      <c r="E3123" s="33" t="s">
        <v>80</v>
      </c>
      <c r="F3123" s="33" t="s">
        <v>183</v>
      </c>
      <c r="G3123" s="33" t="s">
        <v>9</v>
      </c>
      <c r="H3123" s="33" t="n">
        <v>10</v>
      </c>
    </row>
    <row r="3124" customFormat="false" ht="54" hidden="false" customHeight="true" outlineLevel="0" collapsed="false">
      <c r="A3124" s="32" t="s">
        <v>13561</v>
      </c>
      <c r="B3124" s="32" t="s">
        <v>7017</v>
      </c>
      <c r="C3124" s="33" t="s">
        <v>1407</v>
      </c>
      <c r="D3124" s="33" t="s">
        <v>50</v>
      </c>
      <c r="E3124" s="33" t="s">
        <v>81</v>
      </c>
      <c r="F3124" s="33" t="s">
        <v>7024</v>
      </c>
      <c r="G3124" s="33" t="s">
        <v>9</v>
      </c>
      <c r="H3124" s="33" t="n">
        <v>10</v>
      </c>
    </row>
    <row r="3125" customFormat="false" ht="54" hidden="false" customHeight="true" outlineLevel="0" collapsed="false">
      <c r="A3125" s="32" t="s">
        <v>13562</v>
      </c>
      <c r="B3125" s="32" t="s">
        <v>7017</v>
      </c>
      <c r="C3125" s="33" t="s">
        <v>1407</v>
      </c>
      <c r="D3125" s="33" t="s">
        <v>50</v>
      </c>
      <c r="E3125" s="33" t="s">
        <v>81</v>
      </c>
      <c r="F3125" s="33" t="s">
        <v>13563</v>
      </c>
      <c r="G3125" s="33" t="s">
        <v>9</v>
      </c>
      <c r="H3125" s="33" t="n">
        <v>10</v>
      </c>
    </row>
    <row r="3126" customFormat="false" ht="54" hidden="false" customHeight="true" outlineLevel="0" collapsed="false">
      <c r="A3126" s="32" t="s">
        <v>13564</v>
      </c>
      <c r="B3126" s="32" t="s">
        <v>7017</v>
      </c>
      <c r="C3126" s="33" t="s">
        <v>1407</v>
      </c>
      <c r="D3126" s="33" t="s">
        <v>50</v>
      </c>
      <c r="E3126" s="33" t="s">
        <v>81</v>
      </c>
      <c r="F3126" s="33" t="s">
        <v>13565</v>
      </c>
      <c r="G3126" s="33" t="s">
        <v>9</v>
      </c>
      <c r="H3126" s="33" t="n">
        <v>10</v>
      </c>
    </row>
    <row r="3127" customFormat="false" ht="54" hidden="false" customHeight="true" outlineLevel="0" collapsed="false">
      <c r="A3127" s="32" t="s">
        <v>13566</v>
      </c>
      <c r="B3127" s="32" t="s">
        <v>7017</v>
      </c>
      <c r="C3127" s="33" t="s">
        <v>1407</v>
      </c>
      <c r="D3127" s="33" t="s">
        <v>50</v>
      </c>
      <c r="E3127" s="33" t="s">
        <v>81</v>
      </c>
      <c r="F3127" s="33" t="s">
        <v>13567</v>
      </c>
      <c r="G3127" s="33" t="s">
        <v>9</v>
      </c>
      <c r="H3127" s="33" t="n">
        <v>10</v>
      </c>
    </row>
    <row r="3128" customFormat="false" ht="54" hidden="false" customHeight="true" outlineLevel="0" collapsed="false">
      <c r="A3128" s="32" t="s">
        <v>13568</v>
      </c>
      <c r="B3128" s="32" t="s">
        <v>7017</v>
      </c>
      <c r="C3128" s="33" t="s">
        <v>1407</v>
      </c>
      <c r="D3128" s="33" t="s">
        <v>50</v>
      </c>
      <c r="E3128" s="33" t="s">
        <v>81</v>
      </c>
      <c r="F3128" s="33" t="s">
        <v>7026</v>
      </c>
      <c r="G3128" s="33" t="s">
        <v>9</v>
      </c>
      <c r="H3128" s="33" t="n">
        <v>10</v>
      </c>
    </row>
    <row r="3129" customFormat="false" ht="54" hidden="false" customHeight="true" outlineLevel="0" collapsed="false">
      <c r="A3129" s="32" t="s">
        <v>13569</v>
      </c>
      <c r="B3129" s="32" t="s">
        <v>7017</v>
      </c>
      <c r="C3129" s="33" t="s">
        <v>1407</v>
      </c>
      <c r="D3129" s="33" t="s">
        <v>50</v>
      </c>
      <c r="E3129" s="33" t="s">
        <v>84</v>
      </c>
      <c r="F3129" s="33" t="s">
        <v>183</v>
      </c>
      <c r="G3129" s="33" t="s">
        <v>9</v>
      </c>
      <c r="H3129" s="33" t="n">
        <v>10</v>
      </c>
    </row>
    <row r="3130" customFormat="false" ht="54" hidden="false" customHeight="true" outlineLevel="0" collapsed="false">
      <c r="A3130" s="32" t="s">
        <v>13570</v>
      </c>
      <c r="B3130" s="32" t="s">
        <v>7031</v>
      </c>
      <c r="C3130" s="33" t="s">
        <v>1407</v>
      </c>
      <c r="D3130" s="33" t="s">
        <v>50</v>
      </c>
      <c r="E3130" s="33" t="s">
        <v>80</v>
      </c>
      <c r="F3130" s="33" t="s">
        <v>1594</v>
      </c>
      <c r="G3130" s="33" t="s">
        <v>9</v>
      </c>
      <c r="H3130" s="33" t="n">
        <v>10</v>
      </c>
    </row>
    <row r="3131" customFormat="false" ht="54" hidden="false" customHeight="true" outlineLevel="0" collapsed="false">
      <c r="A3131" s="32" t="s">
        <v>13571</v>
      </c>
      <c r="B3131" s="32" t="s">
        <v>7031</v>
      </c>
      <c r="C3131" s="33" t="s">
        <v>1407</v>
      </c>
      <c r="D3131" s="33" t="s">
        <v>50</v>
      </c>
      <c r="E3131" s="33" t="s">
        <v>80</v>
      </c>
      <c r="F3131" s="33" t="s">
        <v>183</v>
      </c>
      <c r="G3131" s="33" t="s">
        <v>9</v>
      </c>
      <c r="H3131" s="33" t="n">
        <v>10</v>
      </c>
    </row>
    <row r="3132" customFormat="false" ht="54" hidden="false" customHeight="true" outlineLevel="0" collapsed="false">
      <c r="A3132" s="32" t="s">
        <v>13572</v>
      </c>
      <c r="B3132" s="32" t="s">
        <v>7031</v>
      </c>
      <c r="C3132" s="33" t="s">
        <v>1407</v>
      </c>
      <c r="D3132" s="33" t="s">
        <v>50</v>
      </c>
      <c r="E3132" s="33" t="s">
        <v>80</v>
      </c>
      <c r="F3132" s="33" t="s">
        <v>13048</v>
      </c>
      <c r="G3132" s="33" t="s">
        <v>9</v>
      </c>
      <c r="H3132" s="33" t="n">
        <v>10</v>
      </c>
    </row>
    <row r="3133" customFormat="false" ht="54" hidden="false" customHeight="true" outlineLevel="0" collapsed="false">
      <c r="A3133" s="32" t="s">
        <v>13573</v>
      </c>
      <c r="B3133" s="32" t="s">
        <v>7031</v>
      </c>
      <c r="C3133" s="33" t="s">
        <v>1407</v>
      </c>
      <c r="D3133" s="33" t="s">
        <v>50</v>
      </c>
      <c r="E3133" s="33" t="s">
        <v>81</v>
      </c>
      <c r="F3133" s="33" t="s">
        <v>1594</v>
      </c>
      <c r="G3133" s="33" t="s">
        <v>9</v>
      </c>
      <c r="H3133" s="33" t="n">
        <v>10</v>
      </c>
    </row>
    <row r="3134" customFormat="false" ht="54" hidden="false" customHeight="true" outlineLevel="0" collapsed="false">
      <c r="A3134" s="32" t="s">
        <v>13574</v>
      </c>
      <c r="B3134" s="32" t="s">
        <v>7031</v>
      </c>
      <c r="C3134" s="33" t="s">
        <v>1407</v>
      </c>
      <c r="D3134" s="33" t="s">
        <v>50</v>
      </c>
      <c r="E3134" s="33" t="s">
        <v>81</v>
      </c>
      <c r="F3134" s="33" t="s">
        <v>6715</v>
      </c>
      <c r="G3134" s="33" t="s">
        <v>9</v>
      </c>
      <c r="H3134" s="33" t="n">
        <v>10</v>
      </c>
    </row>
    <row r="3135" customFormat="false" ht="54" hidden="false" customHeight="true" outlineLevel="0" collapsed="false">
      <c r="A3135" s="32" t="s">
        <v>13575</v>
      </c>
      <c r="B3135" s="32" t="s">
        <v>7031</v>
      </c>
      <c r="C3135" s="33" t="s">
        <v>1407</v>
      </c>
      <c r="D3135" s="33" t="s">
        <v>50</v>
      </c>
      <c r="E3135" s="33" t="s">
        <v>81</v>
      </c>
      <c r="F3135" s="33" t="s">
        <v>13576</v>
      </c>
      <c r="G3135" s="33" t="s">
        <v>9</v>
      </c>
      <c r="H3135" s="33" t="n">
        <v>10</v>
      </c>
    </row>
    <row r="3136" customFormat="false" ht="54" hidden="false" customHeight="true" outlineLevel="0" collapsed="false">
      <c r="A3136" s="32" t="s">
        <v>13577</v>
      </c>
      <c r="B3136" s="32" t="s">
        <v>7031</v>
      </c>
      <c r="C3136" s="33" t="s">
        <v>1407</v>
      </c>
      <c r="D3136" s="33" t="s">
        <v>50</v>
      </c>
      <c r="E3136" s="33" t="s">
        <v>81</v>
      </c>
      <c r="F3136" s="33" t="s">
        <v>6973</v>
      </c>
      <c r="G3136" s="33" t="s">
        <v>9</v>
      </c>
      <c r="H3136" s="33" t="n">
        <v>10</v>
      </c>
    </row>
    <row r="3137" customFormat="false" ht="54" hidden="false" customHeight="true" outlineLevel="0" collapsed="false">
      <c r="A3137" s="32" t="s">
        <v>13578</v>
      </c>
      <c r="B3137" s="32" t="s">
        <v>7031</v>
      </c>
      <c r="C3137" s="33" t="s">
        <v>1407</v>
      </c>
      <c r="D3137" s="33" t="s">
        <v>50</v>
      </c>
      <c r="E3137" s="33" t="s">
        <v>82</v>
      </c>
      <c r="F3137" s="33" t="s">
        <v>7034</v>
      </c>
      <c r="G3137" s="33" t="s">
        <v>9</v>
      </c>
      <c r="H3137" s="33" t="n">
        <v>10</v>
      </c>
    </row>
    <row r="3138" customFormat="false" ht="54" hidden="false" customHeight="true" outlineLevel="0" collapsed="false">
      <c r="A3138" s="32" t="s">
        <v>13579</v>
      </c>
      <c r="B3138" s="32" t="s">
        <v>7031</v>
      </c>
      <c r="C3138" s="33" t="s">
        <v>1407</v>
      </c>
      <c r="D3138" s="33" t="s">
        <v>50</v>
      </c>
      <c r="E3138" s="33" t="s">
        <v>82</v>
      </c>
      <c r="F3138" s="33" t="s">
        <v>13580</v>
      </c>
      <c r="G3138" s="33" t="s">
        <v>9</v>
      </c>
      <c r="H3138" s="33" t="n">
        <v>10</v>
      </c>
    </row>
    <row r="3139" customFormat="false" ht="54" hidden="false" customHeight="true" outlineLevel="0" collapsed="false">
      <c r="A3139" s="32" t="s">
        <v>13581</v>
      </c>
      <c r="B3139" s="32" t="s">
        <v>7031</v>
      </c>
      <c r="C3139" s="33" t="s">
        <v>1407</v>
      </c>
      <c r="D3139" s="33" t="s">
        <v>50</v>
      </c>
      <c r="E3139" s="33" t="s">
        <v>82</v>
      </c>
      <c r="F3139" s="33" t="s">
        <v>13582</v>
      </c>
      <c r="G3139" s="33" t="s">
        <v>9</v>
      </c>
      <c r="H3139" s="33" t="n">
        <v>10</v>
      </c>
    </row>
    <row r="3140" customFormat="false" ht="54" hidden="false" customHeight="true" outlineLevel="0" collapsed="false">
      <c r="A3140" s="32" t="s">
        <v>13583</v>
      </c>
      <c r="B3140" s="32" t="s">
        <v>7031</v>
      </c>
      <c r="C3140" s="33" t="s">
        <v>1407</v>
      </c>
      <c r="D3140" s="33" t="s">
        <v>50</v>
      </c>
      <c r="E3140" s="33" t="s">
        <v>82</v>
      </c>
      <c r="F3140" s="33" t="s">
        <v>13576</v>
      </c>
      <c r="G3140" s="33" t="s">
        <v>9</v>
      </c>
      <c r="H3140" s="33" t="n">
        <v>10</v>
      </c>
    </row>
    <row r="3141" customFormat="false" ht="54" hidden="false" customHeight="true" outlineLevel="0" collapsed="false">
      <c r="A3141" s="32" t="s">
        <v>13584</v>
      </c>
      <c r="B3141" s="32" t="s">
        <v>7031</v>
      </c>
      <c r="C3141" s="33" t="s">
        <v>1407</v>
      </c>
      <c r="D3141" s="33" t="s">
        <v>50</v>
      </c>
      <c r="E3141" s="33" t="s">
        <v>83</v>
      </c>
      <c r="F3141" s="33" t="s">
        <v>6973</v>
      </c>
      <c r="G3141" s="33" t="s">
        <v>9</v>
      </c>
      <c r="H3141" s="33" t="n">
        <v>10</v>
      </c>
    </row>
    <row r="3142" customFormat="false" ht="54" hidden="false" customHeight="true" outlineLevel="0" collapsed="false">
      <c r="A3142" s="32" t="s">
        <v>13585</v>
      </c>
      <c r="B3142" s="32" t="s">
        <v>7031</v>
      </c>
      <c r="C3142" s="33" t="s">
        <v>1407</v>
      </c>
      <c r="D3142" s="33" t="s">
        <v>50</v>
      </c>
      <c r="E3142" s="33" t="s">
        <v>84</v>
      </c>
      <c r="F3142" s="33" t="s">
        <v>183</v>
      </c>
      <c r="G3142" s="33" t="s">
        <v>9</v>
      </c>
      <c r="H3142" s="33" t="n">
        <v>10</v>
      </c>
    </row>
    <row r="3143" customFormat="false" ht="54" hidden="false" customHeight="true" outlineLevel="0" collapsed="false">
      <c r="A3143" s="32" t="s">
        <v>13586</v>
      </c>
      <c r="B3143" s="32" t="s">
        <v>7031</v>
      </c>
      <c r="C3143" s="33" t="s">
        <v>1407</v>
      </c>
      <c r="D3143" s="33" t="s">
        <v>50</v>
      </c>
      <c r="E3143" s="33" t="s">
        <v>84</v>
      </c>
      <c r="F3143" s="33" t="s">
        <v>13048</v>
      </c>
      <c r="G3143" s="33" t="s">
        <v>9</v>
      </c>
      <c r="H3143" s="33" t="n">
        <v>10</v>
      </c>
    </row>
    <row r="3144" customFormat="false" ht="54" hidden="false" customHeight="true" outlineLevel="0" collapsed="false">
      <c r="A3144" s="32" t="s">
        <v>13587</v>
      </c>
      <c r="B3144" s="32" t="s">
        <v>7042</v>
      </c>
      <c r="C3144" s="33" t="s">
        <v>98</v>
      </c>
      <c r="D3144" s="33" t="s">
        <v>59</v>
      </c>
      <c r="E3144" s="33" t="s">
        <v>80</v>
      </c>
      <c r="F3144" s="33" t="s">
        <v>183</v>
      </c>
      <c r="G3144" s="33" t="s">
        <v>9</v>
      </c>
      <c r="H3144" s="33" t="n">
        <v>10</v>
      </c>
    </row>
    <row r="3145" customFormat="false" ht="54" hidden="false" customHeight="true" outlineLevel="0" collapsed="false">
      <c r="A3145" s="32" t="s">
        <v>13588</v>
      </c>
      <c r="B3145" s="32" t="s">
        <v>7042</v>
      </c>
      <c r="C3145" s="33" t="s">
        <v>98</v>
      </c>
      <c r="D3145" s="33" t="s">
        <v>59</v>
      </c>
      <c r="E3145" s="33" t="s">
        <v>81</v>
      </c>
      <c r="F3145" s="33" t="s">
        <v>13589</v>
      </c>
      <c r="G3145" s="33" t="s">
        <v>9</v>
      </c>
      <c r="H3145" s="33" t="n">
        <v>10</v>
      </c>
    </row>
    <row r="3146" customFormat="false" ht="54" hidden="false" customHeight="true" outlineLevel="0" collapsed="false">
      <c r="A3146" s="32" t="s">
        <v>13590</v>
      </c>
      <c r="B3146" s="32" t="s">
        <v>7042</v>
      </c>
      <c r="C3146" s="33" t="s">
        <v>98</v>
      </c>
      <c r="D3146" s="33" t="s">
        <v>59</v>
      </c>
      <c r="E3146" s="33" t="s">
        <v>81</v>
      </c>
      <c r="F3146" s="33" t="s">
        <v>13591</v>
      </c>
      <c r="G3146" s="33" t="s">
        <v>9</v>
      </c>
      <c r="H3146" s="33" t="n">
        <v>10</v>
      </c>
    </row>
    <row r="3147" customFormat="false" ht="54" hidden="false" customHeight="true" outlineLevel="0" collapsed="false">
      <c r="A3147" s="32" t="s">
        <v>13592</v>
      </c>
      <c r="B3147" s="32" t="s">
        <v>7042</v>
      </c>
      <c r="C3147" s="33" t="s">
        <v>98</v>
      </c>
      <c r="D3147" s="33" t="s">
        <v>59</v>
      </c>
      <c r="E3147" s="33" t="s">
        <v>82</v>
      </c>
      <c r="F3147" s="33" t="s">
        <v>7047</v>
      </c>
      <c r="G3147" s="33" t="s">
        <v>9</v>
      </c>
      <c r="H3147" s="33" t="n">
        <v>10</v>
      </c>
    </row>
    <row r="3148" customFormat="false" ht="54" hidden="false" customHeight="true" outlineLevel="0" collapsed="false">
      <c r="A3148" s="32" t="s">
        <v>13593</v>
      </c>
      <c r="B3148" s="32" t="s">
        <v>7042</v>
      </c>
      <c r="C3148" s="33" t="s">
        <v>98</v>
      </c>
      <c r="D3148" s="33" t="s">
        <v>59</v>
      </c>
      <c r="E3148" s="33" t="s">
        <v>82</v>
      </c>
      <c r="F3148" s="33" t="s">
        <v>13594</v>
      </c>
      <c r="G3148" s="33" t="s">
        <v>9</v>
      </c>
      <c r="H3148" s="33" t="n">
        <v>10</v>
      </c>
    </row>
    <row r="3149" customFormat="false" ht="54" hidden="false" customHeight="true" outlineLevel="0" collapsed="false">
      <c r="A3149" s="32" t="s">
        <v>13595</v>
      </c>
      <c r="B3149" s="32" t="s">
        <v>7042</v>
      </c>
      <c r="C3149" s="33" t="s">
        <v>98</v>
      </c>
      <c r="D3149" s="33" t="s">
        <v>59</v>
      </c>
      <c r="E3149" s="33" t="s">
        <v>82</v>
      </c>
      <c r="F3149" s="33" t="s">
        <v>13591</v>
      </c>
      <c r="G3149" s="33" t="s">
        <v>9</v>
      </c>
      <c r="H3149" s="33" t="n">
        <v>10</v>
      </c>
    </row>
    <row r="3150" customFormat="false" ht="54" hidden="false" customHeight="true" outlineLevel="0" collapsed="false">
      <c r="A3150" s="32" t="s">
        <v>13596</v>
      </c>
      <c r="B3150" s="32" t="s">
        <v>7042</v>
      </c>
      <c r="C3150" s="33" t="s">
        <v>98</v>
      </c>
      <c r="D3150" s="33" t="s">
        <v>59</v>
      </c>
      <c r="E3150" s="33" t="s">
        <v>84</v>
      </c>
      <c r="F3150" s="33" t="s">
        <v>183</v>
      </c>
      <c r="G3150" s="33" t="s">
        <v>9</v>
      </c>
      <c r="H3150" s="33" t="n">
        <v>10</v>
      </c>
    </row>
    <row r="3151" customFormat="false" ht="54" hidden="false" customHeight="true" outlineLevel="0" collapsed="false">
      <c r="A3151" s="32" t="s">
        <v>13597</v>
      </c>
      <c r="B3151" s="32" t="s">
        <v>7055</v>
      </c>
      <c r="C3151" s="33" t="s">
        <v>1407</v>
      </c>
      <c r="D3151" s="33" t="s">
        <v>50</v>
      </c>
      <c r="E3151" s="33" t="s">
        <v>80</v>
      </c>
      <c r="F3151" s="33" t="s">
        <v>183</v>
      </c>
      <c r="G3151" s="33" t="s">
        <v>9</v>
      </c>
      <c r="H3151" s="33" t="n">
        <v>10</v>
      </c>
    </row>
    <row r="3152" customFormat="false" ht="54" hidden="false" customHeight="true" outlineLevel="0" collapsed="false">
      <c r="A3152" s="32" t="s">
        <v>13598</v>
      </c>
      <c r="B3152" s="32" t="s">
        <v>7055</v>
      </c>
      <c r="C3152" s="33" t="s">
        <v>1407</v>
      </c>
      <c r="D3152" s="33" t="s">
        <v>50</v>
      </c>
      <c r="E3152" s="33" t="s">
        <v>80</v>
      </c>
      <c r="F3152" s="33" t="s">
        <v>13599</v>
      </c>
      <c r="G3152" s="33" t="s">
        <v>9</v>
      </c>
      <c r="H3152" s="33" t="n">
        <v>10</v>
      </c>
    </row>
    <row r="3153" customFormat="false" ht="54" hidden="false" customHeight="true" outlineLevel="0" collapsed="false">
      <c r="A3153" s="32" t="s">
        <v>13600</v>
      </c>
      <c r="B3153" s="32" t="s">
        <v>7055</v>
      </c>
      <c r="C3153" s="33" t="s">
        <v>1407</v>
      </c>
      <c r="D3153" s="33" t="s">
        <v>50</v>
      </c>
      <c r="E3153" s="33" t="s">
        <v>80</v>
      </c>
      <c r="F3153" s="33" t="s">
        <v>13601</v>
      </c>
      <c r="G3153" s="33" t="s">
        <v>9</v>
      </c>
      <c r="H3153" s="33" t="n">
        <v>10</v>
      </c>
    </row>
    <row r="3154" customFormat="false" ht="54" hidden="false" customHeight="true" outlineLevel="0" collapsed="false">
      <c r="A3154" s="32" t="s">
        <v>13602</v>
      </c>
      <c r="B3154" s="32" t="s">
        <v>7055</v>
      </c>
      <c r="C3154" s="33" t="s">
        <v>1407</v>
      </c>
      <c r="D3154" s="33" t="s">
        <v>50</v>
      </c>
      <c r="E3154" s="33" t="s">
        <v>80</v>
      </c>
      <c r="F3154" s="33" t="s">
        <v>13603</v>
      </c>
      <c r="G3154" s="33" t="s">
        <v>9</v>
      </c>
      <c r="H3154" s="33" t="n">
        <v>10</v>
      </c>
    </row>
    <row r="3155" customFormat="false" ht="54" hidden="false" customHeight="true" outlineLevel="0" collapsed="false">
      <c r="A3155" s="32" t="s">
        <v>13604</v>
      </c>
      <c r="B3155" s="32" t="s">
        <v>7055</v>
      </c>
      <c r="C3155" s="33" t="s">
        <v>1407</v>
      </c>
      <c r="D3155" s="33" t="s">
        <v>50</v>
      </c>
      <c r="E3155" s="33" t="s">
        <v>80</v>
      </c>
      <c r="F3155" s="33" t="s">
        <v>7067</v>
      </c>
      <c r="G3155" s="33" t="s">
        <v>9</v>
      </c>
      <c r="H3155" s="33" t="n">
        <v>10</v>
      </c>
    </row>
    <row r="3156" customFormat="false" ht="54" hidden="false" customHeight="true" outlineLevel="0" collapsed="false">
      <c r="A3156" s="32" t="s">
        <v>13605</v>
      </c>
      <c r="B3156" s="32" t="s">
        <v>7055</v>
      </c>
      <c r="C3156" s="33" t="s">
        <v>1407</v>
      </c>
      <c r="D3156" s="33" t="s">
        <v>50</v>
      </c>
      <c r="E3156" s="33" t="s">
        <v>81</v>
      </c>
      <c r="F3156" s="33" t="s">
        <v>7061</v>
      </c>
      <c r="G3156" s="33" t="s">
        <v>9</v>
      </c>
      <c r="H3156" s="33" t="n">
        <v>10</v>
      </c>
    </row>
    <row r="3157" customFormat="false" ht="54" hidden="false" customHeight="true" outlineLevel="0" collapsed="false">
      <c r="A3157" s="32" t="s">
        <v>13606</v>
      </c>
      <c r="B3157" s="32" t="s">
        <v>7055</v>
      </c>
      <c r="C3157" s="33" t="s">
        <v>1407</v>
      </c>
      <c r="D3157" s="33" t="s">
        <v>50</v>
      </c>
      <c r="E3157" s="33" t="s">
        <v>81</v>
      </c>
      <c r="F3157" s="33" t="s">
        <v>13599</v>
      </c>
      <c r="G3157" s="33" t="s">
        <v>9</v>
      </c>
      <c r="H3157" s="33" t="n">
        <v>10</v>
      </c>
    </row>
    <row r="3158" customFormat="false" ht="54" hidden="false" customHeight="true" outlineLevel="0" collapsed="false">
      <c r="A3158" s="32" t="s">
        <v>13607</v>
      </c>
      <c r="B3158" s="32" t="s">
        <v>7055</v>
      </c>
      <c r="C3158" s="33" t="s">
        <v>1407</v>
      </c>
      <c r="D3158" s="33" t="s">
        <v>50</v>
      </c>
      <c r="E3158" s="33" t="s">
        <v>81</v>
      </c>
      <c r="F3158" s="33" t="s">
        <v>13603</v>
      </c>
      <c r="G3158" s="33" t="s">
        <v>9</v>
      </c>
      <c r="H3158" s="33" t="n">
        <v>10</v>
      </c>
    </row>
    <row r="3159" customFormat="false" ht="54" hidden="false" customHeight="true" outlineLevel="0" collapsed="false">
      <c r="A3159" s="32" t="s">
        <v>13608</v>
      </c>
      <c r="B3159" s="32" t="s">
        <v>7055</v>
      </c>
      <c r="C3159" s="33" t="s">
        <v>1407</v>
      </c>
      <c r="D3159" s="33" t="s">
        <v>50</v>
      </c>
      <c r="E3159" s="33" t="s">
        <v>81</v>
      </c>
      <c r="F3159" s="33" t="s">
        <v>13609</v>
      </c>
      <c r="G3159" s="33" t="s">
        <v>9</v>
      </c>
      <c r="H3159" s="33" t="n">
        <v>10</v>
      </c>
    </row>
    <row r="3160" customFormat="false" ht="54" hidden="false" customHeight="true" outlineLevel="0" collapsed="false">
      <c r="A3160" s="32" t="s">
        <v>13610</v>
      </c>
      <c r="B3160" s="32" t="s">
        <v>7055</v>
      </c>
      <c r="C3160" s="33" t="s">
        <v>1407</v>
      </c>
      <c r="D3160" s="33" t="s">
        <v>50</v>
      </c>
      <c r="E3160" s="33" t="s">
        <v>81</v>
      </c>
      <c r="F3160" s="33" t="s">
        <v>13611</v>
      </c>
      <c r="G3160" s="33" t="s">
        <v>9</v>
      </c>
      <c r="H3160" s="33" t="n">
        <v>10</v>
      </c>
    </row>
    <row r="3161" customFormat="false" ht="54" hidden="false" customHeight="true" outlineLevel="0" collapsed="false">
      <c r="A3161" s="32" t="s">
        <v>13612</v>
      </c>
      <c r="B3161" s="32" t="s">
        <v>7055</v>
      </c>
      <c r="C3161" s="33" t="s">
        <v>1407</v>
      </c>
      <c r="D3161" s="33" t="s">
        <v>50</v>
      </c>
      <c r="E3161" s="33" t="s">
        <v>83</v>
      </c>
      <c r="F3161" s="33" t="s">
        <v>7067</v>
      </c>
      <c r="G3161" s="33" t="s">
        <v>9</v>
      </c>
      <c r="H3161" s="33" t="n">
        <v>10</v>
      </c>
    </row>
    <row r="3162" customFormat="false" ht="54" hidden="false" customHeight="true" outlineLevel="0" collapsed="false">
      <c r="A3162" s="32" t="s">
        <v>13613</v>
      </c>
      <c r="B3162" s="32" t="s">
        <v>7055</v>
      </c>
      <c r="C3162" s="33" t="s">
        <v>1407</v>
      </c>
      <c r="D3162" s="33" t="s">
        <v>50</v>
      </c>
      <c r="E3162" s="33" t="s">
        <v>84</v>
      </c>
      <c r="F3162" s="33" t="s">
        <v>7061</v>
      </c>
      <c r="G3162" s="33" t="s">
        <v>9</v>
      </c>
      <c r="H3162" s="33" t="n">
        <v>10</v>
      </c>
    </row>
    <row r="3163" customFormat="false" ht="54" hidden="false" customHeight="true" outlineLevel="0" collapsed="false">
      <c r="A3163" s="32" t="s">
        <v>13614</v>
      </c>
      <c r="B3163" s="32" t="s">
        <v>7055</v>
      </c>
      <c r="C3163" s="33" t="s">
        <v>1407</v>
      </c>
      <c r="D3163" s="33" t="s">
        <v>50</v>
      </c>
      <c r="E3163" s="33" t="s">
        <v>84</v>
      </c>
      <c r="F3163" s="33" t="s">
        <v>183</v>
      </c>
      <c r="G3163" s="33" t="s">
        <v>9</v>
      </c>
      <c r="H3163" s="33" t="n">
        <v>10</v>
      </c>
    </row>
    <row r="3164" customFormat="false" ht="54" hidden="false" customHeight="true" outlineLevel="0" collapsed="false">
      <c r="A3164" s="32" t="s">
        <v>13615</v>
      </c>
      <c r="B3164" s="32" t="s">
        <v>7055</v>
      </c>
      <c r="C3164" s="33" t="s">
        <v>1407</v>
      </c>
      <c r="D3164" s="33" t="s">
        <v>50</v>
      </c>
      <c r="E3164" s="33" t="s">
        <v>84</v>
      </c>
      <c r="F3164" s="33" t="s">
        <v>13599</v>
      </c>
      <c r="G3164" s="33" t="s">
        <v>9</v>
      </c>
      <c r="H3164" s="33" t="n">
        <v>10</v>
      </c>
    </row>
    <row r="3165" customFormat="false" ht="54" hidden="false" customHeight="true" outlineLevel="0" collapsed="false">
      <c r="A3165" s="32" t="s">
        <v>13616</v>
      </c>
      <c r="B3165" s="32" t="s">
        <v>7055</v>
      </c>
      <c r="C3165" s="33" t="s">
        <v>1407</v>
      </c>
      <c r="D3165" s="33" t="s">
        <v>50</v>
      </c>
      <c r="E3165" s="33" t="s">
        <v>84</v>
      </c>
      <c r="F3165" s="33" t="s">
        <v>13601</v>
      </c>
      <c r="G3165" s="33" t="s">
        <v>9</v>
      </c>
      <c r="H3165" s="33" t="n">
        <v>10</v>
      </c>
    </row>
    <row r="3166" customFormat="false" ht="54" hidden="false" customHeight="true" outlineLevel="0" collapsed="false">
      <c r="A3166" s="32" t="s">
        <v>13617</v>
      </c>
      <c r="B3166" s="32" t="s">
        <v>7055</v>
      </c>
      <c r="C3166" s="33" t="s">
        <v>1407</v>
      </c>
      <c r="D3166" s="33" t="s">
        <v>50</v>
      </c>
      <c r="E3166" s="33" t="s">
        <v>84</v>
      </c>
      <c r="F3166" s="33" t="s">
        <v>13603</v>
      </c>
      <c r="G3166" s="33" t="s">
        <v>9</v>
      </c>
      <c r="H3166" s="33" t="n">
        <v>10</v>
      </c>
    </row>
    <row r="3167" customFormat="false" ht="54" hidden="false" customHeight="true" outlineLevel="0" collapsed="false">
      <c r="A3167" s="32" t="s">
        <v>13618</v>
      </c>
      <c r="B3167" s="32" t="s">
        <v>7055</v>
      </c>
      <c r="C3167" s="33" t="s">
        <v>1407</v>
      </c>
      <c r="D3167" s="33" t="s">
        <v>50</v>
      </c>
      <c r="E3167" s="33" t="s">
        <v>84</v>
      </c>
      <c r="F3167" s="33" t="s">
        <v>13619</v>
      </c>
      <c r="G3167" s="33" t="s">
        <v>9</v>
      </c>
      <c r="H3167" s="33" t="n">
        <v>10</v>
      </c>
    </row>
    <row r="3168" customFormat="false" ht="54" hidden="false" customHeight="true" outlineLevel="0" collapsed="false">
      <c r="A3168" s="32" t="s">
        <v>13620</v>
      </c>
      <c r="B3168" s="32" t="s">
        <v>7071</v>
      </c>
      <c r="C3168" s="33" t="s">
        <v>1407</v>
      </c>
      <c r="D3168" s="33" t="s">
        <v>50</v>
      </c>
      <c r="E3168" s="33" t="s">
        <v>80</v>
      </c>
      <c r="F3168" s="33" t="s">
        <v>7074</v>
      </c>
      <c r="G3168" s="33" t="s">
        <v>9</v>
      </c>
      <c r="H3168" s="33" t="n">
        <v>10</v>
      </c>
    </row>
    <row r="3169" customFormat="false" ht="54" hidden="false" customHeight="true" outlineLevel="0" collapsed="false">
      <c r="A3169" s="32" t="s">
        <v>13621</v>
      </c>
      <c r="B3169" s="32" t="s">
        <v>7071</v>
      </c>
      <c r="C3169" s="33" t="s">
        <v>1407</v>
      </c>
      <c r="D3169" s="33" t="s">
        <v>50</v>
      </c>
      <c r="E3169" s="33" t="s">
        <v>80</v>
      </c>
      <c r="F3169" s="33" t="s">
        <v>183</v>
      </c>
      <c r="G3169" s="33" t="s">
        <v>9</v>
      </c>
      <c r="H3169" s="33" t="n">
        <v>10</v>
      </c>
    </row>
    <row r="3170" customFormat="false" ht="54" hidden="false" customHeight="true" outlineLevel="0" collapsed="false">
      <c r="A3170" s="32" t="s">
        <v>13622</v>
      </c>
      <c r="B3170" s="32" t="s">
        <v>7071</v>
      </c>
      <c r="C3170" s="33" t="s">
        <v>1407</v>
      </c>
      <c r="D3170" s="33" t="s">
        <v>50</v>
      </c>
      <c r="E3170" s="33" t="s">
        <v>80</v>
      </c>
      <c r="F3170" s="33" t="s">
        <v>13623</v>
      </c>
      <c r="G3170" s="33" t="s">
        <v>9</v>
      </c>
      <c r="H3170" s="33" t="n">
        <v>10</v>
      </c>
    </row>
    <row r="3171" customFormat="false" ht="54" hidden="false" customHeight="true" outlineLevel="0" collapsed="false">
      <c r="A3171" s="32" t="s">
        <v>13624</v>
      </c>
      <c r="B3171" s="32" t="s">
        <v>7071</v>
      </c>
      <c r="C3171" s="33" t="s">
        <v>1407</v>
      </c>
      <c r="D3171" s="33" t="s">
        <v>50</v>
      </c>
      <c r="E3171" s="33" t="s">
        <v>80</v>
      </c>
      <c r="F3171" s="33" t="s">
        <v>13625</v>
      </c>
      <c r="G3171" s="33" t="s">
        <v>9</v>
      </c>
      <c r="H3171" s="33" t="n">
        <v>10</v>
      </c>
    </row>
    <row r="3172" customFormat="false" ht="54" hidden="false" customHeight="true" outlineLevel="0" collapsed="false">
      <c r="A3172" s="32" t="s">
        <v>13626</v>
      </c>
      <c r="B3172" s="32" t="s">
        <v>7071</v>
      </c>
      <c r="C3172" s="33" t="s">
        <v>1407</v>
      </c>
      <c r="D3172" s="33" t="s">
        <v>50</v>
      </c>
      <c r="E3172" s="33" t="s">
        <v>81</v>
      </c>
      <c r="F3172" s="33" t="s">
        <v>7074</v>
      </c>
      <c r="G3172" s="33" t="s">
        <v>9</v>
      </c>
      <c r="H3172" s="33" t="n">
        <v>10</v>
      </c>
    </row>
    <row r="3173" customFormat="false" ht="54" hidden="false" customHeight="true" outlineLevel="0" collapsed="false">
      <c r="A3173" s="32" t="s">
        <v>13627</v>
      </c>
      <c r="B3173" s="32" t="s">
        <v>7071</v>
      </c>
      <c r="C3173" s="33" t="s">
        <v>1407</v>
      </c>
      <c r="D3173" s="33" t="s">
        <v>50</v>
      </c>
      <c r="E3173" s="33" t="s">
        <v>81</v>
      </c>
      <c r="F3173" s="33" t="s">
        <v>6552</v>
      </c>
      <c r="G3173" s="33" t="s">
        <v>9</v>
      </c>
      <c r="H3173" s="33" t="n">
        <v>10</v>
      </c>
    </row>
    <row r="3174" customFormat="false" ht="54" hidden="false" customHeight="true" outlineLevel="0" collapsed="false">
      <c r="A3174" s="32" t="s">
        <v>13628</v>
      </c>
      <c r="B3174" s="32" t="s">
        <v>7071</v>
      </c>
      <c r="C3174" s="33" t="s">
        <v>1407</v>
      </c>
      <c r="D3174" s="33" t="s">
        <v>50</v>
      </c>
      <c r="E3174" s="33" t="s">
        <v>83</v>
      </c>
      <c r="F3174" s="33" t="s">
        <v>7081</v>
      </c>
      <c r="G3174" s="33" t="s">
        <v>9</v>
      </c>
      <c r="H3174" s="33" t="n">
        <v>10</v>
      </c>
    </row>
    <row r="3175" customFormat="false" ht="54" hidden="false" customHeight="true" outlineLevel="0" collapsed="false">
      <c r="A3175" s="32" t="s">
        <v>13629</v>
      </c>
      <c r="B3175" s="32" t="s">
        <v>7071</v>
      </c>
      <c r="C3175" s="33" t="s">
        <v>1407</v>
      </c>
      <c r="D3175" s="33" t="s">
        <v>50</v>
      </c>
      <c r="E3175" s="33" t="s">
        <v>84</v>
      </c>
      <c r="F3175" s="33" t="s">
        <v>183</v>
      </c>
      <c r="G3175" s="33" t="s">
        <v>9</v>
      </c>
      <c r="H3175" s="33" t="n">
        <v>10</v>
      </c>
    </row>
    <row r="3176" customFormat="false" ht="54" hidden="false" customHeight="true" outlineLevel="0" collapsed="false">
      <c r="A3176" s="32" t="s">
        <v>13630</v>
      </c>
      <c r="B3176" s="32" t="s">
        <v>7071</v>
      </c>
      <c r="C3176" s="33" t="s">
        <v>1407</v>
      </c>
      <c r="D3176" s="33" t="s">
        <v>50</v>
      </c>
      <c r="E3176" s="33" t="s">
        <v>84</v>
      </c>
      <c r="F3176" s="33" t="s">
        <v>13623</v>
      </c>
      <c r="G3176" s="33" t="s">
        <v>9</v>
      </c>
      <c r="H3176" s="33" t="n">
        <v>10</v>
      </c>
    </row>
    <row r="3177" customFormat="false" ht="54" hidden="false" customHeight="true" outlineLevel="0" collapsed="false">
      <c r="A3177" s="32" t="s">
        <v>13631</v>
      </c>
      <c r="B3177" s="32" t="s">
        <v>7071</v>
      </c>
      <c r="C3177" s="33" t="s">
        <v>1407</v>
      </c>
      <c r="D3177" s="33" t="s">
        <v>50</v>
      </c>
      <c r="E3177" s="33" t="s">
        <v>84</v>
      </c>
      <c r="F3177" s="33" t="s">
        <v>13625</v>
      </c>
      <c r="G3177" s="33" t="s">
        <v>9</v>
      </c>
      <c r="H3177" s="33" t="n">
        <v>10</v>
      </c>
    </row>
    <row r="3178" customFormat="false" ht="54" hidden="false" customHeight="true" outlineLevel="0" collapsed="false">
      <c r="A3178" s="32" t="s">
        <v>13632</v>
      </c>
      <c r="B3178" s="32" t="s">
        <v>7085</v>
      </c>
      <c r="C3178" s="33" t="s">
        <v>1407</v>
      </c>
      <c r="D3178" s="33" t="s">
        <v>50</v>
      </c>
      <c r="E3178" s="33" t="s">
        <v>80</v>
      </c>
      <c r="F3178" s="33" t="s">
        <v>183</v>
      </c>
      <c r="G3178" s="33" t="s">
        <v>9</v>
      </c>
      <c r="H3178" s="33" t="n">
        <v>10</v>
      </c>
    </row>
    <row r="3179" customFormat="false" ht="54" hidden="false" customHeight="true" outlineLevel="0" collapsed="false">
      <c r="A3179" s="32" t="s">
        <v>13633</v>
      </c>
      <c r="B3179" s="32" t="s">
        <v>7085</v>
      </c>
      <c r="C3179" s="33" t="s">
        <v>1407</v>
      </c>
      <c r="D3179" s="33" t="s">
        <v>50</v>
      </c>
      <c r="E3179" s="33" t="s">
        <v>84</v>
      </c>
      <c r="F3179" s="33" t="s">
        <v>183</v>
      </c>
      <c r="G3179" s="33" t="s">
        <v>9</v>
      </c>
      <c r="H3179" s="33" t="n">
        <v>10</v>
      </c>
    </row>
    <row r="3180" customFormat="false" ht="54" hidden="false" customHeight="true" outlineLevel="0" collapsed="false">
      <c r="A3180" s="32" t="s">
        <v>13634</v>
      </c>
      <c r="B3180" s="32" t="s">
        <v>7096</v>
      </c>
      <c r="C3180" s="33" t="s">
        <v>1407</v>
      </c>
      <c r="D3180" s="33" t="s">
        <v>50</v>
      </c>
      <c r="E3180" s="33" t="s">
        <v>80</v>
      </c>
      <c r="F3180" s="33" t="s">
        <v>183</v>
      </c>
      <c r="G3180" s="33" t="s">
        <v>9</v>
      </c>
      <c r="H3180" s="33" t="n">
        <v>10</v>
      </c>
    </row>
    <row r="3181" customFormat="false" ht="54" hidden="false" customHeight="true" outlineLevel="0" collapsed="false">
      <c r="A3181" s="32" t="s">
        <v>13635</v>
      </c>
      <c r="B3181" s="32" t="s">
        <v>7096</v>
      </c>
      <c r="C3181" s="33" t="s">
        <v>1407</v>
      </c>
      <c r="D3181" s="33" t="s">
        <v>50</v>
      </c>
      <c r="E3181" s="33" t="s">
        <v>81</v>
      </c>
      <c r="F3181" s="33" t="s">
        <v>7106</v>
      </c>
      <c r="G3181" s="33" t="s">
        <v>9</v>
      </c>
      <c r="H3181" s="33" t="n">
        <v>10</v>
      </c>
    </row>
    <row r="3182" customFormat="false" ht="54" hidden="false" customHeight="true" outlineLevel="0" collapsed="false">
      <c r="A3182" s="32" t="s">
        <v>13636</v>
      </c>
      <c r="B3182" s="32" t="s">
        <v>7096</v>
      </c>
      <c r="C3182" s="33" t="s">
        <v>1407</v>
      </c>
      <c r="D3182" s="33" t="s">
        <v>50</v>
      </c>
      <c r="E3182" s="33" t="s">
        <v>84</v>
      </c>
      <c r="F3182" s="33" t="s">
        <v>183</v>
      </c>
      <c r="G3182" s="33" t="s">
        <v>9</v>
      </c>
      <c r="H3182" s="33" t="n">
        <v>10</v>
      </c>
    </row>
    <row r="3183" customFormat="false" ht="54" hidden="false" customHeight="true" outlineLevel="0" collapsed="false">
      <c r="A3183" s="32" t="s">
        <v>13637</v>
      </c>
      <c r="B3183" s="32" t="s">
        <v>7108</v>
      </c>
      <c r="C3183" s="33" t="s">
        <v>1407</v>
      </c>
      <c r="D3183" s="33" t="s">
        <v>50</v>
      </c>
      <c r="E3183" s="33" t="s">
        <v>80</v>
      </c>
      <c r="F3183" s="33" t="s">
        <v>7112</v>
      </c>
      <c r="G3183" s="33" t="s">
        <v>9</v>
      </c>
      <c r="H3183" s="33" t="n">
        <v>10</v>
      </c>
    </row>
    <row r="3184" customFormat="false" ht="54" hidden="false" customHeight="true" outlineLevel="0" collapsed="false">
      <c r="A3184" s="32" t="s">
        <v>13638</v>
      </c>
      <c r="B3184" s="32" t="s">
        <v>7108</v>
      </c>
      <c r="C3184" s="33" t="s">
        <v>1407</v>
      </c>
      <c r="D3184" s="33" t="s">
        <v>50</v>
      </c>
      <c r="E3184" s="33" t="s">
        <v>80</v>
      </c>
      <c r="F3184" s="33" t="s">
        <v>183</v>
      </c>
      <c r="G3184" s="33" t="s">
        <v>9</v>
      </c>
      <c r="H3184" s="33" t="n">
        <v>10</v>
      </c>
    </row>
    <row r="3185" customFormat="false" ht="54" hidden="false" customHeight="true" outlineLevel="0" collapsed="false">
      <c r="A3185" s="32" t="s">
        <v>13639</v>
      </c>
      <c r="B3185" s="32" t="s">
        <v>7108</v>
      </c>
      <c r="C3185" s="33" t="s">
        <v>1407</v>
      </c>
      <c r="D3185" s="33" t="s">
        <v>50</v>
      </c>
      <c r="E3185" s="33" t="s">
        <v>80</v>
      </c>
      <c r="F3185" s="33" t="s">
        <v>13640</v>
      </c>
      <c r="G3185" s="33" t="s">
        <v>9</v>
      </c>
      <c r="H3185" s="33" t="n">
        <v>10</v>
      </c>
    </row>
    <row r="3186" customFormat="false" ht="54" hidden="false" customHeight="true" outlineLevel="0" collapsed="false">
      <c r="A3186" s="32" t="s">
        <v>13641</v>
      </c>
      <c r="B3186" s="32" t="s">
        <v>7108</v>
      </c>
      <c r="C3186" s="33" t="s">
        <v>1407</v>
      </c>
      <c r="D3186" s="33" t="s">
        <v>50</v>
      </c>
      <c r="E3186" s="33" t="s">
        <v>81</v>
      </c>
      <c r="F3186" s="33" t="s">
        <v>7112</v>
      </c>
      <c r="G3186" s="33" t="s">
        <v>9</v>
      </c>
      <c r="H3186" s="33" t="n">
        <v>10</v>
      </c>
    </row>
    <row r="3187" customFormat="false" ht="54" hidden="false" customHeight="true" outlineLevel="0" collapsed="false">
      <c r="A3187" s="32" t="s">
        <v>13642</v>
      </c>
      <c r="B3187" s="32" t="s">
        <v>7108</v>
      </c>
      <c r="C3187" s="33" t="s">
        <v>1407</v>
      </c>
      <c r="D3187" s="33" t="s">
        <v>50</v>
      </c>
      <c r="E3187" s="33" t="s">
        <v>81</v>
      </c>
      <c r="F3187" s="33" t="s">
        <v>13643</v>
      </c>
      <c r="G3187" s="33" t="s">
        <v>9</v>
      </c>
      <c r="H3187" s="33" t="n">
        <v>10</v>
      </c>
    </row>
    <row r="3188" customFormat="false" ht="54" hidden="false" customHeight="true" outlineLevel="0" collapsed="false">
      <c r="A3188" s="32" t="s">
        <v>13644</v>
      </c>
      <c r="B3188" s="32" t="s">
        <v>7108</v>
      </c>
      <c r="C3188" s="33" t="s">
        <v>1407</v>
      </c>
      <c r="D3188" s="33" t="s">
        <v>50</v>
      </c>
      <c r="E3188" s="33" t="s">
        <v>81</v>
      </c>
      <c r="F3188" s="33" t="s">
        <v>13640</v>
      </c>
      <c r="G3188" s="33" t="s">
        <v>9</v>
      </c>
      <c r="H3188" s="33" t="n">
        <v>10</v>
      </c>
    </row>
    <row r="3189" customFormat="false" ht="54" hidden="false" customHeight="true" outlineLevel="0" collapsed="false">
      <c r="A3189" s="32" t="s">
        <v>13645</v>
      </c>
      <c r="B3189" s="32" t="s">
        <v>7108</v>
      </c>
      <c r="C3189" s="33" t="s">
        <v>1407</v>
      </c>
      <c r="D3189" s="33" t="s">
        <v>50</v>
      </c>
      <c r="E3189" s="33" t="s">
        <v>81</v>
      </c>
      <c r="F3189" s="33" t="s">
        <v>13646</v>
      </c>
      <c r="G3189" s="33" t="s">
        <v>9</v>
      </c>
      <c r="H3189" s="33" t="n">
        <v>10</v>
      </c>
    </row>
    <row r="3190" customFormat="false" ht="54" hidden="false" customHeight="true" outlineLevel="0" collapsed="false">
      <c r="A3190" s="32" t="s">
        <v>13647</v>
      </c>
      <c r="B3190" s="32" t="s">
        <v>7108</v>
      </c>
      <c r="C3190" s="33" t="s">
        <v>1407</v>
      </c>
      <c r="D3190" s="33" t="s">
        <v>50</v>
      </c>
      <c r="E3190" s="33" t="s">
        <v>82</v>
      </c>
      <c r="F3190" s="33" t="s">
        <v>7113</v>
      </c>
      <c r="G3190" s="33" t="s">
        <v>9</v>
      </c>
      <c r="H3190" s="33" t="n">
        <v>10</v>
      </c>
    </row>
    <row r="3191" customFormat="false" ht="54" hidden="false" customHeight="true" outlineLevel="0" collapsed="false">
      <c r="A3191" s="32" t="s">
        <v>13648</v>
      </c>
      <c r="B3191" s="32" t="s">
        <v>7108</v>
      </c>
      <c r="C3191" s="33" t="s">
        <v>1407</v>
      </c>
      <c r="D3191" s="33" t="s">
        <v>50</v>
      </c>
      <c r="E3191" s="33" t="s">
        <v>82</v>
      </c>
      <c r="F3191" s="33" t="s">
        <v>13649</v>
      </c>
      <c r="G3191" s="33" t="s">
        <v>9</v>
      </c>
      <c r="H3191" s="33" t="n">
        <v>10</v>
      </c>
    </row>
    <row r="3192" customFormat="false" ht="54" hidden="false" customHeight="true" outlineLevel="0" collapsed="false">
      <c r="A3192" s="32" t="s">
        <v>13650</v>
      </c>
      <c r="B3192" s="32" t="s">
        <v>7108</v>
      </c>
      <c r="C3192" s="33" t="s">
        <v>1407</v>
      </c>
      <c r="D3192" s="33" t="s">
        <v>50</v>
      </c>
      <c r="E3192" s="33" t="s">
        <v>84</v>
      </c>
      <c r="F3192" s="33" t="s">
        <v>7112</v>
      </c>
      <c r="G3192" s="33" t="s">
        <v>9</v>
      </c>
      <c r="H3192" s="33" t="n">
        <v>10</v>
      </c>
    </row>
    <row r="3193" customFormat="false" ht="54" hidden="false" customHeight="true" outlineLevel="0" collapsed="false">
      <c r="A3193" s="32" t="s">
        <v>13651</v>
      </c>
      <c r="B3193" s="32" t="s">
        <v>7108</v>
      </c>
      <c r="C3193" s="33" t="s">
        <v>1407</v>
      </c>
      <c r="D3193" s="33" t="s">
        <v>50</v>
      </c>
      <c r="E3193" s="33" t="s">
        <v>84</v>
      </c>
      <c r="F3193" s="33" t="s">
        <v>183</v>
      </c>
      <c r="G3193" s="33" t="s">
        <v>9</v>
      </c>
      <c r="H3193" s="33" t="n">
        <v>10</v>
      </c>
    </row>
    <row r="3194" customFormat="false" ht="54" hidden="false" customHeight="true" outlineLevel="0" collapsed="false">
      <c r="A3194" s="32" t="s">
        <v>13652</v>
      </c>
      <c r="B3194" s="32" t="s">
        <v>7108</v>
      </c>
      <c r="C3194" s="33" t="s">
        <v>1407</v>
      </c>
      <c r="D3194" s="33" t="s">
        <v>50</v>
      </c>
      <c r="E3194" s="33" t="s">
        <v>84</v>
      </c>
      <c r="F3194" s="33" t="s">
        <v>13640</v>
      </c>
      <c r="G3194" s="33" t="s">
        <v>9</v>
      </c>
      <c r="H3194" s="33" t="n">
        <v>10</v>
      </c>
    </row>
    <row r="3195" customFormat="false" ht="54" hidden="false" customHeight="true" outlineLevel="0" collapsed="false">
      <c r="A3195" s="32" t="s">
        <v>13653</v>
      </c>
      <c r="B3195" s="32" t="s">
        <v>7122</v>
      </c>
      <c r="C3195" s="33" t="s">
        <v>1805</v>
      </c>
      <c r="D3195" s="33" t="s">
        <v>56</v>
      </c>
      <c r="E3195" s="33" t="s">
        <v>80</v>
      </c>
      <c r="F3195" s="33" t="s">
        <v>7126</v>
      </c>
      <c r="G3195" s="33" t="s">
        <v>9</v>
      </c>
      <c r="H3195" s="33" t="n">
        <v>10</v>
      </c>
    </row>
    <row r="3196" customFormat="false" ht="54" hidden="false" customHeight="true" outlineLevel="0" collapsed="false">
      <c r="A3196" s="32" t="s">
        <v>13654</v>
      </c>
      <c r="B3196" s="32" t="s">
        <v>7122</v>
      </c>
      <c r="C3196" s="33" t="s">
        <v>1805</v>
      </c>
      <c r="D3196" s="33" t="s">
        <v>56</v>
      </c>
      <c r="E3196" s="33" t="s">
        <v>80</v>
      </c>
      <c r="F3196" s="33" t="s">
        <v>183</v>
      </c>
      <c r="G3196" s="33" t="s">
        <v>9</v>
      </c>
      <c r="H3196" s="33" t="n">
        <v>10</v>
      </c>
    </row>
    <row r="3197" customFormat="false" ht="54" hidden="false" customHeight="true" outlineLevel="0" collapsed="false">
      <c r="A3197" s="32" t="s">
        <v>13655</v>
      </c>
      <c r="B3197" s="32" t="s">
        <v>7122</v>
      </c>
      <c r="C3197" s="33" t="s">
        <v>1805</v>
      </c>
      <c r="D3197" s="33" t="s">
        <v>56</v>
      </c>
      <c r="E3197" s="33" t="s">
        <v>80</v>
      </c>
      <c r="F3197" s="33" t="s">
        <v>13656</v>
      </c>
      <c r="G3197" s="33" t="s">
        <v>9</v>
      </c>
      <c r="H3197" s="33" t="n">
        <v>10</v>
      </c>
    </row>
    <row r="3198" customFormat="false" ht="54" hidden="false" customHeight="true" outlineLevel="0" collapsed="false">
      <c r="A3198" s="32" t="s">
        <v>13657</v>
      </c>
      <c r="B3198" s="32" t="s">
        <v>7122</v>
      </c>
      <c r="C3198" s="33" t="s">
        <v>1805</v>
      </c>
      <c r="D3198" s="33" t="s">
        <v>56</v>
      </c>
      <c r="E3198" s="33" t="s">
        <v>80</v>
      </c>
      <c r="F3198" s="33" t="s">
        <v>13658</v>
      </c>
      <c r="G3198" s="33" t="s">
        <v>9</v>
      </c>
      <c r="H3198" s="33" t="n">
        <v>10</v>
      </c>
    </row>
    <row r="3199" customFormat="false" ht="54" hidden="false" customHeight="true" outlineLevel="0" collapsed="false">
      <c r="A3199" s="32" t="s">
        <v>13659</v>
      </c>
      <c r="B3199" s="32" t="s">
        <v>7122</v>
      </c>
      <c r="C3199" s="33" t="s">
        <v>1805</v>
      </c>
      <c r="D3199" s="33" t="s">
        <v>56</v>
      </c>
      <c r="E3199" s="33" t="s">
        <v>81</v>
      </c>
      <c r="F3199" s="33" t="s">
        <v>7126</v>
      </c>
      <c r="G3199" s="33" t="s">
        <v>9</v>
      </c>
      <c r="H3199" s="33" t="n">
        <v>10</v>
      </c>
    </row>
    <row r="3200" customFormat="false" ht="54" hidden="false" customHeight="true" outlineLevel="0" collapsed="false">
      <c r="A3200" s="32" t="s">
        <v>13660</v>
      </c>
      <c r="B3200" s="32" t="s">
        <v>7122</v>
      </c>
      <c r="C3200" s="33" t="s">
        <v>1805</v>
      </c>
      <c r="D3200" s="33" t="s">
        <v>56</v>
      </c>
      <c r="E3200" s="33" t="s">
        <v>81</v>
      </c>
      <c r="F3200" s="33" t="s">
        <v>7322</v>
      </c>
      <c r="G3200" s="33" t="s">
        <v>9</v>
      </c>
      <c r="H3200" s="33" t="n">
        <v>10</v>
      </c>
    </row>
    <row r="3201" customFormat="false" ht="54" hidden="false" customHeight="true" outlineLevel="0" collapsed="false">
      <c r="A3201" s="32" t="s">
        <v>13661</v>
      </c>
      <c r="B3201" s="32" t="s">
        <v>7122</v>
      </c>
      <c r="C3201" s="33" t="s">
        <v>1805</v>
      </c>
      <c r="D3201" s="33" t="s">
        <v>56</v>
      </c>
      <c r="E3201" s="33" t="s">
        <v>82</v>
      </c>
      <c r="F3201" s="33" t="s">
        <v>13662</v>
      </c>
      <c r="G3201" s="33" t="s">
        <v>9</v>
      </c>
      <c r="H3201" s="33" t="n">
        <v>10</v>
      </c>
    </row>
    <row r="3202" customFormat="false" ht="54" hidden="false" customHeight="true" outlineLevel="0" collapsed="false">
      <c r="A3202" s="32" t="s">
        <v>13663</v>
      </c>
      <c r="B3202" s="32" t="s">
        <v>7122</v>
      </c>
      <c r="C3202" s="33" t="s">
        <v>1805</v>
      </c>
      <c r="D3202" s="33" t="s">
        <v>56</v>
      </c>
      <c r="E3202" s="33" t="s">
        <v>82</v>
      </c>
      <c r="F3202" s="33" t="s">
        <v>13656</v>
      </c>
      <c r="G3202" s="33" t="s">
        <v>9</v>
      </c>
      <c r="H3202" s="33" t="n">
        <v>10</v>
      </c>
    </row>
    <row r="3203" customFormat="false" ht="54" hidden="false" customHeight="true" outlineLevel="0" collapsed="false">
      <c r="A3203" s="32" t="s">
        <v>13664</v>
      </c>
      <c r="B3203" s="32" t="s">
        <v>7122</v>
      </c>
      <c r="C3203" s="33" t="s">
        <v>1805</v>
      </c>
      <c r="D3203" s="33" t="s">
        <v>56</v>
      </c>
      <c r="E3203" s="33" t="s">
        <v>82</v>
      </c>
      <c r="F3203" s="33" t="s">
        <v>10060</v>
      </c>
      <c r="G3203" s="33" t="s">
        <v>9</v>
      </c>
      <c r="H3203" s="33" t="n">
        <v>10</v>
      </c>
    </row>
    <row r="3204" customFormat="false" ht="54" hidden="false" customHeight="true" outlineLevel="0" collapsed="false">
      <c r="A3204" s="32" t="s">
        <v>13665</v>
      </c>
      <c r="B3204" s="32" t="s">
        <v>7122</v>
      </c>
      <c r="C3204" s="33" t="s">
        <v>1805</v>
      </c>
      <c r="D3204" s="33" t="s">
        <v>56</v>
      </c>
      <c r="E3204" s="33" t="s">
        <v>82</v>
      </c>
      <c r="F3204" s="33" t="s">
        <v>13666</v>
      </c>
      <c r="G3204" s="33" t="s">
        <v>9</v>
      </c>
      <c r="H3204" s="33" t="n">
        <v>10</v>
      </c>
    </row>
    <row r="3205" customFormat="false" ht="54" hidden="false" customHeight="true" outlineLevel="0" collapsed="false">
      <c r="A3205" s="32" t="s">
        <v>13667</v>
      </c>
      <c r="B3205" s="32" t="s">
        <v>7122</v>
      </c>
      <c r="C3205" s="33" t="s">
        <v>1805</v>
      </c>
      <c r="D3205" s="33" t="s">
        <v>56</v>
      </c>
      <c r="E3205" s="33" t="s">
        <v>82</v>
      </c>
      <c r="F3205" s="33" t="s">
        <v>13668</v>
      </c>
      <c r="G3205" s="33" t="s">
        <v>9</v>
      </c>
      <c r="H3205" s="33" t="n">
        <v>10</v>
      </c>
    </row>
    <row r="3206" customFormat="false" ht="54" hidden="false" customHeight="true" outlineLevel="0" collapsed="false">
      <c r="A3206" s="32" t="s">
        <v>13669</v>
      </c>
      <c r="B3206" s="32" t="s">
        <v>7122</v>
      </c>
      <c r="C3206" s="33" t="s">
        <v>1805</v>
      </c>
      <c r="D3206" s="33" t="s">
        <v>56</v>
      </c>
      <c r="E3206" s="33" t="s">
        <v>84</v>
      </c>
      <c r="F3206" s="33" t="s">
        <v>183</v>
      </c>
      <c r="G3206" s="33" t="s">
        <v>9</v>
      </c>
      <c r="H3206" s="33" t="n">
        <v>10</v>
      </c>
    </row>
    <row r="3207" customFormat="false" ht="54" hidden="false" customHeight="true" outlineLevel="0" collapsed="false">
      <c r="A3207" s="32" t="s">
        <v>13670</v>
      </c>
      <c r="B3207" s="32" t="s">
        <v>7122</v>
      </c>
      <c r="C3207" s="33" t="s">
        <v>1805</v>
      </c>
      <c r="D3207" s="33" t="s">
        <v>56</v>
      </c>
      <c r="E3207" s="33" t="s">
        <v>84</v>
      </c>
      <c r="F3207" s="33" t="s">
        <v>13671</v>
      </c>
      <c r="G3207" s="33" t="s">
        <v>9</v>
      </c>
      <c r="H3207" s="33" t="n">
        <v>10</v>
      </c>
    </row>
    <row r="3208" customFormat="false" ht="54" hidden="false" customHeight="true" outlineLevel="0" collapsed="false">
      <c r="A3208" s="32" t="s">
        <v>13672</v>
      </c>
      <c r="B3208" s="32" t="s">
        <v>7138</v>
      </c>
      <c r="C3208" s="33" t="s">
        <v>1805</v>
      </c>
      <c r="D3208" s="33" t="s">
        <v>56</v>
      </c>
      <c r="E3208" s="33" t="s">
        <v>80</v>
      </c>
      <c r="F3208" s="33" t="s">
        <v>7141</v>
      </c>
      <c r="G3208" s="33" t="s">
        <v>9</v>
      </c>
      <c r="H3208" s="33" t="n">
        <v>10</v>
      </c>
    </row>
    <row r="3209" customFormat="false" ht="54" hidden="false" customHeight="true" outlineLevel="0" collapsed="false">
      <c r="A3209" s="32" t="s">
        <v>13673</v>
      </c>
      <c r="B3209" s="32" t="s">
        <v>7138</v>
      </c>
      <c r="C3209" s="33" t="s">
        <v>1805</v>
      </c>
      <c r="D3209" s="33" t="s">
        <v>56</v>
      </c>
      <c r="E3209" s="33" t="s">
        <v>80</v>
      </c>
      <c r="F3209" s="33" t="s">
        <v>183</v>
      </c>
      <c r="G3209" s="33" t="s">
        <v>9</v>
      </c>
      <c r="H3209" s="33" t="n">
        <v>10</v>
      </c>
    </row>
    <row r="3210" customFormat="false" ht="54" hidden="false" customHeight="true" outlineLevel="0" collapsed="false">
      <c r="A3210" s="32" t="s">
        <v>13674</v>
      </c>
      <c r="B3210" s="32" t="s">
        <v>7138</v>
      </c>
      <c r="C3210" s="33" t="s">
        <v>1805</v>
      </c>
      <c r="D3210" s="33" t="s">
        <v>56</v>
      </c>
      <c r="E3210" s="33" t="s">
        <v>80</v>
      </c>
      <c r="F3210" s="33" t="s">
        <v>13675</v>
      </c>
      <c r="G3210" s="33" t="s">
        <v>9</v>
      </c>
      <c r="H3210" s="33" t="n">
        <v>10</v>
      </c>
    </row>
    <row r="3211" customFormat="false" ht="54" hidden="false" customHeight="true" outlineLevel="0" collapsed="false">
      <c r="A3211" s="32" t="s">
        <v>13676</v>
      </c>
      <c r="B3211" s="32" t="s">
        <v>7138</v>
      </c>
      <c r="C3211" s="33" t="s">
        <v>1805</v>
      </c>
      <c r="D3211" s="33" t="s">
        <v>56</v>
      </c>
      <c r="E3211" s="33" t="s">
        <v>80</v>
      </c>
      <c r="F3211" s="33" t="s">
        <v>13677</v>
      </c>
      <c r="G3211" s="33" t="s">
        <v>9</v>
      </c>
      <c r="H3211" s="33" t="n">
        <v>10</v>
      </c>
    </row>
    <row r="3212" customFormat="false" ht="54" hidden="false" customHeight="true" outlineLevel="0" collapsed="false">
      <c r="A3212" s="32" t="s">
        <v>13678</v>
      </c>
      <c r="B3212" s="32" t="s">
        <v>7138</v>
      </c>
      <c r="C3212" s="33" t="s">
        <v>1805</v>
      </c>
      <c r="D3212" s="33" t="s">
        <v>56</v>
      </c>
      <c r="E3212" s="33" t="s">
        <v>81</v>
      </c>
      <c r="F3212" s="33" t="s">
        <v>7141</v>
      </c>
      <c r="G3212" s="33" t="s">
        <v>9</v>
      </c>
      <c r="H3212" s="33" t="n">
        <v>10</v>
      </c>
    </row>
    <row r="3213" customFormat="false" ht="54" hidden="false" customHeight="true" outlineLevel="0" collapsed="false">
      <c r="A3213" s="32" t="s">
        <v>13679</v>
      </c>
      <c r="B3213" s="32" t="s">
        <v>7138</v>
      </c>
      <c r="C3213" s="33" t="s">
        <v>1805</v>
      </c>
      <c r="D3213" s="33" t="s">
        <v>56</v>
      </c>
      <c r="E3213" s="33" t="s">
        <v>81</v>
      </c>
      <c r="F3213" s="33" t="s">
        <v>6523</v>
      </c>
      <c r="G3213" s="33" t="s">
        <v>9</v>
      </c>
      <c r="H3213" s="33" t="n">
        <v>10</v>
      </c>
    </row>
    <row r="3214" customFormat="false" ht="54" hidden="false" customHeight="true" outlineLevel="0" collapsed="false">
      <c r="A3214" s="32" t="s">
        <v>13680</v>
      </c>
      <c r="B3214" s="32" t="s">
        <v>7138</v>
      </c>
      <c r="C3214" s="33" t="s">
        <v>1805</v>
      </c>
      <c r="D3214" s="33" t="s">
        <v>56</v>
      </c>
      <c r="E3214" s="33" t="s">
        <v>81</v>
      </c>
      <c r="F3214" s="33" t="s">
        <v>13677</v>
      </c>
      <c r="G3214" s="33" t="s">
        <v>9</v>
      </c>
      <c r="H3214" s="33" t="n">
        <v>10</v>
      </c>
    </row>
    <row r="3215" customFormat="false" ht="54" hidden="false" customHeight="true" outlineLevel="0" collapsed="false">
      <c r="A3215" s="32" t="s">
        <v>13681</v>
      </c>
      <c r="B3215" s="32" t="s">
        <v>7138</v>
      </c>
      <c r="C3215" s="33" t="s">
        <v>1805</v>
      </c>
      <c r="D3215" s="33" t="s">
        <v>56</v>
      </c>
      <c r="E3215" s="33" t="s">
        <v>81</v>
      </c>
      <c r="F3215" s="33" t="s">
        <v>13682</v>
      </c>
      <c r="G3215" s="33" t="s">
        <v>9</v>
      </c>
      <c r="H3215" s="33" t="n">
        <v>10</v>
      </c>
    </row>
    <row r="3216" customFormat="false" ht="54" hidden="false" customHeight="true" outlineLevel="0" collapsed="false">
      <c r="A3216" s="32" t="s">
        <v>13683</v>
      </c>
      <c r="B3216" s="32" t="s">
        <v>7138</v>
      </c>
      <c r="C3216" s="33" t="s">
        <v>1805</v>
      </c>
      <c r="D3216" s="33" t="s">
        <v>56</v>
      </c>
      <c r="E3216" s="33" t="s">
        <v>82</v>
      </c>
      <c r="F3216" s="33" t="s">
        <v>5410</v>
      </c>
      <c r="G3216" s="33" t="s">
        <v>9</v>
      </c>
      <c r="H3216" s="33" t="n">
        <v>10</v>
      </c>
    </row>
    <row r="3217" customFormat="false" ht="54" hidden="false" customHeight="true" outlineLevel="0" collapsed="false">
      <c r="A3217" s="32" t="s">
        <v>13684</v>
      </c>
      <c r="B3217" s="32" t="s">
        <v>7138</v>
      </c>
      <c r="C3217" s="33" t="s">
        <v>1805</v>
      </c>
      <c r="D3217" s="33" t="s">
        <v>56</v>
      </c>
      <c r="E3217" s="33" t="s">
        <v>82</v>
      </c>
      <c r="F3217" s="33" t="s">
        <v>13675</v>
      </c>
      <c r="G3217" s="33" t="s">
        <v>9</v>
      </c>
      <c r="H3217" s="33" t="n">
        <v>10</v>
      </c>
    </row>
    <row r="3218" customFormat="false" ht="54" hidden="false" customHeight="true" outlineLevel="0" collapsed="false">
      <c r="A3218" s="32" t="s">
        <v>13685</v>
      </c>
      <c r="B3218" s="32" t="s">
        <v>7138</v>
      </c>
      <c r="C3218" s="33" t="s">
        <v>1805</v>
      </c>
      <c r="D3218" s="33" t="s">
        <v>56</v>
      </c>
      <c r="E3218" s="33" t="s">
        <v>82</v>
      </c>
      <c r="F3218" s="33" t="s">
        <v>13677</v>
      </c>
      <c r="G3218" s="33" t="s">
        <v>9</v>
      </c>
      <c r="H3218" s="33" t="n">
        <v>10</v>
      </c>
    </row>
    <row r="3219" customFormat="false" ht="54" hidden="false" customHeight="true" outlineLevel="0" collapsed="false">
      <c r="A3219" s="32" t="s">
        <v>13686</v>
      </c>
      <c r="B3219" s="32" t="s">
        <v>7138</v>
      </c>
      <c r="C3219" s="33" t="s">
        <v>1805</v>
      </c>
      <c r="D3219" s="33" t="s">
        <v>56</v>
      </c>
      <c r="E3219" s="33" t="s">
        <v>84</v>
      </c>
      <c r="F3219" s="33" t="s">
        <v>183</v>
      </c>
      <c r="G3219" s="33" t="s">
        <v>9</v>
      </c>
      <c r="H3219" s="33" t="n">
        <v>10</v>
      </c>
    </row>
    <row r="3220" customFormat="false" ht="54" hidden="false" customHeight="true" outlineLevel="0" collapsed="false">
      <c r="A3220" s="32" t="s">
        <v>13687</v>
      </c>
      <c r="B3220" s="32" t="s">
        <v>7138</v>
      </c>
      <c r="C3220" s="33" t="s">
        <v>1805</v>
      </c>
      <c r="D3220" s="33" t="s">
        <v>56</v>
      </c>
      <c r="E3220" s="33" t="s">
        <v>86</v>
      </c>
      <c r="F3220" s="33" t="s">
        <v>13675</v>
      </c>
      <c r="G3220" s="33" t="s">
        <v>9</v>
      </c>
      <c r="H3220" s="33" t="n">
        <v>10</v>
      </c>
    </row>
    <row r="3221" customFormat="false" ht="54" hidden="false" customHeight="true" outlineLevel="0" collapsed="false">
      <c r="A3221" s="32" t="s">
        <v>13688</v>
      </c>
      <c r="B3221" s="32" t="s">
        <v>7138</v>
      </c>
      <c r="C3221" s="33" t="s">
        <v>1805</v>
      </c>
      <c r="D3221" s="33" t="s">
        <v>56</v>
      </c>
      <c r="E3221" s="33" t="s">
        <v>86</v>
      </c>
      <c r="F3221" s="33" t="s">
        <v>13677</v>
      </c>
      <c r="G3221" s="33" t="s">
        <v>9</v>
      </c>
      <c r="H3221" s="33" t="n">
        <v>10</v>
      </c>
    </row>
    <row r="3222" customFormat="false" ht="54" hidden="false" customHeight="true" outlineLevel="0" collapsed="false">
      <c r="A3222" s="32" t="s">
        <v>13689</v>
      </c>
      <c r="B3222" s="32" t="s">
        <v>7151</v>
      </c>
      <c r="C3222" s="33" t="s">
        <v>1407</v>
      </c>
      <c r="D3222" s="33" t="s">
        <v>50</v>
      </c>
      <c r="E3222" s="33" t="s">
        <v>80</v>
      </c>
      <c r="F3222" s="33" t="s">
        <v>7154</v>
      </c>
      <c r="G3222" s="33" t="s">
        <v>9</v>
      </c>
      <c r="H3222" s="33" t="n">
        <v>10</v>
      </c>
    </row>
    <row r="3223" customFormat="false" ht="54" hidden="false" customHeight="true" outlineLevel="0" collapsed="false">
      <c r="A3223" s="32" t="s">
        <v>13690</v>
      </c>
      <c r="B3223" s="32" t="s">
        <v>7151</v>
      </c>
      <c r="C3223" s="33" t="s">
        <v>1407</v>
      </c>
      <c r="D3223" s="33" t="s">
        <v>50</v>
      </c>
      <c r="E3223" s="33" t="s">
        <v>80</v>
      </c>
      <c r="F3223" s="33" t="s">
        <v>183</v>
      </c>
      <c r="G3223" s="33" t="s">
        <v>9</v>
      </c>
      <c r="H3223" s="33" t="n">
        <v>10</v>
      </c>
    </row>
    <row r="3224" customFormat="false" ht="54" hidden="false" customHeight="true" outlineLevel="0" collapsed="false">
      <c r="A3224" s="32" t="s">
        <v>13691</v>
      </c>
      <c r="B3224" s="32" t="s">
        <v>7151</v>
      </c>
      <c r="C3224" s="33" t="s">
        <v>1407</v>
      </c>
      <c r="D3224" s="33" t="s">
        <v>50</v>
      </c>
      <c r="E3224" s="33" t="s">
        <v>80</v>
      </c>
      <c r="F3224" s="33" t="s">
        <v>13692</v>
      </c>
      <c r="G3224" s="33" t="s">
        <v>9</v>
      </c>
      <c r="H3224" s="33" t="n">
        <v>10</v>
      </c>
    </row>
    <row r="3225" customFormat="false" ht="54" hidden="false" customHeight="true" outlineLevel="0" collapsed="false">
      <c r="A3225" s="32" t="s">
        <v>13693</v>
      </c>
      <c r="B3225" s="32" t="s">
        <v>7151</v>
      </c>
      <c r="C3225" s="33" t="s">
        <v>1407</v>
      </c>
      <c r="D3225" s="33" t="s">
        <v>50</v>
      </c>
      <c r="E3225" s="33" t="s">
        <v>81</v>
      </c>
      <c r="F3225" s="33" t="s">
        <v>7154</v>
      </c>
      <c r="G3225" s="33" t="s">
        <v>9</v>
      </c>
      <c r="H3225" s="33" t="n">
        <v>10</v>
      </c>
    </row>
    <row r="3226" customFormat="false" ht="54" hidden="false" customHeight="true" outlineLevel="0" collapsed="false">
      <c r="A3226" s="32" t="s">
        <v>13694</v>
      </c>
      <c r="B3226" s="32" t="s">
        <v>7151</v>
      </c>
      <c r="C3226" s="33" t="s">
        <v>1407</v>
      </c>
      <c r="D3226" s="33" t="s">
        <v>50</v>
      </c>
      <c r="E3226" s="33" t="s">
        <v>81</v>
      </c>
      <c r="F3226" s="33" t="s">
        <v>7322</v>
      </c>
      <c r="G3226" s="33" t="s">
        <v>9</v>
      </c>
      <c r="H3226" s="33" t="n">
        <v>10</v>
      </c>
    </row>
    <row r="3227" customFormat="false" ht="54" hidden="false" customHeight="true" outlineLevel="0" collapsed="false">
      <c r="A3227" s="32" t="s">
        <v>13695</v>
      </c>
      <c r="B3227" s="32" t="s">
        <v>7151</v>
      </c>
      <c r="C3227" s="33" t="s">
        <v>1407</v>
      </c>
      <c r="D3227" s="33" t="s">
        <v>50</v>
      </c>
      <c r="E3227" s="33" t="s">
        <v>81</v>
      </c>
      <c r="F3227" s="33" t="s">
        <v>13696</v>
      </c>
      <c r="G3227" s="33" t="s">
        <v>9</v>
      </c>
      <c r="H3227" s="33" t="n">
        <v>10</v>
      </c>
    </row>
    <row r="3228" customFormat="false" ht="54" hidden="false" customHeight="true" outlineLevel="0" collapsed="false">
      <c r="A3228" s="32" t="s">
        <v>13697</v>
      </c>
      <c r="B3228" s="32" t="s">
        <v>7151</v>
      </c>
      <c r="C3228" s="33" t="s">
        <v>1407</v>
      </c>
      <c r="D3228" s="33" t="s">
        <v>50</v>
      </c>
      <c r="E3228" s="33" t="s">
        <v>82</v>
      </c>
      <c r="F3228" s="33" t="s">
        <v>13698</v>
      </c>
      <c r="G3228" s="33" t="s">
        <v>9</v>
      </c>
      <c r="H3228" s="33" t="n">
        <v>10</v>
      </c>
    </row>
    <row r="3229" customFormat="false" ht="54" hidden="false" customHeight="true" outlineLevel="0" collapsed="false">
      <c r="A3229" s="32" t="s">
        <v>13699</v>
      </c>
      <c r="B3229" s="32" t="s">
        <v>7151</v>
      </c>
      <c r="C3229" s="33" t="s">
        <v>1407</v>
      </c>
      <c r="D3229" s="33" t="s">
        <v>50</v>
      </c>
      <c r="E3229" s="33" t="s">
        <v>82</v>
      </c>
      <c r="F3229" s="33" t="s">
        <v>13700</v>
      </c>
      <c r="G3229" s="33" t="s">
        <v>9</v>
      </c>
      <c r="H3229" s="33" t="n">
        <v>10</v>
      </c>
    </row>
    <row r="3230" customFormat="false" ht="54" hidden="false" customHeight="true" outlineLevel="0" collapsed="false">
      <c r="A3230" s="32" t="s">
        <v>13701</v>
      </c>
      <c r="B3230" s="32" t="s">
        <v>7151</v>
      </c>
      <c r="C3230" s="33" t="s">
        <v>1407</v>
      </c>
      <c r="D3230" s="33" t="s">
        <v>50</v>
      </c>
      <c r="E3230" s="33" t="s">
        <v>82</v>
      </c>
      <c r="F3230" s="33" t="s">
        <v>13702</v>
      </c>
      <c r="G3230" s="33" t="s">
        <v>9</v>
      </c>
      <c r="H3230" s="33" t="n">
        <v>10</v>
      </c>
    </row>
    <row r="3231" customFormat="false" ht="54" hidden="false" customHeight="true" outlineLevel="0" collapsed="false">
      <c r="A3231" s="32" t="s">
        <v>13703</v>
      </c>
      <c r="B3231" s="32" t="s">
        <v>7151</v>
      </c>
      <c r="C3231" s="33" t="s">
        <v>1407</v>
      </c>
      <c r="D3231" s="33" t="s">
        <v>50</v>
      </c>
      <c r="E3231" s="33" t="s">
        <v>84</v>
      </c>
      <c r="F3231" s="33" t="s">
        <v>183</v>
      </c>
      <c r="G3231" s="33" t="s">
        <v>9</v>
      </c>
      <c r="H3231" s="33" t="n">
        <v>10</v>
      </c>
    </row>
    <row r="3232" customFormat="false" ht="54" hidden="false" customHeight="true" outlineLevel="0" collapsed="false">
      <c r="A3232" s="32" t="s">
        <v>13704</v>
      </c>
      <c r="B3232" s="32" t="s">
        <v>7151</v>
      </c>
      <c r="C3232" s="33" t="s">
        <v>1407</v>
      </c>
      <c r="D3232" s="33" t="s">
        <v>50</v>
      </c>
      <c r="E3232" s="33" t="s">
        <v>84</v>
      </c>
      <c r="F3232" s="33" t="s">
        <v>13705</v>
      </c>
      <c r="G3232" s="33" t="s">
        <v>9</v>
      </c>
      <c r="H3232" s="33" t="n">
        <v>10</v>
      </c>
    </row>
    <row r="3233" customFormat="false" ht="54" hidden="false" customHeight="true" outlineLevel="0" collapsed="false">
      <c r="A3233" s="32" t="s">
        <v>13706</v>
      </c>
      <c r="B3233" s="32" t="s">
        <v>7151</v>
      </c>
      <c r="C3233" s="33" t="s">
        <v>1407</v>
      </c>
      <c r="D3233" s="33" t="s">
        <v>50</v>
      </c>
      <c r="E3233" s="33" t="s">
        <v>84</v>
      </c>
      <c r="F3233" s="33" t="s">
        <v>13707</v>
      </c>
      <c r="G3233" s="33" t="s">
        <v>9</v>
      </c>
      <c r="H3233" s="33" t="n">
        <v>10</v>
      </c>
    </row>
    <row r="3234" customFormat="false" ht="54" hidden="false" customHeight="true" outlineLevel="0" collapsed="false">
      <c r="A3234" s="32" t="s">
        <v>13708</v>
      </c>
      <c r="B3234" s="32" t="s">
        <v>2065</v>
      </c>
      <c r="C3234" s="33" t="s">
        <v>1407</v>
      </c>
      <c r="D3234" s="33" t="s">
        <v>50</v>
      </c>
      <c r="E3234" s="33" t="s">
        <v>80</v>
      </c>
      <c r="F3234" s="33" t="s">
        <v>183</v>
      </c>
      <c r="G3234" s="33" t="s">
        <v>9</v>
      </c>
      <c r="H3234" s="33" t="n">
        <v>10</v>
      </c>
    </row>
    <row r="3235" customFormat="false" ht="54" hidden="false" customHeight="true" outlineLevel="0" collapsed="false">
      <c r="A3235" s="32" t="s">
        <v>13709</v>
      </c>
      <c r="B3235" s="32" t="s">
        <v>2065</v>
      </c>
      <c r="C3235" s="33" t="s">
        <v>1407</v>
      </c>
      <c r="D3235" s="33" t="s">
        <v>50</v>
      </c>
      <c r="E3235" s="33" t="s">
        <v>80</v>
      </c>
      <c r="F3235" s="33" t="s">
        <v>13710</v>
      </c>
      <c r="G3235" s="33" t="s">
        <v>9</v>
      </c>
      <c r="H3235" s="33" t="n">
        <v>10</v>
      </c>
    </row>
    <row r="3236" customFormat="false" ht="54" hidden="false" customHeight="true" outlineLevel="0" collapsed="false">
      <c r="A3236" s="32" t="s">
        <v>13711</v>
      </c>
      <c r="B3236" s="32" t="s">
        <v>2065</v>
      </c>
      <c r="C3236" s="33" t="s">
        <v>1407</v>
      </c>
      <c r="D3236" s="33" t="s">
        <v>50</v>
      </c>
      <c r="E3236" s="33" t="s">
        <v>82</v>
      </c>
      <c r="F3236" s="33" t="s">
        <v>7176</v>
      </c>
      <c r="G3236" s="33" t="s">
        <v>9</v>
      </c>
      <c r="H3236" s="33" t="n">
        <v>10</v>
      </c>
    </row>
    <row r="3237" customFormat="false" ht="54" hidden="false" customHeight="true" outlineLevel="0" collapsed="false">
      <c r="A3237" s="32" t="s">
        <v>13712</v>
      </c>
      <c r="B3237" s="32" t="s">
        <v>2065</v>
      </c>
      <c r="C3237" s="33" t="s">
        <v>1407</v>
      </c>
      <c r="D3237" s="33" t="s">
        <v>50</v>
      </c>
      <c r="E3237" s="33" t="s">
        <v>84</v>
      </c>
      <c r="F3237" s="33" t="s">
        <v>183</v>
      </c>
      <c r="G3237" s="33" t="s">
        <v>9</v>
      </c>
      <c r="H3237" s="33" t="n">
        <v>10</v>
      </c>
    </row>
    <row r="3238" customFormat="false" ht="54" hidden="false" customHeight="true" outlineLevel="0" collapsed="false">
      <c r="A3238" s="32" t="s">
        <v>13713</v>
      </c>
      <c r="B3238" s="32" t="s">
        <v>7180</v>
      </c>
      <c r="C3238" s="33" t="s">
        <v>98</v>
      </c>
      <c r="D3238" s="33" t="s">
        <v>59</v>
      </c>
      <c r="E3238" s="33" t="s">
        <v>80</v>
      </c>
      <c r="F3238" s="33" t="s">
        <v>183</v>
      </c>
      <c r="G3238" s="33" t="s">
        <v>12</v>
      </c>
      <c r="H3238" s="33" t="n">
        <v>10</v>
      </c>
    </row>
    <row r="3239" customFormat="false" ht="54" hidden="false" customHeight="true" outlineLevel="0" collapsed="false">
      <c r="A3239" s="32" t="s">
        <v>13714</v>
      </c>
      <c r="B3239" s="32" t="s">
        <v>7180</v>
      </c>
      <c r="C3239" s="33" t="s">
        <v>98</v>
      </c>
      <c r="D3239" s="33" t="s">
        <v>59</v>
      </c>
      <c r="E3239" s="33" t="s">
        <v>80</v>
      </c>
      <c r="F3239" s="33" t="s">
        <v>13715</v>
      </c>
      <c r="G3239" s="33" t="s">
        <v>12</v>
      </c>
      <c r="H3239" s="33" t="n">
        <v>10</v>
      </c>
    </row>
    <row r="3240" customFormat="false" ht="54" hidden="false" customHeight="true" outlineLevel="0" collapsed="false">
      <c r="A3240" s="32" t="s">
        <v>13716</v>
      </c>
      <c r="B3240" s="32" t="s">
        <v>7180</v>
      </c>
      <c r="C3240" s="33" t="s">
        <v>98</v>
      </c>
      <c r="D3240" s="33" t="s">
        <v>59</v>
      </c>
      <c r="E3240" s="33" t="s">
        <v>81</v>
      </c>
      <c r="F3240" s="33" t="s">
        <v>7184</v>
      </c>
      <c r="G3240" s="33" t="s">
        <v>12</v>
      </c>
      <c r="H3240" s="33" t="n">
        <v>10</v>
      </c>
    </row>
    <row r="3241" customFormat="false" ht="54" hidden="false" customHeight="true" outlineLevel="0" collapsed="false">
      <c r="A3241" s="32" t="s">
        <v>13717</v>
      </c>
      <c r="B3241" s="32" t="s">
        <v>7180</v>
      </c>
      <c r="C3241" s="33" t="s">
        <v>98</v>
      </c>
      <c r="D3241" s="33" t="s">
        <v>59</v>
      </c>
      <c r="E3241" s="33" t="s">
        <v>82</v>
      </c>
      <c r="F3241" s="33" t="s">
        <v>7186</v>
      </c>
      <c r="G3241" s="33" t="s">
        <v>12</v>
      </c>
      <c r="H3241" s="33" t="n">
        <v>10</v>
      </c>
    </row>
    <row r="3242" customFormat="false" ht="54" hidden="false" customHeight="true" outlineLevel="0" collapsed="false">
      <c r="A3242" s="32" t="s">
        <v>13718</v>
      </c>
      <c r="B3242" s="32" t="s">
        <v>7180</v>
      </c>
      <c r="C3242" s="33" t="s">
        <v>98</v>
      </c>
      <c r="D3242" s="33" t="s">
        <v>59</v>
      </c>
      <c r="E3242" s="33" t="s">
        <v>82</v>
      </c>
      <c r="F3242" s="33" t="s">
        <v>13715</v>
      </c>
      <c r="G3242" s="33" t="s">
        <v>12</v>
      </c>
      <c r="H3242" s="33" t="n">
        <v>10</v>
      </c>
    </row>
    <row r="3243" customFormat="false" ht="54" hidden="false" customHeight="true" outlineLevel="0" collapsed="false">
      <c r="A3243" s="32" t="s">
        <v>13719</v>
      </c>
      <c r="B3243" s="32" t="s">
        <v>7180</v>
      </c>
      <c r="C3243" s="33" t="s">
        <v>98</v>
      </c>
      <c r="D3243" s="33" t="s">
        <v>59</v>
      </c>
      <c r="E3243" s="33" t="s">
        <v>84</v>
      </c>
      <c r="F3243" s="33" t="s">
        <v>183</v>
      </c>
      <c r="G3243" s="33" t="s">
        <v>12</v>
      </c>
      <c r="H3243" s="33" t="n">
        <v>10</v>
      </c>
    </row>
    <row r="3244" customFormat="false" ht="54" hidden="false" customHeight="true" outlineLevel="0" collapsed="false">
      <c r="A3244" s="32" t="s">
        <v>13720</v>
      </c>
      <c r="B3244" s="32" t="s">
        <v>7180</v>
      </c>
      <c r="C3244" s="33" t="s">
        <v>98</v>
      </c>
      <c r="D3244" s="33" t="s">
        <v>59</v>
      </c>
      <c r="E3244" s="33" t="s">
        <v>84</v>
      </c>
      <c r="F3244" s="33" t="s">
        <v>13715</v>
      </c>
      <c r="G3244" s="33" t="s">
        <v>12</v>
      </c>
      <c r="H3244" s="33" t="n">
        <v>10</v>
      </c>
    </row>
    <row r="3245" customFormat="false" ht="54" hidden="false" customHeight="true" outlineLevel="0" collapsed="false">
      <c r="A3245" s="32" t="s">
        <v>13721</v>
      </c>
      <c r="B3245" s="32" t="s">
        <v>7194</v>
      </c>
      <c r="C3245" s="33" t="s">
        <v>1407</v>
      </c>
      <c r="D3245" s="33" t="s">
        <v>50</v>
      </c>
      <c r="E3245" s="33" t="s">
        <v>80</v>
      </c>
      <c r="F3245" s="33" t="s">
        <v>1594</v>
      </c>
      <c r="G3245" s="33" t="s">
        <v>9</v>
      </c>
      <c r="H3245" s="33" t="n">
        <v>10</v>
      </c>
    </row>
    <row r="3246" customFormat="false" ht="54" hidden="false" customHeight="true" outlineLevel="0" collapsed="false">
      <c r="A3246" s="32" t="s">
        <v>13722</v>
      </c>
      <c r="B3246" s="32" t="s">
        <v>7194</v>
      </c>
      <c r="C3246" s="33" t="s">
        <v>1407</v>
      </c>
      <c r="D3246" s="33" t="s">
        <v>50</v>
      </c>
      <c r="E3246" s="33" t="s">
        <v>80</v>
      </c>
      <c r="F3246" s="33" t="s">
        <v>183</v>
      </c>
      <c r="G3246" s="33" t="s">
        <v>9</v>
      </c>
      <c r="H3246" s="33" t="n">
        <v>10</v>
      </c>
    </row>
    <row r="3247" customFormat="false" ht="54" hidden="false" customHeight="true" outlineLevel="0" collapsed="false">
      <c r="A3247" s="32" t="s">
        <v>13723</v>
      </c>
      <c r="B3247" s="32" t="s">
        <v>7194</v>
      </c>
      <c r="C3247" s="33" t="s">
        <v>1407</v>
      </c>
      <c r="D3247" s="33" t="s">
        <v>50</v>
      </c>
      <c r="E3247" s="33" t="s">
        <v>80</v>
      </c>
      <c r="F3247" s="33" t="s">
        <v>13724</v>
      </c>
      <c r="G3247" s="33" t="s">
        <v>9</v>
      </c>
      <c r="H3247" s="33" t="n">
        <v>10</v>
      </c>
    </row>
    <row r="3248" customFormat="false" ht="54" hidden="false" customHeight="true" outlineLevel="0" collapsed="false">
      <c r="A3248" s="32" t="s">
        <v>13725</v>
      </c>
      <c r="B3248" s="32" t="s">
        <v>7194</v>
      </c>
      <c r="C3248" s="33" t="s">
        <v>1407</v>
      </c>
      <c r="D3248" s="33" t="s">
        <v>50</v>
      </c>
      <c r="E3248" s="33" t="s">
        <v>80</v>
      </c>
      <c r="F3248" s="33" t="s">
        <v>13726</v>
      </c>
      <c r="G3248" s="33" t="s">
        <v>9</v>
      </c>
      <c r="H3248" s="33" t="n">
        <v>10</v>
      </c>
    </row>
    <row r="3249" customFormat="false" ht="54" hidden="false" customHeight="true" outlineLevel="0" collapsed="false">
      <c r="A3249" s="32" t="s">
        <v>13727</v>
      </c>
      <c r="B3249" s="32" t="s">
        <v>7194</v>
      </c>
      <c r="C3249" s="33" t="s">
        <v>1407</v>
      </c>
      <c r="D3249" s="33" t="s">
        <v>50</v>
      </c>
      <c r="E3249" s="33" t="s">
        <v>81</v>
      </c>
      <c r="F3249" s="33" t="s">
        <v>1594</v>
      </c>
      <c r="G3249" s="33" t="s">
        <v>9</v>
      </c>
      <c r="H3249" s="33" t="n">
        <v>10</v>
      </c>
    </row>
    <row r="3250" customFormat="false" ht="54" hidden="false" customHeight="true" outlineLevel="0" collapsed="false">
      <c r="A3250" s="32" t="s">
        <v>13728</v>
      </c>
      <c r="B3250" s="32" t="s">
        <v>7194</v>
      </c>
      <c r="C3250" s="33" t="s">
        <v>1407</v>
      </c>
      <c r="D3250" s="33" t="s">
        <v>50</v>
      </c>
      <c r="E3250" s="33" t="s">
        <v>82</v>
      </c>
      <c r="F3250" s="33" t="s">
        <v>7199</v>
      </c>
      <c r="G3250" s="33" t="s">
        <v>9</v>
      </c>
      <c r="H3250" s="33" t="n">
        <v>10</v>
      </c>
    </row>
    <row r="3251" customFormat="false" ht="54" hidden="false" customHeight="true" outlineLevel="0" collapsed="false">
      <c r="A3251" s="32" t="s">
        <v>13729</v>
      </c>
      <c r="B3251" s="32" t="s">
        <v>7194</v>
      </c>
      <c r="C3251" s="33" t="s">
        <v>1407</v>
      </c>
      <c r="D3251" s="33" t="s">
        <v>50</v>
      </c>
      <c r="E3251" s="33" t="s">
        <v>82</v>
      </c>
      <c r="F3251" s="33" t="s">
        <v>10060</v>
      </c>
      <c r="G3251" s="33" t="s">
        <v>9</v>
      </c>
      <c r="H3251" s="33" t="n">
        <v>10</v>
      </c>
    </row>
    <row r="3252" customFormat="false" ht="54" hidden="false" customHeight="true" outlineLevel="0" collapsed="false">
      <c r="A3252" s="32" t="s">
        <v>13730</v>
      </c>
      <c r="B3252" s="32" t="s">
        <v>7194</v>
      </c>
      <c r="C3252" s="33" t="s">
        <v>1407</v>
      </c>
      <c r="D3252" s="33" t="s">
        <v>50</v>
      </c>
      <c r="E3252" s="33" t="s">
        <v>82</v>
      </c>
      <c r="F3252" s="33" t="s">
        <v>13731</v>
      </c>
      <c r="G3252" s="33" t="s">
        <v>9</v>
      </c>
      <c r="H3252" s="33" t="n">
        <v>10</v>
      </c>
    </row>
    <row r="3253" customFormat="false" ht="54" hidden="false" customHeight="true" outlineLevel="0" collapsed="false">
      <c r="A3253" s="32" t="s">
        <v>13732</v>
      </c>
      <c r="B3253" s="32" t="s">
        <v>7194</v>
      </c>
      <c r="C3253" s="33" t="s">
        <v>1407</v>
      </c>
      <c r="D3253" s="33" t="s">
        <v>50</v>
      </c>
      <c r="E3253" s="33" t="s">
        <v>82</v>
      </c>
      <c r="F3253" s="33" t="s">
        <v>13726</v>
      </c>
      <c r="G3253" s="33" t="s">
        <v>9</v>
      </c>
      <c r="H3253" s="33" t="n">
        <v>10</v>
      </c>
    </row>
    <row r="3254" customFormat="false" ht="54" hidden="false" customHeight="true" outlineLevel="0" collapsed="false">
      <c r="A3254" s="32" t="s">
        <v>13733</v>
      </c>
      <c r="B3254" s="32" t="s">
        <v>7194</v>
      </c>
      <c r="C3254" s="33" t="s">
        <v>1407</v>
      </c>
      <c r="D3254" s="33" t="s">
        <v>50</v>
      </c>
      <c r="E3254" s="33" t="s">
        <v>83</v>
      </c>
      <c r="F3254" s="33" t="s">
        <v>7205</v>
      </c>
      <c r="G3254" s="33" t="s">
        <v>9</v>
      </c>
      <c r="H3254" s="33" t="n">
        <v>10</v>
      </c>
    </row>
    <row r="3255" customFormat="false" ht="54" hidden="false" customHeight="true" outlineLevel="0" collapsed="false">
      <c r="A3255" s="32" t="s">
        <v>13734</v>
      </c>
      <c r="B3255" s="32" t="s">
        <v>7194</v>
      </c>
      <c r="C3255" s="33" t="s">
        <v>1407</v>
      </c>
      <c r="D3255" s="33" t="s">
        <v>50</v>
      </c>
      <c r="E3255" s="33" t="s">
        <v>84</v>
      </c>
      <c r="F3255" s="33" t="s">
        <v>183</v>
      </c>
      <c r="G3255" s="33" t="s">
        <v>9</v>
      </c>
      <c r="H3255" s="33" t="n">
        <v>10</v>
      </c>
    </row>
    <row r="3256" customFormat="false" ht="54" hidden="false" customHeight="true" outlineLevel="0" collapsed="false">
      <c r="A3256" s="32" t="s">
        <v>13735</v>
      </c>
      <c r="B3256" s="32" t="s">
        <v>7194</v>
      </c>
      <c r="C3256" s="33" t="s">
        <v>1407</v>
      </c>
      <c r="D3256" s="33" t="s">
        <v>50</v>
      </c>
      <c r="E3256" s="33" t="s">
        <v>84</v>
      </c>
      <c r="F3256" s="33" t="s">
        <v>13724</v>
      </c>
      <c r="G3256" s="33" t="s">
        <v>9</v>
      </c>
      <c r="H3256" s="33" t="n">
        <v>10</v>
      </c>
    </row>
    <row r="3257" customFormat="false" ht="54" hidden="false" customHeight="true" outlineLevel="0" collapsed="false">
      <c r="A3257" s="32" t="s">
        <v>13736</v>
      </c>
      <c r="B3257" s="32" t="s">
        <v>7209</v>
      </c>
      <c r="C3257" s="33" t="s">
        <v>1407</v>
      </c>
      <c r="D3257" s="33" t="s">
        <v>50</v>
      </c>
      <c r="E3257" s="33" t="s">
        <v>80</v>
      </c>
      <c r="F3257" s="33" t="s">
        <v>6522</v>
      </c>
      <c r="G3257" s="33" t="s">
        <v>9</v>
      </c>
      <c r="H3257" s="33" t="n">
        <v>10</v>
      </c>
    </row>
    <row r="3258" customFormat="false" ht="54" hidden="false" customHeight="true" outlineLevel="0" collapsed="false">
      <c r="A3258" s="32" t="s">
        <v>13737</v>
      </c>
      <c r="B3258" s="32" t="s">
        <v>7209</v>
      </c>
      <c r="C3258" s="33" t="s">
        <v>1407</v>
      </c>
      <c r="D3258" s="33" t="s">
        <v>50</v>
      </c>
      <c r="E3258" s="33" t="s">
        <v>80</v>
      </c>
      <c r="F3258" s="33" t="s">
        <v>183</v>
      </c>
      <c r="G3258" s="33" t="s">
        <v>9</v>
      </c>
      <c r="H3258" s="33" t="n">
        <v>10</v>
      </c>
    </row>
    <row r="3259" customFormat="false" ht="54" hidden="false" customHeight="true" outlineLevel="0" collapsed="false">
      <c r="A3259" s="32" t="s">
        <v>13738</v>
      </c>
      <c r="B3259" s="32" t="s">
        <v>7209</v>
      </c>
      <c r="C3259" s="33" t="s">
        <v>1407</v>
      </c>
      <c r="D3259" s="33" t="s">
        <v>50</v>
      </c>
      <c r="E3259" s="33" t="s">
        <v>80</v>
      </c>
      <c r="F3259" s="33" t="s">
        <v>13739</v>
      </c>
      <c r="G3259" s="33" t="s">
        <v>9</v>
      </c>
      <c r="H3259" s="33" t="n">
        <v>10</v>
      </c>
    </row>
    <row r="3260" customFormat="false" ht="54" hidden="false" customHeight="true" outlineLevel="0" collapsed="false">
      <c r="A3260" s="32" t="s">
        <v>13740</v>
      </c>
      <c r="B3260" s="32" t="s">
        <v>7209</v>
      </c>
      <c r="C3260" s="33" t="s">
        <v>1407</v>
      </c>
      <c r="D3260" s="33" t="s">
        <v>50</v>
      </c>
      <c r="E3260" s="33" t="s">
        <v>80</v>
      </c>
      <c r="F3260" s="33" t="s">
        <v>13726</v>
      </c>
      <c r="G3260" s="33" t="s">
        <v>9</v>
      </c>
      <c r="H3260" s="33" t="n">
        <v>10</v>
      </c>
    </row>
    <row r="3261" customFormat="false" ht="54" hidden="false" customHeight="true" outlineLevel="0" collapsed="false">
      <c r="A3261" s="32" t="s">
        <v>13741</v>
      </c>
      <c r="B3261" s="32" t="s">
        <v>7209</v>
      </c>
      <c r="C3261" s="33" t="s">
        <v>1407</v>
      </c>
      <c r="D3261" s="33" t="s">
        <v>50</v>
      </c>
      <c r="E3261" s="33" t="s">
        <v>81</v>
      </c>
      <c r="F3261" s="33" t="s">
        <v>6522</v>
      </c>
      <c r="G3261" s="33" t="s">
        <v>9</v>
      </c>
      <c r="H3261" s="33" t="n">
        <v>10</v>
      </c>
    </row>
    <row r="3262" customFormat="false" ht="54" hidden="false" customHeight="true" outlineLevel="0" collapsed="false">
      <c r="A3262" s="32" t="s">
        <v>13742</v>
      </c>
      <c r="B3262" s="32" t="s">
        <v>7209</v>
      </c>
      <c r="C3262" s="33" t="s">
        <v>1407</v>
      </c>
      <c r="D3262" s="33" t="s">
        <v>50</v>
      </c>
      <c r="E3262" s="33" t="s">
        <v>81</v>
      </c>
      <c r="F3262" s="33" t="s">
        <v>6523</v>
      </c>
      <c r="G3262" s="33" t="s">
        <v>9</v>
      </c>
      <c r="H3262" s="33" t="n">
        <v>10</v>
      </c>
    </row>
    <row r="3263" customFormat="false" ht="54" hidden="false" customHeight="true" outlineLevel="0" collapsed="false">
      <c r="A3263" s="32" t="s">
        <v>13743</v>
      </c>
      <c r="B3263" s="32" t="s">
        <v>7209</v>
      </c>
      <c r="C3263" s="33" t="s">
        <v>1407</v>
      </c>
      <c r="D3263" s="33" t="s">
        <v>50</v>
      </c>
      <c r="E3263" s="33" t="s">
        <v>82</v>
      </c>
      <c r="F3263" s="33" t="s">
        <v>7199</v>
      </c>
      <c r="G3263" s="33" t="s">
        <v>9</v>
      </c>
      <c r="H3263" s="33" t="n">
        <v>10</v>
      </c>
    </row>
    <row r="3264" customFormat="false" ht="54" hidden="false" customHeight="true" outlineLevel="0" collapsed="false">
      <c r="A3264" s="32" t="s">
        <v>13744</v>
      </c>
      <c r="B3264" s="32" t="s">
        <v>7209</v>
      </c>
      <c r="C3264" s="33" t="s">
        <v>1407</v>
      </c>
      <c r="D3264" s="33" t="s">
        <v>50</v>
      </c>
      <c r="E3264" s="33" t="s">
        <v>82</v>
      </c>
      <c r="F3264" s="33" t="s">
        <v>13745</v>
      </c>
      <c r="G3264" s="33" t="s">
        <v>9</v>
      </c>
      <c r="H3264" s="33" t="n">
        <v>10</v>
      </c>
    </row>
    <row r="3265" customFormat="false" ht="54" hidden="false" customHeight="true" outlineLevel="0" collapsed="false">
      <c r="A3265" s="32" t="s">
        <v>13746</v>
      </c>
      <c r="B3265" s="32" t="s">
        <v>7209</v>
      </c>
      <c r="C3265" s="33" t="s">
        <v>1407</v>
      </c>
      <c r="D3265" s="33" t="s">
        <v>50</v>
      </c>
      <c r="E3265" s="33" t="s">
        <v>82</v>
      </c>
      <c r="F3265" s="33" t="s">
        <v>10060</v>
      </c>
      <c r="G3265" s="33" t="s">
        <v>9</v>
      </c>
      <c r="H3265" s="33" t="n">
        <v>10</v>
      </c>
    </row>
    <row r="3266" customFormat="false" ht="54" hidden="false" customHeight="true" outlineLevel="0" collapsed="false">
      <c r="A3266" s="32" t="s">
        <v>13747</v>
      </c>
      <c r="B3266" s="32" t="s">
        <v>7209</v>
      </c>
      <c r="C3266" s="33" t="s">
        <v>1407</v>
      </c>
      <c r="D3266" s="33" t="s">
        <v>50</v>
      </c>
      <c r="E3266" s="33" t="s">
        <v>82</v>
      </c>
      <c r="F3266" s="33" t="s">
        <v>13739</v>
      </c>
      <c r="G3266" s="33" t="s">
        <v>9</v>
      </c>
      <c r="H3266" s="33" t="n">
        <v>10</v>
      </c>
    </row>
    <row r="3267" customFormat="false" ht="54" hidden="false" customHeight="true" outlineLevel="0" collapsed="false">
      <c r="A3267" s="32" t="s">
        <v>13748</v>
      </c>
      <c r="B3267" s="32" t="s">
        <v>7209</v>
      </c>
      <c r="C3267" s="33" t="s">
        <v>1407</v>
      </c>
      <c r="D3267" s="33" t="s">
        <v>50</v>
      </c>
      <c r="E3267" s="33" t="s">
        <v>82</v>
      </c>
      <c r="F3267" s="33" t="s">
        <v>13726</v>
      </c>
      <c r="G3267" s="33" t="s">
        <v>9</v>
      </c>
      <c r="H3267" s="33" t="n">
        <v>10</v>
      </c>
    </row>
    <row r="3268" customFormat="false" ht="54" hidden="false" customHeight="true" outlineLevel="0" collapsed="false">
      <c r="A3268" s="32" t="s">
        <v>13749</v>
      </c>
      <c r="B3268" s="32" t="s">
        <v>7209</v>
      </c>
      <c r="C3268" s="33" t="s">
        <v>1407</v>
      </c>
      <c r="D3268" s="33" t="s">
        <v>50</v>
      </c>
      <c r="E3268" s="33" t="s">
        <v>83</v>
      </c>
      <c r="F3268" s="33" t="s">
        <v>7205</v>
      </c>
      <c r="G3268" s="33" t="s">
        <v>9</v>
      </c>
      <c r="H3268" s="33" t="n">
        <v>10</v>
      </c>
    </row>
    <row r="3269" customFormat="false" ht="54" hidden="false" customHeight="true" outlineLevel="0" collapsed="false">
      <c r="A3269" s="32" t="s">
        <v>13750</v>
      </c>
      <c r="B3269" s="32" t="s">
        <v>7209</v>
      </c>
      <c r="C3269" s="33" t="s">
        <v>1407</v>
      </c>
      <c r="D3269" s="33" t="s">
        <v>50</v>
      </c>
      <c r="E3269" s="33" t="s">
        <v>84</v>
      </c>
      <c r="F3269" s="33" t="s">
        <v>183</v>
      </c>
      <c r="G3269" s="33" t="s">
        <v>9</v>
      </c>
      <c r="H3269" s="33" t="n">
        <v>10</v>
      </c>
    </row>
    <row r="3270" customFormat="false" ht="54" hidden="false" customHeight="true" outlineLevel="0" collapsed="false">
      <c r="A3270" s="32" t="s">
        <v>13751</v>
      </c>
      <c r="B3270" s="32" t="s">
        <v>7209</v>
      </c>
      <c r="C3270" s="33" t="s">
        <v>1407</v>
      </c>
      <c r="D3270" s="33" t="s">
        <v>50</v>
      </c>
      <c r="E3270" s="33" t="s">
        <v>84</v>
      </c>
      <c r="F3270" s="33" t="s">
        <v>13739</v>
      </c>
      <c r="G3270" s="33" t="s">
        <v>9</v>
      </c>
      <c r="H3270" s="33" t="n">
        <v>10</v>
      </c>
    </row>
    <row r="3271" customFormat="false" ht="54" hidden="false" customHeight="true" outlineLevel="0" collapsed="false">
      <c r="A3271" s="32" t="s">
        <v>13752</v>
      </c>
      <c r="B3271" s="32" t="s">
        <v>7220</v>
      </c>
      <c r="C3271" s="33" t="s">
        <v>1407</v>
      </c>
      <c r="D3271" s="33" t="s">
        <v>50</v>
      </c>
      <c r="E3271" s="33" t="s">
        <v>80</v>
      </c>
      <c r="F3271" s="33" t="s">
        <v>7222</v>
      </c>
      <c r="G3271" s="33" t="s">
        <v>9</v>
      </c>
      <c r="H3271" s="33" t="n">
        <v>10</v>
      </c>
    </row>
    <row r="3272" customFormat="false" ht="54" hidden="false" customHeight="true" outlineLevel="0" collapsed="false">
      <c r="A3272" s="32" t="s">
        <v>13753</v>
      </c>
      <c r="B3272" s="32" t="s">
        <v>7220</v>
      </c>
      <c r="C3272" s="33" t="s">
        <v>1407</v>
      </c>
      <c r="D3272" s="33" t="s">
        <v>50</v>
      </c>
      <c r="E3272" s="33" t="s">
        <v>80</v>
      </c>
      <c r="F3272" s="33" t="s">
        <v>7223</v>
      </c>
      <c r="G3272" s="33" t="s">
        <v>9</v>
      </c>
      <c r="H3272" s="33" t="n">
        <v>10</v>
      </c>
    </row>
    <row r="3273" customFormat="false" ht="54" hidden="false" customHeight="true" outlineLevel="0" collapsed="false">
      <c r="A3273" s="32" t="s">
        <v>13754</v>
      </c>
      <c r="B3273" s="32" t="s">
        <v>7220</v>
      </c>
      <c r="C3273" s="33" t="s">
        <v>1407</v>
      </c>
      <c r="D3273" s="33" t="s">
        <v>50</v>
      </c>
      <c r="E3273" s="33" t="s">
        <v>80</v>
      </c>
      <c r="F3273" s="33" t="s">
        <v>183</v>
      </c>
      <c r="G3273" s="33" t="s">
        <v>9</v>
      </c>
      <c r="H3273" s="33" t="n">
        <v>10</v>
      </c>
    </row>
    <row r="3274" customFormat="false" ht="54" hidden="false" customHeight="true" outlineLevel="0" collapsed="false">
      <c r="A3274" s="32" t="s">
        <v>13755</v>
      </c>
      <c r="B3274" s="32" t="s">
        <v>7220</v>
      </c>
      <c r="C3274" s="33" t="s">
        <v>1407</v>
      </c>
      <c r="D3274" s="33" t="s">
        <v>50</v>
      </c>
      <c r="E3274" s="33" t="s">
        <v>80</v>
      </c>
      <c r="F3274" s="33" t="s">
        <v>13756</v>
      </c>
      <c r="G3274" s="33" t="s">
        <v>9</v>
      </c>
      <c r="H3274" s="33" t="n">
        <v>10</v>
      </c>
    </row>
    <row r="3275" customFormat="false" ht="54" hidden="false" customHeight="true" outlineLevel="0" collapsed="false">
      <c r="A3275" s="32" t="s">
        <v>13757</v>
      </c>
      <c r="B3275" s="32" t="s">
        <v>7220</v>
      </c>
      <c r="C3275" s="33" t="s">
        <v>1407</v>
      </c>
      <c r="D3275" s="33" t="s">
        <v>50</v>
      </c>
      <c r="E3275" s="33" t="s">
        <v>81</v>
      </c>
      <c r="F3275" s="33" t="s">
        <v>7222</v>
      </c>
      <c r="G3275" s="33" t="s">
        <v>9</v>
      </c>
      <c r="H3275" s="33" t="n">
        <v>10</v>
      </c>
    </row>
    <row r="3276" customFormat="false" ht="54" hidden="false" customHeight="true" outlineLevel="0" collapsed="false">
      <c r="A3276" s="32" t="s">
        <v>13758</v>
      </c>
      <c r="B3276" s="32" t="s">
        <v>7220</v>
      </c>
      <c r="C3276" s="33" t="s">
        <v>1407</v>
      </c>
      <c r="D3276" s="33" t="s">
        <v>50</v>
      </c>
      <c r="E3276" s="33" t="s">
        <v>82</v>
      </c>
      <c r="F3276" s="33" t="s">
        <v>7224</v>
      </c>
      <c r="G3276" s="33" t="s">
        <v>9</v>
      </c>
      <c r="H3276" s="33" t="n">
        <v>10</v>
      </c>
    </row>
    <row r="3277" customFormat="false" ht="54" hidden="false" customHeight="true" outlineLevel="0" collapsed="false">
      <c r="A3277" s="32" t="s">
        <v>13759</v>
      </c>
      <c r="B3277" s="32" t="s">
        <v>7220</v>
      </c>
      <c r="C3277" s="33" t="s">
        <v>1407</v>
      </c>
      <c r="D3277" s="33" t="s">
        <v>50</v>
      </c>
      <c r="E3277" s="33" t="s">
        <v>82</v>
      </c>
      <c r="F3277" s="33" t="s">
        <v>10060</v>
      </c>
      <c r="G3277" s="33" t="s">
        <v>9</v>
      </c>
      <c r="H3277" s="33" t="n">
        <v>10</v>
      </c>
    </row>
    <row r="3278" customFormat="false" ht="54" hidden="false" customHeight="true" outlineLevel="0" collapsed="false">
      <c r="A3278" s="32" t="s">
        <v>13760</v>
      </c>
      <c r="B3278" s="32" t="s">
        <v>7220</v>
      </c>
      <c r="C3278" s="33" t="s">
        <v>1407</v>
      </c>
      <c r="D3278" s="33" t="s">
        <v>50</v>
      </c>
      <c r="E3278" s="33" t="s">
        <v>82</v>
      </c>
      <c r="F3278" s="33" t="s">
        <v>13756</v>
      </c>
      <c r="G3278" s="33" t="s">
        <v>9</v>
      </c>
      <c r="H3278" s="33" t="n">
        <v>10</v>
      </c>
    </row>
    <row r="3279" customFormat="false" ht="54" hidden="false" customHeight="true" outlineLevel="0" collapsed="false">
      <c r="A3279" s="32" t="s">
        <v>13761</v>
      </c>
      <c r="B3279" s="32" t="s">
        <v>7220</v>
      </c>
      <c r="C3279" s="33" t="s">
        <v>1407</v>
      </c>
      <c r="D3279" s="33" t="s">
        <v>50</v>
      </c>
      <c r="E3279" s="33" t="s">
        <v>84</v>
      </c>
      <c r="F3279" s="33" t="s">
        <v>7223</v>
      </c>
      <c r="G3279" s="33" t="s">
        <v>9</v>
      </c>
      <c r="H3279" s="33" t="n">
        <v>10</v>
      </c>
    </row>
    <row r="3280" customFormat="false" ht="54" hidden="false" customHeight="true" outlineLevel="0" collapsed="false">
      <c r="A3280" s="32" t="s">
        <v>13762</v>
      </c>
      <c r="B3280" s="32" t="s">
        <v>7220</v>
      </c>
      <c r="C3280" s="33" t="s">
        <v>1407</v>
      </c>
      <c r="D3280" s="33" t="s">
        <v>50</v>
      </c>
      <c r="E3280" s="33" t="s">
        <v>84</v>
      </c>
      <c r="F3280" s="33" t="s">
        <v>183</v>
      </c>
      <c r="G3280" s="33" t="s">
        <v>9</v>
      </c>
      <c r="H3280" s="33" t="n">
        <v>10</v>
      </c>
    </row>
    <row r="3281" customFormat="false" ht="54" hidden="false" customHeight="true" outlineLevel="0" collapsed="false">
      <c r="A3281" s="32" t="s">
        <v>13763</v>
      </c>
      <c r="B3281" s="32" t="s">
        <v>7220</v>
      </c>
      <c r="C3281" s="33" t="s">
        <v>1407</v>
      </c>
      <c r="D3281" s="33" t="s">
        <v>50</v>
      </c>
      <c r="E3281" s="33" t="s">
        <v>84</v>
      </c>
      <c r="F3281" s="33" t="s">
        <v>13756</v>
      </c>
      <c r="G3281" s="33" t="s">
        <v>9</v>
      </c>
      <c r="H3281" s="33" t="n">
        <v>10</v>
      </c>
    </row>
    <row r="3282" customFormat="false" ht="54" hidden="false" customHeight="true" outlineLevel="0" collapsed="false">
      <c r="A3282" s="32" t="s">
        <v>13764</v>
      </c>
      <c r="B3282" s="32" t="s">
        <v>7233</v>
      </c>
      <c r="C3282" s="33" t="s">
        <v>1407</v>
      </c>
      <c r="D3282" s="33" t="s">
        <v>50</v>
      </c>
      <c r="E3282" s="33" t="s">
        <v>80</v>
      </c>
      <c r="F3282" s="33" t="s">
        <v>183</v>
      </c>
      <c r="G3282" s="33" t="s">
        <v>9</v>
      </c>
      <c r="H3282" s="33" t="n">
        <v>10</v>
      </c>
    </row>
    <row r="3283" customFormat="false" ht="54" hidden="false" customHeight="true" outlineLevel="0" collapsed="false">
      <c r="A3283" s="32" t="s">
        <v>13765</v>
      </c>
      <c r="B3283" s="32" t="s">
        <v>7233</v>
      </c>
      <c r="C3283" s="33" t="s">
        <v>1407</v>
      </c>
      <c r="D3283" s="33" t="s">
        <v>50</v>
      </c>
      <c r="E3283" s="33" t="s">
        <v>84</v>
      </c>
      <c r="F3283" s="33" t="s">
        <v>183</v>
      </c>
      <c r="G3283" s="33" t="s">
        <v>9</v>
      </c>
      <c r="H3283" s="33" t="n">
        <v>10</v>
      </c>
    </row>
    <row r="3284" customFormat="false" ht="54" hidden="false" customHeight="true" outlineLevel="0" collapsed="false">
      <c r="A3284" s="32" t="s">
        <v>13766</v>
      </c>
      <c r="B3284" s="32" t="s">
        <v>7243</v>
      </c>
      <c r="C3284" s="33" t="s">
        <v>1407</v>
      </c>
      <c r="D3284" s="33" t="s">
        <v>50</v>
      </c>
      <c r="E3284" s="33" t="s">
        <v>80</v>
      </c>
      <c r="F3284" s="33" t="s">
        <v>183</v>
      </c>
      <c r="G3284" s="33" t="s">
        <v>9</v>
      </c>
      <c r="H3284" s="33" t="n">
        <v>10</v>
      </c>
    </row>
    <row r="3285" customFormat="false" ht="54" hidden="false" customHeight="true" outlineLevel="0" collapsed="false">
      <c r="A3285" s="32" t="s">
        <v>13767</v>
      </c>
      <c r="B3285" s="32" t="s">
        <v>7243</v>
      </c>
      <c r="C3285" s="33" t="s">
        <v>1407</v>
      </c>
      <c r="D3285" s="33" t="s">
        <v>50</v>
      </c>
      <c r="E3285" s="33" t="s">
        <v>84</v>
      </c>
      <c r="F3285" s="33" t="s">
        <v>183</v>
      </c>
      <c r="G3285" s="33" t="s">
        <v>9</v>
      </c>
      <c r="H3285" s="33" t="n">
        <v>10</v>
      </c>
    </row>
    <row r="3286" customFormat="false" ht="54" hidden="false" customHeight="true" outlineLevel="0" collapsed="false">
      <c r="A3286" s="32" t="s">
        <v>13768</v>
      </c>
      <c r="B3286" s="32" t="s">
        <v>7252</v>
      </c>
      <c r="C3286" s="33" t="s">
        <v>1407</v>
      </c>
      <c r="D3286" s="33" t="s">
        <v>50</v>
      </c>
      <c r="E3286" s="33" t="s">
        <v>80</v>
      </c>
      <c r="F3286" s="33" t="s">
        <v>7256</v>
      </c>
      <c r="G3286" s="33" t="s">
        <v>9</v>
      </c>
      <c r="H3286" s="33" t="n">
        <v>10</v>
      </c>
    </row>
    <row r="3287" customFormat="false" ht="54" hidden="false" customHeight="true" outlineLevel="0" collapsed="false">
      <c r="A3287" s="32" t="s">
        <v>13769</v>
      </c>
      <c r="B3287" s="32" t="s">
        <v>7252</v>
      </c>
      <c r="C3287" s="33" t="s">
        <v>1407</v>
      </c>
      <c r="D3287" s="33" t="s">
        <v>50</v>
      </c>
      <c r="E3287" s="33" t="s">
        <v>80</v>
      </c>
      <c r="F3287" s="33" t="s">
        <v>183</v>
      </c>
      <c r="G3287" s="33" t="s">
        <v>9</v>
      </c>
      <c r="H3287" s="33" t="n">
        <v>10</v>
      </c>
    </row>
    <row r="3288" customFormat="false" ht="54" hidden="false" customHeight="true" outlineLevel="0" collapsed="false">
      <c r="A3288" s="32" t="s">
        <v>13770</v>
      </c>
      <c r="B3288" s="32" t="s">
        <v>7252</v>
      </c>
      <c r="C3288" s="33" t="s">
        <v>1407</v>
      </c>
      <c r="D3288" s="33" t="s">
        <v>50</v>
      </c>
      <c r="E3288" s="33" t="s">
        <v>81</v>
      </c>
      <c r="F3288" s="33" t="s">
        <v>7256</v>
      </c>
      <c r="G3288" s="33" t="s">
        <v>9</v>
      </c>
      <c r="H3288" s="33" t="n">
        <v>10</v>
      </c>
    </row>
    <row r="3289" customFormat="false" ht="54" hidden="false" customHeight="true" outlineLevel="0" collapsed="false">
      <c r="A3289" s="32" t="s">
        <v>13771</v>
      </c>
      <c r="B3289" s="32" t="s">
        <v>7252</v>
      </c>
      <c r="C3289" s="33" t="s">
        <v>1407</v>
      </c>
      <c r="D3289" s="33" t="s">
        <v>50</v>
      </c>
      <c r="E3289" s="33" t="s">
        <v>81</v>
      </c>
      <c r="F3289" s="33" t="s">
        <v>7257</v>
      </c>
      <c r="G3289" s="33" t="s">
        <v>9</v>
      </c>
      <c r="H3289" s="33" t="n">
        <v>10</v>
      </c>
    </row>
    <row r="3290" customFormat="false" ht="54" hidden="false" customHeight="true" outlineLevel="0" collapsed="false">
      <c r="A3290" s="32" t="s">
        <v>13772</v>
      </c>
      <c r="B3290" s="32" t="s">
        <v>7252</v>
      </c>
      <c r="C3290" s="33" t="s">
        <v>1407</v>
      </c>
      <c r="D3290" s="33" t="s">
        <v>50</v>
      </c>
      <c r="E3290" s="33" t="s">
        <v>84</v>
      </c>
      <c r="F3290" s="33" t="s">
        <v>183</v>
      </c>
      <c r="G3290" s="33" t="s">
        <v>9</v>
      </c>
      <c r="H3290" s="33" t="n">
        <v>10</v>
      </c>
    </row>
    <row r="3291" customFormat="false" ht="54" hidden="false" customHeight="true" outlineLevel="0" collapsed="false">
      <c r="A3291" s="32" t="s">
        <v>13773</v>
      </c>
      <c r="B3291" s="32" t="s">
        <v>7252</v>
      </c>
      <c r="C3291" s="33" t="s">
        <v>1407</v>
      </c>
      <c r="D3291" s="33" t="s">
        <v>50</v>
      </c>
      <c r="E3291" s="33" t="s">
        <v>84</v>
      </c>
      <c r="F3291" s="33" t="s">
        <v>13774</v>
      </c>
      <c r="G3291" s="33" t="s">
        <v>9</v>
      </c>
      <c r="H3291" s="33" t="n">
        <v>10</v>
      </c>
    </row>
    <row r="3292" customFormat="false" ht="54" hidden="false" customHeight="true" outlineLevel="0" collapsed="false">
      <c r="A3292" s="32" t="s">
        <v>13775</v>
      </c>
      <c r="B3292" s="32" t="s">
        <v>7267</v>
      </c>
      <c r="C3292" s="33" t="s">
        <v>1407</v>
      </c>
      <c r="D3292" s="33" t="s">
        <v>50</v>
      </c>
      <c r="E3292" s="33" t="s">
        <v>80</v>
      </c>
      <c r="F3292" s="33" t="s">
        <v>183</v>
      </c>
      <c r="G3292" s="33" t="s">
        <v>9</v>
      </c>
      <c r="H3292" s="33" t="n">
        <v>10</v>
      </c>
    </row>
    <row r="3293" customFormat="false" ht="54" hidden="false" customHeight="true" outlineLevel="0" collapsed="false">
      <c r="A3293" s="32" t="s">
        <v>13776</v>
      </c>
      <c r="B3293" s="32" t="s">
        <v>7267</v>
      </c>
      <c r="C3293" s="33" t="s">
        <v>1407</v>
      </c>
      <c r="D3293" s="33" t="s">
        <v>50</v>
      </c>
      <c r="E3293" s="33" t="s">
        <v>80</v>
      </c>
      <c r="F3293" s="33" t="s">
        <v>13777</v>
      </c>
      <c r="G3293" s="33" t="s">
        <v>9</v>
      </c>
      <c r="H3293" s="33" t="n">
        <v>10</v>
      </c>
    </row>
    <row r="3294" customFormat="false" ht="54" hidden="false" customHeight="true" outlineLevel="0" collapsed="false">
      <c r="A3294" s="32" t="s">
        <v>13778</v>
      </c>
      <c r="B3294" s="32" t="s">
        <v>7267</v>
      </c>
      <c r="C3294" s="33" t="s">
        <v>1407</v>
      </c>
      <c r="D3294" s="33" t="s">
        <v>50</v>
      </c>
      <c r="E3294" s="33" t="s">
        <v>80</v>
      </c>
      <c r="F3294" s="33" t="s">
        <v>7278</v>
      </c>
      <c r="G3294" s="33" t="s">
        <v>9</v>
      </c>
      <c r="H3294" s="33" t="n">
        <v>10</v>
      </c>
    </row>
    <row r="3295" customFormat="false" ht="54" hidden="false" customHeight="true" outlineLevel="0" collapsed="false">
      <c r="A3295" s="32" t="s">
        <v>13779</v>
      </c>
      <c r="B3295" s="32" t="s">
        <v>7267</v>
      </c>
      <c r="C3295" s="33" t="s">
        <v>1407</v>
      </c>
      <c r="D3295" s="33" t="s">
        <v>50</v>
      </c>
      <c r="E3295" s="33" t="s">
        <v>80</v>
      </c>
      <c r="F3295" s="33" t="s">
        <v>13780</v>
      </c>
      <c r="G3295" s="33" t="s">
        <v>9</v>
      </c>
      <c r="H3295" s="33" t="n">
        <v>10</v>
      </c>
    </row>
    <row r="3296" customFormat="false" ht="54" hidden="false" customHeight="true" outlineLevel="0" collapsed="false">
      <c r="A3296" s="32" t="s">
        <v>13781</v>
      </c>
      <c r="B3296" s="32" t="s">
        <v>7267</v>
      </c>
      <c r="C3296" s="33" t="s">
        <v>1407</v>
      </c>
      <c r="D3296" s="33" t="s">
        <v>50</v>
      </c>
      <c r="E3296" s="33" t="s">
        <v>83</v>
      </c>
      <c r="F3296" s="33" t="s">
        <v>7278</v>
      </c>
      <c r="G3296" s="33" t="s">
        <v>9</v>
      </c>
      <c r="H3296" s="33" t="n">
        <v>10</v>
      </c>
    </row>
    <row r="3297" customFormat="false" ht="54" hidden="false" customHeight="true" outlineLevel="0" collapsed="false">
      <c r="A3297" s="32" t="s">
        <v>13782</v>
      </c>
      <c r="B3297" s="32" t="s">
        <v>7267</v>
      </c>
      <c r="C3297" s="33" t="s">
        <v>1407</v>
      </c>
      <c r="D3297" s="33" t="s">
        <v>50</v>
      </c>
      <c r="E3297" s="33" t="s">
        <v>84</v>
      </c>
      <c r="F3297" s="33" t="s">
        <v>183</v>
      </c>
      <c r="G3297" s="33" t="s">
        <v>9</v>
      </c>
      <c r="H3297" s="33" t="n">
        <v>10</v>
      </c>
    </row>
    <row r="3298" customFormat="false" ht="54" hidden="false" customHeight="true" outlineLevel="0" collapsed="false">
      <c r="A3298" s="32" t="s">
        <v>13783</v>
      </c>
      <c r="B3298" s="32" t="s">
        <v>7267</v>
      </c>
      <c r="C3298" s="33" t="s">
        <v>1407</v>
      </c>
      <c r="D3298" s="33" t="s">
        <v>50</v>
      </c>
      <c r="E3298" s="33" t="s">
        <v>84</v>
      </c>
      <c r="F3298" s="33" t="s">
        <v>13777</v>
      </c>
      <c r="G3298" s="33" t="s">
        <v>9</v>
      </c>
      <c r="H3298" s="33" t="n">
        <v>10</v>
      </c>
    </row>
    <row r="3299" customFormat="false" ht="54" hidden="false" customHeight="true" outlineLevel="0" collapsed="false">
      <c r="A3299" s="32" t="s">
        <v>13784</v>
      </c>
      <c r="B3299" s="32" t="s">
        <v>7267</v>
      </c>
      <c r="C3299" s="33" t="s">
        <v>1407</v>
      </c>
      <c r="D3299" s="33" t="s">
        <v>50</v>
      </c>
      <c r="E3299" s="33" t="s">
        <v>84</v>
      </c>
      <c r="F3299" s="33" t="s">
        <v>7278</v>
      </c>
      <c r="G3299" s="33" t="s">
        <v>9</v>
      </c>
      <c r="H3299" s="33" t="n">
        <v>10</v>
      </c>
    </row>
    <row r="3300" customFormat="false" ht="54" hidden="false" customHeight="true" outlineLevel="0" collapsed="false">
      <c r="A3300" s="32" t="s">
        <v>13785</v>
      </c>
      <c r="B3300" s="32" t="s">
        <v>7267</v>
      </c>
      <c r="C3300" s="33" t="s">
        <v>1407</v>
      </c>
      <c r="D3300" s="33" t="s">
        <v>50</v>
      </c>
      <c r="E3300" s="33" t="s">
        <v>84</v>
      </c>
      <c r="F3300" s="33" t="s">
        <v>13780</v>
      </c>
      <c r="G3300" s="33" t="s">
        <v>9</v>
      </c>
      <c r="H3300" s="33" t="n">
        <v>10</v>
      </c>
    </row>
    <row r="3301" customFormat="false" ht="54" hidden="false" customHeight="true" outlineLevel="0" collapsed="false">
      <c r="A3301" s="32" t="s">
        <v>13786</v>
      </c>
      <c r="B3301" s="32" t="s">
        <v>7281</v>
      </c>
      <c r="C3301" s="33" t="s">
        <v>1407</v>
      </c>
      <c r="D3301" s="33" t="s">
        <v>50</v>
      </c>
      <c r="E3301" s="33" t="s">
        <v>80</v>
      </c>
      <c r="F3301" s="33" t="s">
        <v>1747</v>
      </c>
      <c r="G3301" s="33" t="s">
        <v>9</v>
      </c>
      <c r="H3301" s="33" t="n">
        <v>10</v>
      </c>
    </row>
    <row r="3302" customFormat="false" ht="54" hidden="false" customHeight="true" outlineLevel="0" collapsed="false">
      <c r="A3302" s="32" t="s">
        <v>13787</v>
      </c>
      <c r="B3302" s="32" t="s">
        <v>7281</v>
      </c>
      <c r="C3302" s="33" t="s">
        <v>1407</v>
      </c>
      <c r="D3302" s="33" t="s">
        <v>50</v>
      </c>
      <c r="E3302" s="33" t="s">
        <v>80</v>
      </c>
      <c r="F3302" s="33" t="s">
        <v>183</v>
      </c>
      <c r="G3302" s="33" t="s">
        <v>9</v>
      </c>
      <c r="H3302" s="33" t="n">
        <v>10</v>
      </c>
    </row>
    <row r="3303" customFormat="false" ht="54" hidden="false" customHeight="true" outlineLevel="0" collapsed="false">
      <c r="A3303" s="32" t="s">
        <v>13788</v>
      </c>
      <c r="B3303" s="32" t="s">
        <v>7281</v>
      </c>
      <c r="C3303" s="33" t="s">
        <v>1407</v>
      </c>
      <c r="D3303" s="33" t="s">
        <v>50</v>
      </c>
      <c r="E3303" s="33" t="s">
        <v>80</v>
      </c>
      <c r="F3303" s="33" t="s">
        <v>13789</v>
      </c>
      <c r="G3303" s="33" t="s">
        <v>9</v>
      </c>
      <c r="H3303" s="33" t="n">
        <v>10</v>
      </c>
    </row>
    <row r="3304" customFormat="false" ht="54" hidden="false" customHeight="true" outlineLevel="0" collapsed="false">
      <c r="A3304" s="32" t="s">
        <v>13790</v>
      </c>
      <c r="B3304" s="32" t="s">
        <v>7281</v>
      </c>
      <c r="C3304" s="33" t="s">
        <v>1407</v>
      </c>
      <c r="D3304" s="33" t="s">
        <v>50</v>
      </c>
      <c r="E3304" s="33" t="s">
        <v>80</v>
      </c>
      <c r="F3304" s="33" t="s">
        <v>6489</v>
      </c>
      <c r="G3304" s="33" t="s">
        <v>9</v>
      </c>
      <c r="H3304" s="33" t="n">
        <v>10</v>
      </c>
    </row>
    <row r="3305" customFormat="false" ht="54" hidden="false" customHeight="true" outlineLevel="0" collapsed="false">
      <c r="A3305" s="32" t="s">
        <v>13791</v>
      </c>
      <c r="B3305" s="32" t="s">
        <v>7281</v>
      </c>
      <c r="C3305" s="33" t="s">
        <v>1407</v>
      </c>
      <c r="D3305" s="33" t="s">
        <v>50</v>
      </c>
      <c r="E3305" s="33" t="s">
        <v>81</v>
      </c>
      <c r="F3305" s="33" t="s">
        <v>1747</v>
      </c>
      <c r="G3305" s="33" t="s">
        <v>9</v>
      </c>
      <c r="H3305" s="33" t="n">
        <v>10</v>
      </c>
    </row>
    <row r="3306" customFormat="false" ht="54" hidden="false" customHeight="true" outlineLevel="0" collapsed="false">
      <c r="A3306" s="32" t="s">
        <v>13792</v>
      </c>
      <c r="B3306" s="32" t="s">
        <v>7281</v>
      </c>
      <c r="C3306" s="33" t="s">
        <v>1407</v>
      </c>
      <c r="D3306" s="33" t="s">
        <v>50</v>
      </c>
      <c r="E3306" s="33" t="s">
        <v>82</v>
      </c>
      <c r="F3306" s="33" t="s">
        <v>1612</v>
      </c>
      <c r="G3306" s="33" t="s">
        <v>9</v>
      </c>
      <c r="H3306" s="33" t="n">
        <v>10</v>
      </c>
    </row>
    <row r="3307" customFormat="false" ht="54" hidden="false" customHeight="true" outlineLevel="0" collapsed="false">
      <c r="A3307" s="32" t="s">
        <v>13793</v>
      </c>
      <c r="B3307" s="32" t="s">
        <v>7281</v>
      </c>
      <c r="C3307" s="33" t="s">
        <v>1407</v>
      </c>
      <c r="D3307" s="33" t="s">
        <v>50</v>
      </c>
      <c r="E3307" s="33" t="s">
        <v>82</v>
      </c>
      <c r="F3307" s="33" t="s">
        <v>10086</v>
      </c>
      <c r="G3307" s="33" t="s">
        <v>9</v>
      </c>
      <c r="H3307" s="33" t="n">
        <v>10</v>
      </c>
    </row>
    <row r="3308" customFormat="false" ht="54" hidden="false" customHeight="true" outlineLevel="0" collapsed="false">
      <c r="A3308" s="32" t="s">
        <v>13794</v>
      </c>
      <c r="B3308" s="32" t="s">
        <v>7281</v>
      </c>
      <c r="C3308" s="33" t="s">
        <v>1407</v>
      </c>
      <c r="D3308" s="33" t="s">
        <v>50</v>
      </c>
      <c r="E3308" s="33" t="s">
        <v>82</v>
      </c>
      <c r="F3308" s="33" t="s">
        <v>13795</v>
      </c>
      <c r="G3308" s="33" t="s">
        <v>9</v>
      </c>
      <c r="H3308" s="33" t="n">
        <v>10</v>
      </c>
    </row>
    <row r="3309" customFormat="false" ht="54" hidden="false" customHeight="true" outlineLevel="0" collapsed="false">
      <c r="A3309" s="32" t="s">
        <v>13796</v>
      </c>
      <c r="B3309" s="32" t="s">
        <v>7281</v>
      </c>
      <c r="C3309" s="33" t="s">
        <v>1407</v>
      </c>
      <c r="D3309" s="33" t="s">
        <v>50</v>
      </c>
      <c r="E3309" s="33" t="s">
        <v>82</v>
      </c>
      <c r="F3309" s="33" t="s">
        <v>6489</v>
      </c>
      <c r="G3309" s="33" t="s">
        <v>9</v>
      </c>
      <c r="H3309" s="33" t="n">
        <v>10</v>
      </c>
    </row>
    <row r="3310" customFormat="false" ht="54" hidden="false" customHeight="true" outlineLevel="0" collapsed="false">
      <c r="A3310" s="32" t="s">
        <v>13797</v>
      </c>
      <c r="B3310" s="32" t="s">
        <v>7281</v>
      </c>
      <c r="C3310" s="33" t="s">
        <v>1407</v>
      </c>
      <c r="D3310" s="33" t="s">
        <v>50</v>
      </c>
      <c r="E3310" s="33" t="s">
        <v>82</v>
      </c>
      <c r="F3310" s="33" t="s">
        <v>13798</v>
      </c>
      <c r="G3310" s="33" t="s">
        <v>9</v>
      </c>
      <c r="H3310" s="33" t="n">
        <v>10</v>
      </c>
    </row>
    <row r="3311" customFormat="false" ht="54" hidden="false" customHeight="true" outlineLevel="0" collapsed="false">
      <c r="A3311" s="32" t="s">
        <v>13799</v>
      </c>
      <c r="B3311" s="32" t="s">
        <v>7281</v>
      </c>
      <c r="C3311" s="33" t="s">
        <v>1407</v>
      </c>
      <c r="D3311" s="33" t="s">
        <v>50</v>
      </c>
      <c r="E3311" s="33" t="s">
        <v>83</v>
      </c>
      <c r="F3311" s="33" t="s">
        <v>6489</v>
      </c>
      <c r="G3311" s="33" t="s">
        <v>9</v>
      </c>
      <c r="H3311" s="33" t="n">
        <v>10</v>
      </c>
    </row>
    <row r="3312" customFormat="false" ht="54" hidden="false" customHeight="true" outlineLevel="0" collapsed="false">
      <c r="A3312" s="32" t="s">
        <v>13800</v>
      </c>
      <c r="B3312" s="32" t="s">
        <v>7281</v>
      </c>
      <c r="C3312" s="33" t="s">
        <v>1407</v>
      </c>
      <c r="D3312" s="33" t="s">
        <v>50</v>
      </c>
      <c r="E3312" s="33" t="s">
        <v>84</v>
      </c>
      <c r="F3312" s="33" t="s">
        <v>183</v>
      </c>
      <c r="G3312" s="33" t="s">
        <v>9</v>
      </c>
      <c r="H3312" s="33" t="n">
        <v>10</v>
      </c>
    </row>
    <row r="3313" customFormat="false" ht="54" hidden="false" customHeight="true" outlineLevel="0" collapsed="false">
      <c r="A3313" s="32" t="s">
        <v>13801</v>
      </c>
      <c r="B3313" s="32" t="s">
        <v>7281</v>
      </c>
      <c r="C3313" s="33" t="s">
        <v>1407</v>
      </c>
      <c r="D3313" s="33" t="s">
        <v>50</v>
      </c>
      <c r="E3313" s="33" t="s">
        <v>84</v>
      </c>
      <c r="F3313" s="33" t="s">
        <v>13789</v>
      </c>
      <c r="G3313" s="33" t="s">
        <v>9</v>
      </c>
      <c r="H3313" s="33" t="n">
        <v>10</v>
      </c>
    </row>
    <row r="3314" customFormat="false" ht="54" hidden="false" customHeight="true" outlineLevel="0" collapsed="false">
      <c r="A3314" s="32" t="s">
        <v>13802</v>
      </c>
      <c r="B3314" s="32" t="s">
        <v>7281</v>
      </c>
      <c r="C3314" s="33" t="s">
        <v>1407</v>
      </c>
      <c r="D3314" s="33" t="s">
        <v>50</v>
      </c>
      <c r="E3314" s="33" t="s">
        <v>84</v>
      </c>
      <c r="F3314" s="33" t="s">
        <v>13795</v>
      </c>
      <c r="G3314" s="33" t="s">
        <v>9</v>
      </c>
      <c r="H3314" s="33" t="n">
        <v>10</v>
      </c>
    </row>
    <row r="3315" customFormat="false" ht="54" hidden="false" customHeight="true" outlineLevel="0" collapsed="false">
      <c r="A3315" s="32" t="s">
        <v>13803</v>
      </c>
      <c r="B3315" s="32" t="s">
        <v>7281</v>
      </c>
      <c r="C3315" s="33" t="s">
        <v>1407</v>
      </c>
      <c r="D3315" s="33" t="s">
        <v>50</v>
      </c>
      <c r="E3315" s="33" t="s">
        <v>84</v>
      </c>
      <c r="F3315" s="33" t="s">
        <v>6489</v>
      </c>
      <c r="G3315" s="33" t="s">
        <v>9</v>
      </c>
      <c r="H3315" s="33" t="n">
        <v>10</v>
      </c>
    </row>
    <row r="3316" customFormat="false" ht="54" hidden="false" customHeight="true" outlineLevel="0" collapsed="false">
      <c r="A3316" s="32" t="s">
        <v>13804</v>
      </c>
      <c r="B3316" s="32" t="s">
        <v>7281</v>
      </c>
      <c r="C3316" s="33" t="s">
        <v>1407</v>
      </c>
      <c r="D3316" s="33" t="s">
        <v>50</v>
      </c>
      <c r="E3316" s="33" t="s">
        <v>84</v>
      </c>
      <c r="F3316" s="33" t="s">
        <v>13104</v>
      </c>
      <c r="G3316" s="33" t="s">
        <v>9</v>
      </c>
      <c r="H3316" s="33" t="n">
        <v>10</v>
      </c>
    </row>
    <row r="3317" customFormat="false" ht="54" hidden="false" customHeight="true" outlineLevel="0" collapsed="false">
      <c r="A3317" s="32" t="s">
        <v>13805</v>
      </c>
      <c r="B3317" s="32" t="s">
        <v>7294</v>
      </c>
      <c r="C3317" s="33" t="s">
        <v>1407</v>
      </c>
      <c r="D3317" s="33" t="s">
        <v>50</v>
      </c>
      <c r="E3317" s="33" t="s">
        <v>80</v>
      </c>
      <c r="F3317" s="33" t="s">
        <v>183</v>
      </c>
      <c r="G3317" s="33" t="s">
        <v>9</v>
      </c>
      <c r="H3317" s="33" t="n">
        <v>10</v>
      </c>
    </row>
    <row r="3318" customFormat="false" ht="54" hidden="false" customHeight="true" outlineLevel="0" collapsed="false">
      <c r="A3318" s="32" t="s">
        <v>13806</v>
      </c>
      <c r="B3318" s="32" t="s">
        <v>7294</v>
      </c>
      <c r="C3318" s="33" t="s">
        <v>1407</v>
      </c>
      <c r="D3318" s="33" t="s">
        <v>50</v>
      </c>
      <c r="E3318" s="33" t="s">
        <v>80</v>
      </c>
      <c r="F3318" s="33" t="s">
        <v>13807</v>
      </c>
      <c r="G3318" s="33" t="s">
        <v>9</v>
      </c>
      <c r="H3318" s="33" t="n">
        <v>10</v>
      </c>
    </row>
    <row r="3319" customFormat="false" ht="54" hidden="false" customHeight="true" outlineLevel="0" collapsed="false">
      <c r="A3319" s="32" t="s">
        <v>13808</v>
      </c>
      <c r="B3319" s="32" t="s">
        <v>7294</v>
      </c>
      <c r="C3319" s="33" t="s">
        <v>1407</v>
      </c>
      <c r="D3319" s="33" t="s">
        <v>50</v>
      </c>
      <c r="E3319" s="33" t="s">
        <v>80</v>
      </c>
      <c r="F3319" s="33" t="s">
        <v>7278</v>
      </c>
      <c r="G3319" s="33" t="s">
        <v>9</v>
      </c>
      <c r="H3319" s="33" t="n">
        <v>10</v>
      </c>
    </row>
    <row r="3320" customFormat="false" ht="54" hidden="false" customHeight="true" outlineLevel="0" collapsed="false">
      <c r="A3320" s="32" t="s">
        <v>13809</v>
      </c>
      <c r="B3320" s="32" t="s">
        <v>7294</v>
      </c>
      <c r="C3320" s="33" t="s">
        <v>1407</v>
      </c>
      <c r="D3320" s="33" t="s">
        <v>50</v>
      </c>
      <c r="E3320" s="33" t="s">
        <v>80</v>
      </c>
      <c r="F3320" s="33" t="s">
        <v>13780</v>
      </c>
      <c r="G3320" s="33" t="s">
        <v>9</v>
      </c>
      <c r="H3320" s="33" t="n">
        <v>10</v>
      </c>
    </row>
    <row r="3321" customFormat="false" ht="54" hidden="false" customHeight="true" outlineLevel="0" collapsed="false">
      <c r="A3321" s="32" t="s">
        <v>13810</v>
      </c>
      <c r="B3321" s="32" t="s">
        <v>7294</v>
      </c>
      <c r="C3321" s="33" t="s">
        <v>1407</v>
      </c>
      <c r="D3321" s="33" t="s">
        <v>50</v>
      </c>
      <c r="E3321" s="33" t="s">
        <v>83</v>
      </c>
      <c r="F3321" s="33" t="s">
        <v>7278</v>
      </c>
      <c r="G3321" s="33" t="s">
        <v>9</v>
      </c>
      <c r="H3321" s="33" t="n">
        <v>10</v>
      </c>
    </row>
    <row r="3322" customFormat="false" ht="54" hidden="false" customHeight="true" outlineLevel="0" collapsed="false">
      <c r="A3322" s="32" t="s">
        <v>13811</v>
      </c>
      <c r="B3322" s="32" t="s">
        <v>7294</v>
      </c>
      <c r="C3322" s="33" t="s">
        <v>1407</v>
      </c>
      <c r="D3322" s="33" t="s">
        <v>50</v>
      </c>
      <c r="E3322" s="33" t="s">
        <v>84</v>
      </c>
      <c r="F3322" s="33" t="s">
        <v>183</v>
      </c>
      <c r="G3322" s="33" t="s">
        <v>9</v>
      </c>
      <c r="H3322" s="33" t="n">
        <v>10</v>
      </c>
    </row>
    <row r="3323" customFormat="false" ht="54" hidden="false" customHeight="true" outlineLevel="0" collapsed="false">
      <c r="A3323" s="32" t="s">
        <v>13812</v>
      </c>
      <c r="B3323" s="32" t="s">
        <v>7294</v>
      </c>
      <c r="C3323" s="33" t="s">
        <v>1407</v>
      </c>
      <c r="D3323" s="33" t="s">
        <v>50</v>
      </c>
      <c r="E3323" s="33" t="s">
        <v>84</v>
      </c>
      <c r="F3323" s="33" t="s">
        <v>13807</v>
      </c>
      <c r="G3323" s="33" t="s">
        <v>9</v>
      </c>
      <c r="H3323" s="33" t="n">
        <v>10</v>
      </c>
    </row>
    <row r="3324" customFormat="false" ht="54" hidden="false" customHeight="true" outlineLevel="0" collapsed="false">
      <c r="A3324" s="32" t="s">
        <v>13813</v>
      </c>
      <c r="B3324" s="32" t="s">
        <v>7294</v>
      </c>
      <c r="C3324" s="33" t="s">
        <v>1407</v>
      </c>
      <c r="D3324" s="33" t="s">
        <v>50</v>
      </c>
      <c r="E3324" s="33" t="s">
        <v>84</v>
      </c>
      <c r="F3324" s="33" t="s">
        <v>7278</v>
      </c>
      <c r="G3324" s="33" t="s">
        <v>9</v>
      </c>
      <c r="H3324" s="33" t="n">
        <v>10</v>
      </c>
    </row>
    <row r="3325" customFormat="false" ht="54" hidden="false" customHeight="true" outlineLevel="0" collapsed="false">
      <c r="A3325" s="32" t="s">
        <v>13814</v>
      </c>
      <c r="B3325" s="32" t="s">
        <v>7294</v>
      </c>
      <c r="C3325" s="33" t="s">
        <v>1407</v>
      </c>
      <c r="D3325" s="33" t="s">
        <v>50</v>
      </c>
      <c r="E3325" s="33" t="s">
        <v>84</v>
      </c>
      <c r="F3325" s="33" t="s">
        <v>13780</v>
      </c>
      <c r="G3325" s="33" t="s">
        <v>9</v>
      </c>
      <c r="H3325" s="33" t="n">
        <v>10</v>
      </c>
    </row>
    <row r="3326" customFormat="false" ht="54" hidden="false" customHeight="true" outlineLevel="0" collapsed="false">
      <c r="A3326" s="32" t="s">
        <v>13815</v>
      </c>
      <c r="B3326" s="32" t="s">
        <v>7304</v>
      </c>
      <c r="C3326" s="33" t="s">
        <v>1407</v>
      </c>
      <c r="D3326" s="33" t="s">
        <v>50</v>
      </c>
      <c r="E3326" s="33" t="s">
        <v>80</v>
      </c>
      <c r="F3326" s="33" t="s">
        <v>7308</v>
      </c>
      <c r="G3326" s="33" t="s">
        <v>9</v>
      </c>
      <c r="H3326" s="33" t="n">
        <v>10</v>
      </c>
    </row>
    <row r="3327" customFormat="false" ht="54" hidden="false" customHeight="true" outlineLevel="0" collapsed="false">
      <c r="A3327" s="32" t="s">
        <v>13816</v>
      </c>
      <c r="B3327" s="32" t="s">
        <v>7304</v>
      </c>
      <c r="C3327" s="33" t="s">
        <v>1407</v>
      </c>
      <c r="D3327" s="33" t="s">
        <v>50</v>
      </c>
      <c r="E3327" s="33" t="s">
        <v>80</v>
      </c>
      <c r="F3327" s="33" t="s">
        <v>183</v>
      </c>
      <c r="G3327" s="33" t="s">
        <v>9</v>
      </c>
      <c r="H3327" s="33" t="n">
        <v>10</v>
      </c>
    </row>
    <row r="3328" customFormat="false" ht="54" hidden="false" customHeight="true" outlineLevel="0" collapsed="false">
      <c r="A3328" s="32" t="s">
        <v>13817</v>
      </c>
      <c r="B3328" s="32" t="s">
        <v>7304</v>
      </c>
      <c r="C3328" s="33" t="s">
        <v>1407</v>
      </c>
      <c r="D3328" s="33" t="s">
        <v>50</v>
      </c>
      <c r="E3328" s="33" t="s">
        <v>80</v>
      </c>
      <c r="F3328" s="33" t="s">
        <v>13818</v>
      </c>
      <c r="G3328" s="33" t="s">
        <v>9</v>
      </c>
      <c r="H3328" s="33" t="n">
        <v>10</v>
      </c>
    </row>
    <row r="3329" customFormat="false" ht="54" hidden="false" customHeight="true" outlineLevel="0" collapsed="false">
      <c r="A3329" s="32" t="s">
        <v>13819</v>
      </c>
      <c r="B3329" s="32" t="s">
        <v>7304</v>
      </c>
      <c r="C3329" s="33" t="s">
        <v>1407</v>
      </c>
      <c r="D3329" s="33" t="s">
        <v>50</v>
      </c>
      <c r="E3329" s="33" t="s">
        <v>80</v>
      </c>
      <c r="F3329" s="33" t="s">
        <v>13820</v>
      </c>
      <c r="G3329" s="33" t="s">
        <v>9</v>
      </c>
      <c r="H3329" s="33" t="n">
        <v>10</v>
      </c>
    </row>
    <row r="3330" customFormat="false" ht="54" hidden="false" customHeight="true" outlineLevel="0" collapsed="false">
      <c r="A3330" s="32" t="s">
        <v>13821</v>
      </c>
      <c r="B3330" s="32" t="s">
        <v>7304</v>
      </c>
      <c r="C3330" s="33" t="s">
        <v>1407</v>
      </c>
      <c r="D3330" s="33" t="s">
        <v>50</v>
      </c>
      <c r="E3330" s="33" t="s">
        <v>80</v>
      </c>
      <c r="F3330" s="33" t="s">
        <v>6489</v>
      </c>
      <c r="G3330" s="33" t="s">
        <v>9</v>
      </c>
      <c r="H3330" s="33" t="n">
        <v>10</v>
      </c>
    </row>
    <row r="3331" customFormat="false" ht="54" hidden="false" customHeight="true" outlineLevel="0" collapsed="false">
      <c r="A3331" s="32" t="s">
        <v>13822</v>
      </c>
      <c r="B3331" s="32" t="s">
        <v>7304</v>
      </c>
      <c r="C3331" s="33" t="s">
        <v>1407</v>
      </c>
      <c r="D3331" s="33" t="s">
        <v>50</v>
      </c>
      <c r="E3331" s="33" t="s">
        <v>81</v>
      </c>
      <c r="F3331" s="33" t="s">
        <v>7308</v>
      </c>
      <c r="G3331" s="33" t="s">
        <v>9</v>
      </c>
      <c r="H3331" s="33" t="n">
        <v>10</v>
      </c>
    </row>
    <row r="3332" customFormat="false" ht="54" hidden="false" customHeight="true" outlineLevel="0" collapsed="false">
      <c r="A3332" s="32" t="s">
        <v>13823</v>
      </c>
      <c r="B3332" s="32" t="s">
        <v>7304</v>
      </c>
      <c r="C3332" s="33" t="s">
        <v>1407</v>
      </c>
      <c r="D3332" s="33" t="s">
        <v>50</v>
      </c>
      <c r="E3332" s="33" t="s">
        <v>82</v>
      </c>
      <c r="F3332" s="33" t="s">
        <v>7310</v>
      </c>
      <c r="G3332" s="33" t="s">
        <v>9</v>
      </c>
      <c r="H3332" s="33" t="n">
        <v>10</v>
      </c>
    </row>
    <row r="3333" customFormat="false" ht="54" hidden="false" customHeight="true" outlineLevel="0" collapsed="false">
      <c r="A3333" s="32" t="s">
        <v>13824</v>
      </c>
      <c r="B3333" s="32" t="s">
        <v>7304</v>
      </c>
      <c r="C3333" s="33" t="s">
        <v>1407</v>
      </c>
      <c r="D3333" s="33" t="s">
        <v>50</v>
      </c>
      <c r="E3333" s="33" t="s">
        <v>82</v>
      </c>
      <c r="F3333" s="33" t="s">
        <v>13825</v>
      </c>
      <c r="G3333" s="33" t="s">
        <v>9</v>
      </c>
      <c r="H3333" s="33" t="n">
        <v>10</v>
      </c>
    </row>
    <row r="3334" customFormat="false" ht="54" hidden="false" customHeight="true" outlineLevel="0" collapsed="false">
      <c r="A3334" s="32" t="s">
        <v>13826</v>
      </c>
      <c r="B3334" s="32" t="s">
        <v>7304</v>
      </c>
      <c r="C3334" s="33" t="s">
        <v>1407</v>
      </c>
      <c r="D3334" s="33" t="s">
        <v>50</v>
      </c>
      <c r="E3334" s="33" t="s">
        <v>82</v>
      </c>
      <c r="F3334" s="33" t="s">
        <v>13820</v>
      </c>
      <c r="G3334" s="33" t="s">
        <v>9</v>
      </c>
      <c r="H3334" s="33" t="n">
        <v>10</v>
      </c>
    </row>
    <row r="3335" customFormat="false" ht="54" hidden="false" customHeight="true" outlineLevel="0" collapsed="false">
      <c r="A3335" s="32" t="s">
        <v>13827</v>
      </c>
      <c r="B3335" s="32" t="s">
        <v>7304</v>
      </c>
      <c r="C3335" s="33" t="s">
        <v>1407</v>
      </c>
      <c r="D3335" s="33" t="s">
        <v>50</v>
      </c>
      <c r="E3335" s="33" t="s">
        <v>82</v>
      </c>
      <c r="F3335" s="33" t="s">
        <v>6489</v>
      </c>
      <c r="G3335" s="33" t="s">
        <v>9</v>
      </c>
      <c r="H3335" s="33" t="n">
        <v>10</v>
      </c>
    </row>
    <row r="3336" customFormat="false" ht="54" hidden="false" customHeight="true" outlineLevel="0" collapsed="false">
      <c r="A3336" s="32" t="s">
        <v>13828</v>
      </c>
      <c r="B3336" s="32" t="s">
        <v>7304</v>
      </c>
      <c r="C3336" s="33" t="s">
        <v>1407</v>
      </c>
      <c r="D3336" s="33" t="s">
        <v>50</v>
      </c>
      <c r="E3336" s="33" t="s">
        <v>83</v>
      </c>
      <c r="F3336" s="33" t="s">
        <v>6489</v>
      </c>
      <c r="G3336" s="33" t="s">
        <v>9</v>
      </c>
      <c r="H3336" s="33" t="n">
        <v>10</v>
      </c>
    </row>
    <row r="3337" customFormat="false" ht="54" hidden="false" customHeight="true" outlineLevel="0" collapsed="false">
      <c r="A3337" s="32" t="s">
        <v>13829</v>
      </c>
      <c r="B3337" s="32" t="s">
        <v>7304</v>
      </c>
      <c r="C3337" s="33" t="s">
        <v>1407</v>
      </c>
      <c r="D3337" s="33" t="s">
        <v>50</v>
      </c>
      <c r="E3337" s="33" t="s">
        <v>84</v>
      </c>
      <c r="F3337" s="33" t="s">
        <v>183</v>
      </c>
      <c r="G3337" s="33" t="s">
        <v>9</v>
      </c>
      <c r="H3337" s="33" t="n">
        <v>10</v>
      </c>
    </row>
    <row r="3338" customFormat="false" ht="54" hidden="false" customHeight="true" outlineLevel="0" collapsed="false">
      <c r="A3338" s="32" t="s">
        <v>13830</v>
      </c>
      <c r="B3338" s="32" t="s">
        <v>7304</v>
      </c>
      <c r="C3338" s="33" t="s">
        <v>1407</v>
      </c>
      <c r="D3338" s="33" t="s">
        <v>50</v>
      </c>
      <c r="E3338" s="33" t="s">
        <v>84</v>
      </c>
      <c r="F3338" s="33" t="s">
        <v>13818</v>
      </c>
      <c r="G3338" s="33" t="s">
        <v>9</v>
      </c>
      <c r="H3338" s="33" t="n">
        <v>10</v>
      </c>
    </row>
    <row r="3339" customFormat="false" ht="54" hidden="false" customHeight="true" outlineLevel="0" collapsed="false">
      <c r="A3339" s="32" t="s">
        <v>13831</v>
      </c>
      <c r="B3339" s="32" t="s">
        <v>7304</v>
      </c>
      <c r="C3339" s="33" t="s">
        <v>1407</v>
      </c>
      <c r="D3339" s="33" t="s">
        <v>50</v>
      </c>
      <c r="E3339" s="33" t="s">
        <v>84</v>
      </c>
      <c r="F3339" s="33" t="s">
        <v>13820</v>
      </c>
      <c r="G3339" s="33" t="s">
        <v>9</v>
      </c>
      <c r="H3339" s="33" t="n">
        <v>10</v>
      </c>
    </row>
    <row r="3340" customFormat="false" ht="54" hidden="false" customHeight="true" outlineLevel="0" collapsed="false">
      <c r="A3340" s="32" t="s">
        <v>13832</v>
      </c>
      <c r="B3340" s="32" t="s">
        <v>7304</v>
      </c>
      <c r="C3340" s="33" t="s">
        <v>1407</v>
      </c>
      <c r="D3340" s="33" t="s">
        <v>50</v>
      </c>
      <c r="E3340" s="33" t="s">
        <v>84</v>
      </c>
      <c r="F3340" s="33" t="s">
        <v>6489</v>
      </c>
      <c r="G3340" s="33" t="s">
        <v>9</v>
      </c>
      <c r="H3340" s="33" t="n">
        <v>10</v>
      </c>
    </row>
    <row r="3341" customFormat="false" ht="54" hidden="false" customHeight="true" outlineLevel="0" collapsed="false">
      <c r="A3341" s="32" t="s">
        <v>13833</v>
      </c>
      <c r="B3341" s="32" t="s">
        <v>7318</v>
      </c>
      <c r="C3341" s="33" t="s">
        <v>1407</v>
      </c>
      <c r="D3341" s="33" t="s">
        <v>50</v>
      </c>
      <c r="E3341" s="33" t="s">
        <v>80</v>
      </c>
      <c r="F3341" s="33" t="s">
        <v>1735</v>
      </c>
      <c r="G3341" s="33" t="s">
        <v>9</v>
      </c>
      <c r="H3341" s="33" t="n">
        <v>10</v>
      </c>
    </row>
    <row r="3342" customFormat="false" ht="54" hidden="false" customHeight="true" outlineLevel="0" collapsed="false">
      <c r="A3342" s="32" t="s">
        <v>13834</v>
      </c>
      <c r="B3342" s="32" t="s">
        <v>7318</v>
      </c>
      <c r="C3342" s="33" t="s">
        <v>1407</v>
      </c>
      <c r="D3342" s="33" t="s">
        <v>50</v>
      </c>
      <c r="E3342" s="33" t="s">
        <v>80</v>
      </c>
      <c r="F3342" s="33" t="s">
        <v>183</v>
      </c>
      <c r="G3342" s="33" t="s">
        <v>9</v>
      </c>
      <c r="H3342" s="33" t="n">
        <v>10</v>
      </c>
    </row>
    <row r="3343" customFormat="false" ht="54" hidden="false" customHeight="true" outlineLevel="0" collapsed="false">
      <c r="A3343" s="32" t="s">
        <v>13835</v>
      </c>
      <c r="B3343" s="32" t="s">
        <v>7318</v>
      </c>
      <c r="C3343" s="33" t="s">
        <v>1407</v>
      </c>
      <c r="D3343" s="33" t="s">
        <v>50</v>
      </c>
      <c r="E3343" s="33" t="s">
        <v>80</v>
      </c>
      <c r="F3343" s="33" t="s">
        <v>13836</v>
      </c>
      <c r="G3343" s="33" t="s">
        <v>9</v>
      </c>
      <c r="H3343" s="33" t="n">
        <v>10</v>
      </c>
    </row>
    <row r="3344" customFormat="false" ht="54" hidden="false" customHeight="true" outlineLevel="0" collapsed="false">
      <c r="A3344" s="32" t="s">
        <v>13837</v>
      </c>
      <c r="B3344" s="32" t="s">
        <v>7318</v>
      </c>
      <c r="C3344" s="33" t="s">
        <v>1407</v>
      </c>
      <c r="D3344" s="33" t="s">
        <v>50</v>
      </c>
      <c r="E3344" s="33" t="s">
        <v>80</v>
      </c>
      <c r="F3344" s="33" t="s">
        <v>6489</v>
      </c>
      <c r="G3344" s="33" t="s">
        <v>9</v>
      </c>
      <c r="H3344" s="33" t="n">
        <v>10</v>
      </c>
    </row>
    <row r="3345" customFormat="false" ht="54" hidden="false" customHeight="true" outlineLevel="0" collapsed="false">
      <c r="A3345" s="32" t="s">
        <v>13838</v>
      </c>
      <c r="B3345" s="32" t="s">
        <v>7318</v>
      </c>
      <c r="C3345" s="33" t="s">
        <v>1407</v>
      </c>
      <c r="D3345" s="33" t="s">
        <v>50</v>
      </c>
      <c r="E3345" s="33" t="s">
        <v>81</v>
      </c>
      <c r="F3345" s="33" t="s">
        <v>1735</v>
      </c>
      <c r="G3345" s="33" t="s">
        <v>9</v>
      </c>
      <c r="H3345" s="33" t="n">
        <v>10</v>
      </c>
    </row>
    <row r="3346" customFormat="false" ht="54" hidden="false" customHeight="true" outlineLevel="0" collapsed="false">
      <c r="A3346" s="32" t="s">
        <v>13839</v>
      </c>
      <c r="B3346" s="32" t="s">
        <v>7318</v>
      </c>
      <c r="C3346" s="33" t="s">
        <v>1407</v>
      </c>
      <c r="D3346" s="33" t="s">
        <v>50</v>
      </c>
      <c r="E3346" s="33" t="s">
        <v>81</v>
      </c>
      <c r="F3346" s="33" t="s">
        <v>7322</v>
      </c>
      <c r="G3346" s="33" t="s">
        <v>9</v>
      </c>
      <c r="H3346" s="33" t="n">
        <v>10</v>
      </c>
    </row>
    <row r="3347" customFormat="false" ht="54" hidden="false" customHeight="true" outlineLevel="0" collapsed="false">
      <c r="A3347" s="32" t="s">
        <v>13840</v>
      </c>
      <c r="B3347" s="32" t="s">
        <v>7318</v>
      </c>
      <c r="C3347" s="33" t="s">
        <v>1407</v>
      </c>
      <c r="D3347" s="33" t="s">
        <v>50</v>
      </c>
      <c r="E3347" s="33" t="s">
        <v>81</v>
      </c>
      <c r="F3347" s="33" t="s">
        <v>13841</v>
      </c>
      <c r="G3347" s="33" t="s">
        <v>9</v>
      </c>
      <c r="H3347" s="33" t="n">
        <v>10</v>
      </c>
    </row>
    <row r="3348" customFormat="false" ht="54" hidden="false" customHeight="true" outlineLevel="0" collapsed="false">
      <c r="A3348" s="32" t="s">
        <v>13842</v>
      </c>
      <c r="B3348" s="32" t="s">
        <v>7318</v>
      </c>
      <c r="C3348" s="33" t="s">
        <v>1407</v>
      </c>
      <c r="D3348" s="33" t="s">
        <v>50</v>
      </c>
      <c r="E3348" s="33" t="s">
        <v>81</v>
      </c>
      <c r="F3348" s="33" t="s">
        <v>13843</v>
      </c>
      <c r="G3348" s="33" t="s">
        <v>9</v>
      </c>
      <c r="H3348" s="33" t="n">
        <v>10</v>
      </c>
    </row>
    <row r="3349" customFormat="false" ht="54" hidden="false" customHeight="true" outlineLevel="0" collapsed="false">
      <c r="A3349" s="32" t="s">
        <v>13844</v>
      </c>
      <c r="B3349" s="32" t="s">
        <v>7318</v>
      </c>
      <c r="C3349" s="33" t="s">
        <v>1407</v>
      </c>
      <c r="D3349" s="33" t="s">
        <v>50</v>
      </c>
      <c r="E3349" s="33" t="s">
        <v>82</v>
      </c>
      <c r="F3349" s="33" t="s">
        <v>1612</v>
      </c>
      <c r="G3349" s="33" t="s">
        <v>9</v>
      </c>
      <c r="H3349" s="33" t="n">
        <v>10</v>
      </c>
    </row>
    <row r="3350" customFormat="false" ht="54" hidden="false" customHeight="true" outlineLevel="0" collapsed="false">
      <c r="A3350" s="32" t="s">
        <v>13845</v>
      </c>
      <c r="B3350" s="32" t="s">
        <v>7318</v>
      </c>
      <c r="C3350" s="33" t="s">
        <v>1407</v>
      </c>
      <c r="D3350" s="33" t="s">
        <v>50</v>
      </c>
      <c r="E3350" s="33" t="s">
        <v>82</v>
      </c>
      <c r="F3350" s="33" t="s">
        <v>10060</v>
      </c>
      <c r="G3350" s="33" t="s">
        <v>9</v>
      </c>
      <c r="H3350" s="33" t="n">
        <v>10</v>
      </c>
    </row>
    <row r="3351" customFormat="false" ht="54" hidden="false" customHeight="true" outlineLevel="0" collapsed="false">
      <c r="A3351" s="32" t="s">
        <v>13846</v>
      </c>
      <c r="B3351" s="32" t="s">
        <v>7318</v>
      </c>
      <c r="C3351" s="33" t="s">
        <v>1407</v>
      </c>
      <c r="D3351" s="33" t="s">
        <v>50</v>
      </c>
      <c r="E3351" s="33" t="s">
        <v>82</v>
      </c>
      <c r="F3351" s="33" t="s">
        <v>13847</v>
      </c>
      <c r="G3351" s="33" t="s">
        <v>9</v>
      </c>
      <c r="H3351" s="33" t="n">
        <v>10</v>
      </c>
    </row>
    <row r="3352" customFormat="false" ht="54" hidden="false" customHeight="true" outlineLevel="0" collapsed="false">
      <c r="A3352" s="32" t="s">
        <v>13848</v>
      </c>
      <c r="B3352" s="32" t="s">
        <v>7318</v>
      </c>
      <c r="C3352" s="33" t="s">
        <v>1407</v>
      </c>
      <c r="D3352" s="33" t="s">
        <v>50</v>
      </c>
      <c r="E3352" s="33" t="s">
        <v>82</v>
      </c>
      <c r="F3352" s="33" t="s">
        <v>6489</v>
      </c>
      <c r="G3352" s="33" t="s">
        <v>9</v>
      </c>
      <c r="H3352" s="33" t="n">
        <v>10</v>
      </c>
    </row>
    <row r="3353" customFormat="false" ht="54" hidden="false" customHeight="true" outlineLevel="0" collapsed="false">
      <c r="A3353" s="32" t="s">
        <v>13849</v>
      </c>
      <c r="B3353" s="32" t="s">
        <v>7318</v>
      </c>
      <c r="C3353" s="33" t="s">
        <v>1407</v>
      </c>
      <c r="D3353" s="33" t="s">
        <v>50</v>
      </c>
      <c r="E3353" s="33" t="s">
        <v>83</v>
      </c>
      <c r="F3353" s="33" t="s">
        <v>6489</v>
      </c>
      <c r="G3353" s="33" t="s">
        <v>9</v>
      </c>
      <c r="H3353" s="33" t="n">
        <v>10</v>
      </c>
    </row>
    <row r="3354" customFormat="false" ht="54" hidden="false" customHeight="true" outlineLevel="0" collapsed="false">
      <c r="A3354" s="32" t="s">
        <v>13850</v>
      </c>
      <c r="B3354" s="32" t="s">
        <v>7318</v>
      </c>
      <c r="C3354" s="33" t="s">
        <v>1407</v>
      </c>
      <c r="D3354" s="33" t="s">
        <v>50</v>
      </c>
      <c r="E3354" s="33" t="s">
        <v>84</v>
      </c>
      <c r="F3354" s="33" t="s">
        <v>183</v>
      </c>
      <c r="G3354" s="33" t="s">
        <v>9</v>
      </c>
      <c r="H3354" s="33" t="n">
        <v>10</v>
      </c>
    </row>
    <row r="3355" customFormat="false" ht="54" hidden="false" customHeight="true" outlineLevel="0" collapsed="false">
      <c r="A3355" s="32" t="s">
        <v>13851</v>
      </c>
      <c r="B3355" s="32" t="s">
        <v>7318</v>
      </c>
      <c r="C3355" s="33" t="s">
        <v>1407</v>
      </c>
      <c r="D3355" s="33" t="s">
        <v>50</v>
      </c>
      <c r="E3355" s="33" t="s">
        <v>84</v>
      </c>
      <c r="F3355" s="33" t="s">
        <v>13836</v>
      </c>
      <c r="G3355" s="33" t="s">
        <v>9</v>
      </c>
      <c r="H3355" s="33" t="n">
        <v>10</v>
      </c>
    </row>
    <row r="3356" customFormat="false" ht="54" hidden="false" customHeight="true" outlineLevel="0" collapsed="false">
      <c r="A3356" s="32" t="s">
        <v>13852</v>
      </c>
      <c r="B3356" s="32" t="s">
        <v>7318</v>
      </c>
      <c r="C3356" s="33" t="s">
        <v>1407</v>
      </c>
      <c r="D3356" s="33" t="s">
        <v>50</v>
      </c>
      <c r="E3356" s="33" t="s">
        <v>84</v>
      </c>
      <c r="F3356" s="33" t="s">
        <v>6489</v>
      </c>
      <c r="G3356" s="33" t="s">
        <v>9</v>
      </c>
      <c r="H3356" s="33" t="n">
        <v>10</v>
      </c>
    </row>
    <row r="3357" customFormat="false" ht="54" hidden="false" customHeight="true" outlineLevel="0" collapsed="false">
      <c r="A3357" s="32" t="s">
        <v>13853</v>
      </c>
      <c r="B3357" s="32" t="s">
        <v>2145</v>
      </c>
      <c r="C3357" s="33" t="s">
        <v>1407</v>
      </c>
      <c r="D3357" s="33" t="s">
        <v>50</v>
      </c>
      <c r="E3357" s="33" t="s">
        <v>80</v>
      </c>
      <c r="F3357" s="33" t="s">
        <v>7334</v>
      </c>
      <c r="G3357" s="33" t="s">
        <v>9</v>
      </c>
      <c r="H3357" s="33" t="n">
        <v>10</v>
      </c>
    </row>
    <row r="3358" customFormat="false" ht="54" hidden="false" customHeight="true" outlineLevel="0" collapsed="false">
      <c r="A3358" s="32" t="s">
        <v>13854</v>
      </c>
      <c r="B3358" s="32" t="s">
        <v>2145</v>
      </c>
      <c r="C3358" s="33" t="s">
        <v>1407</v>
      </c>
      <c r="D3358" s="33" t="s">
        <v>50</v>
      </c>
      <c r="E3358" s="33" t="s">
        <v>80</v>
      </c>
      <c r="F3358" s="33" t="s">
        <v>183</v>
      </c>
      <c r="G3358" s="33" t="s">
        <v>9</v>
      </c>
      <c r="H3358" s="33" t="n">
        <v>10</v>
      </c>
    </row>
    <row r="3359" customFormat="false" ht="54" hidden="false" customHeight="true" outlineLevel="0" collapsed="false">
      <c r="A3359" s="32" t="s">
        <v>13855</v>
      </c>
      <c r="B3359" s="32" t="s">
        <v>2145</v>
      </c>
      <c r="C3359" s="33" t="s">
        <v>1407</v>
      </c>
      <c r="D3359" s="33" t="s">
        <v>50</v>
      </c>
      <c r="E3359" s="33" t="s">
        <v>80</v>
      </c>
      <c r="F3359" s="33" t="s">
        <v>13856</v>
      </c>
      <c r="G3359" s="33" t="s">
        <v>9</v>
      </c>
      <c r="H3359" s="33" t="n">
        <v>10</v>
      </c>
    </row>
    <row r="3360" customFormat="false" ht="54" hidden="false" customHeight="true" outlineLevel="0" collapsed="false">
      <c r="A3360" s="32" t="s">
        <v>13857</v>
      </c>
      <c r="B3360" s="32" t="s">
        <v>2145</v>
      </c>
      <c r="C3360" s="33" t="s">
        <v>1407</v>
      </c>
      <c r="D3360" s="33" t="s">
        <v>50</v>
      </c>
      <c r="E3360" s="33" t="s">
        <v>80</v>
      </c>
      <c r="F3360" s="33" t="s">
        <v>13858</v>
      </c>
      <c r="G3360" s="33" t="s">
        <v>9</v>
      </c>
      <c r="H3360" s="33" t="n">
        <v>10</v>
      </c>
    </row>
    <row r="3361" customFormat="false" ht="54" hidden="false" customHeight="true" outlineLevel="0" collapsed="false">
      <c r="A3361" s="32" t="s">
        <v>13859</v>
      </c>
      <c r="B3361" s="32" t="s">
        <v>2145</v>
      </c>
      <c r="C3361" s="33" t="s">
        <v>1407</v>
      </c>
      <c r="D3361" s="33" t="s">
        <v>50</v>
      </c>
      <c r="E3361" s="33" t="s">
        <v>81</v>
      </c>
      <c r="F3361" s="33" t="s">
        <v>7334</v>
      </c>
      <c r="G3361" s="33" t="s">
        <v>9</v>
      </c>
      <c r="H3361" s="33" t="n">
        <v>10</v>
      </c>
    </row>
    <row r="3362" customFormat="false" ht="54" hidden="false" customHeight="true" outlineLevel="0" collapsed="false">
      <c r="A3362" s="32" t="s">
        <v>13860</v>
      </c>
      <c r="B3362" s="32" t="s">
        <v>2145</v>
      </c>
      <c r="C3362" s="33" t="s">
        <v>1407</v>
      </c>
      <c r="D3362" s="33" t="s">
        <v>50</v>
      </c>
      <c r="E3362" s="33" t="s">
        <v>81</v>
      </c>
      <c r="F3362" s="33" t="s">
        <v>6715</v>
      </c>
      <c r="G3362" s="33" t="s">
        <v>9</v>
      </c>
      <c r="H3362" s="33" t="n">
        <v>10</v>
      </c>
    </row>
    <row r="3363" customFormat="false" ht="54" hidden="false" customHeight="true" outlineLevel="0" collapsed="false">
      <c r="A3363" s="32" t="s">
        <v>13861</v>
      </c>
      <c r="B3363" s="32" t="s">
        <v>2145</v>
      </c>
      <c r="C3363" s="33" t="s">
        <v>1407</v>
      </c>
      <c r="D3363" s="33" t="s">
        <v>50</v>
      </c>
      <c r="E3363" s="33" t="s">
        <v>82</v>
      </c>
      <c r="F3363" s="33" t="s">
        <v>7335</v>
      </c>
      <c r="G3363" s="33" t="s">
        <v>9</v>
      </c>
      <c r="H3363" s="33" t="n">
        <v>10</v>
      </c>
    </row>
    <row r="3364" customFormat="false" ht="54" hidden="false" customHeight="true" outlineLevel="0" collapsed="false">
      <c r="A3364" s="32" t="s">
        <v>13862</v>
      </c>
      <c r="B3364" s="32" t="s">
        <v>2145</v>
      </c>
      <c r="C3364" s="33" t="s">
        <v>1407</v>
      </c>
      <c r="D3364" s="33" t="s">
        <v>50</v>
      </c>
      <c r="E3364" s="33" t="s">
        <v>82</v>
      </c>
      <c r="F3364" s="33" t="s">
        <v>13858</v>
      </c>
      <c r="G3364" s="33" t="s">
        <v>9</v>
      </c>
      <c r="H3364" s="33" t="n">
        <v>10</v>
      </c>
    </row>
    <row r="3365" customFormat="false" ht="54" hidden="false" customHeight="true" outlineLevel="0" collapsed="false">
      <c r="A3365" s="32" t="s">
        <v>13863</v>
      </c>
      <c r="B3365" s="32" t="s">
        <v>2145</v>
      </c>
      <c r="C3365" s="33" t="s">
        <v>1407</v>
      </c>
      <c r="D3365" s="33" t="s">
        <v>50</v>
      </c>
      <c r="E3365" s="33" t="s">
        <v>82</v>
      </c>
      <c r="F3365" s="33" t="s">
        <v>13864</v>
      </c>
      <c r="G3365" s="33" t="s">
        <v>9</v>
      </c>
      <c r="H3365" s="33" t="n">
        <v>10</v>
      </c>
    </row>
    <row r="3366" customFormat="false" ht="54" hidden="false" customHeight="true" outlineLevel="0" collapsed="false">
      <c r="A3366" s="32" t="s">
        <v>13865</v>
      </c>
      <c r="B3366" s="32" t="s">
        <v>2145</v>
      </c>
      <c r="C3366" s="33" t="s">
        <v>1407</v>
      </c>
      <c r="D3366" s="33" t="s">
        <v>50</v>
      </c>
      <c r="E3366" s="33" t="s">
        <v>84</v>
      </c>
      <c r="F3366" s="33" t="s">
        <v>183</v>
      </c>
      <c r="G3366" s="33" t="s">
        <v>9</v>
      </c>
      <c r="H3366" s="33" t="n">
        <v>10</v>
      </c>
    </row>
    <row r="3367" customFormat="false" ht="54" hidden="false" customHeight="true" outlineLevel="0" collapsed="false">
      <c r="A3367" s="32" t="s">
        <v>13866</v>
      </c>
      <c r="B3367" s="32" t="s">
        <v>2145</v>
      </c>
      <c r="C3367" s="33" t="s">
        <v>1407</v>
      </c>
      <c r="D3367" s="33" t="s">
        <v>50</v>
      </c>
      <c r="E3367" s="33" t="s">
        <v>84</v>
      </c>
      <c r="F3367" s="33" t="s">
        <v>13856</v>
      </c>
      <c r="G3367" s="33" t="s">
        <v>9</v>
      </c>
      <c r="H3367" s="33" t="n">
        <v>10</v>
      </c>
    </row>
    <row r="3368" customFormat="false" ht="54" hidden="false" customHeight="true" outlineLevel="0" collapsed="false">
      <c r="A3368" s="32" t="s">
        <v>13867</v>
      </c>
      <c r="B3368" s="32" t="s">
        <v>2145</v>
      </c>
      <c r="C3368" s="33" t="s">
        <v>1407</v>
      </c>
      <c r="D3368" s="33" t="s">
        <v>50</v>
      </c>
      <c r="E3368" s="33" t="s">
        <v>84</v>
      </c>
      <c r="F3368" s="33" t="s">
        <v>13858</v>
      </c>
      <c r="G3368" s="33" t="s">
        <v>9</v>
      </c>
      <c r="H3368" s="33" t="n">
        <v>10</v>
      </c>
    </row>
    <row r="3369" customFormat="false" ht="54" hidden="false" customHeight="true" outlineLevel="0" collapsed="false">
      <c r="A3369" s="32" t="s">
        <v>13868</v>
      </c>
      <c r="B3369" s="32" t="s">
        <v>7345</v>
      </c>
      <c r="C3369" s="33" t="s">
        <v>1407</v>
      </c>
      <c r="D3369" s="33" t="s">
        <v>50</v>
      </c>
      <c r="E3369" s="33" t="s">
        <v>80</v>
      </c>
      <c r="F3369" s="33" t="s">
        <v>13869</v>
      </c>
      <c r="G3369" s="33" t="s">
        <v>9</v>
      </c>
      <c r="H3369" s="33" t="n">
        <v>10</v>
      </c>
    </row>
    <row r="3370" customFormat="false" ht="54" hidden="false" customHeight="true" outlineLevel="0" collapsed="false">
      <c r="A3370" s="32" t="s">
        <v>13870</v>
      </c>
      <c r="B3370" s="32" t="s">
        <v>7345</v>
      </c>
      <c r="C3370" s="33" t="s">
        <v>1407</v>
      </c>
      <c r="D3370" s="33" t="s">
        <v>50</v>
      </c>
      <c r="E3370" s="33" t="s">
        <v>80</v>
      </c>
      <c r="F3370" s="33" t="s">
        <v>183</v>
      </c>
      <c r="G3370" s="33" t="s">
        <v>9</v>
      </c>
      <c r="H3370" s="33" t="n">
        <v>10</v>
      </c>
    </row>
    <row r="3371" customFormat="false" ht="54" hidden="false" customHeight="true" outlineLevel="0" collapsed="false">
      <c r="A3371" s="32" t="s">
        <v>13871</v>
      </c>
      <c r="B3371" s="32" t="s">
        <v>7345</v>
      </c>
      <c r="C3371" s="33" t="s">
        <v>1407</v>
      </c>
      <c r="D3371" s="33" t="s">
        <v>50</v>
      </c>
      <c r="E3371" s="33" t="s">
        <v>80</v>
      </c>
      <c r="F3371" s="33" t="s">
        <v>13872</v>
      </c>
      <c r="G3371" s="33" t="s">
        <v>9</v>
      </c>
      <c r="H3371" s="33" t="n">
        <v>10</v>
      </c>
    </row>
    <row r="3372" customFormat="false" ht="54" hidden="false" customHeight="true" outlineLevel="0" collapsed="false">
      <c r="A3372" s="32" t="s">
        <v>13873</v>
      </c>
      <c r="B3372" s="32" t="s">
        <v>7345</v>
      </c>
      <c r="C3372" s="33" t="s">
        <v>1407</v>
      </c>
      <c r="D3372" s="33" t="s">
        <v>50</v>
      </c>
      <c r="E3372" s="33" t="s">
        <v>80</v>
      </c>
      <c r="F3372" s="33" t="s">
        <v>13874</v>
      </c>
      <c r="G3372" s="33" t="s">
        <v>9</v>
      </c>
      <c r="H3372" s="33" t="n">
        <v>10</v>
      </c>
    </row>
    <row r="3373" customFormat="false" ht="54" hidden="false" customHeight="true" outlineLevel="0" collapsed="false">
      <c r="A3373" s="32" t="s">
        <v>13875</v>
      </c>
      <c r="B3373" s="32" t="s">
        <v>7345</v>
      </c>
      <c r="C3373" s="33" t="s">
        <v>1407</v>
      </c>
      <c r="D3373" s="33" t="s">
        <v>50</v>
      </c>
      <c r="E3373" s="33" t="s">
        <v>80</v>
      </c>
      <c r="F3373" s="33" t="s">
        <v>13876</v>
      </c>
      <c r="G3373" s="33" t="s">
        <v>9</v>
      </c>
      <c r="H3373" s="33" t="n">
        <v>10</v>
      </c>
    </row>
    <row r="3374" customFormat="false" ht="54" hidden="false" customHeight="true" outlineLevel="0" collapsed="false">
      <c r="A3374" s="32" t="s">
        <v>13877</v>
      </c>
      <c r="B3374" s="32" t="s">
        <v>7345</v>
      </c>
      <c r="C3374" s="33" t="s">
        <v>1407</v>
      </c>
      <c r="D3374" s="33" t="s">
        <v>50</v>
      </c>
      <c r="E3374" s="33" t="s">
        <v>81</v>
      </c>
      <c r="F3374" s="33" t="s">
        <v>7350</v>
      </c>
      <c r="G3374" s="33" t="s">
        <v>9</v>
      </c>
      <c r="H3374" s="33" t="n">
        <v>10</v>
      </c>
    </row>
    <row r="3375" customFormat="false" ht="54" hidden="false" customHeight="true" outlineLevel="0" collapsed="false">
      <c r="A3375" s="32" t="s">
        <v>13878</v>
      </c>
      <c r="B3375" s="32" t="s">
        <v>7345</v>
      </c>
      <c r="C3375" s="33" t="s">
        <v>1407</v>
      </c>
      <c r="D3375" s="33" t="s">
        <v>50</v>
      </c>
      <c r="E3375" s="33" t="s">
        <v>81</v>
      </c>
      <c r="F3375" s="33" t="s">
        <v>13872</v>
      </c>
      <c r="G3375" s="33" t="s">
        <v>9</v>
      </c>
      <c r="H3375" s="33" t="n">
        <v>10</v>
      </c>
    </row>
    <row r="3376" customFormat="false" ht="54" hidden="false" customHeight="true" outlineLevel="0" collapsed="false">
      <c r="A3376" s="32" t="s">
        <v>13879</v>
      </c>
      <c r="B3376" s="32" t="s">
        <v>7345</v>
      </c>
      <c r="C3376" s="33" t="s">
        <v>1407</v>
      </c>
      <c r="D3376" s="33" t="s">
        <v>50</v>
      </c>
      <c r="E3376" s="33" t="s">
        <v>81</v>
      </c>
      <c r="F3376" s="33" t="s">
        <v>13874</v>
      </c>
      <c r="G3376" s="33" t="s">
        <v>9</v>
      </c>
      <c r="H3376" s="33" t="n">
        <v>10</v>
      </c>
    </row>
    <row r="3377" customFormat="false" ht="54" hidden="false" customHeight="true" outlineLevel="0" collapsed="false">
      <c r="A3377" s="32" t="s">
        <v>13880</v>
      </c>
      <c r="B3377" s="32" t="s">
        <v>7345</v>
      </c>
      <c r="C3377" s="33" t="s">
        <v>1407</v>
      </c>
      <c r="D3377" s="33" t="s">
        <v>50</v>
      </c>
      <c r="E3377" s="33" t="s">
        <v>81</v>
      </c>
      <c r="F3377" s="33" t="s">
        <v>7359</v>
      </c>
      <c r="G3377" s="33" t="s">
        <v>9</v>
      </c>
      <c r="H3377" s="33" t="n">
        <v>10</v>
      </c>
    </row>
    <row r="3378" customFormat="false" ht="54" hidden="false" customHeight="true" outlineLevel="0" collapsed="false">
      <c r="A3378" s="32" t="s">
        <v>13881</v>
      </c>
      <c r="B3378" s="32" t="s">
        <v>7345</v>
      </c>
      <c r="C3378" s="33" t="s">
        <v>1407</v>
      </c>
      <c r="D3378" s="33" t="s">
        <v>50</v>
      </c>
      <c r="E3378" s="33" t="s">
        <v>81</v>
      </c>
      <c r="F3378" s="33" t="s">
        <v>13882</v>
      </c>
      <c r="G3378" s="33" t="s">
        <v>9</v>
      </c>
      <c r="H3378" s="33" t="n">
        <v>10</v>
      </c>
    </row>
    <row r="3379" customFormat="false" ht="54" hidden="false" customHeight="true" outlineLevel="0" collapsed="false">
      <c r="A3379" s="32" t="s">
        <v>13883</v>
      </c>
      <c r="B3379" s="32" t="s">
        <v>7345</v>
      </c>
      <c r="C3379" s="33" t="s">
        <v>1407</v>
      </c>
      <c r="D3379" s="33" t="s">
        <v>50</v>
      </c>
      <c r="E3379" s="33" t="s">
        <v>82</v>
      </c>
      <c r="F3379" s="33" t="s">
        <v>13869</v>
      </c>
      <c r="G3379" s="33" t="s">
        <v>9</v>
      </c>
      <c r="H3379" s="33" t="n">
        <v>10</v>
      </c>
    </row>
    <row r="3380" customFormat="false" ht="54" hidden="false" customHeight="true" outlineLevel="0" collapsed="false">
      <c r="A3380" s="32" t="s">
        <v>13884</v>
      </c>
      <c r="B3380" s="32" t="s">
        <v>7345</v>
      </c>
      <c r="C3380" s="33" t="s">
        <v>1407</v>
      </c>
      <c r="D3380" s="33" t="s">
        <v>50</v>
      </c>
      <c r="E3380" s="33" t="s">
        <v>82</v>
      </c>
      <c r="F3380" s="33" t="s">
        <v>13885</v>
      </c>
      <c r="G3380" s="33" t="s">
        <v>9</v>
      </c>
      <c r="H3380" s="33" t="n">
        <v>10</v>
      </c>
    </row>
    <row r="3381" customFormat="false" ht="54" hidden="false" customHeight="true" outlineLevel="0" collapsed="false">
      <c r="A3381" s="32" t="s">
        <v>13886</v>
      </c>
      <c r="B3381" s="32" t="s">
        <v>7345</v>
      </c>
      <c r="C3381" s="33" t="s">
        <v>1407</v>
      </c>
      <c r="D3381" s="33" t="s">
        <v>50</v>
      </c>
      <c r="E3381" s="33" t="s">
        <v>82</v>
      </c>
      <c r="F3381" s="33" t="s">
        <v>13887</v>
      </c>
      <c r="G3381" s="33" t="s">
        <v>9</v>
      </c>
      <c r="H3381" s="33" t="n">
        <v>10</v>
      </c>
    </row>
    <row r="3382" customFormat="false" ht="54" hidden="false" customHeight="true" outlineLevel="0" collapsed="false">
      <c r="A3382" s="32" t="s">
        <v>13888</v>
      </c>
      <c r="B3382" s="32" t="s">
        <v>7345</v>
      </c>
      <c r="C3382" s="33" t="s">
        <v>1407</v>
      </c>
      <c r="D3382" s="33" t="s">
        <v>50</v>
      </c>
      <c r="E3382" s="33" t="s">
        <v>84</v>
      </c>
      <c r="F3382" s="33" t="s">
        <v>7349</v>
      </c>
      <c r="G3382" s="33" t="s">
        <v>9</v>
      </c>
      <c r="H3382" s="33" t="n">
        <v>10</v>
      </c>
    </row>
    <row r="3383" customFormat="false" ht="54" hidden="false" customHeight="true" outlineLevel="0" collapsed="false">
      <c r="A3383" s="32" t="s">
        <v>13889</v>
      </c>
      <c r="B3383" s="32" t="s">
        <v>7345</v>
      </c>
      <c r="C3383" s="33" t="s">
        <v>1407</v>
      </c>
      <c r="D3383" s="33" t="s">
        <v>50</v>
      </c>
      <c r="E3383" s="33" t="s">
        <v>84</v>
      </c>
      <c r="F3383" s="33" t="s">
        <v>183</v>
      </c>
      <c r="G3383" s="33" t="s">
        <v>9</v>
      </c>
      <c r="H3383" s="33" t="n">
        <v>10</v>
      </c>
    </row>
    <row r="3384" customFormat="false" ht="54" hidden="false" customHeight="true" outlineLevel="0" collapsed="false">
      <c r="A3384" s="32" t="s">
        <v>13890</v>
      </c>
      <c r="B3384" s="32" t="s">
        <v>7345</v>
      </c>
      <c r="C3384" s="33" t="s">
        <v>1407</v>
      </c>
      <c r="D3384" s="33" t="s">
        <v>50</v>
      </c>
      <c r="E3384" s="33" t="s">
        <v>84</v>
      </c>
      <c r="F3384" s="33" t="s">
        <v>13872</v>
      </c>
      <c r="G3384" s="33" t="s">
        <v>9</v>
      </c>
      <c r="H3384" s="33" t="n">
        <v>10</v>
      </c>
    </row>
    <row r="3385" customFormat="false" ht="54" hidden="false" customHeight="true" outlineLevel="0" collapsed="false">
      <c r="A3385" s="32" t="s">
        <v>13891</v>
      </c>
      <c r="B3385" s="32" t="s">
        <v>7345</v>
      </c>
      <c r="C3385" s="33" t="s">
        <v>1407</v>
      </c>
      <c r="D3385" s="33" t="s">
        <v>50</v>
      </c>
      <c r="E3385" s="33" t="s">
        <v>84</v>
      </c>
      <c r="F3385" s="33" t="s">
        <v>13874</v>
      </c>
      <c r="G3385" s="33" t="s">
        <v>9</v>
      </c>
      <c r="H3385" s="33" t="n">
        <v>10</v>
      </c>
    </row>
    <row r="3386" customFormat="false" ht="54" hidden="false" customHeight="true" outlineLevel="0" collapsed="false">
      <c r="A3386" s="32" t="s">
        <v>13892</v>
      </c>
      <c r="B3386" s="32" t="s">
        <v>7345</v>
      </c>
      <c r="C3386" s="33" t="s">
        <v>1407</v>
      </c>
      <c r="D3386" s="33" t="s">
        <v>50</v>
      </c>
      <c r="E3386" s="33" t="s">
        <v>84</v>
      </c>
      <c r="F3386" s="33" t="s">
        <v>13893</v>
      </c>
      <c r="G3386" s="33" t="s">
        <v>9</v>
      </c>
      <c r="H3386" s="33" t="n">
        <v>10</v>
      </c>
    </row>
    <row r="3387" customFormat="false" ht="54" hidden="false" customHeight="true" outlineLevel="0" collapsed="false">
      <c r="A3387" s="32" t="s">
        <v>13894</v>
      </c>
      <c r="B3387" s="32" t="s">
        <v>7345</v>
      </c>
      <c r="C3387" s="33" t="s">
        <v>1407</v>
      </c>
      <c r="D3387" s="33" t="s">
        <v>50</v>
      </c>
      <c r="E3387" s="33" t="s">
        <v>84</v>
      </c>
      <c r="F3387" s="33" t="s">
        <v>13895</v>
      </c>
      <c r="G3387" s="33" t="s">
        <v>9</v>
      </c>
      <c r="H3387" s="33" t="n">
        <v>10</v>
      </c>
    </row>
    <row r="3388" customFormat="false" ht="54" hidden="false" customHeight="true" outlineLevel="0" collapsed="false">
      <c r="A3388" s="32" t="s">
        <v>13896</v>
      </c>
      <c r="B3388" s="32" t="s">
        <v>7345</v>
      </c>
      <c r="C3388" s="33" t="s">
        <v>1407</v>
      </c>
      <c r="D3388" s="33" t="s">
        <v>50</v>
      </c>
      <c r="E3388" s="33" t="s">
        <v>86</v>
      </c>
      <c r="F3388" s="33" t="s">
        <v>7359</v>
      </c>
      <c r="G3388" s="33" t="s">
        <v>9</v>
      </c>
      <c r="H3388" s="33" t="n">
        <v>10</v>
      </c>
    </row>
    <row r="3389" customFormat="false" ht="54" hidden="false" customHeight="true" outlineLevel="0" collapsed="false">
      <c r="A3389" s="32" t="s">
        <v>13897</v>
      </c>
      <c r="B3389" s="32" t="s">
        <v>7363</v>
      </c>
      <c r="C3389" s="33" t="s">
        <v>1407</v>
      </c>
      <c r="D3389" s="33" t="s">
        <v>50</v>
      </c>
      <c r="E3389" s="33" t="s">
        <v>80</v>
      </c>
      <c r="F3389" s="33" t="s">
        <v>7367</v>
      </c>
      <c r="G3389" s="33" t="s">
        <v>9</v>
      </c>
      <c r="H3389" s="33" t="n">
        <v>10</v>
      </c>
    </row>
    <row r="3390" customFormat="false" ht="54" hidden="false" customHeight="true" outlineLevel="0" collapsed="false">
      <c r="A3390" s="32" t="s">
        <v>13898</v>
      </c>
      <c r="B3390" s="32" t="s">
        <v>7363</v>
      </c>
      <c r="C3390" s="33" t="s">
        <v>1407</v>
      </c>
      <c r="D3390" s="33" t="s">
        <v>50</v>
      </c>
      <c r="E3390" s="33" t="s">
        <v>80</v>
      </c>
      <c r="F3390" s="33" t="s">
        <v>183</v>
      </c>
      <c r="G3390" s="33" t="s">
        <v>9</v>
      </c>
      <c r="H3390" s="33" t="n">
        <v>10</v>
      </c>
    </row>
    <row r="3391" customFormat="false" ht="54" hidden="false" customHeight="true" outlineLevel="0" collapsed="false">
      <c r="A3391" s="32" t="s">
        <v>13899</v>
      </c>
      <c r="B3391" s="32" t="s">
        <v>7363</v>
      </c>
      <c r="C3391" s="33" t="s">
        <v>1407</v>
      </c>
      <c r="D3391" s="33" t="s">
        <v>50</v>
      </c>
      <c r="E3391" s="33" t="s">
        <v>80</v>
      </c>
      <c r="F3391" s="33" t="s">
        <v>13900</v>
      </c>
      <c r="G3391" s="33" t="s">
        <v>9</v>
      </c>
      <c r="H3391" s="33" t="n">
        <v>10</v>
      </c>
    </row>
    <row r="3392" customFormat="false" ht="54" hidden="false" customHeight="true" outlineLevel="0" collapsed="false">
      <c r="A3392" s="32" t="s">
        <v>13901</v>
      </c>
      <c r="B3392" s="32" t="s">
        <v>7363</v>
      </c>
      <c r="C3392" s="33" t="s">
        <v>1407</v>
      </c>
      <c r="D3392" s="33" t="s">
        <v>50</v>
      </c>
      <c r="E3392" s="33" t="s">
        <v>80</v>
      </c>
      <c r="F3392" s="33" t="s">
        <v>13902</v>
      </c>
      <c r="G3392" s="33" t="s">
        <v>9</v>
      </c>
      <c r="H3392" s="33" t="n">
        <v>10</v>
      </c>
    </row>
    <row r="3393" customFormat="false" ht="54" hidden="false" customHeight="true" outlineLevel="0" collapsed="false">
      <c r="A3393" s="32" t="s">
        <v>13903</v>
      </c>
      <c r="B3393" s="32" t="s">
        <v>7363</v>
      </c>
      <c r="C3393" s="33" t="s">
        <v>1407</v>
      </c>
      <c r="D3393" s="33" t="s">
        <v>50</v>
      </c>
      <c r="E3393" s="33" t="s">
        <v>80</v>
      </c>
      <c r="F3393" s="33" t="s">
        <v>13904</v>
      </c>
      <c r="G3393" s="33" t="s">
        <v>9</v>
      </c>
      <c r="H3393" s="33" t="n">
        <v>10</v>
      </c>
    </row>
    <row r="3394" customFormat="false" ht="54" hidden="false" customHeight="true" outlineLevel="0" collapsed="false">
      <c r="A3394" s="32" t="s">
        <v>13905</v>
      </c>
      <c r="B3394" s="32" t="s">
        <v>7363</v>
      </c>
      <c r="C3394" s="33" t="s">
        <v>1407</v>
      </c>
      <c r="D3394" s="33" t="s">
        <v>50</v>
      </c>
      <c r="E3394" s="33" t="s">
        <v>81</v>
      </c>
      <c r="F3394" s="33" t="s">
        <v>7367</v>
      </c>
      <c r="G3394" s="33" t="s">
        <v>9</v>
      </c>
      <c r="H3394" s="33" t="n">
        <v>10</v>
      </c>
    </row>
    <row r="3395" customFormat="false" ht="54" hidden="false" customHeight="true" outlineLevel="0" collapsed="false">
      <c r="A3395" s="32" t="s">
        <v>13906</v>
      </c>
      <c r="B3395" s="32" t="s">
        <v>7363</v>
      </c>
      <c r="C3395" s="33" t="s">
        <v>1407</v>
      </c>
      <c r="D3395" s="33" t="s">
        <v>50</v>
      </c>
      <c r="E3395" s="33" t="s">
        <v>81</v>
      </c>
      <c r="F3395" s="33" t="s">
        <v>7368</v>
      </c>
      <c r="G3395" s="33" t="s">
        <v>9</v>
      </c>
      <c r="H3395" s="33" t="n">
        <v>10</v>
      </c>
    </row>
    <row r="3396" customFormat="false" ht="54" hidden="false" customHeight="true" outlineLevel="0" collapsed="false">
      <c r="A3396" s="32" t="s">
        <v>13907</v>
      </c>
      <c r="B3396" s="32" t="s">
        <v>7363</v>
      </c>
      <c r="C3396" s="33" t="s">
        <v>1407</v>
      </c>
      <c r="D3396" s="33" t="s">
        <v>50</v>
      </c>
      <c r="E3396" s="33" t="s">
        <v>81</v>
      </c>
      <c r="F3396" s="33" t="s">
        <v>13900</v>
      </c>
      <c r="G3396" s="33" t="s">
        <v>9</v>
      </c>
      <c r="H3396" s="33" t="n">
        <v>10</v>
      </c>
    </row>
    <row r="3397" customFormat="false" ht="54" hidden="false" customHeight="true" outlineLevel="0" collapsed="false">
      <c r="A3397" s="32" t="s">
        <v>13908</v>
      </c>
      <c r="B3397" s="32" t="s">
        <v>7363</v>
      </c>
      <c r="C3397" s="33" t="s">
        <v>1407</v>
      </c>
      <c r="D3397" s="33" t="s">
        <v>50</v>
      </c>
      <c r="E3397" s="33" t="s">
        <v>81</v>
      </c>
      <c r="F3397" s="33" t="s">
        <v>13904</v>
      </c>
      <c r="G3397" s="33" t="s">
        <v>9</v>
      </c>
      <c r="H3397" s="33" t="n">
        <v>10</v>
      </c>
    </row>
    <row r="3398" customFormat="false" ht="54" hidden="false" customHeight="true" outlineLevel="0" collapsed="false">
      <c r="A3398" s="32" t="s">
        <v>13909</v>
      </c>
      <c r="B3398" s="32" t="s">
        <v>7363</v>
      </c>
      <c r="C3398" s="33" t="s">
        <v>1407</v>
      </c>
      <c r="D3398" s="33" t="s">
        <v>50</v>
      </c>
      <c r="E3398" s="33" t="s">
        <v>82</v>
      </c>
      <c r="F3398" s="33" t="s">
        <v>7369</v>
      </c>
      <c r="G3398" s="33" t="s">
        <v>9</v>
      </c>
      <c r="H3398" s="33" t="n">
        <v>10</v>
      </c>
    </row>
    <row r="3399" customFormat="false" ht="54" hidden="false" customHeight="true" outlineLevel="0" collapsed="false">
      <c r="A3399" s="32" t="s">
        <v>13910</v>
      </c>
      <c r="B3399" s="32" t="s">
        <v>7363</v>
      </c>
      <c r="C3399" s="33" t="s">
        <v>1407</v>
      </c>
      <c r="D3399" s="33" t="s">
        <v>50</v>
      </c>
      <c r="E3399" s="33" t="s">
        <v>82</v>
      </c>
      <c r="F3399" s="33" t="s">
        <v>13911</v>
      </c>
      <c r="G3399" s="33" t="s">
        <v>9</v>
      </c>
      <c r="H3399" s="33" t="n">
        <v>10</v>
      </c>
    </row>
    <row r="3400" customFormat="false" ht="54" hidden="false" customHeight="true" outlineLevel="0" collapsed="false">
      <c r="A3400" s="32" t="s">
        <v>13912</v>
      </c>
      <c r="B3400" s="32" t="s">
        <v>7363</v>
      </c>
      <c r="C3400" s="33" t="s">
        <v>1407</v>
      </c>
      <c r="D3400" s="33" t="s">
        <v>50</v>
      </c>
      <c r="E3400" s="33" t="s">
        <v>82</v>
      </c>
      <c r="F3400" s="33" t="s">
        <v>13913</v>
      </c>
      <c r="G3400" s="33" t="s">
        <v>9</v>
      </c>
      <c r="H3400" s="33" t="n">
        <v>10</v>
      </c>
    </row>
    <row r="3401" customFormat="false" ht="54" hidden="false" customHeight="true" outlineLevel="0" collapsed="false">
      <c r="A3401" s="32" t="s">
        <v>13914</v>
      </c>
      <c r="B3401" s="32" t="s">
        <v>7363</v>
      </c>
      <c r="C3401" s="33" t="s">
        <v>1407</v>
      </c>
      <c r="D3401" s="33" t="s">
        <v>50</v>
      </c>
      <c r="E3401" s="33" t="s">
        <v>84</v>
      </c>
      <c r="F3401" s="33" t="s">
        <v>7367</v>
      </c>
      <c r="G3401" s="33" t="s">
        <v>9</v>
      </c>
      <c r="H3401" s="33" t="n">
        <v>10</v>
      </c>
    </row>
    <row r="3402" customFormat="false" ht="54" hidden="false" customHeight="true" outlineLevel="0" collapsed="false">
      <c r="A3402" s="32" t="s">
        <v>13915</v>
      </c>
      <c r="B3402" s="32" t="s">
        <v>7363</v>
      </c>
      <c r="C3402" s="33" t="s">
        <v>1407</v>
      </c>
      <c r="D3402" s="33" t="s">
        <v>50</v>
      </c>
      <c r="E3402" s="33" t="s">
        <v>84</v>
      </c>
      <c r="F3402" s="33" t="s">
        <v>183</v>
      </c>
      <c r="G3402" s="33" t="s">
        <v>9</v>
      </c>
      <c r="H3402" s="33" t="n">
        <v>10</v>
      </c>
    </row>
    <row r="3403" customFormat="false" ht="54" hidden="false" customHeight="true" outlineLevel="0" collapsed="false">
      <c r="A3403" s="32" t="s">
        <v>13916</v>
      </c>
      <c r="B3403" s="32" t="s">
        <v>7363</v>
      </c>
      <c r="C3403" s="33" t="s">
        <v>1407</v>
      </c>
      <c r="D3403" s="33" t="s">
        <v>50</v>
      </c>
      <c r="E3403" s="33" t="s">
        <v>84</v>
      </c>
      <c r="F3403" s="33" t="s">
        <v>13900</v>
      </c>
      <c r="G3403" s="33" t="s">
        <v>9</v>
      </c>
      <c r="H3403" s="33" t="n">
        <v>10</v>
      </c>
    </row>
    <row r="3404" customFormat="false" ht="54" hidden="false" customHeight="true" outlineLevel="0" collapsed="false">
      <c r="A3404" s="32" t="s">
        <v>13917</v>
      </c>
      <c r="B3404" s="32" t="s">
        <v>7363</v>
      </c>
      <c r="C3404" s="33" t="s">
        <v>1407</v>
      </c>
      <c r="D3404" s="33" t="s">
        <v>50</v>
      </c>
      <c r="E3404" s="33" t="s">
        <v>84</v>
      </c>
      <c r="F3404" s="33" t="s">
        <v>13902</v>
      </c>
      <c r="G3404" s="33" t="s">
        <v>9</v>
      </c>
      <c r="H3404" s="33" t="n">
        <v>10</v>
      </c>
    </row>
    <row r="3405" customFormat="false" ht="54" hidden="false" customHeight="true" outlineLevel="0" collapsed="false">
      <c r="A3405" s="32" t="s">
        <v>13918</v>
      </c>
      <c r="B3405" s="32" t="s">
        <v>7363</v>
      </c>
      <c r="C3405" s="33" t="s">
        <v>1407</v>
      </c>
      <c r="D3405" s="33" t="s">
        <v>50</v>
      </c>
      <c r="E3405" s="33" t="s">
        <v>84</v>
      </c>
      <c r="F3405" s="33" t="s">
        <v>13904</v>
      </c>
      <c r="G3405" s="33" t="s">
        <v>9</v>
      </c>
      <c r="H3405" s="33" t="n">
        <v>10</v>
      </c>
    </row>
    <row r="3406" customFormat="false" ht="54" hidden="false" customHeight="true" outlineLevel="0" collapsed="false">
      <c r="A3406" s="32" t="s">
        <v>13919</v>
      </c>
      <c r="B3406" s="32" t="s">
        <v>7363</v>
      </c>
      <c r="C3406" s="33" t="s">
        <v>1407</v>
      </c>
      <c r="D3406" s="33" t="s">
        <v>50</v>
      </c>
      <c r="E3406" s="33" t="s">
        <v>84</v>
      </c>
      <c r="F3406" s="33" t="s">
        <v>13920</v>
      </c>
      <c r="G3406" s="33" t="s">
        <v>9</v>
      </c>
      <c r="H3406" s="33" t="n">
        <v>10</v>
      </c>
    </row>
    <row r="3407" customFormat="false" ht="54" hidden="false" customHeight="true" outlineLevel="0" collapsed="false">
      <c r="A3407" s="32" t="s">
        <v>13921</v>
      </c>
      <c r="B3407" s="32" t="s">
        <v>7379</v>
      </c>
      <c r="C3407" s="33" t="s">
        <v>1407</v>
      </c>
      <c r="D3407" s="33" t="s">
        <v>50</v>
      </c>
      <c r="E3407" s="33" t="s">
        <v>80</v>
      </c>
      <c r="F3407" s="33" t="s">
        <v>183</v>
      </c>
      <c r="G3407" s="33" t="s">
        <v>12</v>
      </c>
      <c r="H3407" s="33" t="n">
        <v>10</v>
      </c>
    </row>
    <row r="3408" customFormat="false" ht="54" hidden="false" customHeight="true" outlineLevel="0" collapsed="false">
      <c r="A3408" s="32" t="s">
        <v>13922</v>
      </c>
      <c r="B3408" s="32" t="s">
        <v>7379</v>
      </c>
      <c r="C3408" s="33" t="s">
        <v>1407</v>
      </c>
      <c r="D3408" s="33" t="s">
        <v>50</v>
      </c>
      <c r="E3408" s="33" t="s">
        <v>80</v>
      </c>
      <c r="F3408" s="33" t="s">
        <v>13923</v>
      </c>
      <c r="G3408" s="33" t="s">
        <v>12</v>
      </c>
      <c r="H3408" s="33" t="n">
        <v>10</v>
      </c>
    </row>
    <row r="3409" customFormat="false" ht="54" hidden="false" customHeight="true" outlineLevel="0" collapsed="false">
      <c r="A3409" s="32" t="s">
        <v>13924</v>
      </c>
      <c r="B3409" s="32" t="s">
        <v>7379</v>
      </c>
      <c r="C3409" s="33" t="s">
        <v>1407</v>
      </c>
      <c r="D3409" s="33" t="s">
        <v>50</v>
      </c>
      <c r="E3409" s="33" t="s">
        <v>82</v>
      </c>
      <c r="F3409" s="33" t="s">
        <v>7387</v>
      </c>
      <c r="G3409" s="33" t="s">
        <v>12</v>
      </c>
      <c r="H3409" s="33" t="n">
        <v>10</v>
      </c>
    </row>
    <row r="3410" customFormat="false" ht="54" hidden="false" customHeight="true" outlineLevel="0" collapsed="false">
      <c r="A3410" s="32" t="s">
        <v>13925</v>
      </c>
      <c r="B3410" s="32" t="s">
        <v>7379</v>
      </c>
      <c r="C3410" s="33" t="s">
        <v>1407</v>
      </c>
      <c r="D3410" s="33" t="s">
        <v>50</v>
      </c>
      <c r="E3410" s="33" t="s">
        <v>84</v>
      </c>
      <c r="F3410" s="33" t="s">
        <v>7383</v>
      </c>
      <c r="G3410" s="33" t="s">
        <v>12</v>
      </c>
      <c r="H3410" s="33" t="n">
        <v>10</v>
      </c>
    </row>
    <row r="3411" customFormat="false" ht="54" hidden="false" customHeight="true" outlineLevel="0" collapsed="false">
      <c r="A3411" s="32" t="s">
        <v>13926</v>
      </c>
      <c r="B3411" s="32" t="s">
        <v>7379</v>
      </c>
      <c r="C3411" s="33" t="s">
        <v>1407</v>
      </c>
      <c r="D3411" s="33" t="s">
        <v>50</v>
      </c>
      <c r="E3411" s="33" t="s">
        <v>84</v>
      </c>
      <c r="F3411" s="33" t="s">
        <v>183</v>
      </c>
      <c r="G3411" s="33" t="s">
        <v>12</v>
      </c>
      <c r="H3411" s="33" t="n">
        <v>10</v>
      </c>
    </row>
    <row r="3412" customFormat="false" ht="54" hidden="false" customHeight="true" outlineLevel="0" collapsed="false">
      <c r="A3412" s="32" t="s">
        <v>13927</v>
      </c>
      <c r="B3412" s="32" t="s">
        <v>7379</v>
      </c>
      <c r="C3412" s="33" t="s">
        <v>1407</v>
      </c>
      <c r="D3412" s="33" t="s">
        <v>50</v>
      </c>
      <c r="E3412" s="33" t="s">
        <v>84</v>
      </c>
      <c r="F3412" s="33" t="s">
        <v>13928</v>
      </c>
      <c r="G3412" s="33" t="s">
        <v>12</v>
      </c>
      <c r="H3412" s="33" t="n">
        <v>10</v>
      </c>
    </row>
    <row r="3413" customFormat="false" ht="54" hidden="false" customHeight="true" outlineLevel="0" collapsed="false">
      <c r="A3413" s="32" t="s">
        <v>13929</v>
      </c>
      <c r="B3413" s="32" t="s">
        <v>7379</v>
      </c>
      <c r="C3413" s="33" t="s">
        <v>1407</v>
      </c>
      <c r="D3413" s="33" t="s">
        <v>50</v>
      </c>
      <c r="E3413" s="33" t="s">
        <v>84</v>
      </c>
      <c r="F3413" s="33" t="s">
        <v>13923</v>
      </c>
      <c r="G3413" s="33" t="s">
        <v>12</v>
      </c>
      <c r="H3413" s="33" t="n">
        <v>10</v>
      </c>
    </row>
    <row r="3414" customFormat="false" ht="54" hidden="false" customHeight="true" outlineLevel="0" collapsed="false">
      <c r="A3414" s="32" t="s">
        <v>13930</v>
      </c>
      <c r="B3414" s="32" t="s">
        <v>7393</v>
      </c>
      <c r="C3414" s="33" t="s">
        <v>1407</v>
      </c>
      <c r="D3414" s="33" t="s">
        <v>50</v>
      </c>
      <c r="E3414" s="33" t="s">
        <v>80</v>
      </c>
      <c r="F3414" s="33" t="s">
        <v>183</v>
      </c>
      <c r="G3414" s="33" t="s">
        <v>9</v>
      </c>
      <c r="H3414" s="33" t="n">
        <v>10</v>
      </c>
    </row>
    <row r="3415" customFormat="false" ht="54" hidden="false" customHeight="true" outlineLevel="0" collapsed="false">
      <c r="A3415" s="32" t="s">
        <v>13931</v>
      </c>
      <c r="B3415" s="32" t="s">
        <v>7393</v>
      </c>
      <c r="C3415" s="33" t="s">
        <v>1407</v>
      </c>
      <c r="D3415" s="33" t="s">
        <v>50</v>
      </c>
      <c r="E3415" s="33" t="s">
        <v>84</v>
      </c>
      <c r="F3415" s="33" t="s">
        <v>183</v>
      </c>
      <c r="G3415" s="33" t="s">
        <v>9</v>
      </c>
      <c r="H3415" s="33" t="n">
        <v>10</v>
      </c>
    </row>
    <row r="3416" customFormat="false" ht="54" hidden="false" customHeight="true" outlineLevel="0" collapsed="false">
      <c r="A3416" s="32" t="s">
        <v>13932</v>
      </c>
      <c r="B3416" s="32" t="s">
        <v>7403</v>
      </c>
      <c r="C3416" s="33" t="s">
        <v>1407</v>
      </c>
      <c r="D3416" s="33" t="s">
        <v>50</v>
      </c>
      <c r="E3416" s="33" t="s">
        <v>80</v>
      </c>
      <c r="F3416" s="33" t="s">
        <v>7406</v>
      </c>
      <c r="G3416" s="33" t="s">
        <v>9</v>
      </c>
      <c r="H3416" s="33" t="n">
        <v>10</v>
      </c>
    </row>
    <row r="3417" customFormat="false" ht="54" hidden="false" customHeight="true" outlineLevel="0" collapsed="false">
      <c r="A3417" s="32" t="s">
        <v>13933</v>
      </c>
      <c r="B3417" s="32" t="s">
        <v>7403</v>
      </c>
      <c r="C3417" s="33" t="s">
        <v>1407</v>
      </c>
      <c r="D3417" s="33" t="s">
        <v>50</v>
      </c>
      <c r="E3417" s="33" t="s">
        <v>80</v>
      </c>
      <c r="F3417" s="33" t="s">
        <v>7408</v>
      </c>
      <c r="G3417" s="33" t="s">
        <v>9</v>
      </c>
      <c r="H3417" s="33" t="n">
        <v>10</v>
      </c>
    </row>
    <row r="3418" customFormat="false" ht="54" hidden="false" customHeight="true" outlineLevel="0" collapsed="false">
      <c r="A3418" s="32" t="s">
        <v>13934</v>
      </c>
      <c r="B3418" s="32" t="s">
        <v>7403</v>
      </c>
      <c r="C3418" s="33" t="s">
        <v>1407</v>
      </c>
      <c r="D3418" s="33" t="s">
        <v>50</v>
      </c>
      <c r="E3418" s="33" t="s">
        <v>80</v>
      </c>
      <c r="F3418" s="33" t="s">
        <v>183</v>
      </c>
      <c r="G3418" s="33" t="s">
        <v>9</v>
      </c>
      <c r="H3418" s="33" t="n">
        <v>10</v>
      </c>
    </row>
    <row r="3419" customFormat="false" ht="54" hidden="false" customHeight="true" outlineLevel="0" collapsed="false">
      <c r="A3419" s="32" t="s">
        <v>13935</v>
      </c>
      <c r="B3419" s="32" t="s">
        <v>7403</v>
      </c>
      <c r="C3419" s="33" t="s">
        <v>1407</v>
      </c>
      <c r="D3419" s="33" t="s">
        <v>50</v>
      </c>
      <c r="E3419" s="33" t="s">
        <v>80</v>
      </c>
      <c r="F3419" s="33" t="s">
        <v>13936</v>
      </c>
      <c r="G3419" s="33" t="s">
        <v>9</v>
      </c>
      <c r="H3419" s="33" t="n">
        <v>10</v>
      </c>
    </row>
    <row r="3420" customFormat="false" ht="54" hidden="false" customHeight="true" outlineLevel="0" collapsed="false">
      <c r="A3420" s="32" t="s">
        <v>13937</v>
      </c>
      <c r="B3420" s="32" t="s">
        <v>7403</v>
      </c>
      <c r="C3420" s="33" t="s">
        <v>1407</v>
      </c>
      <c r="D3420" s="33" t="s">
        <v>50</v>
      </c>
      <c r="E3420" s="33" t="s">
        <v>80</v>
      </c>
      <c r="F3420" s="33" t="s">
        <v>13938</v>
      </c>
      <c r="G3420" s="33" t="s">
        <v>9</v>
      </c>
      <c r="H3420" s="33" t="n">
        <v>10</v>
      </c>
    </row>
    <row r="3421" customFormat="false" ht="54" hidden="false" customHeight="true" outlineLevel="0" collapsed="false">
      <c r="A3421" s="32" t="s">
        <v>13939</v>
      </c>
      <c r="B3421" s="32" t="s">
        <v>7403</v>
      </c>
      <c r="C3421" s="33" t="s">
        <v>1407</v>
      </c>
      <c r="D3421" s="33" t="s">
        <v>50</v>
      </c>
      <c r="E3421" s="33" t="s">
        <v>81</v>
      </c>
      <c r="F3421" s="33" t="s">
        <v>7406</v>
      </c>
      <c r="G3421" s="33" t="s">
        <v>9</v>
      </c>
      <c r="H3421" s="33" t="n">
        <v>10</v>
      </c>
    </row>
    <row r="3422" customFormat="false" ht="54" hidden="false" customHeight="true" outlineLevel="0" collapsed="false">
      <c r="A3422" s="32" t="s">
        <v>13940</v>
      </c>
      <c r="B3422" s="32" t="s">
        <v>7403</v>
      </c>
      <c r="C3422" s="33" t="s">
        <v>1407</v>
      </c>
      <c r="D3422" s="33" t="s">
        <v>50</v>
      </c>
      <c r="E3422" s="33" t="s">
        <v>81</v>
      </c>
      <c r="F3422" s="33" t="s">
        <v>13936</v>
      </c>
      <c r="G3422" s="33" t="s">
        <v>9</v>
      </c>
      <c r="H3422" s="33" t="n">
        <v>10</v>
      </c>
    </row>
    <row r="3423" customFormat="false" ht="54" hidden="false" customHeight="true" outlineLevel="0" collapsed="false">
      <c r="A3423" s="32" t="s">
        <v>13941</v>
      </c>
      <c r="B3423" s="32" t="s">
        <v>7403</v>
      </c>
      <c r="C3423" s="33" t="s">
        <v>1407</v>
      </c>
      <c r="D3423" s="33" t="s">
        <v>50</v>
      </c>
      <c r="E3423" s="33" t="s">
        <v>82</v>
      </c>
      <c r="F3423" s="33" t="s">
        <v>13936</v>
      </c>
      <c r="G3423" s="33" t="s">
        <v>9</v>
      </c>
      <c r="H3423" s="33" t="n">
        <v>10</v>
      </c>
    </row>
    <row r="3424" customFormat="false" ht="54" hidden="false" customHeight="true" outlineLevel="0" collapsed="false">
      <c r="A3424" s="32" t="s">
        <v>13942</v>
      </c>
      <c r="B3424" s="32" t="s">
        <v>7403</v>
      </c>
      <c r="C3424" s="33" t="s">
        <v>1407</v>
      </c>
      <c r="D3424" s="33" t="s">
        <v>50</v>
      </c>
      <c r="E3424" s="33" t="s">
        <v>82</v>
      </c>
      <c r="F3424" s="33" t="s">
        <v>13943</v>
      </c>
      <c r="G3424" s="33" t="s">
        <v>9</v>
      </c>
      <c r="H3424" s="33" t="n">
        <v>10</v>
      </c>
    </row>
    <row r="3425" customFormat="false" ht="54" hidden="false" customHeight="true" outlineLevel="0" collapsed="false">
      <c r="A3425" s="32" t="s">
        <v>13944</v>
      </c>
      <c r="B3425" s="32" t="s">
        <v>7403</v>
      </c>
      <c r="C3425" s="33" t="s">
        <v>1407</v>
      </c>
      <c r="D3425" s="33" t="s">
        <v>50</v>
      </c>
      <c r="E3425" s="33" t="s">
        <v>84</v>
      </c>
      <c r="F3425" s="33" t="s">
        <v>7406</v>
      </c>
      <c r="G3425" s="33" t="s">
        <v>9</v>
      </c>
      <c r="H3425" s="33" t="n">
        <v>10</v>
      </c>
    </row>
    <row r="3426" customFormat="false" ht="54" hidden="false" customHeight="true" outlineLevel="0" collapsed="false">
      <c r="A3426" s="32" t="s">
        <v>13945</v>
      </c>
      <c r="B3426" s="32" t="s">
        <v>7403</v>
      </c>
      <c r="C3426" s="33" t="s">
        <v>1407</v>
      </c>
      <c r="D3426" s="33" t="s">
        <v>50</v>
      </c>
      <c r="E3426" s="33" t="s">
        <v>84</v>
      </c>
      <c r="F3426" s="33" t="s">
        <v>183</v>
      </c>
      <c r="G3426" s="33" t="s">
        <v>9</v>
      </c>
      <c r="H3426" s="33" t="n">
        <v>10</v>
      </c>
    </row>
    <row r="3427" customFormat="false" ht="54" hidden="false" customHeight="true" outlineLevel="0" collapsed="false">
      <c r="A3427" s="32" t="s">
        <v>13946</v>
      </c>
      <c r="B3427" s="32" t="s">
        <v>7403</v>
      </c>
      <c r="C3427" s="33" t="s">
        <v>1407</v>
      </c>
      <c r="D3427" s="33" t="s">
        <v>50</v>
      </c>
      <c r="E3427" s="33" t="s">
        <v>84</v>
      </c>
      <c r="F3427" s="33" t="s">
        <v>13936</v>
      </c>
      <c r="G3427" s="33" t="s">
        <v>9</v>
      </c>
      <c r="H3427" s="33" t="n">
        <v>10</v>
      </c>
    </row>
    <row r="3428" customFormat="false" ht="54" hidden="false" customHeight="true" outlineLevel="0" collapsed="false">
      <c r="A3428" s="32" t="s">
        <v>13947</v>
      </c>
      <c r="B3428" s="32" t="s">
        <v>7403</v>
      </c>
      <c r="C3428" s="33" t="s">
        <v>1407</v>
      </c>
      <c r="D3428" s="33" t="s">
        <v>50</v>
      </c>
      <c r="E3428" s="33" t="s">
        <v>84</v>
      </c>
      <c r="F3428" s="33" t="s">
        <v>13938</v>
      </c>
      <c r="G3428" s="33" t="s">
        <v>9</v>
      </c>
      <c r="H3428" s="33" t="n">
        <v>10</v>
      </c>
    </row>
    <row r="3429" customFormat="false" ht="54" hidden="false" customHeight="true" outlineLevel="0" collapsed="false">
      <c r="A3429" s="32" t="s">
        <v>13948</v>
      </c>
      <c r="B3429" s="32" t="s">
        <v>7403</v>
      </c>
      <c r="C3429" s="33" t="s">
        <v>1407</v>
      </c>
      <c r="D3429" s="33" t="s">
        <v>50</v>
      </c>
      <c r="E3429" s="33" t="s">
        <v>84</v>
      </c>
      <c r="F3429" s="33" t="s">
        <v>13949</v>
      </c>
      <c r="G3429" s="33" t="s">
        <v>9</v>
      </c>
      <c r="H3429" s="33" t="n">
        <v>10</v>
      </c>
    </row>
    <row r="3430" customFormat="false" ht="54" hidden="false" customHeight="true" outlineLevel="0" collapsed="false">
      <c r="A3430" s="32" t="s">
        <v>13950</v>
      </c>
      <c r="B3430" s="32" t="s">
        <v>7403</v>
      </c>
      <c r="C3430" s="33" t="s">
        <v>1407</v>
      </c>
      <c r="D3430" s="33" t="s">
        <v>50</v>
      </c>
      <c r="E3430" s="33" t="s">
        <v>84</v>
      </c>
      <c r="F3430" s="33" t="s">
        <v>13951</v>
      </c>
      <c r="G3430" s="33" t="s">
        <v>9</v>
      </c>
      <c r="H3430" s="33" t="n">
        <v>10</v>
      </c>
    </row>
    <row r="3431" customFormat="false" ht="54" hidden="false" customHeight="true" outlineLevel="0" collapsed="false">
      <c r="A3431" s="32" t="s">
        <v>13952</v>
      </c>
      <c r="B3431" s="32" t="s">
        <v>7418</v>
      </c>
      <c r="C3431" s="33" t="s">
        <v>1407</v>
      </c>
      <c r="D3431" s="33" t="s">
        <v>50</v>
      </c>
      <c r="E3431" s="33" t="s">
        <v>80</v>
      </c>
      <c r="F3431" s="33" t="s">
        <v>183</v>
      </c>
      <c r="G3431" s="33" t="s">
        <v>9</v>
      </c>
      <c r="H3431" s="33" t="n">
        <v>10</v>
      </c>
    </row>
    <row r="3432" customFormat="false" ht="54" hidden="false" customHeight="true" outlineLevel="0" collapsed="false">
      <c r="A3432" s="32" t="s">
        <v>13953</v>
      </c>
      <c r="B3432" s="32" t="s">
        <v>7418</v>
      </c>
      <c r="C3432" s="33" t="s">
        <v>1407</v>
      </c>
      <c r="D3432" s="33" t="s">
        <v>50</v>
      </c>
      <c r="E3432" s="33" t="s">
        <v>84</v>
      </c>
      <c r="F3432" s="33" t="s">
        <v>183</v>
      </c>
      <c r="G3432" s="33" t="s">
        <v>9</v>
      </c>
      <c r="H3432" s="33" t="n">
        <v>10</v>
      </c>
    </row>
    <row r="3433" customFormat="false" ht="54" hidden="false" customHeight="true" outlineLevel="0" collapsed="false">
      <c r="A3433" s="32" t="s">
        <v>13954</v>
      </c>
      <c r="B3433" s="32" t="s">
        <v>7418</v>
      </c>
      <c r="C3433" s="33" t="s">
        <v>1407</v>
      </c>
      <c r="D3433" s="33" t="s">
        <v>50</v>
      </c>
      <c r="E3433" s="33" t="s">
        <v>84</v>
      </c>
      <c r="F3433" s="33" t="s">
        <v>13955</v>
      </c>
      <c r="G3433" s="33" t="s">
        <v>9</v>
      </c>
      <c r="H3433" s="33" t="n">
        <v>10</v>
      </c>
    </row>
    <row r="3434" customFormat="false" ht="54" hidden="false" customHeight="true" outlineLevel="0" collapsed="false">
      <c r="A3434" s="32" t="s">
        <v>13956</v>
      </c>
      <c r="B3434" s="32" t="s">
        <v>7431</v>
      </c>
      <c r="C3434" s="33" t="s">
        <v>1407</v>
      </c>
      <c r="D3434" s="33" t="s">
        <v>50</v>
      </c>
      <c r="E3434" s="33" t="s">
        <v>80</v>
      </c>
      <c r="F3434" s="33" t="s">
        <v>183</v>
      </c>
      <c r="G3434" s="33" t="s">
        <v>9</v>
      </c>
      <c r="H3434" s="33" t="n">
        <v>10</v>
      </c>
    </row>
    <row r="3435" customFormat="false" ht="54" hidden="false" customHeight="true" outlineLevel="0" collapsed="false">
      <c r="A3435" s="32" t="s">
        <v>13957</v>
      </c>
      <c r="B3435" s="32" t="s">
        <v>7431</v>
      </c>
      <c r="C3435" s="33" t="s">
        <v>1407</v>
      </c>
      <c r="D3435" s="33" t="s">
        <v>50</v>
      </c>
      <c r="E3435" s="33" t="s">
        <v>80</v>
      </c>
      <c r="F3435" s="33" t="s">
        <v>13958</v>
      </c>
      <c r="G3435" s="33" t="s">
        <v>9</v>
      </c>
      <c r="H3435" s="33" t="n">
        <v>10</v>
      </c>
    </row>
    <row r="3436" customFormat="false" ht="54" hidden="false" customHeight="true" outlineLevel="0" collapsed="false">
      <c r="A3436" s="32" t="s">
        <v>13959</v>
      </c>
      <c r="B3436" s="32" t="s">
        <v>7431</v>
      </c>
      <c r="C3436" s="33" t="s">
        <v>1407</v>
      </c>
      <c r="D3436" s="33" t="s">
        <v>50</v>
      </c>
      <c r="E3436" s="33" t="s">
        <v>81</v>
      </c>
      <c r="F3436" s="33" t="s">
        <v>13958</v>
      </c>
      <c r="G3436" s="33" t="s">
        <v>9</v>
      </c>
      <c r="H3436" s="33" t="n">
        <v>10</v>
      </c>
    </row>
    <row r="3437" customFormat="false" ht="54" hidden="false" customHeight="true" outlineLevel="0" collapsed="false">
      <c r="A3437" s="32" t="s">
        <v>13960</v>
      </c>
      <c r="B3437" s="32" t="s">
        <v>7431</v>
      </c>
      <c r="C3437" s="33" t="s">
        <v>1407</v>
      </c>
      <c r="D3437" s="33" t="s">
        <v>50</v>
      </c>
      <c r="E3437" s="33" t="s">
        <v>81</v>
      </c>
      <c r="F3437" s="33" t="s">
        <v>13961</v>
      </c>
      <c r="G3437" s="33" t="s">
        <v>9</v>
      </c>
      <c r="H3437" s="33" t="n">
        <v>10</v>
      </c>
    </row>
    <row r="3438" customFormat="false" ht="54" hidden="false" customHeight="true" outlineLevel="0" collapsed="false">
      <c r="A3438" s="32" t="s">
        <v>13962</v>
      </c>
      <c r="B3438" s="32" t="s">
        <v>7431</v>
      </c>
      <c r="C3438" s="33" t="s">
        <v>1407</v>
      </c>
      <c r="D3438" s="33" t="s">
        <v>50</v>
      </c>
      <c r="E3438" s="33" t="s">
        <v>81</v>
      </c>
      <c r="F3438" s="33" t="s">
        <v>7456</v>
      </c>
      <c r="G3438" s="33" t="s">
        <v>9</v>
      </c>
      <c r="H3438" s="33" t="n">
        <v>10</v>
      </c>
    </row>
    <row r="3439" customFormat="false" ht="54" hidden="false" customHeight="true" outlineLevel="0" collapsed="false">
      <c r="A3439" s="32" t="s">
        <v>13963</v>
      </c>
      <c r="B3439" s="32" t="s">
        <v>7431</v>
      </c>
      <c r="C3439" s="33" t="s">
        <v>1407</v>
      </c>
      <c r="D3439" s="33" t="s">
        <v>50</v>
      </c>
      <c r="E3439" s="33" t="s">
        <v>82</v>
      </c>
      <c r="F3439" s="33" t="s">
        <v>13958</v>
      </c>
      <c r="G3439" s="33" t="s">
        <v>9</v>
      </c>
      <c r="H3439" s="33" t="n">
        <v>10</v>
      </c>
    </row>
    <row r="3440" customFormat="false" ht="54" hidden="false" customHeight="true" outlineLevel="0" collapsed="false">
      <c r="A3440" s="32" t="s">
        <v>13964</v>
      </c>
      <c r="B3440" s="32" t="s">
        <v>7431</v>
      </c>
      <c r="C3440" s="33" t="s">
        <v>1407</v>
      </c>
      <c r="D3440" s="33" t="s">
        <v>50</v>
      </c>
      <c r="E3440" s="33" t="s">
        <v>82</v>
      </c>
      <c r="F3440" s="33" t="s">
        <v>13965</v>
      </c>
      <c r="G3440" s="33" t="s">
        <v>9</v>
      </c>
      <c r="H3440" s="33" t="n">
        <v>10</v>
      </c>
    </row>
    <row r="3441" customFormat="false" ht="54" hidden="false" customHeight="true" outlineLevel="0" collapsed="false">
      <c r="A3441" s="32" t="s">
        <v>13966</v>
      </c>
      <c r="B3441" s="32" t="s">
        <v>7431</v>
      </c>
      <c r="C3441" s="33" t="s">
        <v>1407</v>
      </c>
      <c r="D3441" s="33" t="s">
        <v>50</v>
      </c>
      <c r="E3441" s="33" t="s">
        <v>82</v>
      </c>
      <c r="F3441" s="33" t="s">
        <v>7457</v>
      </c>
      <c r="G3441" s="33" t="s">
        <v>9</v>
      </c>
      <c r="H3441" s="33" t="n">
        <v>10</v>
      </c>
    </row>
    <row r="3442" customFormat="false" ht="54" hidden="false" customHeight="true" outlineLevel="0" collapsed="false">
      <c r="A3442" s="32" t="s">
        <v>13967</v>
      </c>
      <c r="B3442" s="32" t="s">
        <v>7431</v>
      </c>
      <c r="C3442" s="33" t="s">
        <v>1407</v>
      </c>
      <c r="D3442" s="33" t="s">
        <v>50</v>
      </c>
      <c r="E3442" s="33" t="s">
        <v>84</v>
      </c>
      <c r="F3442" s="33" t="s">
        <v>183</v>
      </c>
      <c r="G3442" s="33" t="s">
        <v>9</v>
      </c>
      <c r="H3442" s="33" t="n">
        <v>10</v>
      </c>
    </row>
    <row r="3443" customFormat="false" ht="54" hidden="false" customHeight="true" outlineLevel="0" collapsed="false">
      <c r="A3443" s="32" t="s">
        <v>13968</v>
      </c>
      <c r="B3443" s="32" t="s">
        <v>7431</v>
      </c>
      <c r="C3443" s="33" t="s">
        <v>1407</v>
      </c>
      <c r="D3443" s="33" t="s">
        <v>50</v>
      </c>
      <c r="E3443" s="33" t="s">
        <v>84</v>
      </c>
      <c r="F3443" s="33" t="s">
        <v>13969</v>
      </c>
      <c r="G3443" s="33" t="s">
        <v>9</v>
      </c>
      <c r="H3443" s="33" t="n">
        <v>10</v>
      </c>
    </row>
    <row r="3444" customFormat="false" ht="54" hidden="false" customHeight="true" outlineLevel="0" collapsed="false">
      <c r="A3444" s="32" t="s">
        <v>13970</v>
      </c>
      <c r="B3444" s="32" t="s">
        <v>7448</v>
      </c>
      <c r="C3444" s="33" t="s">
        <v>1407</v>
      </c>
      <c r="D3444" s="33" t="s">
        <v>50</v>
      </c>
      <c r="E3444" s="33" t="s">
        <v>80</v>
      </c>
      <c r="F3444" s="33" t="s">
        <v>183</v>
      </c>
      <c r="G3444" s="33" t="s">
        <v>9</v>
      </c>
      <c r="H3444" s="33" t="n">
        <v>10</v>
      </c>
    </row>
    <row r="3445" customFormat="false" ht="54" hidden="false" customHeight="true" outlineLevel="0" collapsed="false">
      <c r="A3445" s="32" t="s">
        <v>13971</v>
      </c>
      <c r="B3445" s="32" t="s">
        <v>7448</v>
      </c>
      <c r="C3445" s="33" t="s">
        <v>1407</v>
      </c>
      <c r="D3445" s="33" t="s">
        <v>50</v>
      </c>
      <c r="E3445" s="33" t="s">
        <v>81</v>
      </c>
      <c r="F3445" s="33" t="s">
        <v>7456</v>
      </c>
      <c r="G3445" s="33" t="s">
        <v>9</v>
      </c>
      <c r="H3445" s="33" t="n">
        <v>10</v>
      </c>
    </row>
    <row r="3446" customFormat="false" ht="54" hidden="false" customHeight="true" outlineLevel="0" collapsed="false">
      <c r="A3446" s="32" t="s">
        <v>13972</v>
      </c>
      <c r="B3446" s="32" t="s">
        <v>7448</v>
      </c>
      <c r="C3446" s="33" t="s">
        <v>1407</v>
      </c>
      <c r="D3446" s="33" t="s">
        <v>50</v>
      </c>
      <c r="E3446" s="33" t="s">
        <v>82</v>
      </c>
      <c r="F3446" s="33" t="s">
        <v>7457</v>
      </c>
      <c r="G3446" s="33" t="s">
        <v>9</v>
      </c>
      <c r="H3446" s="33" t="n">
        <v>10</v>
      </c>
    </row>
    <row r="3447" customFormat="false" ht="54" hidden="false" customHeight="true" outlineLevel="0" collapsed="false">
      <c r="A3447" s="32" t="s">
        <v>13973</v>
      </c>
      <c r="B3447" s="32" t="s">
        <v>7448</v>
      </c>
      <c r="C3447" s="33" t="s">
        <v>1407</v>
      </c>
      <c r="D3447" s="33" t="s">
        <v>50</v>
      </c>
      <c r="E3447" s="33" t="s">
        <v>84</v>
      </c>
      <c r="F3447" s="33" t="s">
        <v>183</v>
      </c>
      <c r="G3447" s="33" t="s">
        <v>9</v>
      </c>
      <c r="H3447" s="33" t="n">
        <v>10</v>
      </c>
    </row>
    <row r="3448" customFormat="false" ht="54" hidden="false" customHeight="true" outlineLevel="0" collapsed="false">
      <c r="A3448" s="32" t="s">
        <v>13974</v>
      </c>
      <c r="B3448" s="32" t="s">
        <v>7448</v>
      </c>
      <c r="C3448" s="33" t="s">
        <v>1407</v>
      </c>
      <c r="D3448" s="33" t="s">
        <v>50</v>
      </c>
      <c r="E3448" s="33" t="s">
        <v>84</v>
      </c>
      <c r="F3448" s="33" t="s">
        <v>13969</v>
      </c>
      <c r="G3448" s="33" t="s">
        <v>9</v>
      </c>
      <c r="H3448" s="33" t="n">
        <v>10</v>
      </c>
    </row>
    <row r="3449" customFormat="false" ht="54" hidden="false" customHeight="true" outlineLevel="0" collapsed="false">
      <c r="A3449" s="32" t="s">
        <v>13975</v>
      </c>
      <c r="B3449" s="32" t="s">
        <v>7459</v>
      </c>
      <c r="C3449" s="33" t="s">
        <v>1407</v>
      </c>
      <c r="D3449" s="33" t="s">
        <v>50</v>
      </c>
      <c r="E3449" s="33" t="s">
        <v>80</v>
      </c>
      <c r="F3449" s="33" t="s">
        <v>6672</v>
      </c>
      <c r="G3449" s="33" t="s">
        <v>9</v>
      </c>
      <c r="H3449" s="33" t="n">
        <v>10</v>
      </c>
    </row>
    <row r="3450" customFormat="false" ht="54" hidden="false" customHeight="true" outlineLevel="0" collapsed="false">
      <c r="A3450" s="32" t="s">
        <v>13976</v>
      </c>
      <c r="B3450" s="32" t="s">
        <v>7459</v>
      </c>
      <c r="C3450" s="33" t="s">
        <v>1407</v>
      </c>
      <c r="D3450" s="33" t="s">
        <v>50</v>
      </c>
      <c r="E3450" s="33" t="s">
        <v>80</v>
      </c>
      <c r="F3450" s="33" t="s">
        <v>183</v>
      </c>
      <c r="G3450" s="33" t="s">
        <v>9</v>
      </c>
      <c r="H3450" s="33" t="n">
        <v>10</v>
      </c>
    </row>
    <row r="3451" customFormat="false" ht="54" hidden="false" customHeight="true" outlineLevel="0" collapsed="false">
      <c r="A3451" s="32" t="s">
        <v>13977</v>
      </c>
      <c r="B3451" s="32" t="s">
        <v>7459</v>
      </c>
      <c r="C3451" s="33" t="s">
        <v>1407</v>
      </c>
      <c r="D3451" s="33" t="s">
        <v>50</v>
      </c>
      <c r="E3451" s="33" t="s">
        <v>81</v>
      </c>
      <c r="F3451" s="33" t="s">
        <v>6672</v>
      </c>
      <c r="G3451" s="33" t="s">
        <v>9</v>
      </c>
      <c r="H3451" s="33" t="n">
        <v>10</v>
      </c>
    </row>
    <row r="3452" customFormat="false" ht="54" hidden="false" customHeight="true" outlineLevel="0" collapsed="false">
      <c r="A3452" s="32" t="s">
        <v>13978</v>
      </c>
      <c r="B3452" s="32" t="s">
        <v>7459</v>
      </c>
      <c r="C3452" s="33" t="s">
        <v>1407</v>
      </c>
      <c r="D3452" s="33" t="s">
        <v>50</v>
      </c>
      <c r="E3452" s="33" t="s">
        <v>82</v>
      </c>
      <c r="F3452" s="33" t="s">
        <v>7464</v>
      </c>
      <c r="G3452" s="33" t="s">
        <v>9</v>
      </c>
      <c r="H3452" s="33" t="n">
        <v>10</v>
      </c>
    </row>
    <row r="3453" customFormat="false" ht="54" hidden="false" customHeight="true" outlineLevel="0" collapsed="false">
      <c r="A3453" s="32" t="s">
        <v>13979</v>
      </c>
      <c r="B3453" s="32" t="s">
        <v>7459</v>
      </c>
      <c r="C3453" s="33" t="s">
        <v>1407</v>
      </c>
      <c r="D3453" s="33" t="s">
        <v>50</v>
      </c>
      <c r="E3453" s="33" t="s">
        <v>82</v>
      </c>
      <c r="F3453" s="33" t="s">
        <v>13980</v>
      </c>
      <c r="G3453" s="33" t="s">
        <v>9</v>
      </c>
      <c r="H3453" s="33" t="n">
        <v>10</v>
      </c>
    </row>
    <row r="3454" customFormat="false" ht="54" hidden="false" customHeight="true" outlineLevel="0" collapsed="false">
      <c r="A3454" s="32" t="s">
        <v>13981</v>
      </c>
      <c r="B3454" s="32" t="s">
        <v>7459</v>
      </c>
      <c r="C3454" s="33" t="s">
        <v>1407</v>
      </c>
      <c r="D3454" s="33" t="s">
        <v>50</v>
      </c>
      <c r="E3454" s="33" t="s">
        <v>84</v>
      </c>
      <c r="F3454" s="33" t="s">
        <v>183</v>
      </c>
      <c r="G3454" s="33" t="s">
        <v>9</v>
      </c>
      <c r="H3454" s="33" t="n">
        <v>10</v>
      </c>
    </row>
    <row r="3455" customFormat="false" ht="54" hidden="false" customHeight="true" outlineLevel="0" collapsed="false">
      <c r="A3455" s="32" t="s">
        <v>13982</v>
      </c>
      <c r="B3455" s="32" t="s">
        <v>7459</v>
      </c>
      <c r="C3455" s="33" t="s">
        <v>1407</v>
      </c>
      <c r="D3455" s="33" t="s">
        <v>50</v>
      </c>
      <c r="E3455" s="33" t="s">
        <v>84</v>
      </c>
      <c r="F3455" s="33" t="s">
        <v>13983</v>
      </c>
      <c r="G3455" s="33" t="s">
        <v>9</v>
      </c>
      <c r="H3455" s="33" t="n">
        <v>10</v>
      </c>
    </row>
    <row r="3456" customFormat="false" ht="54" hidden="false" customHeight="true" outlineLevel="0" collapsed="false">
      <c r="A3456" s="32" t="s">
        <v>13984</v>
      </c>
      <c r="B3456" s="32" t="s">
        <v>7472</v>
      </c>
      <c r="C3456" s="33" t="s">
        <v>1407</v>
      </c>
      <c r="D3456" s="33" t="s">
        <v>50</v>
      </c>
      <c r="E3456" s="33" t="s">
        <v>80</v>
      </c>
      <c r="F3456" s="33" t="s">
        <v>7477</v>
      </c>
      <c r="G3456" s="33" t="s">
        <v>9</v>
      </c>
      <c r="H3456" s="33" t="n">
        <v>10</v>
      </c>
    </row>
    <row r="3457" customFormat="false" ht="54" hidden="false" customHeight="true" outlineLevel="0" collapsed="false">
      <c r="A3457" s="32" t="s">
        <v>13985</v>
      </c>
      <c r="B3457" s="32" t="s">
        <v>7472</v>
      </c>
      <c r="C3457" s="33" t="s">
        <v>1407</v>
      </c>
      <c r="D3457" s="33" t="s">
        <v>50</v>
      </c>
      <c r="E3457" s="33" t="s">
        <v>80</v>
      </c>
      <c r="F3457" s="33" t="s">
        <v>183</v>
      </c>
      <c r="G3457" s="33" t="s">
        <v>9</v>
      </c>
      <c r="H3457" s="33" t="n">
        <v>10</v>
      </c>
    </row>
    <row r="3458" customFormat="false" ht="54" hidden="false" customHeight="true" outlineLevel="0" collapsed="false">
      <c r="A3458" s="32" t="s">
        <v>13986</v>
      </c>
      <c r="B3458" s="32" t="s">
        <v>7472</v>
      </c>
      <c r="C3458" s="33" t="s">
        <v>1407</v>
      </c>
      <c r="D3458" s="33" t="s">
        <v>50</v>
      </c>
      <c r="E3458" s="33" t="s">
        <v>80</v>
      </c>
      <c r="F3458" s="33" t="s">
        <v>13987</v>
      </c>
      <c r="G3458" s="33" t="s">
        <v>9</v>
      </c>
      <c r="H3458" s="33" t="n">
        <v>10</v>
      </c>
    </row>
    <row r="3459" customFormat="false" ht="54" hidden="false" customHeight="true" outlineLevel="0" collapsed="false">
      <c r="A3459" s="32" t="s">
        <v>13988</v>
      </c>
      <c r="B3459" s="32" t="s">
        <v>7472</v>
      </c>
      <c r="C3459" s="33" t="s">
        <v>1407</v>
      </c>
      <c r="D3459" s="33" t="s">
        <v>50</v>
      </c>
      <c r="E3459" s="33" t="s">
        <v>80</v>
      </c>
      <c r="F3459" s="33" t="s">
        <v>13989</v>
      </c>
      <c r="G3459" s="33" t="s">
        <v>9</v>
      </c>
      <c r="H3459" s="33" t="n">
        <v>10</v>
      </c>
    </row>
    <row r="3460" customFormat="false" ht="54" hidden="false" customHeight="true" outlineLevel="0" collapsed="false">
      <c r="A3460" s="32" t="s">
        <v>13990</v>
      </c>
      <c r="B3460" s="32" t="s">
        <v>7472</v>
      </c>
      <c r="C3460" s="33" t="s">
        <v>1407</v>
      </c>
      <c r="D3460" s="33" t="s">
        <v>50</v>
      </c>
      <c r="E3460" s="33" t="s">
        <v>80</v>
      </c>
      <c r="F3460" s="33" t="s">
        <v>13991</v>
      </c>
      <c r="G3460" s="33" t="s">
        <v>9</v>
      </c>
      <c r="H3460" s="33" t="n">
        <v>10</v>
      </c>
    </row>
    <row r="3461" customFormat="false" ht="54" hidden="false" customHeight="true" outlineLevel="0" collapsed="false">
      <c r="A3461" s="32" t="s">
        <v>13992</v>
      </c>
      <c r="B3461" s="32" t="s">
        <v>7472</v>
      </c>
      <c r="C3461" s="33" t="s">
        <v>1407</v>
      </c>
      <c r="D3461" s="33" t="s">
        <v>50</v>
      </c>
      <c r="E3461" s="33" t="s">
        <v>82</v>
      </c>
      <c r="F3461" s="33" t="s">
        <v>7479</v>
      </c>
      <c r="G3461" s="33" t="s">
        <v>9</v>
      </c>
      <c r="H3461" s="33" t="n">
        <v>10</v>
      </c>
    </row>
    <row r="3462" customFormat="false" ht="54" hidden="false" customHeight="true" outlineLevel="0" collapsed="false">
      <c r="A3462" s="32" t="s">
        <v>13993</v>
      </c>
      <c r="B3462" s="32" t="s">
        <v>7472</v>
      </c>
      <c r="C3462" s="33" t="s">
        <v>1407</v>
      </c>
      <c r="D3462" s="33" t="s">
        <v>50</v>
      </c>
      <c r="E3462" s="33" t="s">
        <v>82</v>
      </c>
      <c r="F3462" s="33" t="s">
        <v>13994</v>
      </c>
      <c r="G3462" s="33" t="s">
        <v>9</v>
      </c>
      <c r="H3462" s="33" t="n">
        <v>10</v>
      </c>
    </row>
    <row r="3463" customFormat="false" ht="54" hidden="false" customHeight="true" outlineLevel="0" collapsed="false">
      <c r="A3463" s="32" t="s">
        <v>13995</v>
      </c>
      <c r="B3463" s="32" t="s">
        <v>7472</v>
      </c>
      <c r="C3463" s="33" t="s">
        <v>1407</v>
      </c>
      <c r="D3463" s="33" t="s">
        <v>50</v>
      </c>
      <c r="E3463" s="33" t="s">
        <v>84</v>
      </c>
      <c r="F3463" s="33" t="s">
        <v>7477</v>
      </c>
      <c r="G3463" s="33" t="s">
        <v>9</v>
      </c>
      <c r="H3463" s="33" t="n">
        <v>10</v>
      </c>
    </row>
    <row r="3464" customFormat="false" ht="54" hidden="false" customHeight="true" outlineLevel="0" collapsed="false">
      <c r="A3464" s="32" t="s">
        <v>13996</v>
      </c>
      <c r="B3464" s="32" t="s">
        <v>7472</v>
      </c>
      <c r="C3464" s="33" t="s">
        <v>1407</v>
      </c>
      <c r="D3464" s="33" t="s">
        <v>50</v>
      </c>
      <c r="E3464" s="33" t="s">
        <v>84</v>
      </c>
      <c r="F3464" s="33" t="s">
        <v>183</v>
      </c>
      <c r="G3464" s="33" t="s">
        <v>9</v>
      </c>
      <c r="H3464" s="33" t="n">
        <v>10</v>
      </c>
    </row>
    <row r="3465" customFormat="false" ht="54" hidden="false" customHeight="true" outlineLevel="0" collapsed="false">
      <c r="A3465" s="32" t="s">
        <v>13997</v>
      </c>
      <c r="B3465" s="32" t="s">
        <v>7472</v>
      </c>
      <c r="C3465" s="33" t="s">
        <v>1407</v>
      </c>
      <c r="D3465" s="33" t="s">
        <v>50</v>
      </c>
      <c r="E3465" s="33" t="s">
        <v>84</v>
      </c>
      <c r="F3465" s="33" t="s">
        <v>13987</v>
      </c>
      <c r="G3465" s="33" t="s">
        <v>9</v>
      </c>
      <c r="H3465" s="33" t="n">
        <v>10</v>
      </c>
    </row>
    <row r="3466" customFormat="false" ht="54" hidden="false" customHeight="true" outlineLevel="0" collapsed="false">
      <c r="A3466" s="32" t="s">
        <v>13998</v>
      </c>
      <c r="B3466" s="32" t="s">
        <v>7472</v>
      </c>
      <c r="C3466" s="33" t="s">
        <v>1407</v>
      </c>
      <c r="D3466" s="33" t="s">
        <v>50</v>
      </c>
      <c r="E3466" s="33" t="s">
        <v>84</v>
      </c>
      <c r="F3466" s="33" t="s">
        <v>13991</v>
      </c>
      <c r="G3466" s="33" t="s">
        <v>9</v>
      </c>
      <c r="H3466" s="33" t="n">
        <v>10</v>
      </c>
    </row>
    <row r="3467" customFormat="false" ht="54" hidden="false" customHeight="true" outlineLevel="0" collapsed="false">
      <c r="A3467" s="32" t="s">
        <v>13999</v>
      </c>
      <c r="B3467" s="32" t="s">
        <v>7488</v>
      </c>
      <c r="C3467" s="33" t="s">
        <v>1407</v>
      </c>
      <c r="D3467" s="33" t="s">
        <v>50</v>
      </c>
      <c r="E3467" s="33" t="s">
        <v>80</v>
      </c>
      <c r="F3467" s="33" t="s">
        <v>7491</v>
      </c>
      <c r="G3467" s="33" t="s">
        <v>9</v>
      </c>
      <c r="H3467" s="33" t="n">
        <v>10</v>
      </c>
    </row>
    <row r="3468" customFormat="false" ht="54" hidden="false" customHeight="true" outlineLevel="0" collapsed="false">
      <c r="A3468" s="32" t="s">
        <v>14000</v>
      </c>
      <c r="B3468" s="32" t="s">
        <v>7488</v>
      </c>
      <c r="C3468" s="33" t="s">
        <v>1407</v>
      </c>
      <c r="D3468" s="33" t="s">
        <v>50</v>
      </c>
      <c r="E3468" s="33" t="s">
        <v>80</v>
      </c>
      <c r="F3468" s="33" t="s">
        <v>183</v>
      </c>
      <c r="G3468" s="33" t="s">
        <v>9</v>
      </c>
      <c r="H3468" s="33" t="n">
        <v>10</v>
      </c>
    </row>
    <row r="3469" customFormat="false" ht="54" hidden="false" customHeight="true" outlineLevel="0" collapsed="false">
      <c r="A3469" s="32" t="s">
        <v>14001</v>
      </c>
      <c r="B3469" s="32" t="s">
        <v>7488</v>
      </c>
      <c r="C3469" s="33" t="s">
        <v>1407</v>
      </c>
      <c r="D3469" s="33" t="s">
        <v>50</v>
      </c>
      <c r="E3469" s="33" t="s">
        <v>80</v>
      </c>
      <c r="F3469" s="33" t="s">
        <v>7498</v>
      </c>
      <c r="G3469" s="33" t="s">
        <v>9</v>
      </c>
      <c r="H3469" s="33" t="n">
        <v>10</v>
      </c>
    </row>
    <row r="3470" customFormat="false" ht="54" hidden="false" customHeight="true" outlineLevel="0" collapsed="false">
      <c r="A3470" s="32" t="s">
        <v>14002</v>
      </c>
      <c r="B3470" s="32" t="s">
        <v>7488</v>
      </c>
      <c r="C3470" s="33" t="s">
        <v>1407</v>
      </c>
      <c r="D3470" s="33" t="s">
        <v>50</v>
      </c>
      <c r="E3470" s="33" t="s">
        <v>80</v>
      </c>
      <c r="F3470" s="33" t="s">
        <v>14003</v>
      </c>
      <c r="G3470" s="33" t="s">
        <v>9</v>
      </c>
      <c r="H3470" s="33" t="n">
        <v>10</v>
      </c>
    </row>
    <row r="3471" customFormat="false" ht="54" hidden="false" customHeight="true" outlineLevel="0" collapsed="false">
      <c r="A3471" s="32" t="s">
        <v>14004</v>
      </c>
      <c r="B3471" s="32" t="s">
        <v>7488</v>
      </c>
      <c r="C3471" s="33" t="s">
        <v>1407</v>
      </c>
      <c r="D3471" s="33" t="s">
        <v>50</v>
      </c>
      <c r="E3471" s="33" t="s">
        <v>81</v>
      </c>
      <c r="F3471" s="33" t="s">
        <v>7491</v>
      </c>
      <c r="G3471" s="33" t="s">
        <v>9</v>
      </c>
      <c r="H3471" s="33" t="n">
        <v>10</v>
      </c>
    </row>
    <row r="3472" customFormat="false" ht="54" hidden="false" customHeight="true" outlineLevel="0" collapsed="false">
      <c r="A3472" s="32" t="s">
        <v>14005</v>
      </c>
      <c r="B3472" s="32" t="s">
        <v>7488</v>
      </c>
      <c r="C3472" s="33" t="s">
        <v>1407</v>
      </c>
      <c r="D3472" s="33" t="s">
        <v>50</v>
      </c>
      <c r="E3472" s="33" t="s">
        <v>81</v>
      </c>
      <c r="F3472" s="33" t="s">
        <v>1748</v>
      </c>
      <c r="G3472" s="33" t="s">
        <v>9</v>
      </c>
      <c r="H3472" s="33" t="n">
        <v>10</v>
      </c>
    </row>
    <row r="3473" customFormat="false" ht="54" hidden="false" customHeight="true" outlineLevel="0" collapsed="false">
      <c r="A3473" s="32" t="s">
        <v>14006</v>
      </c>
      <c r="B3473" s="32" t="s">
        <v>7488</v>
      </c>
      <c r="C3473" s="33" t="s">
        <v>1407</v>
      </c>
      <c r="D3473" s="33" t="s">
        <v>50</v>
      </c>
      <c r="E3473" s="33" t="s">
        <v>83</v>
      </c>
      <c r="F3473" s="33" t="s">
        <v>7498</v>
      </c>
      <c r="G3473" s="33" t="s">
        <v>9</v>
      </c>
      <c r="H3473" s="33" t="n">
        <v>10</v>
      </c>
    </row>
    <row r="3474" customFormat="false" ht="54" hidden="false" customHeight="true" outlineLevel="0" collapsed="false">
      <c r="A3474" s="32" t="s">
        <v>14007</v>
      </c>
      <c r="B3474" s="32" t="s">
        <v>7488</v>
      </c>
      <c r="C3474" s="33" t="s">
        <v>1407</v>
      </c>
      <c r="D3474" s="33" t="s">
        <v>50</v>
      </c>
      <c r="E3474" s="33" t="s">
        <v>84</v>
      </c>
      <c r="F3474" s="33" t="s">
        <v>183</v>
      </c>
      <c r="G3474" s="33" t="s">
        <v>9</v>
      </c>
      <c r="H3474" s="33" t="n">
        <v>10</v>
      </c>
    </row>
    <row r="3475" customFormat="false" ht="54" hidden="false" customHeight="true" outlineLevel="0" collapsed="false">
      <c r="A3475" s="32" t="s">
        <v>14008</v>
      </c>
      <c r="B3475" s="32" t="s">
        <v>7488</v>
      </c>
      <c r="C3475" s="33" t="s">
        <v>1407</v>
      </c>
      <c r="D3475" s="33" t="s">
        <v>50</v>
      </c>
      <c r="E3475" s="33" t="s">
        <v>84</v>
      </c>
      <c r="F3475" s="33" t="s">
        <v>14003</v>
      </c>
      <c r="G3475" s="33" t="s">
        <v>9</v>
      </c>
      <c r="H3475" s="33" t="n">
        <v>10</v>
      </c>
    </row>
    <row r="3476" customFormat="false" ht="54" hidden="false" customHeight="true" outlineLevel="0" collapsed="false">
      <c r="A3476" s="32" t="s">
        <v>14009</v>
      </c>
      <c r="B3476" s="32" t="s">
        <v>7502</v>
      </c>
      <c r="C3476" s="33" t="s">
        <v>1407</v>
      </c>
      <c r="D3476" s="33" t="s">
        <v>50</v>
      </c>
      <c r="E3476" s="33" t="s">
        <v>80</v>
      </c>
      <c r="F3476" s="33" t="s">
        <v>7506</v>
      </c>
      <c r="G3476" s="33" t="s">
        <v>9</v>
      </c>
      <c r="H3476" s="33" t="n">
        <v>10</v>
      </c>
    </row>
    <row r="3477" customFormat="false" ht="54" hidden="false" customHeight="true" outlineLevel="0" collapsed="false">
      <c r="A3477" s="32" t="s">
        <v>14010</v>
      </c>
      <c r="B3477" s="32" t="s">
        <v>7502</v>
      </c>
      <c r="C3477" s="33" t="s">
        <v>1407</v>
      </c>
      <c r="D3477" s="33" t="s">
        <v>50</v>
      </c>
      <c r="E3477" s="33" t="s">
        <v>80</v>
      </c>
      <c r="F3477" s="33" t="s">
        <v>183</v>
      </c>
      <c r="G3477" s="33" t="s">
        <v>9</v>
      </c>
      <c r="H3477" s="33" t="n">
        <v>10</v>
      </c>
    </row>
    <row r="3478" customFormat="false" ht="54" hidden="false" customHeight="true" outlineLevel="0" collapsed="false">
      <c r="A3478" s="32" t="s">
        <v>14011</v>
      </c>
      <c r="B3478" s="32" t="s">
        <v>7502</v>
      </c>
      <c r="C3478" s="33" t="s">
        <v>1407</v>
      </c>
      <c r="D3478" s="33" t="s">
        <v>50</v>
      </c>
      <c r="E3478" s="33" t="s">
        <v>80</v>
      </c>
      <c r="F3478" s="33" t="s">
        <v>14012</v>
      </c>
      <c r="G3478" s="33" t="s">
        <v>9</v>
      </c>
      <c r="H3478" s="33" t="n">
        <v>10</v>
      </c>
    </row>
    <row r="3479" customFormat="false" ht="54" hidden="false" customHeight="true" outlineLevel="0" collapsed="false">
      <c r="A3479" s="32" t="s">
        <v>14013</v>
      </c>
      <c r="B3479" s="32" t="s">
        <v>7502</v>
      </c>
      <c r="C3479" s="33" t="s">
        <v>1407</v>
      </c>
      <c r="D3479" s="33" t="s">
        <v>50</v>
      </c>
      <c r="E3479" s="33" t="s">
        <v>81</v>
      </c>
      <c r="F3479" s="33" t="s">
        <v>7506</v>
      </c>
      <c r="G3479" s="33" t="s">
        <v>9</v>
      </c>
      <c r="H3479" s="33" t="n">
        <v>10</v>
      </c>
    </row>
    <row r="3480" customFormat="false" ht="54" hidden="false" customHeight="true" outlineLevel="0" collapsed="false">
      <c r="A3480" s="32" t="s">
        <v>14014</v>
      </c>
      <c r="B3480" s="32" t="s">
        <v>7502</v>
      </c>
      <c r="C3480" s="33" t="s">
        <v>1407</v>
      </c>
      <c r="D3480" s="33" t="s">
        <v>50</v>
      </c>
      <c r="E3480" s="33" t="s">
        <v>81</v>
      </c>
      <c r="F3480" s="33" t="s">
        <v>14015</v>
      </c>
      <c r="G3480" s="33" t="s">
        <v>9</v>
      </c>
      <c r="H3480" s="33" t="n">
        <v>10</v>
      </c>
    </row>
    <row r="3481" customFormat="false" ht="54" hidden="false" customHeight="true" outlineLevel="0" collapsed="false">
      <c r="A3481" s="32" t="s">
        <v>14016</v>
      </c>
      <c r="B3481" s="32" t="s">
        <v>7502</v>
      </c>
      <c r="C3481" s="33" t="s">
        <v>1407</v>
      </c>
      <c r="D3481" s="33" t="s">
        <v>50</v>
      </c>
      <c r="E3481" s="33" t="s">
        <v>81</v>
      </c>
      <c r="F3481" s="33" t="s">
        <v>14017</v>
      </c>
      <c r="G3481" s="33" t="s">
        <v>9</v>
      </c>
      <c r="H3481" s="33" t="n">
        <v>10</v>
      </c>
    </row>
    <row r="3482" customFormat="false" ht="54" hidden="false" customHeight="true" outlineLevel="0" collapsed="false">
      <c r="A3482" s="32" t="s">
        <v>14018</v>
      </c>
      <c r="B3482" s="32" t="s">
        <v>7502</v>
      </c>
      <c r="C3482" s="33" t="s">
        <v>1407</v>
      </c>
      <c r="D3482" s="33" t="s">
        <v>50</v>
      </c>
      <c r="E3482" s="33" t="s">
        <v>82</v>
      </c>
      <c r="F3482" s="33" t="s">
        <v>7508</v>
      </c>
      <c r="G3482" s="33" t="s">
        <v>9</v>
      </c>
      <c r="H3482" s="33" t="n">
        <v>10</v>
      </c>
    </row>
    <row r="3483" customFormat="false" ht="54" hidden="false" customHeight="true" outlineLevel="0" collapsed="false">
      <c r="A3483" s="32" t="s">
        <v>14019</v>
      </c>
      <c r="B3483" s="32" t="s">
        <v>7502</v>
      </c>
      <c r="C3483" s="33" t="s">
        <v>1407</v>
      </c>
      <c r="D3483" s="33" t="s">
        <v>50</v>
      </c>
      <c r="E3483" s="33" t="s">
        <v>82</v>
      </c>
      <c r="F3483" s="33" t="s">
        <v>14012</v>
      </c>
      <c r="G3483" s="33" t="s">
        <v>9</v>
      </c>
      <c r="H3483" s="33" t="n">
        <v>10</v>
      </c>
    </row>
    <row r="3484" customFormat="false" ht="54" hidden="false" customHeight="true" outlineLevel="0" collapsed="false">
      <c r="A3484" s="32" t="s">
        <v>14020</v>
      </c>
      <c r="B3484" s="32" t="s">
        <v>7502</v>
      </c>
      <c r="C3484" s="33" t="s">
        <v>1407</v>
      </c>
      <c r="D3484" s="33" t="s">
        <v>50</v>
      </c>
      <c r="E3484" s="33" t="s">
        <v>82</v>
      </c>
      <c r="F3484" s="33" t="s">
        <v>14021</v>
      </c>
      <c r="G3484" s="33" t="s">
        <v>9</v>
      </c>
      <c r="H3484" s="33" t="n">
        <v>10</v>
      </c>
    </row>
    <row r="3485" customFormat="false" ht="54" hidden="false" customHeight="true" outlineLevel="0" collapsed="false">
      <c r="A3485" s="32" t="s">
        <v>14022</v>
      </c>
      <c r="B3485" s="32" t="s">
        <v>7502</v>
      </c>
      <c r="C3485" s="33" t="s">
        <v>1407</v>
      </c>
      <c r="D3485" s="33" t="s">
        <v>50</v>
      </c>
      <c r="E3485" s="33" t="s">
        <v>82</v>
      </c>
      <c r="F3485" s="33" t="s">
        <v>14023</v>
      </c>
      <c r="G3485" s="33" t="s">
        <v>9</v>
      </c>
      <c r="H3485" s="33" t="n">
        <v>10</v>
      </c>
    </row>
    <row r="3486" customFormat="false" ht="54" hidden="false" customHeight="true" outlineLevel="0" collapsed="false">
      <c r="A3486" s="32" t="s">
        <v>14024</v>
      </c>
      <c r="B3486" s="32" t="s">
        <v>7502</v>
      </c>
      <c r="C3486" s="33" t="s">
        <v>1407</v>
      </c>
      <c r="D3486" s="33" t="s">
        <v>50</v>
      </c>
      <c r="E3486" s="33" t="s">
        <v>82</v>
      </c>
      <c r="F3486" s="33" t="s">
        <v>14025</v>
      </c>
      <c r="G3486" s="33" t="s">
        <v>9</v>
      </c>
      <c r="H3486" s="33" t="n">
        <v>10</v>
      </c>
    </row>
    <row r="3487" customFormat="false" ht="54" hidden="false" customHeight="true" outlineLevel="0" collapsed="false">
      <c r="A3487" s="32" t="s">
        <v>14026</v>
      </c>
      <c r="B3487" s="32" t="s">
        <v>7502</v>
      </c>
      <c r="C3487" s="33" t="s">
        <v>1407</v>
      </c>
      <c r="D3487" s="33" t="s">
        <v>50</v>
      </c>
      <c r="E3487" s="33" t="s">
        <v>83</v>
      </c>
      <c r="F3487" s="33" t="s">
        <v>7515</v>
      </c>
      <c r="G3487" s="33" t="s">
        <v>9</v>
      </c>
      <c r="H3487" s="33" t="n">
        <v>10</v>
      </c>
    </row>
    <row r="3488" customFormat="false" ht="54" hidden="false" customHeight="true" outlineLevel="0" collapsed="false">
      <c r="A3488" s="32" t="s">
        <v>14027</v>
      </c>
      <c r="B3488" s="32" t="s">
        <v>7502</v>
      </c>
      <c r="C3488" s="33" t="s">
        <v>1407</v>
      </c>
      <c r="D3488" s="33" t="s">
        <v>50</v>
      </c>
      <c r="E3488" s="33" t="s">
        <v>84</v>
      </c>
      <c r="F3488" s="33" t="s">
        <v>183</v>
      </c>
      <c r="G3488" s="33" t="s">
        <v>9</v>
      </c>
      <c r="H3488" s="33" t="n">
        <v>10</v>
      </c>
    </row>
    <row r="3489" customFormat="false" ht="54" hidden="false" customHeight="true" outlineLevel="0" collapsed="false">
      <c r="A3489" s="32" t="s">
        <v>14028</v>
      </c>
      <c r="B3489" s="32" t="s">
        <v>7502</v>
      </c>
      <c r="C3489" s="33" t="s">
        <v>1407</v>
      </c>
      <c r="D3489" s="33" t="s">
        <v>50</v>
      </c>
      <c r="E3489" s="33" t="s">
        <v>84</v>
      </c>
      <c r="F3489" s="33" t="s">
        <v>14012</v>
      </c>
      <c r="G3489" s="33" t="s">
        <v>9</v>
      </c>
      <c r="H3489" s="33" t="n">
        <v>10</v>
      </c>
    </row>
    <row r="3490" customFormat="false" ht="54" hidden="false" customHeight="true" outlineLevel="0" collapsed="false">
      <c r="A3490" s="32" t="s">
        <v>14029</v>
      </c>
      <c r="B3490" s="32" t="s">
        <v>7519</v>
      </c>
      <c r="C3490" s="33" t="s">
        <v>1407</v>
      </c>
      <c r="D3490" s="33" t="s">
        <v>50</v>
      </c>
      <c r="E3490" s="33" t="s">
        <v>80</v>
      </c>
      <c r="F3490" s="33" t="s">
        <v>7524</v>
      </c>
      <c r="G3490" s="33" t="s">
        <v>9</v>
      </c>
      <c r="H3490" s="33" t="n">
        <v>10</v>
      </c>
    </row>
    <row r="3491" customFormat="false" ht="54" hidden="false" customHeight="true" outlineLevel="0" collapsed="false">
      <c r="A3491" s="32" t="s">
        <v>14030</v>
      </c>
      <c r="B3491" s="32" t="s">
        <v>7519</v>
      </c>
      <c r="C3491" s="33" t="s">
        <v>1407</v>
      </c>
      <c r="D3491" s="33" t="s">
        <v>50</v>
      </c>
      <c r="E3491" s="33" t="s">
        <v>80</v>
      </c>
      <c r="F3491" s="33" t="s">
        <v>183</v>
      </c>
      <c r="G3491" s="33" t="s">
        <v>9</v>
      </c>
      <c r="H3491" s="33" t="n">
        <v>10</v>
      </c>
    </row>
    <row r="3492" customFormat="false" ht="54" hidden="false" customHeight="true" outlineLevel="0" collapsed="false">
      <c r="A3492" s="32" t="s">
        <v>14031</v>
      </c>
      <c r="B3492" s="32" t="s">
        <v>7519</v>
      </c>
      <c r="C3492" s="33" t="s">
        <v>1407</v>
      </c>
      <c r="D3492" s="33" t="s">
        <v>50</v>
      </c>
      <c r="E3492" s="33" t="s">
        <v>80</v>
      </c>
      <c r="F3492" s="33" t="s">
        <v>14032</v>
      </c>
      <c r="G3492" s="33" t="s">
        <v>9</v>
      </c>
      <c r="H3492" s="33" t="n">
        <v>10</v>
      </c>
    </row>
    <row r="3493" customFormat="false" ht="54" hidden="false" customHeight="true" outlineLevel="0" collapsed="false">
      <c r="A3493" s="32" t="s">
        <v>14033</v>
      </c>
      <c r="B3493" s="32" t="s">
        <v>7519</v>
      </c>
      <c r="C3493" s="33" t="s">
        <v>1407</v>
      </c>
      <c r="D3493" s="33" t="s">
        <v>50</v>
      </c>
      <c r="E3493" s="33" t="s">
        <v>80</v>
      </c>
      <c r="F3493" s="33" t="s">
        <v>13987</v>
      </c>
      <c r="G3493" s="33" t="s">
        <v>9</v>
      </c>
      <c r="H3493" s="33" t="n">
        <v>10</v>
      </c>
    </row>
    <row r="3494" customFormat="false" ht="54" hidden="false" customHeight="true" outlineLevel="0" collapsed="false">
      <c r="A3494" s="32" t="s">
        <v>14034</v>
      </c>
      <c r="B3494" s="32" t="s">
        <v>7519</v>
      </c>
      <c r="C3494" s="33" t="s">
        <v>1407</v>
      </c>
      <c r="D3494" s="33" t="s">
        <v>50</v>
      </c>
      <c r="E3494" s="33" t="s">
        <v>80</v>
      </c>
      <c r="F3494" s="33" t="s">
        <v>13989</v>
      </c>
      <c r="G3494" s="33" t="s">
        <v>9</v>
      </c>
      <c r="H3494" s="33" t="n">
        <v>10</v>
      </c>
    </row>
    <row r="3495" customFormat="false" ht="54" hidden="false" customHeight="true" outlineLevel="0" collapsed="false">
      <c r="A3495" s="32" t="s">
        <v>14035</v>
      </c>
      <c r="B3495" s="32" t="s">
        <v>7519</v>
      </c>
      <c r="C3495" s="33" t="s">
        <v>1407</v>
      </c>
      <c r="D3495" s="33" t="s">
        <v>50</v>
      </c>
      <c r="E3495" s="33" t="s">
        <v>84</v>
      </c>
      <c r="F3495" s="33" t="s">
        <v>183</v>
      </c>
      <c r="G3495" s="33" t="s">
        <v>9</v>
      </c>
      <c r="H3495" s="33" t="n">
        <v>10</v>
      </c>
    </row>
    <row r="3496" customFormat="false" ht="54" hidden="false" customHeight="true" outlineLevel="0" collapsed="false">
      <c r="A3496" s="32" t="s">
        <v>14036</v>
      </c>
      <c r="B3496" s="32" t="s">
        <v>7519</v>
      </c>
      <c r="C3496" s="33" t="s">
        <v>1407</v>
      </c>
      <c r="D3496" s="33" t="s">
        <v>50</v>
      </c>
      <c r="E3496" s="33" t="s">
        <v>84</v>
      </c>
      <c r="F3496" s="33" t="s">
        <v>13987</v>
      </c>
      <c r="G3496" s="33" t="s">
        <v>9</v>
      </c>
      <c r="H3496" s="33" t="n">
        <v>10</v>
      </c>
    </row>
    <row r="3497" customFormat="false" ht="54" hidden="false" customHeight="true" outlineLevel="0" collapsed="false">
      <c r="A3497" s="32" t="s">
        <v>14037</v>
      </c>
      <c r="B3497" s="32" t="s">
        <v>7531</v>
      </c>
      <c r="C3497" s="33" t="s">
        <v>1805</v>
      </c>
      <c r="D3497" s="33" t="s">
        <v>56</v>
      </c>
      <c r="E3497" s="33" t="s">
        <v>80</v>
      </c>
      <c r="F3497" s="33" t="s">
        <v>7535</v>
      </c>
      <c r="G3497" s="33" t="s">
        <v>9</v>
      </c>
      <c r="H3497" s="33" t="n">
        <v>10</v>
      </c>
    </row>
    <row r="3498" customFormat="false" ht="54" hidden="false" customHeight="true" outlineLevel="0" collapsed="false">
      <c r="A3498" s="32" t="s">
        <v>14038</v>
      </c>
      <c r="B3498" s="32" t="s">
        <v>7531</v>
      </c>
      <c r="C3498" s="33" t="s">
        <v>1805</v>
      </c>
      <c r="D3498" s="33" t="s">
        <v>56</v>
      </c>
      <c r="E3498" s="33" t="s">
        <v>80</v>
      </c>
      <c r="F3498" s="33" t="s">
        <v>7536</v>
      </c>
      <c r="G3498" s="33" t="s">
        <v>9</v>
      </c>
      <c r="H3498" s="33" t="n">
        <v>10</v>
      </c>
    </row>
    <row r="3499" customFormat="false" ht="54" hidden="false" customHeight="true" outlineLevel="0" collapsed="false">
      <c r="A3499" s="32" t="s">
        <v>14039</v>
      </c>
      <c r="B3499" s="32" t="s">
        <v>7531</v>
      </c>
      <c r="C3499" s="33" t="s">
        <v>1805</v>
      </c>
      <c r="D3499" s="33" t="s">
        <v>56</v>
      </c>
      <c r="E3499" s="33" t="s">
        <v>80</v>
      </c>
      <c r="F3499" s="33" t="s">
        <v>183</v>
      </c>
      <c r="G3499" s="33" t="s">
        <v>9</v>
      </c>
      <c r="H3499" s="33" t="n">
        <v>10</v>
      </c>
    </row>
    <row r="3500" customFormat="false" ht="54" hidden="false" customHeight="true" outlineLevel="0" collapsed="false">
      <c r="A3500" s="32" t="s">
        <v>14040</v>
      </c>
      <c r="B3500" s="32" t="s">
        <v>7531</v>
      </c>
      <c r="C3500" s="33" t="s">
        <v>1805</v>
      </c>
      <c r="D3500" s="33" t="s">
        <v>56</v>
      </c>
      <c r="E3500" s="33" t="s">
        <v>80</v>
      </c>
      <c r="F3500" s="33" t="s">
        <v>7543</v>
      </c>
      <c r="G3500" s="33" t="s">
        <v>9</v>
      </c>
      <c r="H3500" s="33" t="n">
        <v>10</v>
      </c>
    </row>
    <row r="3501" customFormat="false" ht="54" hidden="false" customHeight="true" outlineLevel="0" collapsed="false">
      <c r="A3501" s="32" t="s">
        <v>14041</v>
      </c>
      <c r="B3501" s="32" t="s">
        <v>7531</v>
      </c>
      <c r="C3501" s="33" t="s">
        <v>1805</v>
      </c>
      <c r="D3501" s="33" t="s">
        <v>56</v>
      </c>
      <c r="E3501" s="33" t="s">
        <v>80</v>
      </c>
      <c r="F3501" s="33" t="s">
        <v>14042</v>
      </c>
      <c r="G3501" s="33" t="s">
        <v>9</v>
      </c>
      <c r="H3501" s="33" t="n">
        <v>10</v>
      </c>
    </row>
    <row r="3502" customFormat="false" ht="54" hidden="false" customHeight="true" outlineLevel="0" collapsed="false">
      <c r="A3502" s="32" t="s">
        <v>14043</v>
      </c>
      <c r="B3502" s="32" t="s">
        <v>7531</v>
      </c>
      <c r="C3502" s="33" t="s">
        <v>1805</v>
      </c>
      <c r="D3502" s="33" t="s">
        <v>56</v>
      </c>
      <c r="E3502" s="33" t="s">
        <v>81</v>
      </c>
      <c r="F3502" s="33" t="s">
        <v>7535</v>
      </c>
      <c r="G3502" s="33" t="s">
        <v>9</v>
      </c>
      <c r="H3502" s="33" t="n">
        <v>10</v>
      </c>
    </row>
    <row r="3503" customFormat="false" ht="54" hidden="false" customHeight="true" outlineLevel="0" collapsed="false">
      <c r="A3503" s="32" t="s">
        <v>14044</v>
      </c>
      <c r="B3503" s="32" t="s">
        <v>7531</v>
      </c>
      <c r="C3503" s="33" t="s">
        <v>1805</v>
      </c>
      <c r="D3503" s="33" t="s">
        <v>56</v>
      </c>
      <c r="E3503" s="33" t="s">
        <v>84</v>
      </c>
      <c r="F3503" s="33" t="s">
        <v>7535</v>
      </c>
      <c r="G3503" s="33" t="s">
        <v>9</v>
      </c>
      <c r="H3503" s="33" t="n">
        <v>10</v>
      </c>
    </row>
    <row r="3504" customFormat="false" ht="54" hidden="false" customHeight="true" outlineLevel="0" collapsed="false">
      <c r="A3504" s="32" t="s">
        <v>14045</v>
      </c>
      <c r="B3504" s="32" t="s">
        <v>7531</v>
      </c>
      <c r="C3504" s="33" t="s">
        <v>1805</v>
      </c>
      <c r="D3504" s="33" t="s">
        <v>56</v>
      </c>
      <c r="E3504" s="33" t="s">
        <v>84</v>
      </c>
      <c r="F3504" s="33" t="s">
        <v>7537</v>
      </c>
      <c r="G3504" s="33" t="s">
        <v>9</v>
      </c>
      <c r="H3504" s="33" t="n">
        <v>10</v>
      </c>
    </row>
    <row r="3505" customFormat="false" ht="54" hidden="false" customHeight="true" outlineLevel="0" collapsed="false">
      <c r="A3505" s="32" t="s">
        <v>14046</v>
      </c>
      <c r="B3505" s="32" t="s">
        <v>7531</v>
      </c>
      <c r="C3505" s="33" t="s">
        <v>1805</v>
      </c>
      <c r="D3505" s="33" t="s">
        <v>56</v>
      </c>
      <c r="E3505" s="33" t="s">
        <v>84</v>
      </c>
      <c r="F3505" s="33" t="s">
        <v>183</v>
      </c>
      <c r="G3505" s="33" t="s">
        <v>9</v>
      </c>
      <c r="H3505" s="33" t="n">
        <v>10</v>
      </c>
    </row>
    <row r="3506" customFormat="false" ht="54" hidden="false" customHeight="true" outlineLevel="0" collapsed="false">
      <c r="A3506" s="32" t="s">
        <v>14047</v>
      </c>
      <c r="B3506" s="32" t="s">
        <v>7531</v>
      </c>
      <c r="C3506" s="33" t="s">
        <v>1805</v>
      </c>
      <c r="D3506" s="33" t="s">
        <v>56</v>
      </c>
      <c r="E3506" s="33" t="s">
        <v>84</v>
      </c>
      <c r="F3506" s="33" t="s">
        <v>13987</v>
      </c>
      <c r="G3506" s="33" t="s">
        <v>9</v>
      </c>
      <c r="H3506" s="33" t="n">
        <v>10</v>
      </c>
    </row>
    <row r="3507" customFormat="false" ht="54" hidden="false" customHeight="true" outlineLevel="0" collapsed="false">
      <c r="A3507" s="32" t="s">
        <v>14048</v>
      </c>
      <c r="B3507" s="32" t="s">
        <v>7531</v>
      </c>
      <c r="C3507" s="33" t="s">
        <v>1805</v>
      </c>
      <c r="D3507" s="33" t="s">
        <v>56</v>
      </c>
      <c r="E3507" s="33" t="s">
        <v>84</v>
      </c>
      <c r="F3507" s="33" t="s">
        <v>14049</v>
      </c>
      <c r="G3507" s="33" t="s">
        <v>9</v>
      </c>
      <c r="H3507" s="33" t="n">
        <v>10</v>
      </c>
    </row>
    <row r="3508" customFormat="false" ht="54" hidden="false" customHeight="true" outlineLevel="0" collapsed="false">
      <c r="A3508" s="32" t="s">
        <v>14050</v>
      </c>
      <c r="B3508" s="32" t="s">
        <v>7531</v>
      </c>
      <c r="C3508" s="33" t="s">
        <v>1805</v>
      </c>
      <c r="D3508" s="33" t="s">
        <v>56</v>
      </c>
      <c r="E3508" s="33" t="s">
        <v>86</v>
      </c>
      <c r="F3508" s="33" t="s">
        <v>7543</v>
      </c>
      <c r="G3508" s="33" t="s">
        <v>9</v>
      </c>
      <c r="H3508" s="33" t="n">
        <v>10</v>
      </c>
    </row>
    <row r="3509" customFormat="false" ht="54" hidden="false" customHeight="true" outlineLevel="0" collapsed="false">
      <c r="A3509" s="32" t="s">
        <v>14051</v>
      </c>
      <c r="B3509" s="32" t="s">
        <v>7545</v>
      </c>
      <c r="C3509" s="33" t="s">
        <v>1407</v>
      </c>
      <c r="D3509" s="33" t="s">
        <v>50</v>
      </c>
      <c r="E3509" s="33" t="s">
        <v>80</v>
      </c>
      <c r="F3509" s="33" t="s">
        <v>1747</v>
      </c>
      <c r="G3509" s="33" t="s">
        <v>9</v>
      </c>
      <c r="H3509" s="33" t="n">
        <v>10</v>
      </c>
    </row>
    <row r="3510" customFormat="false" ht="54" hidden="false" customHeight="true" outlineLevel="0" collapsed="false">
      <c r="A3510" s="32" t="s">
        <v>14052</v>
      </c>
      <c r="B3510" s="32" t="s">
        <v>7545</v>
      </c>
      <c r="C3510" s="33" t="s">
        <v>1407</v>
      </c>
      <c r="D3510" s="33" t="s">
        <v>50</v>
      </c>
      <c r="E3510" s="33" t="s">
        <v>80</v>
      </c>
      <c r="F3510" s="33" t="s">
        <v>183</v>
      </c>
      <c r="G3510" s="33" t="s">
        <v>9</v>
      </c>
      <c r="H3510" s="33" t="n">
        <v>10</v>
      </c>
    </row>
    <row r="3511" customFormat="false" ht="54" hidden="false" customHeight="true" outlineLevel="0" collapsed="false">
      <c r="A3511" s="32" t="s">
        <v>14053</v>
      </c>
      <c r="B3511" s="32" t="s">
        <v>7545</v>
      </c>
      <c r="C3511" s="33" t="s">
        <v>1407</v>
      </c>
      <c r="D3511" s="33" t="s">
        <v>50</v>
      </c>
      <c r="E3511" s="33" t="s">
        <v>80</v>
      </c>
      <c r="F3511" s="33" t="s">
        <v>14054</v>
      </c>
      <c r="G3511" s="33" t="s">
        <v>9</v>
      </c>
      <c r="H3511" s="33" t="n">
        <v>10</v>
      </c>
    </row>
    <row r="3512" customFormat="false" ht="54" hidden="false" customHeight="true" outlineLevel="0" collapsed="false">
      <c r="A3512" s="32" t="s">
        <v>14055</v>
      </c>
      <c r="B3512" s="32" t="s">
        <v>7545</v>
      </c>
      <c r="C3512" s="33" t="s">
        <v>1407</v>
      </c>
      <c r="D3512" s="33" t="s">
        <v>50</v>
      </c>
      <c r="E3512" s="33" t="s">
        <v>80</v>
      </c>
      <c r="F3512" s="33" t="s">
        <v>14056</v>
      </c>
      <c r="G3512" s="33" t="s">
        <v>9</v>
      </c>
      <c r="H3512" s="33" t="n">
        <v>10</v>
      </c>
    </row>
    <row r="3513" customFormat="false" ht="54" hidden="false" customHeight="true" outlineLevel="0" collapsed="false">
      <c r="A3513" s="32" t="s">
        <v>14057</v>
      </c>
      <c r="B3513" s="32" t="s">
        <v>7545</v>
      </c>
      <c r="C3513" s="33" t="s">
        <v>1407</v>
      </c>
      <c r="D3513" s="33" t="s">
        <v>50</v>
      </c>
      <c r="E3513" s="33" t="s">
        <v>81</v>
      </c>
      <c r="F3513" s="33" t="s">
        <v>1747</v>
      </c>
      <c r="G3513" s="33" t="s">
        <v>9</v>
      </c>
      <c r="H3513" s="33" t="n">
        <v>10</v>
      </c>
    </row>
    <row r="3514" customFormat="false" ht="54" hidden="false" customHeight="true" outlineLevel="0" collapsed="false">
      <c r="A3514" s="32" t="s">
        <v>14058</v>
      </c>
      <c r="B3514" s="32" t="s">
        <v>7545</v>
      </c>
      <c r="C3514" s="33" t="s">
        <v>1407</v>
      </c>
      <c r="D3514" s="33" t="s">
        <v>50</v>
      </c>
      <c r="E3514" s="33" t="s">
        <v>82</v>
      </c>
      <c r="F3514" s="33" t="s">
        <v>7551</v>
      </c>
      <c r="G3514" s="33" t="s">
        <v>9</v>
      </c>
      <c r="H3514" s="33" t="n">
        <v>10</v>
      </c>
    </row>
    <row r="3515" customFormat="false" ht="54" hidden="false" customHeight="true" outlineLevel="0" collapsed="false">
      <c r="A3515" s="32" t="s">
        <v>14059</v>
      </c>
      <c r="B3515" s="32" t="s">
        <v>7545</v>
      </c>
      <c r="C3515" s="33" t="s">
        <v>1407</v>
      </c>
      <c r="D3515" s="33" t="s">
        <v>50</v>
      </c>
      <c r="E3515" s="33" t="s">
        <v>82</v>
      </c>
      <c r="F3515" s="33" t="s">
        <v>14060</v>
      </c>
      <c r="G3515" s="33" t="s">
        <v>9</v>
      </c>
      <c r="H3515" s="33" t="n">
        <v>10</v>
      </c>
    </row>
    <row r="3516" customFormat="false" ht="54" hidden="false" customHeight="true" outlineLevel="0" collapsed="false">
      <c r="A3516" s="32" t="s">
        <v>14061</v>
      </c>
      <c r="B3516" s="32" t="s">
        <v>7545</v>
      </c>
      <c r="C3516" s="33" t="s">
        <v>1407</v>
      </c>
      <c r="D3516" s="33" t="s">
        <v>50</v>
      </c>
      <c r="E3516" s="33" t="s">
        <v>82</v>
      </c>
      <c r="F3516" s="33" t="s">
        <v>13282</v>
      </c>
      <c r="G3516" s="33" t="s">
        <v>9</v>
      </c>
      <c r="H3516" s="33" t="n">
        <v>10</v>
      </c>
    </row>
    <row r="3517" customFormat="false" ht="54" hidden="false" customHeight="true" outlineLevel="0" collapsed="false">
      <c r="A3517" s="32" t="s">
        <v>14062</v>
      </c>
      <c r="B3517" s="32" t="s">
        <v>7545</v>
      </c>
      <c r="C3517" s="33" t="s">
        <v>1407</v>
      </c>
      <c r="D3517" s="33" t="s">
        <v>50</v>
      </c>
      <c r="E3517" s="33" t="s">
        <v>82</v>
      </c>
      <c r="F3517" s="33" t="s">
        <v>14054</v>
      </c>
      <c r="G3517" s="33" t="s">
        <v>9</v>
      </c>
      <c r="H3517" s="33" t="n">
        <v>10</v>
      </c>
    </row>
    <row r="3518" customFormat="false" ht="54" hidden="false" customHeight="true" outlineLevel="0" collapsed="false">
      <c r="A3518" s="32" t="s">
        <v>14063</v>
      </c>
      <c r="B3518" s="32" t="s">
        <v>7545</v>
      </c>
      <c r="C3518" s="33" t="s">
        <v>1407</v>
      </c>
      <c r="D3518" s="33" t="s">
        <v>50</v>
      </c>
      <c r="E3518" s="33" t="s">
        <v>82</v>
      </c>
      <c r="F3518" s="33" t="s">
        <v>14064</v>
      </c>
      <c r="G3518" s="33" t="s">
        <v>9</v>
      </c>
      <c r="H3518" s="33" t="n">
        <v>10</v>
      </c>
    </row>
    <row r="3519" customFormat="false" ht="54" hidden="false" customHeight="true" outlineLevel="0" collapsed="false">
      <c r="A3519" s="32" t="s">
        <v>14065</v>
      </c>
      <c r="B3519" s="32" t="s">
        <v>7545</v>
      </c>
      <c r="C3519" s="33" t="s">
        <v>1407</v>
      </c>
      <c r="D3519" s="33" t="s">
        <v>50</v>
      </c>
      <c r="E3519" s="33" t="s">
        <v>82</v>
      </c>
      <c r="F3519" s="33" t="s">
        <v>14066</v>
      </c>
      <c r="G3519" s="33" t="s">
        <v>9</v>
      </c>
      <c r="H3519" s="33" t="n">
        <v>10</v>
      </c>
    </row>
    <row r="3520" customFormat="false" ht="54" hidden="false" customHeight="true" outlineLevel="0" collapsed="false">
      <c r="A3520" s="32" t="s">
        <v>14067</v>
      </c>
      <c r="B3520" s="32" t="s">
        <v>7545</v>
      </c>
      <c r="C3520" s="33" t="s">
        <v>1407</v>
      </c>
      <c r="D3520" s="33" t="s">
        <v>50</v>
      </c>
      <c r="E3520" s="33" t="s">
        <v>82</v>
      </c>
      <c r="F3520" s="33" t="s">
        <v>14056</v>
      </c>
      <c r="G3520" s="33" t="s">
        <v>9</v>
      </c>
      <c r="H3520" s="33" t="n">
        <v>10</v>
      </c>
    </row>
    <row r="3521" customFormat="false" ht="54" hidden="false" customHeight="true" outlineLevel="0" collapsed="false">
      <c r="A3521" s="32" t="s">
        <v>14068</v>
      </c>
      <c r="B3521" s="32" t="s">
        <v>7545</v>
      </c>
      <c r="C3521" s="33" t="s">
        <v>1407</v>
      </c>
      <c r="D3521" s="33" t="s">
        <v>50</v>
      </c>
      <c r="E3521" s="33" t="s">
        <v>84</v>
      </c>
      <c r="F3521" s="33" t="s">
        <v>183</v>
      </c>
      <c r="G3521" s="33" t="s">
        <v>9</v>
      </c>
      <c r="H3521" s="33" t="n">
        <v>10</v>
      </c>
    </row>
    <row r="3522" customFormat="false" ht="54" hidden="false" customHeight="true" outlineLevel="0" collapsed="false">
      <c r="A3522" s="32" t="s">
        <v>14069</v>
      </c>
      <c r="B3522" s="32" t="s">
        <v>7545</v>
      </c>
      <c r="C3522" s="33" t="s">
        <v>1407</v>
      </c>
      <c r="D3522" s="33" t="s">
        <v>50</v>
      </c>
      <c r="E3522" s="33" t="s">
        <v>84</v>
      </c>
      <c r="F3522" s="33" t="s">
        <v>14054</v>
      </c>
      <c r="G3522" s="33" t="s">
        <v>9</v>
      </c>
      <c r="H3522" s="33" t="n">
        <v>10</v>
      </c>
    </row>
    <row r="3523" customFormat="false" ht="54" hidden="false" customHeight="true" outlineLevel="0" collapsed="false">
      <c r="A3523" s="32" t="s">
        <v>14070</v>
      </c>
      <c r="B3523" s="32" t="s">
        <v>7545</v>
      </c>
      <c r="C3523" s="33" t="s">
        <v>1407</v>
      </c>
      <c r="D3523" s="33" t="s">
        <v>50</v>
      </c>
      <c r="E3523" s="33" t="s">
        <v>84</v>
      </c>
      <c r="F3523" s="33" t="s">
        <v>14064</v>
      </c>
      <c r="G3523" s="33" t="s">
        <v>9</v>
      </c>
      <c r="H3523" s="33" t="n">
        <v>10</v>
      </c>
    </row>
    <row r="3524" customFormat="false" ht="54" hidden="false" customHeight="true" outlineLevel="0" collapsed="false">
      <c r="A3524" s="32" t="s">
        <v>14071</v>
      </c>
      <c r="B3524" s="32" t="s">
        <v>7545</v>
      </c>
      <c r="C3524" s="33" t="s">
        <v>1407</v>
      </c>
      <c r="D3524" s="33" t="s">
        <v>50</v>
      </c>
      <c r="E3524" s="33" t="s">
        <v>84</v>
      </c>
      <c r="F3524" s="33" t="s">
        <v>14072</v>
      </c>
      <c r="G3524" s="33" t="s">
        <v>9</v>
      </c>
      <c r="H3524" s="33" t="n">
        <v>10</v>
      </c>
    </row>
    <row r="3525" customFormat="false" ht="54" hidden="false" customHeight="true" outlineLevel="0" collapsed="false">
      <c r="A3525" s="32" t="s">
        <v>14073</v>
      </c>
      <c r="B3525" s="32" t="s">
        <v>7545</v>
      </c>
      <c r="C3525" s="33" t="s">
        <v>1407</v>
      </c>
      <c r="D3525" s="33" t="s">
        <v>50</v>
      </c>
      <c r="E3525" s="33" t="s">
        <v>84</v>
      </c>
      <c r="F3525" s="33" t="s">
        <v>14056</v>
      </c>
      <c r="G3525" s="33" t="s">
        <v>9</v>
      </c>
      <c r="H3525" s="33" t="n">
        <v>10</v>
      </c>
    </row>
    <row r="3526" customFormat="false" ht="54" hidden="false" customHeight="true" outlineLevel="0" collapsed="false">
      <c r="A3526" s="32" t="s">
        <v>14074</v>
      </c>
      <c r="B3526" s="32" t="s">
        <v>7560</v>
      </c>
      <c r="C3526" s="33" t="s">
        <v>1407</v>
      </c>
      <c r="D3526" s="33" t="s">
        <v>50</v>
      </c>
      <c r="E3526" s="33" t="s">
        <v>80</v>
      </c>
      <c r="F3526" s="33" t="s">
        <v>183</v>
      </c>
      <c r="G3526" s="33" t="s">
        <v>9</v>
      </c>
      <c r="H3526" s="33" t="n">
        <v>10</v>
      </c>
    </row>
    <row r="3527" customFormat="false" ht="54" hidden="false" customHeight="true" outlineLevel="0" collapsed="false">
      <c r="A3527" s="32" t="s">
        <v>14075</v>
      </c>
      <c r="B3527" s="32" t="s">
        <v>7560</v>
      </c>
      <c r="C3527" s="33" t="s">
        <v>1407</v>
      </c>
      <c r="D3527" s="33" t="s">
        <v>50</v>
      </c>
      <c r="E3527" s="33" t="s">
        <v>80</v>
      </c>
      <c r="F3527" s="33" t="s">
        <v>14076</v>
      </c>
      <c r="G3527" s="33" t="s">
        <v>9</v>
      </c>
      <c r="H3527" s="33" t="n">
        <v>10</v>
      </c>
    </row>
    <row r="3528" customFormat="false" ht="54" hidden="false" customHeight="true" outlineLevel="0" collapsed="false">
      <c r="A3528" s="32" t="s">
        <v>14077</v>
      </c>
      <c r="B3528" s="32" t="s">
        <v>7560</v>
      </c>
      <c r="C3528" s="33" t="s">
        <v>1407</v>
      </c>
      <c r="D3528" s="33" t="s">
        <v>50</v>
      </c>
      <c r="E3528" s="33" t="s">
        <v>81</v>
      </c>
      <c r="F3528" s="33" t="s">
        <v>14076</v>
      </c>
      <c r="G3528" s="33" t="s">
        <v>9</v>
      </c>
      <c r="H3528" s="33" t="n">
        <v>10</v>
      </c>
    </row>
    <row r="3529" customFormat="false" ht="54" hidden="false" customHeight="true" outlineLevel="0" collapsed="false">
      <c r="A3529" s="32" t="s">
        <v>14078</v>
      </c>
      <c r="B3529" s="32" t="s">
        <v>7560</v>
      </c>
      <c r="C3529" s="33" t="s">
        <v>1407</v>
      </c>
      <c r="D3529" s="33" t="s">
        <v>50</v>
      </c>
      <c r="E3529" s="33" t="s">
        <v>81</v>
      </c>
      <c r="F3529" s="33" t="s">
        <v>14079</v>
      </c>
      <c r="G3529" s="33" t="s">
        <v>9</v>
      </c>
      <c r="H3529" s="33" t="n">
        <v>10</v>
      </c>
    </row>
    <row r="3530" customFormat="false" ht="54" hidden="false" customHeight="true" outlineLevel="0" collapsed="false">
      <c r="A3530" s="32" t="s">
        <v>14080</v>
      </c>
      <c r="B3530" s="32" t="s">
        <v>7560</v>
      </c>
      <c r="C3530" s="33" t="s">
        <v>1407</v>
      </c>
      <c r="D3530" s="33" t="s">
        <v>50</v>
      </c>
      <c r="E3530" s="33" t="s">
        <v>82</v>
      </c>
      <c r="F3530" s="33" t="s">
        <v>7565</v>
      </c>
      <c r="G3530" s="33" t="s">
        <v>9</v>
      </c>
      <c r="H3530" s="33" t="n">
        <v>10</v>
      </c>
    </row>
    <row r="3531" customFormat="false" ht="54" hidden="false" customHeight="true" outlineLevel="0" collapsed="false">
      <c r="A3531" s="32" t="s">
        <v>14081</v>
      </c>
      <c r="B3531" s="32" t="s">
        <v>7560</v>
      </c>
      <c r="C3531" s="33" t="s">
        <v>1407</v>
      </c>
      <c r="D3531" s="33" t="s">
        <v>50</v>
      </c>
      <c r="E3531" s="33" t="s">
        <v>82</v>
      </c>
      <c r="F3531" s="33" t="s">
        <v>14082</v>
      </c>
      <c r="G3531" s="33" t="s">
        <v>9</v>
      </c>
      <c r="H3531" s="33" t="n">
        <v>10</v>
      </c>
    </row>
    <row r="3532" customFormat="false" ht="54" hidden="false" customHeight="true" outlineLevel="0" collapsed="false">
      <c r="A3532" s="32" t="s">
        <v>14083</v>
      </c>
      <c r="B3532" s="32" t="s">
        <v>7560</v>
      </c>
      <c r="C3532" s="33" t="s">
        <v>1407</v>
      </c>
      <c r="D3532" s="33" t="s">
        <v>50</v>
      </c>
      <c r="E3532" s="33" t="s">
        <v>82</v>
      </c>
      <c r="F3532" s="33" t="s">
        <v>14084</v>
      </c>
      <c r="G3532" s="33" t="s">
        <v>9</v>
      </c>
      <c r="H3532" s="33" t="n">
        <v>10</v>
      </c>
    </row>
    <row r="3533" customFormat="false" ht="54" hidden="false" customHeight="true" outlineLevel="0" collapsed="false">
      <c r="A3533" s="32" t="s">
        <v>14085</v>
      </c>
      <c r="B3533" s="32" t="s">
        <v>7560</v>
      </c>
      <c r="C3533" s="33" t="s">
        <v>1407</v>
      </c>
      <c r="D3533" s="33" t="s">
        <v>50</v>
      </c>
      <c r="E3533" s="33" t="s">
        <v>84</v>
      </c>
      <c r="F3533" s="33" t="s">
        <v>183</v>
      </c>
      <c r="G3533" s="33" t="s">
        <v>9</v>
      </c>
      <c r="H3533" s="33" t="n">
        <v>10</v>
      </c>
    </row>
    <row r="3534" customFormat="false" ht="54" hidden="false" customHeight="true" outlineLevel="0" collapsed="false">
      <c r="A3534" s="32" t="s">
        <v>14086</v>
      </c>
      <c r="B3534" s="32" t="s">
        <v>7574</v>
      </c>
      <c r="C3534" s="33" t="s">
        <v>1407</v>
      </c>
      <c r="D3534" s="33" t="s">
        <v>50</v>
      </c>
      <c r="E3534" s="33" t="s">
        <v>80</v>
      </c>
      <c r="F3534" s="33" t="s">
        <v>7578</v>
      </c>
      <c r="G3534" s="33" t="s">
        <v>9</v>
      </c>
      <c r="H3534" s="33" t="n">
        <v>10</v>
      </c>
    </row>
    <row r="3535" customFormat="false" ht="54" hidden="false" customHeight="true" outlineLevel="0" collapsed="false">
      <c r="A3535" s="32" t="s">
        <v>14087</v>
      </c>
      <c r="B3535" s="32" t="s">
        <v>7574</v>
      </c>
      <c r="C3535" s="33" t="s">
        <v>1407</v>
      </c>
      <c r="D3535" s="33" t="s">
        <v>50</v>
      </c>
      <c r="E3535" s="33" t="s">
        <v>80</v>
      </c>
      <c r="F3535" s="33" t="s">
        <v>183</v>
      </c>
      <c r="G3535" s="33" t="s">
        <v>9</v>
      </c>
      <c r="H3535" s="33" t="n">
        <v>10</v>
      </c>
    </row>
    <row r="3536" customFormat="false" ht="54" hidden="false" customHeight="true" outlineLevel="0" collapsed="false">
      <c r="A3536" s="32" t="s">
        <v>14088</v>
      </c>
      <c r="B3536" s="32" t="s">
        <v>7574</v>
      </c>
      <c r="C3536" s="33" t="s">
        <v>1407</v>
      </c>
      <c r="D3536" s="33" t="s">
        <v>50</v>
      </c>
      <c r="E3536" s="33" t="s">
        <v>80</v>
      </c>
      <c r="F3536" s="33" t="s">
        <v>14089</v>
      </c>
      <c r="G3536" s="33" t="s">
        <v>9</v>
      </c>
      <c r="H3536" s="33" t="n">
        <v>10</v>
      </c>
    </row>
    <row r="3537" customFormat="false" ht="54" hidden="false" customHeight="true" outlineLevel="0" collapsed="false">
      <c r="A3537" s="32" t="s">
        <v>14090</v>
      </c>
      <c r="B3537" s="32" t="s">
        <v>7574</v>
      </c>
      <c r="C3537" s="33" t="s">
        <v>1407</v>
      </c>
      <c r="D3537" s="33" t="s">
        <v>50</v>
      </c>
      <c r="E3537" s="33" t="s">
        <v>80</v>
      </c>
      <c r="F3537" s="33" t="s">
        <v>14091</v>
      </c>
      <c r="G3537" s="33" t="s">
        <v>9</v>
      </c>
      <c r="H3537" s="33" t="n">
        <v>10</v>
      </c>
    </row>
    <row r="3538" customFormat="false" ht="54" hidden="false" customHeight="true" outlineLevel="0" collapsed="false">
      <c r="A3538" s="32" t="s">
        <v>14092</v>
      </c>
      <c r="B3538" s="32" t="s">
        <v>7574</v>
      </c>
      <c r="C3538" s="33" t="s">
        <v>1407</v>
      </c>
      <c r="D3538" s="33" t="s">
        <v>50</v>
      </c>
      <c r="E3538" s="33" t="s">
        <v>80</v>
      </c>
      <c r="F3538" s="33" t="s">
        <v>14093</v>
      </c>
      <c r="G3538" s="33" t="s">
        <v>9</v>
      </c>
      <c r="H3538" s="33" t="n">
        <v>10</v>
      </c>
    </row>
    <row r="3539" customFormat="false" ht="54" hidden="false" customHeight="true" outlineLevel="0" collapsed="false">
      <c r="A3539" s="32" t="s">
        <v>14094</v>
      </c>
      <c r="B3539" s="32" t="s">
        <v>7574</v>
      </c>
      <c r="C3539" s="33" t="s">
        <v>1407</v>
      </c>
      <c r="D3539" s="33" t="s">
        <v>50</v>
      </c>
      <c r="E3539" s="33" t="s">
        <v>81</v>
      </c>
      <c r="F3539" s="33" t="s">
        <v>7578</v>
      </c>
      <c r="G3539" s="33" t="s">
        <v>9</v>
      </c>
      <c r="H3539" s="33" t="n">
        <v>10</v>
      </c>
    </row>
    <row r="3540" customFormat="false" ht="54" hidden="false" customHeight="true" outlineLevel="0" collapsed="false">
      <c r="A3540" s="32" t="s">
        <v>14095</v>
      </c>
      <c r="B3540" s="32" t="s">
        <v>7574</v>
      </c>
      <c r="C3540" s="33" t="s">
        <v>1407</v>
      </c>
      <c r="D3540" s="33" t="s">
        <v>50</v>
      </c>
      <c r="E3540" s="33" t="s">
        <v>81</v>
      </c>
      <c r="F3540" s="33" t="s">
        <v>7579</v>
      </c>
      <c r="G3540" s="33" t="s">
        <v>9</v>
      </c>
      <c r="H3540" s="33" t="n">
        <v>10</v>
      </c>
    </row>
    <row r="3541" customFormat="false" ht="54" hidden="false" customHeight="true" outlineLevel="0" collapsed="false">
      <c r="A3541" s="32" t="s">
        <v>14096</v>
      </c>
      <c r="B3541" s="32" t="s">
        <v>7574</v>
      </c>
      <c r="C3541" s="33" t="s">
        <v>1407</v>
      </c>
      <c r="D3541" s="33" t="s">
        <v>50</v>
      </c>
      <c r="E3541" s="33" t="s">
        <v>82</v>
      </c>
      <c r="F3541" s="33" t="s">
        <v>7580</v>
      </c>
      <c r="G3541" s="33" t="s">
        <v>9</v>
      </c>
      <c r="H3541" s="33" t="n">
        <v>10</v>
      </c>
    </row>
    <row r="3542" customFormat="false" ht="54" hidden="false" customHeight="true" outlineLevel="0" collapsed="false">
      <c r="A3542" s="32" t="s">
        <v>14097</v>
      </c>
      <c r="B3542" s="32" t="s">
        <v>7574</v>
      </c>
      <c r="C3542" s="33" t="s">
        <v>1407</v>
      </c>
      <c r="D3542" s="33" t="s">
        <v>50</v>
      </c>
      <c r="E3542" s="33" t="s">
        <v>82</v>
      </c>
      <c r="F3542" s="33" t="s">
        <v>14089</v>
      </c>
      <c r="G3542" s="33" t="s">
        <v>9</v>
      </c>
      <c r="H3542" s="33" t="n">
        <v>10</v>
      </c>
    </row>
    <row r="3543" customFormat="false" ht="54" hidden="false" customHeight="true" outlineLevel="0" collapsed="false">
      <c r="A3543" s="32" t="s">
        <v>14098</v>
      </c>
      <c r="B3543" s="32" t="s">
        <v>7574</v>
      </c>
      <c r="C3543" s="33" t="s">
        <v>1407</v>
      </c>
      <c r="D3543" s="33" t="s">
        <v>50</v>
      </c>
      <c r="E3543" s="33" t="s">
        <v>82</v>
      </c>
      <c r="F3543" s="33" t="s">
        <v>14091</v>
      </c>
      <c r="G3543" s="33" t="s">
        <v>9</v>
      </c>
      <c r="H3543" s="33" t="n">
        <v>10</v>
      </c>
    </row>
    <row r="3544" customFormat="false" ht="54" hidden="false" customHeight="true" outlineLevel="0" collapsed="false">
      <c r="A3544" s="32" t="s">
        <v>14099</v>
      </c>
      <c r="B3544" s="32" t="s">
        <v>7574</v>
      </c>
      <c r="C3544" s="33" t="s">
        <v>1407</v>
      </c>
      <c r="D3544" s="33" t="s">
        <v>50</v>
      </c>
      <c r="E3544" s="33" t="s">
        <v>84</v>
      </c>
      <c r="F3544" s="33" t="s">
        <v>183</v>
      </c>
      <c r="G3544" s="33" t="s">
        <v>9</v>
      </c>
      <c r="H3544" s="33" t="n">
        <v>10</v>
      </c>
    </row>
    <row r="3545" customFormat="false" ht="54" hidden="false" customHeight="true" outlineLevel="0" collapsed="false">
      <c r="A3545" s="32" t="s">
        <v>14100</v>
      </c>
      <c r="B3545" s="32" t="s">
        <v>7574</v>
      </c>
      <c r="C3545" s="33" t="s">
        <v>1407</v>
      </c>
      <c r="D3545" s="33" t="s">
        <v>50</v>
      </c>
      <c r="E3545" s="33" t="s">
        <v>84</v>
      </c>
      <c r="F3545" s="33" t="s">
        <v>14089</v>
      </c>
      <c r="G3545" s="33" t="s">
        <v>9</v>
      </c>
      <c r="H3545" s="33" t="n">
        <v>10</v>
      </c>
    </row>
    <row r="3546" customFormat="false" ht="54" hidden="false" customHeight="true" outlineLevel="0" collapsed="false">
      <c r="A3546" s="32" t="s">
        <v>14101</v>
      </c>
      <c r="B3546" s="32" t="s">
        <v>7574</v>
      </c>
      <c r="C3546" s="33" t="s">
        <v>1407</v>
      </c>
      <c r="D3546" s="33" t="s">
        <v>50</v>
      </c>
      <c r="E3546" s="33" t="s">
        <v>84</v>
      </c>
      <c r="F3546" s="33" t="s">
        <v>14091</v>
      </c>
      <c r="G3546" s="33" t="s">
        <v>9</v>
      </c>
      <c r="H3546" s="33" t="n">
        <v>10</v>
      </c>
    </row>
    <row r="3547" customFormat="false" ht="54" hidden="false" customHeight="true" outlineLevel="0" collapsed="false">
      <c r="A3547" s="32" t="s">
        <v>14102</v>
      </c>
      <c r="B3547" s="32" t="s">
        <v>7574</v>
      </c>
      <c r="C3547" s="33" t="s">
        <v>1407</v>
      </c>
      <c r="D3547" s="33" t="s">
        <v>50</v>
      </c>
      <c r="E3547" s="33" t="s">
        <v>84</v>
      </c>
      <c r="F3547" s="33" t="s">
        <v>14093</v>
      </c>
      <c r="G3547" s="33" t="s">
        <v>9</v>
      </c>
      <c r="H3547" s="33" t="n">
        <v>10</v>
      </c>
    </row>
    <row r="3548" customFormat="false" ht="54" hidden="false" customHeight="true" outlineLevel="0" collapsed="false">
      <c r="A3548" s="32" t="s">
        <v>14103</v>
      </c>
      <c r="B3548" s="32" t="s">
        <v>7574</v>
      </c>
      <c r="C3548" s="33" t="s">
        <v>1407</v>
      </c>
      <c r="D3548" s="33" t="s">
        <v>50</v>
      </c>
      <c r="E3548" s="33" t="s">
        <v>84</v>
      </c>
      <c r="F3548" s="33" t="s">
        <v>14104</v>
      </c>
      <c r="G3548" s="33" t="s">
        <v>9</v>
      </c>
      <c r="H3548" s="33" t="n">
        <v>10</v>
      </c>
    </row>
    <row r="3549" customFormat="false" ht="54" hidden="false" customHeight="true" outlineLevel="0" collapsed="false">
      <c r="A3549" s="32" t="s">
        <v>14105</v>
      </c>
      <c r="B3549" s="32" t="s">
        <v>7590</v>
      </c>
      <c r="C3549" s="33" t="s">
        <v>1407</v>
      </c>
      <c r="D3549" s="33" t="s">
        <v>50</v>
      </c>
      <c r="E3549" s="33" t="s">
        <v>80</v>
      </c>
      <c r="F3549" s="33" t="s">
        <v>6522</v>
      </c>
      <c r="G3549" s="33" t="s">
        <v>9</v>
      </c>
      <c r="H3549" s="33" t="n">
        <v>10</v>
      </c>
    </row>
    <row r="3550" customFormat="false" ht="54" hidden="false" customHeight="true" outlineLevel="0" collapsed="false">
      <c r="A3550" s="32" t="s">
        <v>14106</v>
      </c>
      <c r="B3550" s="32" t="s">
        <v>7590</v>
      </c>
      <c r="C3550" s="33" t="s">
        <v>1407</v>
      </c>
      <c r="D3550" s="33" t="s">
        <v>50</v>
      </c>
      <c r="E3550" s="33" t="s">
        <v>80</v>
      </c>
      <c r="F3550" s="33" t="s">
        <v>183</v>
      </c>
      <c r="G3550" s="33" t="s">
        <v>9</v>
      </c>
      <c r="H3550" s="33" t="n">
        <v>10</v>
      </c>
    </row>
    <row r="3551" customFormat="false" ht="54" hidden="false" customHeight="true" outlineLevel="0" collapsed="false">
      <c r="A3551" s="32" t="s">
        <v>14107</v>
      </c>
      <c r="B3551" s="32" t="s">
        <v>7590</v>
      </c>
      <c r="C3551" s="33" t="s">
        <v>1407</v>
      </c>
      <c r="D3551" s="33" t="s">
        <v>50</v>
      </c>
      <c r="E3551" s="33" t="s">
        <v>80</v>
      </c>
      <c r="F3551" s="33" t="s">
        <v>14108</v>
      </c>
      <c r="G3551" s="33" t="s">
        <v>9</v>
      </c>
      <c r="H3551" s="33" t="n">
        <v>10</v>
      </c>
    </row>
    <row r="3552" customFormat="false" ht="54" hidden="false" customHeight="true" outlineLevel="0" collapsed="false">
      <c r="A3552" s="32" t="s">
        <v>14109</v>
      </c>
      <c r="B3552" s="32" t="s">
        <v>7590</v>
      </c>
      <c r="C3552" s="33" t="s">
        <v>1407</v>
      </c>
      <c r="D3552" s="33" t="s">
        <v>50</v>
      </c>
      <c r="E3552" s="33" t="s">
        <v>81</v>
      </c>
      <c r="F3552" s="33" t="s">
        <v>6522</v>
      </c>
      <c r="G3552" s="33" t="s">
        <v>9</v>
      </c>
      <c r="H3552" s="33" t="n">
        <v>10</v>
      </c>
    </row>
    <row r="3553" customFormat="false" ht="54" hidden="false" customHeight="true" outlineLevel="0" collapsed="false">
      <c r="A3553" s="32" t="s">
        <v>14110</v>
      </c>
      <c r="B3553" s="32" t="s">
        <v>7590</v>
      </c>
      <c r="C3553" s="33" t="s">
        <v>1407</v>
      </c>
      <c r="D3553" s="33" t="s">
        <v>50</v>
      </c>
      <c r="E3553" s="33" t="s">
        <v>81</v>
      </c>
      <c r="F3553" s="33" t="s">
        <v>14108</v>
      </c>
      <c r="G3553" s="33" t="s">
        <v>9</v>
      </c>
      <c r="H3553" s="33" t="n">
        <v>10</v>
      </c>
    </row>
    <row r="3554" customFormat="false" ht="54" hidden="false" customHeight="true" outlineLevel="0" collapsed="false">
      <c r="A3554" s="32" t="s">
        <v>14111</v>
      </c>
      <c r="B3554" s="32" t="s">
        <v>7590</v>
      </c>
      <c r="C3554" s="33" t="s">
        <v>1407</v>
      </c>
      <c r="D3554" s="33" t="s">
        <v>50</v>
      </c>
      <c r="E3554" s="33" t="s">
        <v>81</v>
      </c>
      <c r="F3554" s="33" t="s">
        <v>14112</v>
      </c>
      <c r="G3554" s="33" t="s">
        <v>9</v>
      </c>
      <c r="H3554" s="33" t="n">
        <v>10</v>
      </c>
    </row>
    <row r="3555" customFormat="false" ht="54" hidden="false" customHeight="true" outlineLevel="0" collapsed="false">
      <c r="A3555" s="32" t="s">
        <v>14113</v>
      </c>
      <c r="B3555" s="32" t="s">
        <v>7590</v>
      </c>
      <c r="C3555" s="33" t="s">
        <v>1407</v>
      </c>
      <c r="D3555" s="33" t="s">
        <v>50</v>
      </c>
      <c r="E3555" s="33" t="s">
        <v>82</v>
      </c>
      <c r="F3555" s="33" t="s">
        <v>7595</v>
      </c>
      <c r="G3555" s="33" t="s">
        <v>9</v>
      </c>
      <c r="H3555" s="33" t="n">
        <v>10</v>
      </c>
    </row>
    <row r="3556" customFormat="false" ht="54" hidden="false" customHeight="true" outlineLevel="0" collapsed="false">
      <c r="A3556" s="32" t="s">
        <v>14114</v>
      </c>
      <c r="B3556" s="32" t="s">
        <v>7590</v>
      </c>
      <c r="C3556" s="33" t="s">
        <v>1407</v>
      </c>
      <c r="D3556" s="33" t="s">
        <v>50</v>
      </c>
      <c r="E3556" s="33" t="s">
        <v>82</v>
      </c>
      <c r="F3556" s="33" t="s">
        <v>14108</v>
      </c>
      <c r="G3556" s="33" t="s">
        <v>9</v>
      </c>
      <c r="H3556" s="33" t="n">
        <v>10</v>
      </c>
    </row>
    <row r="3557" customFormat="false" ht="54" hidden="false" customHeight="true" outlineLevel="0" collapsed="false">
      <c r="A3557" s="32" t="s">
        <v>14115</v>
      </c>
      <c r="B3557" s="32" t="s">
        <v>7590</v>
      </c>
      <c r="C3557" s="33" t="s">
        <v>1407</v>
      </c>
      <c r="D3557" s="33" t="s">
        <v>50</v>
      </c>
      <c r="E3557" s="33" t="s">
        <v>82</v>
      </c>
      <c r="F3557" s="33" t="s">
        <v>14116</v>
      </c>
      <c r="G3557" s="33" t="s">
        <v>9</v>
      </c>
      <c r="H3557" s="33" t="n">
        <v>10</v>
      </c>
    </row>
    <row r="3558" customFormat="false" ht="54" hidden="false" customHeight="true" outlineLevel="0" collapsed="false">
      <c r="A3558" s="32" t="s">
        <v>14117</v>
      </c>
      <c r="B3558" s="32" t="s">
        <v>7590</v>
      </c>
      <c r="C3558" s="33" t="s">
        <v>1407</v>
      </c>
      <c r="D3558" s="33" t="s">
        <v>50</v>
      </c>
      <c r="E3558" s="33" t="s">
        <v>84</v>
      </c>
      <c r="F3558" s="33" t="s">
        <v>183</v>
      </c>
      <c r="G3558" s="33" t="s">
        <v>9</v>
      </c>
      <c r="H3558" s="33" t="n">
        <v>10</v>
      </c>
    </row>
    <row r="3559" customFormat="false" ht="54" hidden="false" customHeight="true" outlineLevel="0" collapsed="false">
      <c r="A3559" s="32" t="s">
        <v>14118</v>
      </c>
      <c r="B3559" s="32" t="s">
        <v>7590</v>
      </c>
      <c r="C3559" s="33" t="s">
        <v>1407</v>
      </c>
      <c r="D3559" s="33" t="s">
        <v>50</v>
      </c>
      <c r="E3559" s="33" t="s">
        <v>84</v>
      </c>
      <c r="F3559" s="33" t="s">
        <v>14108</v>
      </c>
      <c r="G3559" s="33" t="s">
        <v>9</v>
      </c>
      <c r="H3559" s="33" t="n">
        <v>10</v>
      </c>
    </row>
    <row r="3560" customFormat="false" ht="54" hidden="false" customHeight="true" outlineLevel="0" collapsed="false">
      <c r="A3560" s="32" t="s">
        <v>14119</v>
      </c>
      <c r="B3560" s="32" t="s">
        <v>7605</v>
      </c>
      <c r="C3560" s="33" t="s">
        <v>98</v>
      </c>
      <c r="D3560" s="33" t="s">
        <v>59</v>
      </c>
      <c r="E3560" s="33" t="s">
        <v>80</v>
      </c>
      <c r="F3560" s="33" t="s">
        <v>7609</v>
      </c>
      <c r="G3560" s="33" t="s">
        <v>9</v>
      </c>
      <c r="H3560" s="33" t="n">
        <v>10</v>
      </c>
    </row>
    <row r="3561" customFormat="false" ht="54" hidden="false" customHeight="true" outlineLevel="0" collapsed="false">
      <c r="A3561" s="32" t="s">
        <v>14120</v>
      </c>
      <c r="B3561" s="32" t="s">
        <v>7605</v>
      </c>
      <c r="C3561" s="33" t="s">
        <v>98</v>
      </c>
      <c r="D3561" s="33" t="s">
        <v>59</v>
      </c>
      <c r="E3561" s="33" t="s">
        <v>80</v>
      </c>
      <c r="F3561" s="33" t="s">
        <v>183</v>
      </c>
      <c r="G3561" s="33" t="s">
        <v>9</v>
      </c>
      <c r="H3561" s="33" t="n">
        <v>10</v>
      </c>
    </row>
    <row r="3562" customFormat="false" ht="54" hidden="false" customHeight="true" outlineLevel="0" collapsed="false">
      <c r="A3562" s="32" t="s">
        <v>14121</v>
      </c>
      <c r="B3562" s="32" t="s">
        <v>7605</v>
      </c>
      <c r="C3562" s="33" t="s">
        <v>98</v>
      </c>
      <c r="D3562" s="33" t="s">
        <v>59</v>
      </c>
      <c r="E3562" s="33" t="s">
        <v>80</v>
      </c>
      <c r="F3562" s="33" t="s">
        <v>14122</v>
      </c>
      <c r="G3562" s="33" t="s">
        <v>9</v>
      </c>
      <c r="H3562" s="33" t="n">
        <v>10</v>
      </c>
    </row>
    <row r="3563" customFormat="false" ht="54" hidden="false" customHeight="true" outlineLevel="0" collapsed="false">
      <c r="A3563" s="32" t="s">
        <v>14123</v>
      </c>
      <c r="B3563" s="32" t="s">
        <v>7605</v>
      </c>
      <c r="C3563" s="33" t="s">
        <v>98</v>
      </c>
      <c r="D3563" s="33" t="s">
        <v>59</v>
      </c>
      <c r="E3563" s="33" t="s">
        <v>81</v>
      </c>
      <c r="F3563" s="33" t="s">
        <v>7609</v>
      </c>
      <c r="G3563" s="33" t="s">
        <v>9</v>
      </c>
      <c r="H3563" s="33" t="n">
        <v>10</v>
      </c>
    </row>
    <row r="3564" customFormat="false" ht="54" hidden="false" customHeight="true" outlineLevel="0" collapsed="false">
      <c r="A3564" s="32" t="s">
        <v>14124</v>
      </c>
      <c r="B3564" s="32" t="s">
        <v>7605</v>
      </c>
      <c r="C3564" s="33" t="s">
        <v>98</v>
      </c>
      <c r="D3564" s="33" t="s">
        <v>59</v>
      </c>
      <c r="E3564" s="33" t="s">
        <v>81</v>
      </c>
      <c r="F3564" s="33" t="s">
        <v>14112</v>
      </c>
      <c r="G3564" s="33" t="s">
        <v>9</v>
      </c>
      <c r="H3564" s="33" t="n">
        <v>10</v>
      </c>
    </row>
    <row r="3565" customFormat="false" ht="54" hidden="false" customHeight="true" outlineLevel="0" collapsed="false">
      <c r="A3565" s="32" t="s">
        <v>14125</v>
      </c>
      <c r="B3565" s="32" t="s">
        <v>7605</v>
      </c>
      <c r="C3565" s="33" t="s">
        <v>98</v>
      </c>
      <c r="D3565" s="33" t="s">
        <v>59</v>
      </c>
      <c r="E3565" s="33" t="s">
        <v>82</v>
      </c>
      <c r="F3565" s="33" t="s">
        <v>14126</v>
      </c>
      <c r="G3565" s="33" t="s">
        <v>9</v>
      </c>
      <c r="H3565" s="33" t="n">
        <v>10</v>
      </c>
    </row>
    <row r="3566" customFormat="false" ht="54" hidden="false" customHeight="true" outlineLevel="0" collapsed="false">
      <c r="A3566" s="32" t="s">
        <v>14127</v>
      </c>
      <c r="B3566" s="32" t="s">
        <v>7605</v>
      </c>
      <c r="C3566" s="33" t="s">
        <v>98</v>
      </c>
      <c r="D3566" s="33" t="s">
        <v>59</v>
      </c>
      <c r="E3566" s="33" t="s">
        <v>82</v>
      </c>
      <c r="F3566" s="33" t="s">
        <v>14128</v>
      </c>
      <c r="G3566" s="33" t="s">
        <v>9</v>
      </c>
      <c r="H3566" s="33" t="n">
        <v>10</v>
      </c>
    </row>
    <row r="3567" customFormat="false" ht="54" hidden="false" customHeight="true" outlineLevel="0" collapsed="false">
      <c r="A3567" s="32" t="s">
        <v>14129</v>
      </c>
      <c r="B3567" s="32" t="s">
        <v>7605</v>
      </c>
      <c r="C3567" s="33" t="s">
        <v>98</v>
      </c>
      <c r="D3567" s="33" t="s">
        <v>59</v>
      </c>
      <c r="E3567" s="33" t="s">
        <v>82</v>
      </c>
      <c r="F3567" s="33" t="s">
        <v>14122</v>
      </c>
      <c r="G3567" s="33" t="s">
        <v>9</v>
      </c>
      <c r="H3567" s="33" t="n">
        <v>10</v>
      </c>
    </row>
    <row r="3568" customFormat="false" ht="54" hidden="false" customHeight="true" outlineLevel="0" collapsed="false">
      <c r="A3568" s="32" t="s">
        <v>14130</v>
      </c>
      <c r="B3568" s="32" t="s">
        <v>7605</v>
      </c>
      <c r="C3568" s="33" t="s">
        <v>98</v>
      </c>
      <c r="D3568" s="33" t="s">
        <v>59</v>
      </c>
      <c r="E3568" s="33" t="s">
        <v>82</v>
      </c>
      <c r="F3568" s="33" t="s">
        <v>14116</v>
      </c>
      <c r="G3568" s="33" t="s">
        <v>9</v>
      </c>
      <c r="H3568" s="33" t="n">
        <v>10</v>
      </c>
    </row>
    <row r="3569" customFormat="false" ht="54" hidden="false" customHeight="true" outlineLevel="0" collapsed="false">
      <c r="A3569" s="32" t="s">
        <v>14131</v>
      </c>
      <c r="B3569" s="32" t="s">
        <v>7605</v>
      </c>
      <c r="C3569" s="33" t="s">
        <v>98</v>
      </c>
      <c r="D3569" s="33" t="s">
        <v>59</v>
      </c>
      <c r="E3569" s="33" t="s">
        <v>82</v>
      </c>
      <c r="F3569" s="33" t="s">
        <v>14132</v>
      </c>
      <c r="G3569" s="33" t="s">
        <v>9</v>
      </c>
      <c r="H3569" s="33" t="n">
        <v>10</v>
      </c>
    </row>
    <row r="3570" customFormat="false" ht="54" hidden="false" customHeight="true" outlineLevel="0" collapsed="false">
      <c r="A3570" s="32" t="s">
        <v>14133</v>
      </c>
      <c r="B3570" s="32" t="s">
        <v>7605</v>
      </c>
      <c r="C3570" s="33" t="s">
        <v>98</v>
      </c>
      <c r="D3570" s="33" t="s">
        <v>59</v>
      </c>
      <c r="E3570" s="33" t="s">
        <v>82</v>
      </c>
      <c r="F3570" s="33" t="s">
        <v>14134</v>
      </c>
      <c r="G3570" s="33" t="s">
        <v>9</v>
      </c>
      <c r="H3570" s="33" t="n">
        <v>10</v>
      </c>
    </row>
    <row r="3571" customFormat="false" ht="54" hidden="false" customHeight="true" outlineLevel="0" collapsed="false">
      <c r="A3571" s="32" t="s">
        <v>14135</v>
      </c>
      <c r="B3571" s="32" t="s">
        <v>7605</v>
      </c>
      <c r="C3571" s="33" t="s">
        <v>98</v>
      </c>
      <c r="D3571" s="33" t="s">
        <v>59</v>
      </c>
      <c r="E3571" s="33" t="s">
        <v>82</v>
      </c>
      <c r="F3571" s="33" t="s">
        <v>14136</v>
      </c>
      <c r="G3571" s="33" t="s">
        <v>9</v>
      </c>
      <c r="H3571" s="33" t="n">
        <v>10</v>
      </c>
    </row>
    <row r="3572" customFormat="false" ht="54" hidden="false" customHeight="true" outlineLevel="0" collapsed="false">
      <c r="A3572" s="32" t="s">
        <v>14137</v>
      </c>
      <c r="B3572" s="32" t="s">
        <v>7605</v>
      </c>
      <c r="C3572" s="33" t="s">
        <v>98</v>
      </c>
      <c r="D3572" s="33" t="s">
        <v>59</v>
      </c>
      <c r="E3572" s="33" t="s">
        <v>84</v>
      </c>
      <c r="F3572" s="33" t="s">
        <v>14128</v>
      </c>
      <c r="G3572" s="33" t="s">
        <v>9</v>
      </c>
      <c r="H3572" s="33" t="n">
        <v>10</v>
      </c>
    </row>
    <row r="3573" customFormat="false" ht="54" hidden="false" customHeight="true" outlineLevel="0" collapsed="false">
      <c r="A3573" s="32" t="s">
        <v>14138</v>
      </c>
      <c r="B3573" s="32" t="s">
        <v>7605</v>
      </c>
      <c r="C3573" s="33" t="s">
        <v>98</v>
      </c>
      <c r="D3573" s="33" t="s">
        <v>59</v>
      </c>
      <c r="E3573" s="33" t="s">
        <v>84</v>
      </c>
      <c r="F3573" s="33" t="s">
        <v>183</v>
      </c>
      <c r="G3573" s="33" t="s">
        <v>9</v>
      </c>
      <c r="H3573" s="33" t="n">
        <v>10</v>
      </c>
    </row>
    <row r="3574" customFormat="false" ht="54" hidden="false" customHeight="true" outlineLevel="0" collapsed="false">
      <c r="A3574" s="32" t="s">
        <v>14139</v>
      </c>
      <c r="B3574" s="32" t="s">
        <v>7605</v>
      </c>
      <c r="C3574" s="33" t="s">
        <v>98</v>
      </c>
      <c r="D3574" s="33" t="s">
        <v>59</v>
      </c>
      <c r="E3574" s="33" t="s">
        <v>84</v>
      </c>
      <c r="F3574" s="33" t="s">
        <v>14122</v>
      </c>
      <c r="G3574" s="33" t="s">
        <v>9</v>
      </c>
      <c r="H3574" s="33" t="n">
        <v>10</v>
      </c>
    </row>
    <row r="3575" customFormat="false" ht="54" hidden="false" customHeight="true" outlineLevel="0" collapsed="false">
      <c r="A3575" s="32" t="s">
        <v>14140</v>
      </c>
      <c r="B3575" s="32" t="s">
        <v>7605</v>
      </c>
      <c r="C3575" s="33" t="s">
        <v>98</v>
      </c>
      <c r="D3575" s="33" t="s">
        <v>59</v>
      </c>
      <c r="E3575" s="33" t="s">
        <v>84</v>
      </c>
      <c r="F3575" s="33" t="s">
        <v>14134</v>
      </c>
      <c r="G3575" s="33" t="s">
        <v>9</v>
      </c>
      <c r="H3575" s="33" t="n">
        <v>10</v>
      </c>
    </row>
    <row r="3576" customFormat="false" ht="54" hidden="false" customHeight="true" outlineLevel="0" collapsed="false">
      <c r="A3576" s="32" t="s">
        <v>14141</v>
      </c>
      <c r="B3576" s="32" t="s">
        <v>7620</v>
      </c>
      <c r="C3576" s="33" t="s">
        <v>1407</v>
      </c>
      <c r="D3576" s="33" t="s">
        <v>50</v>
      </c>
      <c r="E3576" s="33" t="s">
        <v>80</v>
      </c>
      <c r="F3576" s="33" t="s">
        <v>7624</v>
      </c>
      <c r="G3576" s="33" t="s">
        <v>9</v>
      </c>
      <c r="H3576" s="33" t="n">
        <v>10</v>
      </c>
    </row>
    <row r="3577" customFormat="false" ht="54" hidden="false" customHeight="true" outlineLevel="0" collapsed="false">
      <c r="A3577" s="32" t="s">
        <v>14142</v>
      </c>
      <c r="B3577" s="32" t="s">
        <v>7620</v>
      </c>
      <c r="C3577" s="33" t="s">
        <v>1407</v>
      </c>
      <c r="D3577" s="33" t="s">
        <v>50</v>
      </c>
      <c r="E3577" s="33" t="s">
        <v>80</v>
      </c>
      <c r="F3577" s="33" t="s">
        <v>7626</v>
      </c>
      <c r="G3577" s="33" t="s">
        <v>9</v>
      </c>
      <c r="H3577" s="33" t="n">
        <v>10</v>
      </c>
    </row>
    <row r="3578" customFormat="false" ht="54" hidden="false" customHeight="true" outlineLevel="0" collapsed="false">
      <c r="A3578" s="32" t="s">
        <v>14143</v>
      </c>
      <c r="B3578" s="32" t="s">
        <v>7620</v>
      </c>
      <c r="C3578" s="33" t="s">
        <v>1407</v>
      </c>
      <c r="D3578" s="33" t="s">
        <v>50</v>
      </c>
      <c r="E3578" s="33" t="s">
        <v>80</v>
      </c>
      <c r="F3578" s="33" t="s">
        <v>183</v>
      </c>
      <c r="G3578" s="33" t="s">
        <v>9</v>
      </c>
      <c r="H3578" s="33" t="n">
        <v>10</v>
      </c>
    </row>
    <row r="3579" customFormat="false" ht="54" hidden="false" customHeight="true" outlineLevel="0" collapsed="false">
      <c r="A3579" s="32" t="s">
        <v>14144</v>
      </c>
      <c r="B3579" s="32" t="s">
        <v>7620</v>
      </c>
      <c r="C3579" s="33" t="s">
        <v>1407</v>
      </c>
      <c r="D3579" s="33" t="s">
        <v>50</v>
      </c>
      <c r="E3579" s="33" t="s">
        <v>80</v>
      </c>
      <c r="F3579" s="33" t="s">
        <v>14145</v>
      </c>
      <c r="G3579" s="33" t="s">
        <v>9</v>
      </c>
      <c r="H3579" s="33" t="n">
        <v>10</v>
      </c>
    </row>
    <row r="3580" customFormat="false" ht="54" hidden="false" customHeight="true" outlineLevel="0" collapsed="false">
      <c r="A3580" s="32" t="s">
        <v>14146</v>
      </c>
      <c r="B3580" s="32" t="s">
        <v>7620</v>
      </c>
      <c r="C3580" s="33" t="s">
        <v>1407</v>
      </c>
      <c r="D3580" s="33" t="s">
        <v>50</v>
      </c>
      <c r="E3580" s="33" t="s">
        <v>80</v>
      </c>
      <c r="F3580" s="33" t="s">
        <v>14147</v>
      </c>
      <c r="G3580" s="33" t="s">
        <v>9</v>
      </c>
      <c r="H3580" s="33" t="n">
        <v>10</v>
      </c>
    </row>
    <row r="3581" customFormat="false" ht="54" hidden="false" customHeight="true" outlineLevel="0" collapsed="false">
      <c r="A3581" s="32" t="s">
        <v>14148</v>
      </c>
      <c r="B3581" s="32" t="s">
        <v>7620</v>
      </c>
      <c r="C3581" s="33" t="s">
        <v>1407</v>
      </c>
      <c r="D3581" s="33" t="s">
        <v>50</v>
      </c>
      <c r="E3581" s="33" t="s">
        <v>81</v>
      </c>
      <c r="F3581" s="33" t="s">
        <v>7624</v>
      </c>
      <c r="G3581" s="33" t="s">
        <v>9</v>
      </c>
      <c r="H3581" s="33" t="n">
        <v>10</v>
      </c>
    </row>
    <row r="3582" customFormat="false" ht="54" hidden="false" customHeight="true" outlineLevel="0" collapsed="false">
      <c r="A3582" s="32" t="s">
        <v>14149</v>
      </c>
      <c r="B3582" s="32" t="s">
        <v>7620</v>
      </c>
      <c r="C3582" s="33" t="s">
        <v>1407</v>
      </c>
      <c r="D3582" s="33" t="s">
        <v>50</v>
      </c>
      <c r="E3582" s="33" t="s">
        <v>81</v>
      </c>
      <c r="F3582" s="33" t="s">
        <v>7625</v>
      </c>
      <c r="G3582" s="33" t="s">
        <v>9</v>
      </c>
      <c r="H3582" s="33" t="n">
        <v>10</v>
      </c>
    </row>
    <row r="3583" customFormat="false" ht="54" hidden="false" customHeight="true" outlineLevel="0" collapsed="false">
      <c r="A3583" s="32" t="s">
        <v>14150</v>
      </c>
      <c r="B3583" s="32" t="s">
        <v>7620</v>
      </c>
      <c r="C3583" s="33" t="s">
        <v>1407</v>
      </c>
      <c r="D3583" s="33" t="s">
        <v>50</v>
      </c>
      <c r="E3583" s="33" t="s">
        <v>81</v>
      </c>
      <c r="F3583" s="33" t="s">
        <v>14145</v>
      </c>
      <c r="G3583" s="33" t="s">
        <v>9</v>
      </c>
      <c r="H3583" s="33" t="n">
        <v>10</v>
      </c>
    </row>
    <row r="3584" customFormat="false" ht="54" hidden="false" customHeight="true" outlineLevel="0" collapsed="false">
      <c r="A3584" s="32" t="s">
        <v>14151</v>
      </c>
      <c r="B3584" s="32" t="s">
        <v>7620</v>
      </c>
      <c r="C3584" s="33" t="s">
        <v>1407</v>
      </c>
      <c r="D3584" s="33" t="s">
        <v>50</v>
      </c>
      <c r="E3584" s="33" t="s">
        <v>81</v>
      </c>
      <c r="F3584" s="33" t="s">
        <v>14152</v>
      </c>
      <c r="G3584" s="33" t="s">
        <v>9</v>
      </c>
      <c r="H3584" s="33" t="n">
        <v>10</v>
      </c>
    </row>
    <row r="3585" customFormat="false" ht="54" hidden="false" customHeight="true" outlineLevel="0" collapsed="false">
      <c r="A3585" s="32" t="s">
        <v>14153</v>
      </c>
      <c r="B3585" s="32" t="s">
        <v>7620</v>
      </c>
      <c r="C3585" s="33" t="s">
        <v>1407</v>
      </c>
      <c r="D3585" s="33" t="s">
        <v>50</v>
      </c>
      <c r="E3585" s="33" t="s">
        <v>81</v>
      </c>
      <c r="F3585" s="33" t="s">
        <v>14112</v>
      </c>
      <c r="G3585" s="33" t="s">
        <v>9</v>
      </c>
      <c r="H3585" s="33" t="n">
        <v>10</v>
      </c>
    </row>
    <row r="3586" customFormat="false" ht="54" hidden="false" customHeight="true" outlineLevel="0" collapsed="false">
      <c r="A3586" s="32" t="s">
        <v>14154</v>
      </c>
      <c r="B3586" s="32" t="s">
        <v>7620</v>
      </c>
      <c r="C3586" s="33" t="s">
        <v>1407</v>
      </c>
      <c r="D3586" s="33" t="s">
        <v>50</v>
      </c>
      <c r="E3586" s="33" t="s">
        <v>82</v>
      </c>
      <c r="F3586" s="33" t="s">
        <v>7626</v>
      </c>
      <c r="G3586" s="33" t="s">
        <v>9</v>
      </c>
      <c r="H3586" s="33" t="n">
        <v>10</v>
      </c>
    </row>
    <row r="3587" customFormat="false" ht="54" hidden="false" customHeight="true" outlineLevel="0" collapsed="false">
      <c r="A3587" s="32" t="s">
        <v>14155</v>
      </c>
      <c r="B3587" s="32" t="s">
        <v>7620</v>
      </c>
      <c r="C3587" s="33" t="s">
        <v>1407</v>
      </c>
      <c r="D3587" s="33" t="s">
        <v>50</v>
      </c>
      <c r="E3587" s="33" t="s">
        <v>82</v>
      </c>
      <c r="F3587" s="33" t="s">
        <v>14116</v>
      </c>
      <c r="G3587" s="33" t="s">
        <v>9</v>
      </c>
      <c r="H3587" s="33" t="n">
        <v>10</v>
      </c>
    </row>
    <row r="3588" customFormat="false" ht="54" hidden="false" customHeight="true" outlineLevel="0" collapsed="false">
      <c r="A3588" s="32" t="s">
        <v>14156</v>
      </c>
      <c r="B3588" s="32" t="s">
        <v>7620</v>
      </c>
      <c r="C3588" s="33" t="s">
        <v>1407</v>
      </c>
      <c r="D3588" s="33" t="s">
        <v>50</v>
      </c>
      <c r="E3588" s="33" t="s">
        <v>82</v>
      </c>
      <c r="F3588" s="33" t="s">
        <v>14132</v>
      </c>
      <c r="G3588" s="33" t="s">
        <v>9</v>
      </c>
      <c r="H3588" s="33" t="n">
        <v>10</v>
      </c>
    </row>
    <row r="3589" customFormat="false" ht="54" hidden="false" customHeight="true" outlineLevel="0" collapsed="false">
      <c r="A3589" s="32" t="s">
        <v>14157</v>
      </c>
      <c r="B3589" s="32" t="s">
        <v>7620</v>
      </c>
      <c r="C3589" s="33" t="s">
        <v>1407</v>
      </c>
      <c r="D3589" s="33" t="s">
        <v>50</v>
      </c>
      <c r="E3589" s="33" t="s">
        <v>82</v>
      </c>
      <c r="F3589" s="33" t="s">
        <v>14134</v>
      </c>
      <c r="G3589" s="33" t="s">
        <v>9</v>
      </c>
      <c r="H3589" s="33" t="n">
        <v>10</v>
      </c>
    </row>
    <row r="3590" customFormat="false" ht="54" hidden="false" customHeight="true" outlineLevel="0" collapsed="false">
      <c r="A3590" s="32" t="s">
        <v>14158</v>
      </c>
      <c r="B3590" s="32" t="s">
        <v>7620</v>
      </c>
      <c r="C3590" s="33" t="s">
        <v>1407</v>
      </c>
      <c r="D3590" s="33" t="s">
        <v>50</v>
      </c>
      <c r="E3590" s="33" t="s">
        <v>82</v>
      </c>
      <c r="F3590" s="33" t="s">
        <v>7633</v>
      </c>
      <c r="G3590" s="33" t="s">
        <v>9</v>
      </c>
      <c r="H3590" s="33" t="n">
        <v>10</v>
      </c>
    </row>
    <row r="3591" customFormat="false" ht="54" hidden="false" customHeight="true" outlineLevel="0" collapsed="false">
      <c r="A3591" s="32" t="s">
        <v>14159</v>
      </c>
      <c r="B3591" s="32" t="s">
        <v>7620</v>
      </c>
      <c r="C3591" s="33" t="s">
        <v>1407</v>
      </c>
      <c r="D3591" s="33" t="s">
        <v>50</v>
      </c>
      <c r="E3591" s="33" t="s">
        <v>82</v>
      </c>
      <c r="F3591" s="33" t="s">
        <v>14160</v>
      </c>
      <c r="G3591" s="33" t="s">
        <v>9</v>
      </c>
      <c r="H3591" s="33" t="n">
        <v>10</v>
      </c>
    </row>
    <row r="3592" customFormat="false" ht="54" hidden="false" customHeight="true" outlineLevel="0" collapsed="false">
      <c r="A3592" s="32" t="s">
        <v>14161</v>
      </c>
      <c r="B3592" s="32" t="s">
        <v>7620</v>
      </c>
      <c r="C3592" s="33" t="s">
        <v>1407</v>
      </c>
      <c r="D3592" s="33" t="s">
        <v>50</v>
      </c>
      <c r="E3592" s="33" t="s">
        <v>82</v>
      </c>
      <c r="F3592" s="33" t="s">
        <v>14162</v>
      </c>
      <c r="G3592" s="33" t="s">
        <v>9</v>
      </c>
      <c r="H3592" s="33" t="n">
        <v>10</v>
      </c>
    </row>
    <row r="3593" customFormat="false" ht="54" hidden="false" customHeight="true" outlineLevel="0" collapsed="false">
      <c r="A3593" s="32" t="s">
        <v>14163</v>
      </c>
      <c r="B3593" s="32" t="s">
        <v>7620</v>
      </c>
      <c r="C3593" s="33" t="s">
        <v>1407</v>
      </c>
      <c r="D3593" s="33" t="s">
        <v>50</v>
      </c>
      <c r="E3593" s="33" t="s">
        <v>83</v>
      </c>
      <c r="F3593" s="33" t="s">
        <v>7633</v>
      </c>
      <c r="G3593" s="33" t="s">
        <v>9</v>
      </c>
      <c r="H3593" s="33" t="n">
        <v>10</v>
      </c>
    </row>
    <row r="3594" customFormat="false" ht="54" hidden="false" customHeight="true" outlineLevel="0" collapsed="false">
      <c r="A3594" s="32" t="s">
        <v>14164</v>
      </c>
      <c r="B3594" s="32" t="s">
        <v>7620</v>
      </c>
      <c r="C3594" s="33" t="s">
        <v>1407</v>
      </c>
      <c r="D3594" s="33" t="s">
        <v>50</v>
      </c>
      <c r="E3594" s="33" t="s">
        <v>84</v>
      </c>
      <c r="F3594" s="33" t="s">
        <v>183</v>
      </c>
      <c r="G3594" s="33" t="s">
        <v>9</v>
      </c>
      <c r="H3594" s="33" t="n">
        <v>10</v>
      </c>
    </row>
    <row r="3595" customFormat="false" ht="54" hidden="false" customHeight="true" outlineLevel="0" collapsed="false">
      <c r="A3595" s="32" t="s">
        <v>14165</v>
      </c>
      <c r="B3595" s="32" t="s">
        <v>7620</v>
      </c>
      <c r="C3595" s="33" t="s">
        <v>1407</v>
      </c>
      <c r="D3595" s="33" t="s">
        <v>50</v>
      </c>
      <c r="E3595" s="33" t="s">
        <v>84</v>
      </c>
      <c r="F3595" s="33" t="s">
        <v>14134</v>
      </c>
      <c r="G3595" s="33" t="s">
        <v>9</v>
      </c>
      <c r="H3595" s="33" t="n">
        <v>10</v>
      </c>
    </row>
    <row r="3596" customFormat="false" ht="54" hidden="false" customHeight="true" outlineLevel="0" collapsed="false">
      <c r="A3596" s="32" t="s">
        <v>14166</v>
      </c>
      <c r="B3596" s="32" t="s">
        <v>7620</v>
      </c>
      <c r="C3596" s="33" t="s">
        <v>1407</v>
      </c>
      <c r="D3596" s="33" t="s">
        <v>50</v>
      </c>
      <c r="E3596" s="33" t="s">
        <v>84</v>
      </c>
      <c r="F3596" s="33" t="s">
        <v>7628</v>
      </c>
      <c r="G3596" s="33" t="s">
        <v>9</v>
      </c>
      <c r="H3596" s="33" t="n">
        <v>10</v>
      </c>
    </row>
    <row r="3597" customFormat="false" ht="54" hidden="false" customHeight="true" outlineLevel="0" collapsed="false">
      <c r="A3597" s="32" t="s">
        <v>14167</v>
      </c>
      <c r="B3597" s="32" t="s">
        <v>7620</v>
      </c>
      <c r="C3597" s="33" t="s">
        <v>1407</v>
      </c>
      <c r="D3597" s="33" t="s">
        <v>50</v>
      </c>
      <c r="E3597" s="33" t="s">
        <v>86</v>
      </c>
      <c r="F3597" s="33" t="s">
        <v>7635</v>
      </c>
      <c r="G3597" s="33" t="s">
        <v>9</v>
      </c>
      <c r="H3597" s="33" t="n">
        <v>10</v>
      </c>
    </row>
    <row r="3598" customFormat="false" ht="54" hidden="false" customHeight="true" outlineLevel="0" collapsed="false">
      <c r="A3598" s="32" t="s">
        <v>14168</v>
      </c>
      <c r="B3598" s="32" t="s">
        <v>7638</v>
      </c>
      <c r="C3598" s="33" t="s">
        <v>1407</v>
      </c>
      <c r="D3598" s="33" t="s">
        <v>50</v>
      </c>
      <c r="E3598" s="33" t="s">
        <v>80</v>
      </c>
      <c r="F3598" s="33" t="s">
        <v>7643</v>
      </c>
      <c r="G3598" s="33" t="s">
        <v>9</v>
      </c>
      <c r="H3598" s="33" t="n">
        <v>10</v>
      </c>
    </row>
    <row r="3599" customFormat="false" ht="54" hidden="false" customHeight="true" outlineLevel="0" collapsed="false">
      <c r="A3599" s="32" t="s">
        <v>14169</v>
      </c>
      <c r="B3599" s="32" t="s">
        <v>7638</v>
      </c>
      <c r="C3599" s="33" t="s">
        <v>1407</v>
      </c>
      <c r="D3599" s="33" t="s">
        <v>50</v>
      </c>
      <c r="E3599" s="33" t="s">
        <v>80</v>
      </c>
      <c r="F3599" s="33" t="s">
        <v>183</v>
      </c>
      <c r="G3599" s="33" t="s">
        <v>9</v>
      </c>
      <c r="H3599" s="33" t="n">
        <v>10</v>
      </c>
    </row>
    <row r="3600" customFormat="false" ht="54" hidden="false" customHeight="true" outlineLevel="0" collapsed="false">
      <c r="A3600" s="32" t="s">
        <v>14170</v>
      </c>
      <c r="B3600" s="32" t="s">
        <v>7638</v>
      </c>
      <c r="C3600" s="33" t="s">
        <v>1407</v>
      </c>
      <c r="D3600" s="33" t="s">
        <v>50</v>
      </c>
      <c r="E3600" s="33" t="s">
        <v>81</v>
      </c>
      <c r="F3600" s="33" t="s">
        <v>14171</v>
      </c>
      <c r="G3600" s="33" t="s">
        <v>9</v>
      </c>
      <c r="H3600" s="33" t="n">
        <v>10</v>
      </c>
    </row>
    <row r="3601" customFormat="false" ht="54" hidden="false" customHeight="true" outlineLevel="0" collapsed="false">
      <c r="A3601" s="32" t="s">
        <v>14172</v>
      </c>
      <c r="B3601" s="32" t="s">
        <v>7638</v>
      </c>
      <c r="C3601" s="33" t="s">
        <v>1407</v>
      </c>
      <c r="D3601" s="33" t="s">
        <v>50</v>
      </c>
      <c r="E3601" s="33" t="s">
        <v>81</v>
      </c>
      <c r="F3601" s="33" t="s">
        <v>14173</v>
      </c>
      <c r="G3601" s="33" t="s">
        <v>9</v>
      </c>
      <c r="H3601" s="33" t="n">
        <v>10</v>
      </c>
    </row>
    <row r="3602" customFormat="false" ht="54" hidden="false" customHeight="true" outlineLevel="0" collapsed="false">
      <c r="A3602" s="32" t="s">
        <v>14174</v>
      </c>
      <c r="B3602" s="32" t="s">
        <v>7638</v>
      </c>
      <c r="C3602" s="33" t="s">
        <v>1407</v>
      </c>
      <c r="D3602" s="33" t="s">
        <v>50</v>
      </c>
      <c r="E3602" s="33" t="s">
        <v>81</v>
      </c>
      <c r="F3602" s="33" t="s">
        <v>14175</v>
      </c>
      <c r="G3602" s="33" t="s">
        <v>9</v>
      </c>
      <c r="H3602" s="33" t="n">
        <v>10</v>
      </c>
    </row>
    <row r="3603" customFormat="false" ht="54" hidden="false" customHeight="true" outlineLevel="0" collapsed="false">
      <c r="A3603" s="32" t="s">
        <v>14176</v>
      </c>
      <c r="B3603" s="32" t="s">
        <v>7638</v>
      </c>
      <c r="C3603" s="33" t="s">
        <v>1407</v>
      </c>
      <c r="D3603" s="33" t="s">
        <v>50</v>
      </c>
      <c r="E3603" s="33" t="s">
        <v>81</v>
      </c>
      <c r="F3603" s="33" t="s">
        <v>7647</v>
      </c>
      <c r="G3603" s="33" t="s">
        <v>9</v>
      </c>
      <c r="H3603" s="33" t="n">
        <v>10</v>
      </c>
    </row>
    <row r="3604" customFormat="false" ht="54" hidden="false" customHeight="true" outlineLevel="0" collapsed="false">
      <c r="A3604" s="32" t="s">
        <v>14177</v>
      </c>
      <c r="B3604" s="32" t="s">
        <v>7638</v>
      </c>
      <c r="C3604" s="33" t="s">
        <v>1407</v>
      </c>
      <c r="D3604" s="33" t="s">
        <v>50</v>
      </c>
      <c r="E3604" s="33" t="s">
        <v>84</v>
      </c>
      <c r="F3604" s="33" t="s">
        <v>7643</v>
      </c>
      <c r="G3604" s="33" t="s">
        <v>9</v>
      </c>
      <c r="H3604" s="33" t="n">
        <v>10</v>
      </c>
    </row>
    <row r="3605" customFormat="false" ht="54" hidden="false" customHeight="true" outlineLevel="0" collapsed="false">
      <c r="A3605" s="32" t="s">
        <v>14178</v>
      </c>
      <c r="B3605" s="32" t="s">
        <v>7638</v>
      </c>
      <c r="C3605" s="33" t="s">
        <v>1407</v>
      </c>
      <c r="D3605" s="33" t="s">
        <v>50</v>
      </c>
      <c r="E3605" s="33" t="s">
        <v>84</v>
      </c>
      <c r="F3605" s="33" t="s">
        <v>183</v>
      </c>
      <c r="G3605" s="33" t="s">
        <v>9</v>
      </c>
      <c r="H3605" s="33" t="n">
        <v>10</v>
      </c>
    </row>
    <row r="3606" customFormat="false" ht="54" hidden="false" customHeight="true" outlineLevel="0" collapsed="false">
      <c r="A3606" s="32" t="s">
        <v>14179</v>
      </c>
      <c r="B3606" s="32" t="s">
        <v>7652</v>
      </c>
      <c r="C3606" s="33" t="s">
        <v>1407</v>
      </c>
      <c r="D3606" s="33" t="s">
        <v>50</v>
      </c>
      <c r="E3606" s="33" t="s">
        <v>80</v>
      </c>
      <c r="F3606" s="33" t="s">
        <v>183</v>
      </c>
      <c r="G3606" s="33" t="s">
        <v>9</v>
      </c>
      <c r="H3606" s="33" t="n">
        <v>10</v>
      </c>
    </row>
    <row r="3607" customFormat="false" ht="54" hidden="false" customHeight="true" outlineLevel="0" collapsed="false">
      <c r="A3607" s="32" t="s">
        <v>14180</v>
      </c>
      <c r="B3607" s="32" t="s">
        <v>7652</v>
      </c>
      <c r="C3607" s="33" t="s">
        <v>1407</v>
      </c>
      <c r="D3607" s="33" t="s">
        <v>50</v>
      </c>
      <c r="E3607" s="33" t="s">
        <v>84</v>
      </c>
      <c r="F3607" s="33" t="s">
        <v>183</v>
      </c>
      <c r="G3607" s="33" t="s">
        <v>9</v>
      </c>
      <c r="H3607" s="33" t="n">
        <v>10</v>
      </c>
    </row>
    <row r="3608" customFormat="false" ht="54" hidden="false" customHeight="true" outlineLevel="0" collapsed="false">
      <c r="A3608" s="32" t="s">
        <v>14181</v>
      </c>
      <c r="B3608" s="32" t="s">
        <v>7663</v>
      </c>
      <c r="C3608" s="33" t="s">
        <v>1407</v>
      </c>
      <c r="D3608" s="33" t="s">
        <v>50</v>
      </c>
      <c r="E3608" s="33" t="s">
        <v>80</v>
      </c>
      <c r="F3608" s="33" t="s">
        <v>183</v>
      </c>
      <c r="G3608" s="33" t="s">
        <v>9</v>
      </c>
      <c r="H3608" s="33" t="n">
        <v>10</v>
      </c>
    </row>
    <row r="3609" customFormat="false" ht="54" hidden="false" customHeight="true" outlineLevel="0" collapsed="false">
      <c r="A3609" s="32" t="s">
        <v>14182</v>
      </c>
      <c r="B3609" s="32" t="s">
        <v>7663</v>
      </c>
      <c r="C3609" s="33" t="s">
        <v>1407</v>
      </c>
      <c r="D3609" s="33" t="s">
        <v>50</v>
      </c>
      <c r="E3609" s="33" t="s">
        <v>81</v>
      </c>
      <c r="F3609" s="33" t="s">
        <v>7668</v>
      </c>
      <c r="G3609" s="33" t="s">
        <v>9</v>
      </c>
      <c r="H3609" s="33" t="n">
        <v>10</v>
      </c>
    </row>
    <row r="3610" customFormat="false" ht="54" hidden="false" customHeight="true" outlineLevel="0" collapsed="false">
      <c r="A3610" s="32" t="s">
        <v>14183</v>
      </c>
      <c r="B3610" s="32" t="s">
        <v>7663</v>
      </c>
      <c r="C3610" s="33" t="s">
        <v>1407</v>
      </c>
      <c r="D3610" s="33" t="s">
        <v>50</v>
      </c>
      <c r="E3610" s="33" t="s">
        <v>81</v>
      </c>
      <c r="F3610" s="33" t="s">
        <v>14184</v>
      </c>
      <c r="G3610" s="33" t="s">
        <v>9</v>
      </c>
      <c r="H3610" s="33" t="n">
        <v>10</v>
      </c>
    </row>
    <row r="3611" customFormat="false" ht="54" hidden="false" customHeight="true" outlineLevel="0" collapsed="false">
      <c r="A3611" s="32" t="s">
        <v>14185</v>
      </c>
      <c r="B3611" s="32" t="s">
        <v>7663</v>
      </c>
      <c r="C3611" s="33" t="s">
        <v>1407</v>
      </c>
      <c r="D3611" s="33" t="s">
        <v>50</v>
      </c>
      <c r="E3611" s="33" t="s">
        <v>82</v>
      </c>
      <c r="F3611" s="33" t="s">
        <v>7668</v>
      </c>
      <c r="G3611" s="33" t="s">
        <v>9</v>
      </c>
      <c r="H3611" s="33" t="n">
        <v>10</v>
      </c>
    </row>
    <row r="3612" customFormat="false" ht="54" hidden="false" customHeight="true" outlineLevel="0" collapsed="false">
      <c r="A3612" s="32" t="s">
        <v>14186</v>
      </c>
      <c r="B3612" s="32" t="s">
        <v>7663</v>
      </c>
      <c r="C3612" s="33" t="s">
        <v>1407</v>
      </c>
      <c r="D3612" s="33" t="s">
        <v>50</v>
      </c>
      <c r="E3612" s="33" t="s">
        <v>84</v>
      </c>
      <c r="F3612" s="33" t="s">
        <v>183</v>
      </c>
      <c r="G3612" s="33" t="s">
        <v>9</v>
      </c>
      <c r="H3612" s="33" t="n">
        <v>10</v>
      </c>
    </row>
    <row r="3613" customFormat="false" ht="54" hidden="false" customHeight="true" outlineLevel="0" collapsed="false">
      <c r="A3613" s="32" t="s">
        <v>14187</v>
      </c>
      <c r="B3613" s="32" t="s">
        <v>7663</v>
      </c>
      <c r="C3613" s="33" t="s">
        <v>1407</v>
      </c>
      <c r="D3613" s="33" t="s">
        <v>50</v>
      </c>
      <c r="E3613" s="33" t="s">
        <v>84</v>
      </c>
      <c r="F3613" s="33" t="s">
        <v>14188</v>
      </c>
      <c r="G3613" s="33" t="s">
        <v>9</v>
      </c>
      <c r="H3613" s="33" t="n">
        <v>10</v>
      </c>
    </row>
    <row r="3614" customFormat="false" ht="54" hidden="false" customHeight="true" outlineLevel="0" collapsed="false">
      <c r="A3614" s="32" t="s">
        <v>14189</v>
      </c>
      <c r="B3614" s="32" t="s">
        <v>7676</v>
      </c>
      <c r="C3614" s="33" t="s">
        <v>1407</v>
      </c>
      <c r="D3614" s="33" t="s">
        <v>50</v>
      </c>
      <c r="E3614" s="33" t="s">
        <v>80</v>
      </c>
      <c r="F3614" s="33" t="s">
        <v>183</v>
      </c>
      <c r="G3614" s="33" t="s">
        <v>9</v>
      </c>
      <c r="H3614" s="33" t="n">
        <v>10</v>
      </c>
    </row>
    <row r="3615" customFormat="false" ht="54" hidden="false" customHeight="true" outlineLevel="0" collapsed="false">
      <c r="A3615" s="32" t="s">
        <v>14190</v>
      </c>
      <c r="B3615" s="32" t="s">
        <v>7676</v>
      </c>
      <c r="C3615" s="33" t="s">
        <v>1407</v>
      </c>
      <c r="D3615" s="33" t="s">
        <v>50</v>
      </c>
      <c r="E3615" s="33" t="s">
        <v>82</v>
      </c>
      <c r="F3615" s="33" t="s">
        <v>7682</v>
      </c>
      <c r="G3615" s="33" t="s">
        <v>9</v>
      </c>
      <c r="H3615" s="33" t="n">
        <v>10</v>
      </c>
    </row>
    <row r="3616" customFormat="false" ht="54" hidden="false" customHeight="true" outlineLevel="0" collapsed="false">
      <c r="A3616" s="32" t="s">
        <v>14191</v>
      </c>
      <c r="B3616" s="32" t="s">
        <v>7676</v>
      </c>
      <c r="C3616" s="33" t="s">
        <v>1407</v>
      </c>
      <c r="D3616" s="33" t="s">
        <v>50</v>
      </c>
      <c r="E3616" s="33" t="s">
        <v>82</v>
      </c>
      <c r="F3616" s="33" t="s">
        <v>14192</v>
      </c>
      <c r="G3616" s="33" t="s">
        <v>9</v>
      </c>
      <c r="H3616" s="33" t="n">
        <v>10</v>
      </c>
    </row>
    <row r="3617" customFormat="false" ht="54" hidden="false" customHeight="true" outlineLevel="0" collapsed="false">
      <c r="A3617" s="32" t="s">
        <v>14193</v>
      </c>
      <c r="B3617" s="32" t="s">
        <v>7676</v>
      </c>
      <c r="C3617" s="33" t="s">
        <v>1407</v>
      </c>
      <c r="D3617" s="33" t="s">
        <v>50</v>
      </c>
      <c r="E3617" s="33" t="s">
        <v>82</v>
      </c>
      <c r="F3617" s="33" t="s">
        <v>14194</v>
      </c>
      <c r="G3617" s="33" t="s">
        <v>9</v>
      </c>
      <c r="H3617" s="33" t="n">
        <v>10</v>
      </c>
    </row>
    <row r="3618" customFormat="false" ht="54" hidden="false" customHeight="true" outlineLevel="0" collapsed="false">
      <c r="A3618" s="32" t="s">
        <v>14195</v>
      </c>
      <c r="B3618" s="32" t="s">
        <v>7676</v>
      </c>
      <c r="C3618" s="33" t="s">
        <v>1407</v>
      </c>
      <c r="D3618" s="33" t="s">
        <v>50</v>
      </c>
      <c r="E3618" s="33" t="s">
        <v>84</v>
      </c>
      <c r="F3618" s="33" t="s">
        <v>183</v>
      </c>
      <c r="G3618" s="33" t="s">
        <v>9</v>
      </c>
      <c r="H3618" s="33" t="n">
        <v>10</v>
      </c>
    </row>
    <row r="3619" customFormat="false" ht="54" hidden="false" customHeight="true" outlineLevel="0" collapsed="false">
      <c r="A3619" s="32" t="s">
        <v>14196</v>
      </c>
      <c r="B3619" s="32" t="s">
        <v>7688</v>
      </c>
      <c r="C3619" s="33" t="s">
        <v>1407</v>
      </c>
      <c r="D3619" s="33" t="s">
        <v>50</v>
      </c>
      <c r="E3619" s="33" t="s">
        <v>80</v>
      </c>
      <c r="F3619" s="33" t="s">
        <v>183</v>
      </c>
      <c r="G3619" s="33" t="s">
        <v>9</v>
      </c>
      <c r="H3619" s="33" t="n">
        <v>10</v>
      </c>
    </row>
    <row r="3620" customFormat="false" ht="54" hidden="false" customHeight="true" outlineLevel="0" collapsed="false">
      <c r="A3620" s="32" t="s">
        <v>14197</v>
      </c>
      <c r="B3620" s="32" t="s">
        <v>7688</v>
      </c>
      <c r="C3620" s="33" t="s">
        <v>1407</v>
      </c>
      <c r="D3620" s="33" t="s">
        <v>50</v>
      </c>
      <c r="E3620" s="33" t="s">
        <v>82</v>
      </c>
      <c r="F3620" s="33" t="s">
        <v>7682</v>
      </c>
      <c r="G3620" s="33" t="s">
        <v>9</v>
      </c>
      <c r="H3620" s="33" t="n">
        <v>10</v>
      </c>
    </row>
    <row r="3621" customFormat="false" ht="54" hidden="false" customHeight="true" outlineLevel="0" collapsed="false">
      <c r="A3621" s="32" t="s">
        <v>14198</v>
      </c>
      <c r="B3621" s="32" t="s">
        <v>7688</v>
      </c>
      <c r="C3621" s="33" t="s">
        <v>1407</v>
      </c>
      <c r="D3621" s="33" t="s">
        <v>50</v>
      </c>
      <c r="E3621" s="33" t="s">
        <v>82</v>
      </c>
      <c r="F3621" s="33" t="s">
        <v>14199</v>
      </c>
      <c r="G3621" s="33" t="s">
        <v>9</v>
      </c>
      <c r="H3621" s="33" t="n">
        <v>10</v>
      </c>
    </row>
    <row r="3622" customFormat="false" ht="54" hidden="false" customHeight="true" outlineLevel="0" collapsed="false">
      <c r="A3622" s="32" t="s">
        <v>14200</v>
      </c>
      <c r="B3622" s="32" t="s">
        <v>7688</v>
      </c>
      <c r="C3622" s="33" t="s">
        <v>1407</v>
      </c>
      <c r="D3622" s="33" t="s">
        <v>50</v>
      </c>
      <c r="E3622" s="33" t="s">
        <v>82</v>
      </c>
      <c r="F3622" s="33" t="s">
        <v>14194</v>
      </c>
      <c r="G3622" s="33" t="s">
        <v>9</v>
      </c>
      <c r="H3622" s="33" t="n">
        <v>10</v>
      </c>
    </row>
    <row r="3623" customFormat="false" ht="54" hidden="false" customHeight="true" outlineLevel="0" collapsed="false">
      <c r="A3623" s="32" t="s">
        <v>14201</v>
      </c>
      <c r="B3623" s="32" t="s">
        <v>7688</v>
      </c>
      <c r="C3623" s="33" t="s">
        <v>1407</v>
      </c>
      <c r="D3623" s="33" t="s">
        <v>50</v>
      </c>
      <c r="E3623" s="33" t="s">
        <v>84</v>
      </c>
      <c r="F3623" s="33" t="s">
        <v>183</v>
      </c>
      <c r="G3623" s="33" t="s">
        <v>9</v>
      </c>
      <c r="H3623" s="33" t="n">
        <v>10</v>
      </c>
    </row>
    <row r="3624" customFormat="false" ht="54" hidden="false" customHeight="true" outlineLevel="0" collapsed="false">
      <c r="A3624" s="32" t="s">
        <v>14202</v>
      </c>
      <c r="B3624" s="32" t="s">
        <v>4228</v>
      </c>
      <c r="C3624" s="33" t="s">
        <v>1407</v>
      </c>
      <c r="D3624" s="33" t="s">
        <v>50</v>
      </c>
      <c r="E3624" s="33" t="s">
        <v>80</v>
      </c>
      <c r="F3624" s="33" t="s">
        <v>7699</v>
      </c>
      <c r="G3624" s="33" t="s">
        <v>9</v>
      </c>
      <c r="H3624" s="33" t="n">
        <v>10</v>
      </c>
    </row>
    <row r="3625" customFormat="false" ht="54" hidden="false" customHeight="true" outlineLevel="0" collapsed="false">
      <c r="A3625" s="32" t="s">
        <v>14203</v>
      </c>
      <c r="B3625" s="32" t="s">
        <v>4228</v>
      </c>
      <c r="C3625" s="33" t="s">
        <v>1407</v>
      </c>
      <c r="D3625" s="33" t="s">
        <v>50</v>
      </c>
      <c r="E3625" s="33" t="s">
        <v>80</v>
      </c>
      <c r="F3625" s="33" t="s">
        <v>14204</v>
      </c>
      <c r="G3625" s="33" t="s">
        <v>9</v>
      </c>
      <c r="H3625" s="33" t="n">
        <v>10</v>
      </c>
    </row>
    <row r="3626" customFormat="false" ht="54" hidden="false" customHeight="true" outlineLevel="0" collapsed="false">
      <c r="A3626" s="32" t="s">
        <v>14205</v>
      </c>
      <c r="B3626" s="32" t="s">
        <v>4228</v>
      </c>
      <c r="C3626" s="33" t="s">
        <v>1407</v>
      </c>
      <c r="D3626" s="33" t="s">
        <v>50</v>
      </c>
      <c r="E3626" s="33" t="s">
        <v>80</v>
      </c>
      <c r="F3626" s="33" t="s">
        <v>183</v>
      </c>
      <c r="G3626" s="33" t="s">
        <v>9</v>
      </c>
      <c r="H3626" s="33" t="n">
        <v>10</v>
      </c>
    </row>
    <row r="3627" customFormat="false" ht="54" hidden="false" customHeight="true" outlineLevel="0" collapsed="false">
      <c r="A3627" s="32" t="s">
        <v>14206</v>
      </c>
      <c r="B3627" s="32" t="s">
        <v>4228</v>
      </c>
      <c r="C3627" s="33" t="s">
        <v>1407</v>
      </c>
      <c r="D3627" s="33" t="s">
        <v>50</v>
      </c>
      <c r="E3627" s="33" t="s">
        <v>80</v>
      </c>
      <c r="F3627" s="33" t="s">
        <v>14207</v>
      </c>
      <c r="G3627" s="33" t="s">
        <v>9</v>
      </c>
      <c r="H3627" s="33" t="n">
        <v>10</v>
      </c>
    </row>
    <row r="3628" customFormat="false" ht="54" hidden="false" customHeight="true" outlineLevel="0" collapsed="false">
      <c r="A3628" s="32" t="s">
        <v>14208</v>
      </c>
      <c r="B3628" s="32" t="s">
        <v>4228</v>
      </c>
      <c r="C3628" s="33" t="s">
        <v>1407</v>
      </c>
      <c r="D3628" s="33" t="s">
        <v>50</v>
      </c>
      <c r="E3628" s="33" t="s">
        <v>80</v>
      </c>
      <c r="F3628" s="33" t="s">
        <v>12555</v>
      </c>
      <c r="G3628" s="33" t="s">
        <v>9</v>
      </c>
      <c r="H3628" s="33" t="n">
        <v>10</v>
      </c>
    </row>
    <row r="3629" customFormat="false" ht="54" hidden="false" customHeight="true" outlineLevel="0" collapsed="false">
      <c r="A3629" s="32" t="s">
        <v>14209</v>
      </c>
      <c r="B3629" s="32" t="s">
        <v>4228</v>
      </c>
      <c r="C3629" s="33" t="s">
        <v>1407</v>
      </c>
      <c r="D3629" s="33" t="s">
        <v>50</v>
      </c>
      <c r="E3629" s="33" t="s">
        <v>81</v>
      </c>
      <c r="F3629" s="33" t="s">
        <v>7699</v>
      </c>
      <c r="G3629" s="33" t="s">
        <v>9</v>
      </c>
      <c r="H3629" s="33" t="n">
        <v>10</v>
      </c>
    </row>
    <row r="3630" customFormat="false" ht="54" hidden="false" customHeight="true" outlineLevel="0" collapsed="false">
      <c r="A3630" s="32" t="s">
        <v>14210</v>
      </c>
      <c r="B3630" s="32" t="s">
        <v>4228</v>
      </c>
      <c r="C3630" s="33" t="s">
        <v>1407</v>
      </c>
      <c r="D3630" s="33" t="s">
        <v>50</v>
      </c>
      <c r="E3630" s="33" t="s">
        <v>81</v>
      </c>
      <c r="F3630" s="33" t="s">
        <v>14211</v>
      </c>
      <c r="G3630" s="33" t="s">
        <v>9</v>
      </c>
      <c r="H3630" s="33" t="n">
        <v>10</v>
      </c>
    </row>
    <row r="3631" customFormat="false" ht="54" hidden="false" customHeight="true" outlineLevel="0" collapsed="false">
      <c r="A3631" s="32" t="s">
        <v>14212</v>
      </c>
      <c r="B3631" s="32" t="s">
        <v>4228</v>
      </c>
      <c r="C3631" s="33" t="s">
        <v>1407</v>
      </c>
      <c r="D3631" s="33" t="s">
        <v>50</v>
      </c>
      <c r="E3631" s="33" t="s">
        <v>82</v>
      </c>
      <c r="F3631" s="33" t="s">
        <v>14204</v>
      </c>
      <c r="G3631" s="33" t="s">
        <v>9</v>
      </c>
      <c r="H3631" s="33" t="n">
        <v>10</v>
      </c>
    </row>
    <row r="3632" customFormat="false" ht="54" hidden="false" customHeight="true" outlineLevel="0" collapsed="false">
      <c r="A3632" s="32" t="s">
        <v>14213</v>
      </c>
      <c r="B3632" s="32" t="s">
        <v>4228</v>
      </c>
      <c r="C3632" s="33" t="s">
        <v>1407</v>
      </c>
      <c r="D3632" s="33" t="s">
        <v>50</v>
      </c>
      <c r="E3632" s="33" t="s">
        <v>82</v>
      </c>
      <c r="F3632" s="33" t="s">
        <v>14207</v>
      </c>
      <c r="G3632" s="33" t="s">
        <v>9</v>
      </c>
      <c r="H3632" s="33" t="n">
        <v>10</v>
      </c>
    </row>
    <row r="3633" customFormat="false" ht="54" hidden="false" customHeight="true" outlineLevel="0" collapsed="false">
      <c r="A3633" s="32" t="s">
        <v>14214</v>
      </c>
      <c r="B3633" s="32" t="s">
        <v>4228</v>
      </c>
      <c r="C3633" s="33" t="s">
        <v>1407</v>
      </c>
      <c r="D3633" s="33" t="s">
        <v>50</v>
      </c>
      <c r="E3633" s="33" t="s">
        <v>84</v>
      </c>
      <c r="F3633" s="33" t="s">
        <v>183</v>
      </c>
      <c r="G3633" s="33" t="s">
        <v>9</v>
      </c>
      <c r="H3633" s="33" t="n">
        <v>10</v>
      </c>
    </row>
    <row r="3634" customFormat="false" ht="54" hidden="false" customHeight="true" outlineLevel="0" collapsed="false">
      <c r="A3634" s="32" t="s">
        <v>14215</v>
      </c>
      <c r="B3634" s="32" t="s">
        <v>4228</v>
      </c>
      <c r="C3634" s="33" t="s">
        <v>1407</v>
      </c>
      <c r="D3634" s="33" t="s">
        <v>50</v>
      </c>
      <c r="E3634" s="33" t="s">
        <v>84</v>
      </c>
      <c r="F3634" s="33" t="s">
        <v>14207</v>
      </c>
      <c r="G3634" s="33" t="s">
        <v>9</v>
      </c>
      <c r="H3634" s="33" t="n">
        <v>10</v>
      </c>
    </row>
    <row r="3635" customFormat="false" ht="54" hidden="false" customHeight="true" outlineLevel="0" collapsed="false">
      <c r="A3635" s="32" t="s">
        <v>14216</v>
      </c>
      <c r="B3635" s="32" t="s">
        <v>7709</v>
      </c>
      <c r="C3635" s="33" t="s">
        <v>1407</v>
      </c>
      <c r="D3635" s="33" t="s">
        <v>50</v>
      </c>
      <c r="E3635" s="33" t="s">
        <v>80</v>
      </c>
      <c r="F3635" s="33" t="s">
        <v>183</v>
      </c>
      <c r="G3635" s="33" t="s">
        <v>9</v>
      </c>
      <c r="H3635" s="33" t="n">
        <v>10</v>
      </c>
    </row>
    <row r="3636" customFormat="false" ht="54" hidden="false" customHeight="true" outlineLevel="0" collapsed="false">
      <c r="A3636" s="32" t="s">
        <v>14217</v>
      </c>
      <c r="B3636" s="32" t="s">
        <v>7709</v>
      </c>
      <c r="C3636" s="33" t="s">
        <v>1407</v>
      </c>
      <c r="D3636" s="33" t="s">
        <v>50</v>
      </c>
      <c r="E3636" s="33" t="s">
        <v>80</v>
      </c>
      <c r="F3636" s="33" t="s">
        <v>14218</v>
      </c>
      <c r="G3636" s="33" t="s">
        <v>9</v>
      </c>
      <c r="H3636" s="33" t="n">
        <v>10</v>
      </c>
    </row>
    <row r="3637" customFormat="false" ht="54" hidden="false" customHeight="true" outlineLevel="0" collapsed="false">
      <c r="A3637" s="32" t="s">
        <v>14219</v>
      </c>
      <c r="B3637" s="32" t="s">
        <v>7709</v>
      </c>
      <c r="C3637" s="33" t="s">
        <v>1407</v>
      </c>
      <c r="D3637" s="33" t="s">
        <v>50</v>
      </c>
      <c r="E3637" s="33" t="s">
        <v>80</v>
      </c>
      <c r="F3637" s="33" t="s">
        <v>14220</v>
      </c>
      <c r="G3637" s="33" t="s">
        <v>9</v>
      </c>
      <c r="H3637" s="33" t="n">
        <v>10</v>
      </c>
    </row>
    <row r="3638" customFormat="false" ht="54" hidden="false" customHeight="true" outlineLevel="0" collapsed="false">
      <c r="A3638" s="32" t="s">
        <v>14221</v>
      </c>
      <c r="B3638" s="32" t="s">
        <v>7709</v>
      </c>
      <c r="C3638" s="33" t="s">
        <v>1407</v>
      </c>
      <c r="D3638" s="33" t="s">
        <v>50</v>
      </c>
      <c r="E3638" s="33" t="s">
        <v>80</v>
      </c>
      <c r="F3638" s="33" t="s">
        <v>14222</v>
      </c>
      <c r="G3638" s="33" t="s">
        <v>9</v>
      </c>
      <c r="H3638" s="33" t="n">
        <v>10</v>
      </c>
    </row>
    <row r="3639" customFormat="false" ht="54" hidden="false" customHeight="true" outlineLevel="0" collapsed="false">
      <c r="A3639" s="32" t="s">
        <v>14223</v>
      </c>
      <c r="B3639" s="32" t="s">
        <v>7709</v>
      </c>
      <c r="C3639" s="33" t="s">
        <v>1407</v>
      </c>
      <c r="D3639" s="33" t="s">
        <v>50</v>
      </c>
      <c r="E3639" s="33" t="s">
        <v>81</v>
      </c>
      <c r="F3639" s="33" t="s">
        <v>7714</v>
      </c>
      <c r="G3639" s="33" t="s">
        <v>9</v>
      </c>
      <c r="H3639" s="33" t="n">
        <v>10</v>
      </c>
    </row>
    <row r="3640" customFormat="false" ht="54" hidden="false" customHeight="true" outlineLevel="0" collapsed="false">
      <c r="A3640" s="32" t="s">
        <v>14224</v>
      </c>
      <c r="B3640" s="32" t="s">
        <v>7709</v>
      </c>
      <c r="C3640" s="33" t="s">
        <v>1407</v>
      </c>
      <c r="D3640" s="33" t="s">
        <v>50</v>
      </c>
      <c r="E3640" s="33" t="s">
        <v>81</v>
      </c>
      <c r="F3640" s="33" t="s">
        <v>7715</v>
      </c>
      <c r="G3640" s="33" t="s">
        <v>9</v>
      </c>
      <c r="H3640" s="33" t="n">
        <v>10</v>
      </c>
    </row>
    <row r="3641" customFormat="false" ht="54" hidden="false" customHeight="true" outlineLevel="0" collapsed="false">
      <c r="A3641" s="32" t="s">
        <v>14225</v>
      </c>
      <c r="B3641" s="32" t="s">
        <v>7709</v>
      </c>
      <c r="C3641" s="33" t="s">
        <v>1407</v>
      </c>
      <c r="D3641" s="33" t="s">
        <v>50</v>
      </c>
      <c r="E3641" s="33" t="s">
        <v>81</v>
      </c>
      <c r="F3641" s="33" t="s">
        <v>14220</v>
      </c>
      <c r="G3641" s="33" t="s">
        <v>9</v>
      </c>
      <c r="H3641" s="33" t="n">
        <v>10</v>
      </c>
    </row>
    <row r="3642" customFormat="false" ht="54" hidden="false" customHeight="true" outlineLevel="0" collapsed="false">
      <c r="A3642" s="32" t="s">
        <v>14226</v>
      </c>
      <c r="B3642" s="32" t="s">
        <v>7709</v>
      </c>
      <c r="C3642" s="33" t="s">
        <v>1407</v>
      </c>
      <c r="D3642" s="33" t="s">
        <v>50</v>
      </c>
      <c r="E3642" s="33" t="s">
        <v>82</v>
      </c>
      <c r="F3642" s="33" t="s">
        <v>7715</v>
      </c>
      <c r="G3642" s="33" t="s">
        <v>9</v>
      </c>
      <c r="H3642" s="33" t="n">
        <v>10</v>
      </c>
    </row>
    <row r="3643" customFormat="false" ht="54" hidden="false" customHeight="true" outlineLevel="0" collapsed="false">
      <c r="A3643" s="32" t="s">
        <v>14227</v>
      </c>
      <c r="B3643" s="32" t="s">
        <v>7709</v>
      </c>
      <c r="C3643" s="33" t="s">
        <v>1407</v>
      </c>
      <c r="D3643" s="33" t="s">
        <v>50</v>
      </c>
      <c r="E3643" s="33" t="s">
        <v>82</v>
      </c>
      <c r="F3643" s="33" t="s">
        <v>14228</v>
      </c>
      <c r="G3643" s="33" t="s">
        <v>9</v>
      </c>
      <c r="H3643" s="33" t="n">
        <v>10</v>
      </c>
    </row>
    <row r="3644" customFormat="false" ht="54" hidden="false" customHeight="true" outlineLevel="0" collapsed="false">
      <c r="A3644" s="32" t="s">
        <v>14229</v>
      </c>
      <c r="B3644" s="32" t="s">
        <v>7709</v>
      </c>
      <c r="C3644" s="33" t="s">
        <v>1407</v>
      </c>
      <c r="D3644" s="33" t="s">
        <v>50</v>
      </c>
      <c r="E3644" s="33" t="s">
        <v>84</v>
      </c>
      <c r="F3644" s="33" t="s">
        <v>183</v>
      </c>
      <c r="G3644" s="33" t="s">
        <v>9</v>
      </c>
      <c r="H3644" s="33" t="n">
        <v>10</v>
      </c>
    </row>
    <row r="3645" customFormat="false" ht="54" hidden="false" customHeight="true" outlineLevel="0" collapsed="false">
      <c r="A3645" s="32" t="s">
        <v>14230</v>
      </c>
      <c r="B3645" s="32" t="s">
        <v>7709</v>
      </c>
      <c r="C3645" s="33" t="s">
        <v>1407</v>
      </c>
      <c r="D3645" s="33" t="s">
        <v>50</v>
      </c>
      <c r="E3645" s="33" t="s">
        <v>84</v>
      </c>
      <c r="F3645" s="33" t="s">
        <v>14231</v>
      </c>
      <c r="G3645" s="33" t="s">
        <v>9</v>
      </c>
      <c r="H3645" s="33" t="n">
        <v>10</v>
      </c>
    </row>
    <row r="3646" customFormat="false" ht="54" hidden="false" customHeight="true" outlineLevel="0" collapsed="false">
      <c r="A3646" s="32" t="s">
        <v>14232</v>
      </c>
      <c r="B3646" s="32" t="s">
        <v>7709</v>
      </c>
      <c r="C3646" s="33" t="s">
        <v>1407</v>
      </c>
      <c r="D3646" s="33" t="s">
        <v>50</v>
      </c>
      <c r="E3646" s="33" t="s">
        <v>84</v>
      </c>
      <c r="F3646" s="33" t="s">
        <v>14218</v>
      </c>
      <c r="G3646" s="33" t="s">
        <v>9</v>
      </c>
      <c r="H3646" s="33" t="n">
        <v>10</v>
      </c>
    </row>
    <row r="3647" customFormat="false" ht="54" hidden="false" customHeight="true" outlineLevel="0" collapsed="false">
      <c r="A3647" s="32" t="s">
        <v>14233</v>
      </c>
      <c r="B3647" s="32" t="s">
        <v>7709</v>
      </c>
      <c r="C3647" s="33" t="s">
        <v>1407</v>
      </c>
      <c r="D3647" s="33" t="s">
        <v>50</v>
      </c>
      <c r="E3647" s="33" t="s">
        <v>84</v>
      </c>
      <c r="F3647" s="33" t="s">
        <v>14234</v>
      </c>
      <c r="G3647" s="33" t="s">
        <v>9</v>
      </c>
      <c r="H3647" s="33" t="n">
        <v>10</v>
      </c>
    </row>
    <row r="3648" customFormat="false" ht="54" hidden="false" customHeight="true" outlineLevel="0" collapsed="false">
      <c r="A3648" s="32" t="s">
        <v>14235</v>
      </c>
      <c r="B3648" s="32" t="s">
        <v>7709</v>
      </c>
      <c r="C3648" s="33" t="s">
        <v>1407</v>
      </c>
      <c r="D3648" s="33" t="s">
        <v>50</v>
      </c>
      <c r="E3648" s="33" t="s">
        <v>84</v>
      </c>
      <c r="F3648" s="33" t="s">
        <v>14236</v>
      </c>
      <c r="G3648" s="33" t="s">
        <v>9</v>
      </c>
      <c r="H3648" s="33" t="n">
        <v>10</v>
      </c>
    </row>
    <row r="3649" customFormat="false" ht="54" hidden="false" customHeight="true" outlineLevel="0" collapsed="false">
      <c r="A3649" s="32" t="s">
        <v>14237</v>
      </c>
      <c r="B3649" s="32" t="s">
        <v>7709</v>
      </c>
      <c r="C3649" s="33" t="s">
        <v>1407</v>
      </c>
      <c r="D3649" s="33" t="s">
        <v>50</v>
      </c>
      <c r="E3649" s="33" t="s">
        <v>84</v>
      </c>
      <c r="F3649" s="33" t="s">
        <v>14238</v>
      </c>
      <c r="G3649" s="33" t="s">
        <v>9</v>
      </c>
      <c r="H3649" s="33" t="n">
        <v>10</v>
      </c>
    </row>
    <row r="3650" customFormat="false" ht="54" hidden="false" customHeight="true" outlineLevel="0" collapsed="false">
      <c r="A3650" s="32" t="s">
        <v>14239</v>
      </c>
      <c r="B3650" s="32" t="s">
        <v>7725</v>
      </c>
      <c r="C3650" s="33" t="s">
        <v>1407</v>
      </c>
      <c r="D3650" s="33" t="s">
        <v>50</v>
      </c>
      <c r="E3650" s="33" t="s">
        <v>80</v>
      </c>
      <c r="F3650" s="33" t="s">
        <v>183</v>
      </c>
      <c r="G3650" s="33" t="s">
        <v>9</v>
      </c>
      <c r="H3650" s="33" t="n">
        <v>10</v>
      </c>
    </row>
    <row r="3651" customFormat="false" ht="54" hidden="false" customHeight="true" outlineLevel="0" collapsed="false">
      <c r="A3651" s="32" t="s">
        <v>14240</v>
      </c>
      <c r="B3651" s="32" t="s">
        <v>7725</v>
      </c>
      <c r="C3651" s="33" t="s">
        <v>1407</v>
      </c>
      <c r="D3651" s="33" t="s">
        <v>50</v>
      </c>
      <c r="E3651" s="33" t="s">
        <v>80</v>
      </c>
      <c r="F3651" s="33" t="s">
        <v>14241</v>
      </c>
      <c r="G3651" s="33" t="s">
        <v>9</v>
      </c>
      <c r="H3651" s="33" t="n">
        <v>10</v>
      </c>
    </row>
    <row r="3652" customFormat="false" ht="54" hidden="false" customHeight="true" outlineLevel="0" collapsed="false">
      <c r="A3652" s="32" t="s">
        <v>14242</v>
      </c>
      <c r="B3652" s="32" t="s">
        <v>7725</v>
      </c>
      <c r="C3652" s="33" t="s">
        <v>1407</v>
      </c>
      <c r="D3652" s="33" t="s">
        <v>50</v>
      </c>
      <c r="E3652" s="33" t="s">
        <v>80</v>
      </c>
      <c r="F3652" s="33" t="s">
        <v>14243</v>
      </c>
      <c r="G3652" s="33" t="s">
        <v>9</v>
      </c>
      <c r="H3652" s="33" t="n">
        <v>10</v>
      </c>
    </row>
    <row r="3653" customFormat="false" ht="54" hidden="false" customHeight="true" outlineLevel="0" collapsed="false">
      <c r="A3653" s="32" t="s">
        <v>14244</v>
      </c>
      <c r="B3653" s="32" t="s">
        <v>7725</v>
      </c>
      <c r="C3653" s="33" t="s">
        <v>1407</v>
      </c>
      <c r="D3653" s="33" t="s">
        <v>50</v>
      </c>
      <c r="E3653" s="33" t="s">
        <v>81</v>
      </c>
      <c r="F3653" s="33" t="s">
        <v>7729</v>
      </c>
      <c r="G3653" s="33" t="s">
        <v>9</v>
      </c>
      <c r="H3653" s="33" t="n">
        <v>10</v>
      </c>
    </row>
    <row r="3654" customFormat="false" ht="54" hidden="false" customHeight="true" outlineLevel="0" collapsed="false">
      <c r="A3654" s="32" t="s">
        <v>14245</v>
      </c>
      <c r="B3654" s="32" t="s">
        <v>7725</v>
      </c>
      <c r="C3654" s="33" t="s">
        <v>1407</v>
      </c>
      <c r="D3654" s="33" t="s">
        <v>50</v>
      </c>
      <c r="E3654" s="33" t="s">
        <v>81</v>
      </c>
      <c r="F3654" s="33" t="s">
        <v>2756</v>
      </c>
      <c r="G3654" s="33" t="s">
        <v>9</v>
      </c>
      <c r="H3654" s="33" t="n">
        <v>10</v>
      </c>
    </row>
    <row r="3655" customFormat="false" ht="54" hidden="false" customHeight="true" outlineLevel="0" collapsed="false">
      <c r="A3655" s="32" t="s">
        <v>14246</v>
      </c>
      <c r="B3655" s="32" t="s">
        <v>7725</v>
      </c>
      <c r="C3655" s="33" t="s">
        <v>1407</v>
      </c>
      <c r="D3655" s="33" t="s">
        <v>50</v>
      </c>
      <c r="E3655" s="33" t="s">
        <v>81</v>
      </c>
      <c r="F3655" s="33" t="s">
        <v>14241</v>
      </c>
      <c r="G3655" s="33" t="s">
        <v>9</v>
      </c>
      <c r="H3655" s="33" t="n">
        <v>10</v>
      </c>
    </row>
    <row r="3656" customFormat="false" ht="54" hidden="false" customHeight="true" outlineLevel="0" collapsed="false">
      <c r="A3656" s="32" t="s">
        <v>14247</v>
      </c>
      <c r="B3656" s="32" t="s">
        <v>7725</v>
      </c>
      <c r="C3656" s="33" t="s">
        <v>1407</v>
      </c>
      <c r="D3656" s="33" t="s">
        <v>50</v>
      </c>
      <c r="E3656" s="33" t="s">
        <v>81</v>
      </c>
      <c r="F3656" s="33" t="s">
        <v>14243</v>
      </c>
      <c r="G3656" s="33" t="s">
        <v>9</v>
      </c>
      <c r="H3656" s="33" t="n">
        <v>10</v>
      </c>
    </row>
    <row r="3657" customFormat="false" ht="54" hidden="false" customHeight="true" outlineLevel="0" collapsed="false">
      <c r="A3657" s="32" t="s">
        <v>14248</v>
      </c>
      <c r="B3657" s="32" t="s">
        <v>7725</v>
      </c>
      <c r="C3657" s="33" t="s">
        <v>1407</v>
      </c>
      <c r="D3657" s="33" t="s">
        <v>50</v>
      </c>
      <c r="E3657" s="33" t="s">
        <v>82</v>
      </c>
      <c r="F3657" s="33" t="s">
        <v>2756</v>
      </c>
      <c r="G3657" s="33" t="s">
        <v>9</v>
      </c>
      <c r="H3657" s="33" t="n">
        <v>10</v>
      </c>
    </row>
    <row r="3658" customFormat="false" ht="54" hidden="false" customHeight="true" outlineLevel="0" collapsed="false">
      <c r="A3658" s="32" t="s">
        <v>14249</v>
      </c>
      <c r="B3658" s="32" t="s">
        <v>7725</v>
      </c>
      <c r="C3658" s="33" t="s">
        <v>1407</v>
      </c>
      <c r="D3658" s="33" t="s">
        <v>50</v>
      </c>
      <c r="E3658" s="33" t="s">
        <v>82</v>
      </c>
      <c r="F3658" s="33" t="s">
        <v>14241</v>
      </c>
      <c r="G3658" s="33" t="s">
        <v>9</v>
      </c>
      <c r="H3658" s="33" t="n">
        <v>10</v>
      </c>
    </row>
    <row r="3659" customFormat="false" ht="54" hidden="false" customHeight="true" outlineLevel="0" collapsed="false">
      <c r="A3659" s="32" t="s">
        <v>14250</v>
      </c>
      <c r="B3659" s="32" t="s">
        <v>7725</v>
      </c>
      <c r="C3659" s="33" t="s">
        <v>1407</v>
      </c>
      <c r="D3659" s="33" t="s">
        <v>50</v>
      </c>
      <c r="E3659" s="33" t="s">
        <v>82</v>
      </c>
      <c r="F3659" s="33" t="s">
        <v>14251</v>
      </c>
      <c r="G3659" s="33" t="s">
        <v>9</v>
      </c>
      <c r="H3659" s="33" t="n">
        <v>10</v>
      </c>
    </row>
    <row r="3660" customFormat="false" ht="54" hidden="false" customHeight="true" outlineLevel="0" collapsed="false">
      <c r="A3660" s="32" t="s">
        <v>14252</v>
      </c>
      <c r="B3660" s="32" t="s">
        <v>7725</v>
      </c>
      <c r="C3660" s="33" t="s">
        <v>1407</v>
      </c>
      <c r="D3660" s="33" t="s">
        <v>50</v>
      </c>
      <c r="E3660" s="33" t="s">
        <v>82</v>
      </c>
      <c r="F3660" s="33" t="s">
        <v>14253</v>
      </c>
      <c r="G3660" s="33" t="s">
        <v>9</v>
      </c>
      <c r="H3660" s="33" t="n">
        <v>10</v>
      </c>
    </row>
    <row r="3661" customFormat="false" ht="54" hidden="false" customHeight="true" outlineLevel="0" collapsed="false">
      <c r="A3661" s="32" t="s">
        <v>14254</v>
      </c>
      <c r="B3661" s="32" t="s">
        <v>7725</v>
      </c>
      <c r="C3661" s="33" t="s">
        <v>1407</v>
      </c>
      <c r="D3661" s="33" t="s">
        <v>50</v>
      </c>
      <c r="E3661" s="33" t="s">
        <v>82</v>
      </c>
      <c r="F3661" s="33" t="s">
        <v>14255</v>
      </c>
      <c r="G3661" s="33" t="s">
        <v>9</v>
      </c>
      <c r="H3661" s="33" t="n">
        <v>10</v>
      </c>
    </row>
    <row r="3662" customFormat="false" ht="54" hidden="false" customHeight="true" outlineLevel="0" collapsed="false">
      <c r="A3662" s="32" t="s">
        <v>14256</v>
      </c>
      <c r="B3662" s="32" t="s">
        <v>7725</v>
      </c>
      <c r="C3662" s="33" t="s">
        <v>1407</v>
      </c>
      <c r="D3662" s="33" t="s">
        <v>50</v>
      </c>
      <c r="E3662" s="33" t="s">
        <v>84</v>
      </c>
      <c r="F3662" s="33" t="s">
        <v>183</v>
      </c>
      <c r="G3662" s="33" t="s">
        <v>9</v>
      </c>
      <c r="H3662" s="33" t="n">
        <v>10</v>
      </c>
    </row>
    <row r="3663" customFormat="false" ht="54" hidden="false" customHeight="true" outlineLevel="0" collapsed="false">
      <c r="A3663" s="32" t="s">
        <v>14257</v>
      </c>
      <c r="B3663" s="32" t="s">
        <v>7725</v>
      </c>
      <c r="C3663" s="33" t="s">
        <v>1407</v>
      </c>
      <c r="D3663" s="33" t="s">
        <v>50</v>
      </c>
      <c r="E3663" s="33" t="s">
        <v>84</v>
      </c>
      <c r="F3663" s="33" t="s">
        <v>14241</v>
      </c>
      <c r="G3663" s="33" t="s">
        <v>9</v>
      </c>
      <c r="H3663" s="33" t="n">
        <v>10</v>
      </c>
    </row>
    <row r="3664" customFormat="false" ht="54" hidden="false" customHeight="true" outlineLevel="0" collapsed="false">
      <c r="A3664" s="32" t="s">
        <v>14258</v>
      </c>
      <c r="B3664" s="32" t="s">
        <v>7725</v>
      </c>
      <c r="C3664" s="33" t="s">
        <v>1407</v>
      </c>
      <c r="D3664" s="33" t="s">
        <v>50</v>
      </c>
      <c r="E3664" s="33" t="s">
        <v>84</v>
      </c>
      <c r="F3664" s="33" t="s">
        <v>14251</v>
      </c>
      <c r="G3664" s="33" t="s">
        <v>9</v>
      </c>
      <c r="H3664" s="33" t="n">
        <v>10</v>
      </c>
    </row>
    <row r="3665" customFormat="false" ht="54" hidden="false" customHeight="true" outlineLevel="0" collapsed="false">
      <c r="A3665" s="32" t="s">
        <v>14259</v>
      </c>
      <c r="B3665" s="32" t="s">
        <v>7725</v>
      </c>
      <c r="C3665" s="33" t="s">
        <v>1407</v>
      </c>
      <c r="D3665" s="33" t="s">
        <v>50</v>
      </c>
      <c r="E3665" s="33" t="s">
        <v>84</v>
      </c>
      <c r="F3665" s="33" t="s">
        <v>14253</v>
      </c>
      <c r="G3665" s="33" t="s">
        <v>9</v>
      </c>
      <c r="H3665" s="33" t="n">
        <v>10</v>
      </c>
    </row>
    <row r="3666" customFormat="false" ht="54" hidden="false" customHeight="true" outlineLevel="0" collapsed="false">
      <c r="A3666" s="32" t="s">
        <v>14260</v>
      </c>
      <c r="B3666" s="32" t="s">
        <v>2604</v>
      </c>
      <c r="C3666" s="33" t="s">
        <v>1407</v>
      </c>
      <c r="D3666" s="33" t="s">
        <v>50</v>
      </c>
      <c r="E3666" s="33" t="s">
        <v>80</v>
      </c>
      <c r="F3666" s="33" t="s">
        <v>183</v>
      </c>
      <c r="G3666" s="33" t="s">
        <v>9</v>
      </c>
      <c r="H3666" s="33" t="n">
        <v>10</v>
      </c>
    </row>
    <row r="3667" customFormat="false" ht="54" hidden="false" customHeight="true" outlineLevel="0" collapsed="false">
      <c r="A3667" s="32" t="s">
        <v>14261</v>
      </c>
      <c r="B3667" s="32" t="s">
        <v>2604</v>
      </c>
      <c r="C3667" s="33" t="s">
        <v>1407</v>
      </c>
      <c r="D3667" s="33" t="s">
        <v>50</v>
      </c>
      <c r="E3667" s="33" t="s">
        <v>80</v>
      </c>
      <c r="F3667" s="33" t="s">
        <v>14262</v>
      </c>
      <c r="G3667" s="33" t="s">
        <v>9</v>
      </c>
      <c r="H3667" s="33" t="n">
        <v>10</v>
      </c>
    </row>
    <row r="3668" customFormat="false" ht="54" hidden="false" customHeight="true" outlineLevel="0" collapsed="false">
      <c r="A3668" s="32" t="s">
        <v>14263</v>
      </c>
      <c r="B3668" s="32" t="s">
        <v>2604</v>
      </c>
      <c r="C3668" s="33" t="s">
        <v>1407</v>
      </c>
      <c r="D3668" s="33" t="s">
        <v>50</v>
      </c>
      <c r="E3668" s="33" t="s">
        <v>80</v>
      </c>
      <c r="F3668" s="33" t="s">
        <v>14264</v>
      </c>
      <c r="G3668" s="33" t="s">
        <v>9</v>
      </c>
      <c r="H3668" s="33" t="n">
        <v>10</v>
      </c>
    </row>
    <row r="3669" customFormat="false" ht="54" hidden="false" customHeight="true" outlineLevel="0" collapsed="false">
      <c r="A3669" s="32" t="s">
        <v>14265</v>
      </c>
      <c r="B3669" s="32" t="s">
        <v>2604</v>
      </c>
      <c r="C3669" s="33" t="s">
        <v>1407</v>
      </c>
      <c r="D3669" s="33" t="s">
        <v>50</v>
      </c>
      <c r="E3669" s="33" t="s">
        <v>82</v>
      </c>
      <c r="F3669" s="33" t="s">
        <v>7745</v>
      </c>
      <c r="G3669" s="33" t="s">
        <v>9</v>
      </c>
      <c r="H3669" s="33" t="n">
        <v>10</v>
      </c>
    </row>
    <row r="3670" customFormat="false" ht="54" hidden="false" customHeight="true" outlineLevel="0" collapsed="false">
      <c r="A3670" s="32" t="s">
        <v>14266</v>
      </c>
      <c r="B3670" s="32" t="s">
        <v>2604</v>
      </c>
      <c r="C3670" s="33" t="s">
        <v>1407</v>
      </c>
      <c r="D3670" s="33" t="s">
        <v>50</v>
      </c>
      <c r="E3670" s="33" t="s">
        <v>84</v>
      </c>
      <c r="F3670" s="33" t="s">
        <v>7743</v>
      </c>
      <c r="G3670" s="33" t="s">
        <v>9</v>
      </c>
      <c r="H3670" s="33" t="n">
        <v>10</v>
      </c>
    </row>
    <row r="3671" customFormat="false" ht="54" hidden="false" customHeight="true" outlineLevel="0" collapsed="false">
      <c r="A3671" s="32" t="s">
        <v>14267</v>
      </c>
      <c r="B3671" s="32" t="s">
        <v>2604</v>
      </c>
      <c r="C3671" s="33" t="s">
        <v>1407</v>
      </c>
      <c r="D3671" s="33" t="s">
        <v>50</v>
      </c>
      <c r="E3671" s="33" t="s">
        <v>84</v>
      </c>
      <c r="F3671" s="33" t="s">
        <v>183</v>
      </c>
      <c r="G3671" s="33" t="s">
        <v>9</v>
      </c>
      <c r="H3671" s="33" t="n">
        <v>10</v>
      </c>
    </row>
    <row r="3672" customFormat="false" ht="54" hidden="false" customHeight="true" outlineLevel="0" collapsed="false">
      <c r="A3672" s="32" t="s">
        <v>14268</v>
      </c>
      <c r="B3672" s="32" t="s">
        <v>2604</v>
      </c>
      <c r="C3672" s="33" t="s">
        <v>1407</v>
      </c>
      <c r="D3672" s="33" t="s">
        <v>50</v>
      </c>
      <c r="E3672" s="33" t="s">
        <v>84</v>
      </c>
      <c r="F3672" s="33" t="s">
        <v>14269</v>
      </c>
      <c r="G3672" s="33" t="s">
        <v>9</v>
      </c>
      <c r="H3672" s="33" t="n">
        <v>10</v>
      </c>
    </row>
    <row r="3673" customFormat="false" ht="54" hidden="false" customHeight="true" outlineLevel="0" collapsed="false">
      <c r="A3673" s="32" t="s">
        <v>14270</v>
      </c>
      <c r="B3673" s="32" t="s">
        <v>2604</v>
      </c>
      <c r="C3673" s="33" t="s">
        <v>1407</v>
      </c>
      <c r="D3673" s="33" t="s">
        <v>50</v>
      </c>
      <c r="E3673" s="33" t="s">
        <v>84</v>
      </c>
      <c r="F3673" s="33" t="s">
        <v>14271</v>
      </c>
      <c r="G3673" s="33" t="s">
        <v>9</v>
      </c>
      <c r="H3673" s="33" t="n">
        <v>10</v>
      </c>
    </row>
    <row r="3674" customFormat="false" ht="54" hidden="false" customHeight="true" outlineLevel="0" collapsed="false">
      <c r="A3674" s="32" t="s">
        <v>14272</v>
      </c>
      <c r="B3674" s="32" t="s">
        <v>2604</v>
      </c>
      <c r="C3674" s="33" t="s">
        <v>1407</v>
      </c>
      <c r="D3674" s="33" t="s">
        <v>50</v>
      </c>
      <c r="E3674" s="33" t="s">
        <v>84</v>
      </c>
      <c r="F3674" s="33" t="s">
        <v>14273</v>
      </c>
      <c r="G3674" s="33" t="s">
        <v>9</v>
      </c>
      <c r="H3674" s="33" t="n">
        <v>10</v>
      </c>
    </row>
    <row r="3675" customFormat="false" ht="54" hidden="false" customHeight="true" outlineLevel="0" collapsed="false">
      <c r="A3675" s="32" t="s">
        <v>14274</v>
      </c>
      <c r="B3675" s="32" t="s">
        <v>2604</v>
      </c>
      <c r="C3675" s="33" t="s">
        <v>1407</v>
      </c>
      <c r="D3675" s="33" t="s">
        <v>50</v>
      </c>
      <c r="E3675" s="33" t="s">
        <v>84</v>
      </c>
      <c r="F3675" s="33" t="s">
        <v>14262</v>
      </c>
      <c r="G3675" s="33" t="s">
        <v>9</v>
      </c>
      <c r="H3675" s="33" t="n">
        <v>10</v>
      </c>
    </row>
    <row r="3676" customFormat="false" ht="54" hidden="false" customHeight="true" outlineLevel="0" collapsed="false">
      <c r="A3676" s="32" t="s">
        <v>14275</v>
      </c>
      <c r="B3676" s="32" t="s">
        <v>7752</v>
      </c>
      <c r="C3676" s="33" t="s">
        <v>1407</v>
      </c>
      <c r="D3676" s="33" t="s">
        <v>50</v>
      </c>
      <c r="E3676" s="33" t="s">
        <v>80</v>
      </c>
      <c r="F3676" s="33" t="s">
        <v>183</v>
      </c>
      <c r="G3676" s="33" t="s">
        <v>9</v>
      </c>
      <c r="H3676" s="33" t="n">
        <v>10</v>
      </c>
    </row>
    <row r="3677" customFormat="false" ht="54" hidden="false" customHeight="true" outlineLevel="0" collapsed="false">
      <c r="A3677" s="32" t="s">
        <v>14276</v>
      </c>
      <c r="B3677" s="32" t="s">
        <v>7752</v>
      </c>
      <c r="C3677" s="33" t="s">
        <v>1407</v>
      </c>
      <c r="D3677" s="33" t="s">
        <v>50</v>
      </c>
      <c r="E3677" s="33" t="s">
        <v>81</v>
      </c>
      <c r="F3677" s="33" t="s">
        <v>7757</v>
      </c>
      <c r="G3677" s="33" t="s">
        <v>9</v>
      </c>
      <c r="H3677" s="33" t="n">
        <v>10</v>
      </c>
    </row>
    <row r="3678" customFormat="false" ht="54" hidden="false" customHeight="true" outlineLevel="0" collapsed="false">
      <c r="A3678" s="32" t="s">
        <v>14277</v>
      </c>
      <c r="B3678" s="32" t="s">
        <v>7752</v>
      </c>
      <c r="C3678" s="33" t="s">
        <v>1407</v>
      </c>
      <c r="D3678" s="33" t="s">
        <v>50</v>
      </c>
      <c r="E3678" s="33" t="s">
        <v>84</v>
      </c>
      <c r="F3678" s="33" t="s">
        <v>183</v>
      </c>
      <c r="G3678" s="33" t="s">
        <v>9</v>
      </c>
      <c r="H3678" s="33" t="n">
        <v>10</v>
      </c>
    </row>
    <row r="3679" customFormat="false" ht="54" hidden="false" customHeight="true" outlineLevel="0" collapsed="false">
      <c r="A3679" s="32" t="s">
        <v>14278</v>
      </c>
      <c r="B3679" s="32" t="s">
        <v>7763</v>
      </c>
      <c r="C3679" s="33" t="s">
        <v>1407</v>
      </c>
      <c r="D3679" s="33" t="s">
        <v>50</v>
      </c>
      <c r="E3679" s="33" t="s">
        <v>80</v>
      </c>
      <c r="F3679" s="33" t="s">
        <v>183</v>
      </c>
      <c r="G3679" s="33" t="s">
        <v>9</v>
      </c>
      <c r="H3679" s="33" t="n">
        <v>10</v>
      </c>
    </row>
    <row r="3680" customFormat="false" ht="54" hidden="false" customHeight="true" outlineLevel="0" collapsed="false">
      <c r="A3680" s="32" t="s">
        <v>14279</v>
      </c>
      <c r="B3680" s="32" t="s">
        <v>7763</v>
      </c>
      <c r="C3680" s="33" t="s">
        <v>1407</v>
      </c>
      <c r="D3680" s="33" t="s">
        <v>50</v>
      </c>
      <c r="E3680" s="33" t="s">
        <v>80</v>
      </c>
      <c r="F3680" s="33" t="s">
        <v>14280</v>
      </c>
      <c r="G3680" s="33" t="s">
        <v>9</v>
      </c>
      <c r="H3680" s="33" t="n">
        <v>10</v>
      </c>
    </row>
    <row r="3681" customFormat="false" ht="54" hidden="false" customHeight="true" outlineLevel="0" collapsed="false">
      <c r="A3681" s="32" t="s">
        <v>14281</v>
      </c>
      <c r="B3681" s="32" t="s">
        <v>7763</v>
      </c>
      <c r="C3681" s="33" t="s">
        <v>1407</v>
      </c>
      <c r="D3681" s="33" t="s">
        <v>50</v>
      </c>
      <c r="E3681" s="33" t="s">
        <v>81</v>
      </c>
      <c r="F3681" s="33" t="s">
        <v>7767</v>
      </c>
      <c r="G3681" s="33" t="s">
        <v>9</v>
      </c>
      <c r="H3681" s="33" t="n">
        <v>10</v>
      </c>
    </row>
    <row r="3682" customFormat="false" ht="54" hidden="false" customHeight="true" outlineLevel="0" collapsed="false">
      <c r="A3682" s="32" t="s">
        <v>14282</v>
      </c>
      <c r="B3682" s="32" t="s">
        <v>7763</v>
      </c>
      <c r="C3682" s="33" t="s">
        <v>1407</v>
      </c>
      <c r="D3682" s="33" t="s">
        <v>50</v>
      </c>
      <c r="E3682" s="33" t="s">
        <v>84</v>
      </c>
      <c r="F3682" s="33" t="s">
        <v>183</v>
      </c>
      <c r="G3682" s="33" t="s">
        <v>9</v>
      </c>
      <c r="H3682" s="33" t="n">
        <v>10</v>
      </c>
    </row>
    <row r="3683" customFormat="false" ht="54" hidden="false" customHeight="true" outlineLevel="0" collapsed="false">
      <c r="A3683" s="32" t="s">
        <v>14283</v>
      </c>
      <c r="B3683" s="32" t="s">
        <v>7773</v>
      </c>
      <c r="C3683" s="33" t="s">
        <v>1407</v>
      </c>
      <c r="D3683" s="33" t="s">
        <v>50</v>
      </c>
      <c r="E3683" s="33" t="s">
        <v>80</v>
      </c>
      <c r="F3683" s="33" t="s">
        <v>183</v>
      </c>
      <c r="G3683" s="33" t="s">
        <v>9</v>
      </c>
      <c r="H3683" s="33" t="n">
        <v>10</v>
      </c>
    </row>
    <row r="3684" customFormat="false" ht="54" hidden="false" customHeight="true" outlineLevel="0" collapsed="false">
      <c r="A3684" s="32" t="s">
        <v>14284</v>
      </c>
      <c r="B3684" s="32" t="s">
        <v>7773</v>
      </c>
      <c r="C3684" s="33" t="s">
        <v>1407</v>
      </c>
      <c r="D3684" s="33" t="s">
        <v>50</v>
      </c>
      <c r="E3684" s="33" t="s">
        <v>81</v>
      </c>
      <c r="F3684" s="33" t="s">
        <v>14285</v>
      </c>
      <c r="G3684" s="33" t="s">
        <v>9</v>
      </c>
      <c r="H3684" s="33" t="n">
        <v>10</v>
      </c>
    </row>
    <row r="3685" customFormat="false" ht="54" hidden="false" customHeight="true" outlineLevel="0" collapsed="false">
      <c r="A3685" s="32" t="s">
        <v>14286</v>
      </c>
      <c r="B3685" s="32" t="s">
        <v>7773</v>
      </c>
      <c r="C3685" s="33" t="s">
        <v>1407</v>
      </c>
      <c r="D3685" s="33" t="s">
        <v>50</v>
      </c>
      <c r="E3685" s="33" t="s">
        <v>81</v>
      </c>
      <c r="F3685" s="33" t="s">
        <v>14287</v>
      </c>
      <c r="G3685" s="33" t="s">
        <v>9</v>
      </c>
      <c r="H3685" s="33" t="n">
        <v>10</v>
      </c>
    </row>
    <row r="3686" customFormat="false" ht="54" hidden="false" customHeight="true" outlineLevel="0" collapsed="false">
      <c r="A3686" s="32" t="s">
        <v>14288</v>
      </c>
      <c r="B3686" s="32" t="s">
        <v>7773</v>
      </c>
      <c r="C3686" s="33" t="s">
        <v>1407</v>
      </c>
      <c r="D3686" s="33" t="s">
        <v>50</v>
      </c>
      <c r="E3686" s="33" t="s">
        <v>81</v>
      </c>
      <c r="F3686" s="33" t="s">
        <v>14289</v>
      </c>
      <c r="G3686" s="33" t="s">
        <v>9</v>
      </c>
      <c r="H3686" s="33" t="n">
        <v>10</v>
      </c>
    </row>
    <row r="3687" customFormat="false" ht="54" hidden="false" customHeight="true" outlineLevel="0" collapsed="false">
      <c r="A3687" s="32" t="s">
        <v>14290</v>
      </c>
      <c r="B3687" s="32" t="s">
        <v>7773</v>
      </c>
      <c r="C3687" s="33" t="s">
        <v>1407</v>
      </c>
      <c r="D3687" s="33" t="s">
        <v>50</v>
      </c>
      <c r="E3687" s="33" t="s">
        <v>81</v>
      </c>
      <c r="F3687" s="33" t="s">
        <v>14291</v>
      </c>
      <c r="G3687" s="33" t="s">
        <v>9</v>
      </c>
      <c r="H3687" s="33" t="n">
        <v>10</v>
      </c>
    </row>
    <row r="3688" customFormat="false" ht="54" hidden="false" customHeight="true" outlineLevel="0" collapsed="false">
      <c r="A3688" s="32" t="s">
        <v>14292</v>
      </c>
      <c r="B3688" s="32" t="s">
        <v>7773</v>
      </c>
      <c r="C3688" s="33" t="s">
        <v>1407</v>
      </c>
      <c r="D3688" s="33" t="s">
        <v>50</v>
      </c>
      <c r="E3688" s="33" t="s">
        <v>81</v>
      </c>
      <c r="F3688" s="33" t="s">
        <v>7780</v>
      </c>
      <c r="G3688" s="33" t="s">
        <v>9</v>
      </c>
      <c r="H3688" s="33" t="n">
        <v>10</v>
      </c>
    </row>
    <row r="3689" customFormat="false" ht="54" hidden="false" customHeight="true" outlineLevel="0" collapsed="false">
      <c r="A3689" s="32" t="s">
        <v>14293</v>
      </c>
      <c r="B3689" s="32" t="s">
        <v>7773</v>
      </c>
      <c r="C3689" s="33" t="s">
        <v>1407</v>
      </c>
      <c r="D3689" s="33" t="s">
        <v>50</v>
      </c>
      <c r="E3689" s="33" t="s">
        <v>82</v>
      </c>
      <c r="F3689" s="33" t="s">
        <v>14285</v>
      </c>
      <c r="G3689" s="33" t="s">
        <v>9</v>
      </c>
      <c r="H3689" s="33" t="n">
        <v>10</v>
      </c>
    </row>
    <row r="3690" customFormat="false" ht="54" hidden="false" customHeight="true" outlineLevel="0" collapsed="false">
      <c r="A3690" s="32" t="s">
        <v>14294</v>
      </c>
      <c r="B3690" s="32" t="s">
        <v>7773</v>
      </c>
      <c r="C3690" s="33" t="s">
        <v>1407</v>
      </c>
      <c r="D3690" s="33" t="s">
        <v>50</v>
      </c>
      <c r="E3690" s="33" t="s">
        <v>82</v>
      </c>
      <c r="F3690" s="33" t="s">
        <v>14287</v>
      </c>
      <c r="G3690" s="33" t="s">
        <v>9</v>
      </c>
      <c r="H3690" s="33" t="n">
        <v>10</v>
      </c>
    </row>
    <row r="3691" customFormat="false" ht="54" hidden="false" customHeight="true" outlineLevel="0" collapsed="false">
      <c r="A3691" s="32" t="s">
        <v>14295</v>
      </c>
      <c r="B3691" s="32" t="s">
        <v>7773</v>
      </c>
      <c r="C3691" s="33" t="s">
        <v>1407</v>
      </c>
      <c r="D3691" s="33" t="s">
        <v>50</v>
      </c>
      <c r="E3691" s="33" t="s">
        <v>83</v>
      </c>
      <c r="F3691" s="33" t="s">
        <v>7784</v>
      </c>
      <c r="G3691" s="33" t="s">
        <v>9</v>
      </c>
      <c r="H3691" s="33" t="n">
        <v>10</v>
      </c>
    </row>
    <row r="3692" customFormat="false" ht="54" hidden="false" customHeight="true" outlineLevel="0" collapsed="false">
      <c r="A3692" s="32" t="s">
        <v>14296</v>
      </c>
      <c r="B3692" s="32" t="s">
        <v>7773</v>
      </c>
      <c r="C3692" s="33" t="s">
        <v>1407</v>
      </c>
      <c r="D3692" s="33" t="s">
        <v>50</v>
      </c>
      <c r="E3692" s="33" t="s">
        <v>84</v>
      </c>
      <c r="F3692" s="33" t="s">
        <v>7776</v>
      </c>
      <c r="G3692" s="33" t="s">
        <v>9</v>
      </c>
      <c r="H3692" s="33" t="n">
        <v>10</v>
      </c>
    </row>
    <row r="3693" customFormat="false" ht="54" hidden="false" customHeight="true" outlineLevel="0" collapsed="false">
      <c r="A3693" s="32" t="s">
        <v>14297</v>
      </c>
      <c r="B3693" s="32" t="s">
        <v>7773</v>
      </c>
      <c r="C3693" s="33" t="s">
        <v>1407</v>
      </c>
      <c r="D3693" s="33" t="s">
        <v>50</v>
      </c>
      <c r="E3693" s="33" t="s">
        <v>84</v>
      </c>
      <c r="F3693" s="33" t="s">
        <v>14298</v>
      </c>
      <c r="G3693" s="33" t="s">
        <v>9</v>
      </c>
      <c r="H3693" s="33" t="n">
        <v>10</v>
      </c>
    </row>
    <row r="3694" customFormat="false" ht="54" hidden="false" customHeight="true" outlineLevel="0" collapsed="false">
      <c r="A3694" s="32" t="s">
        <v>14299</v>
      </c>
      <c r="B3694" s="32" t="s">
        <v>7773</v>
      </c>
      <c r="C3694" s="33" t="s">
        <v>1407</v>
      </c>
      <c r="D3694" s="33" t="s">
        <v>50</v>
      </c>
      <c r="E3694" s="33" t="s">
        <v>84</v>
      </c>
      <c r="F3694" s="33" t="s">
        <v>14285</v>
      </c>
      <c r="G3694" s="33" t="s">
        <v>9</v>
      </c>
      <c r="H3694" s="33" t="n">
        <v>10</v>
      </c>
    </row>
    <row r="3695" customFormat="false" ht="54" hidden="false" customHeight="true" outlineLevel="0" collapsed="false">
      <c r="A3695" s="32" t="s">
        <v>14300</v>
      </c>
      <c r="B3695" s="32" t="s">
        <v>7773</v>
      </c>
      <c r="C3695" s="33" t="s">
        <v>1407</v>
      </c>
      <c r="D3695" s="33" t="s">
        <v>50</v>
      </c>
      <c r="E3695" s="33" t="s">
        <v>84</v>
      </c>
      <c r="F3695" s="33" t="s">
        <v>183</v>
      </c>
      <c r="G3695" s="33" t="s">
        <v>9</v>
      </c>
      <c r="H3695" s="33" t="n">
        <v>10</v>
      </c>
    </row>
    <row r="3696" customFormat="false" ht="54" hidden="false" customHeight="true" outlineLevel="0" collapsed="false">
      <c r="A3696" s="32" t="s">
        <v>14301</v>
      </c>
      <c r="B3696" s="32" t="s">
        <v>7773</v>
      </c>
      <c r="C3696" s="33" t="s">
        <v>1407</v>
      </c>
      <c r="D3696" s="33" t="s">
        <v>50</v>
      </c>
      <c r="E3696" s="33" t="s">
        <v>84</v>
      </c>
      <c r="F3696" s="33" t="s">
        <v>14287</v>
      </c>
      <c r="G3696" s="33" t="s">
        <v>9</v>
      </c>
      <c r="H3696" s="33" t="n">
        <v>10</v>
      </c>
    </row>
    <row r="3697" customFormat="false" ht="54" hidden="false" customHeight="true" outlineLevel="0" collapsed="false">
      <c r="A3697" s="32" t="s">
        <v>14302</v>
      </c>
      <c r="B3697" s="32" t="s">
        <v>7773</v>
      </c>
      <c r="C3697" s="33" t="s">
        <v>1407</v>
      </c>
      <c r="D3697" s="33" t="s">
        <v>50</v>
      </c>
      <c r="E3697" s="33" t="s">
        <v>84</v>
      </c>
      <c r="F3697" s="33" t="s">
        <v>7780</v>
      </c>
      <c r="G3697" s="33" t="s">
        <v>9</v>
      </c>
      <c r="H3697" s="33" t="n">
        <v>10</v>
      </c>
    </row>
    <row r="3698" customFormat="false" ht="54" hidden="false" customHeight="true" outlineLevel="0" collapsed="false">
      <c r="A3698" s="32" t="s">
        <v>14303</v>
      </c>
      <c r="B3698" s="32" t="s">
        <v>7787</v>
      </c>
      <c r="C3698" s="33" t="s">
        <v>1407</v>
      </c>
      <c r="D3698" s="33" t="s">
        <v>50</v>
      </c>
      <c r="E3698" s="33" t="s">
        <v>80</v>
      </c>
      <c r="F3698" s="33" t="s">
        <v>183</v>
      </c>
      <c r="G3698" s="33" t="s">
        <v>12</v>
      </c>
      <c r="H3698" s="33" t="n">
        <v>10</v>
      </c>
    </row>
    <row r="3699" customFormat="false" ht="54" hidden="false" customHeight="true" outlineLevel="0" collapsed="false">
      <c r="A3699" s="32" t="s">
        <v>14304</v>
      </c>
      <c r="B3699" s="32" t="s">
        <v>7787</v>
      </c>
      <c r="C3699" s="33" t="s">
        <v>1407</v>
      </c>
      <c r="D3699" s="33" t="s">
        <v>50</v>
      </c>
      <c r="E3699" s="33" t="s">
        <v>80</v>
      </c>
      <c r="F3699" s="33" t="s">
        <v>14305</v>
      </c>
      <c r="G3699" s="33" t="s">
        <v>12</v>
      </c>
      <c r="H3699" s="33" t="n">
        <v>10</v>
      </c>
    </row>
    <row r="3700" customFormat="false" ht="54" hidden="false" customHeight="true" outlineLevel="0" collapsed="false">
      <c r="A3700" s="32" t="s">
        <v>14306</v>
      </c>
      <c r="B3700" s="32" t="s">
        <v>7787</v>
      </c>
      <c r="C3700" s="33" t="s">
        <v>1407</v>
      </c>
      <c r="D3700" s="33" t="s">
        <v>50</v>
      </c>
      <c r="E3700" s="33" t="s">
        <v>80</v>
      </c>
      <c r="F3700" s="33" t="s">
        <v>14307</v>
      </c>
      <c r="G3700" s="33" t="s">
        <v>12</v>
      </c>
      <c r="H3700" s="33" t="n">
        <v>10</v>
      </c>
    </row>
    <row r="3701" customFormat="false" ht="54" hidden="false" customHeight="true" outlineLevel="0" collapsed="false">
      <c r="A3701" s="32" t="s">
        <v>14308</v>
      </c>
      <c r="B3701" s="32" t="s">
        <v>7787</v>
      </c>
      <c r="C3701" s="33" t="s">
        <v>1407</v>
      </c>
      <c r="D3701" s="33" t="s">
        <v>50</v>
      </c>
      <c r="E3701" s="33" t="s">
        <v>80</v>
      </c>
      <c r="F3701" s="33" t="s">
        <v>14309</v>
      </c>
      <c r="G3701" s="33" t="s">
        <v>12</v>
      </c>
      <c r="H3701" s="33" t="n">
        <v>10</v>
      </c>
    </row>
    <row r="3702" customFormat="false" ht="54" hidden="false" customHeight="true" outlineLevel="0" collapsed="false">
      <c r="A3702" s="32" t="s">
        <v>14310</v>
      </c>
      <c r="B3702" s="32" t="s">
        <v>7787</v>
      </c>
      <c r="C3702" s="33" t="s">
        <v>1407</v>
      </c>
      <c r="D3702" s="33" t="s">
        <v>50</v>
      </c>
      <c r="E3702" s="33" t="s">
        <v>81</v>
      </c>
      <c r="F3702" s="33" t="s">
        <v>7790</v>
      </c>
      <c r="G3702" s="33" t="s">
        <v>12</v>
      </c>
      <c r="H3702" s="33" t="n">
        <v>10</v>
      </c>
    </row>
    <row r="3703" customFormat="false" ht="54" hidden="false" customHeight="true" outlineLevel="0" collapsed="false">
      <c r="A3703" s="32" t="s">
        <v>14311</v>
      </c>
      <c r="B3703" s="32" t="s">
        <v>7787</v>
      </c>
      <c r="C3703" s="33" t="s">
        <v>1407</v>
      </c>
      <c r="D3703" s="33" t="s">
        <v>50</v>
      </c>
      <c r="E3703" s="33" t="s">
        <v>84</v>
      </c>
      <c r="F3703" s="33" t="s">
        <v>183</v>
      </c>
      <c r="G3703" s="33" t="s">
        <v>12</v>
      </c>
      <c r="H3703" s="33" t="n">
        <v>10</v>
      </c>
    </row>
    <row r="3704" customFormat="false" ht="54" hidden="false" customHeight="true" outlineLevel="0" collapsed="false">
      <c r="A3704" s="32" t="s">
        <v>14312</v>
      </c>
      <c r="B3704" s="32" t="s">
        <v>7787</v>
      </c>
      <c r="C3704" s="33" t="s">
        <v>1407</v>
      </c>
      <c r="D3704" s="33" t="s">
        <v>50</v>
      </c>
      <c r="E3704" s="33" t="s">
        <v>84</v>
      </c>
      <c r="F3704" s="33" t="s">
        <v>14305</v>
      </c>
      <c r="G3704" s="33" t="s">
        <v>12</v>
      </c>
      <c r="H3704" s="33" t="n">
        <v>10</v>
      </c>
    </row>
    <row r="3705" customFormat="false" ht="54" hidden="false" customHeight="true" outlineLevel="0" collapsed="false">
      <c r="A3705" s="32" t="s">
        <v>14313</v>
      </c>
      <c r="B3705" s="32" t="s">
        <v>7787</v>
      </c>
      <c r="C3705" s="33" t="s">
        <v>1407</v>
      </c>
      <c r="D3705" s="33" t="s">
        <v>50</v>
      </c>
      <c r="E3705" s="33" t="s">
        <v>84</v>
      </c>
      <c r="F3705" s="33" t="s">
        <v>14307</v>
      </c>
      <c r="G3705" s="33" t="s">
        <v>12</v>
      </c>
      <c r="H3705" s="33" t="n">
        <v>10</v>
      </c>
    </row>
    <row r="3706" customFormat="false" ht="54" hidden="false" customHeight="true" outlineLevel="0" collapsed="false">
      <c r="A3706" s="32" t="s">
        <v>14314</v>
      </c>
      <c r="B3706" s="32" t="s">
        <v>7787</v>
      </c>
      <c r="C3706" s="33" t="s">
        <v>1407</v>
      </c>
      <c r="D3706" s="33" t="s">
        <v>50</v>
      </c>
      <c r="E3706" s="33" t="s">
        <v>84</v>
      </c>
      <c r="F3706" s="33" t="s">
        <v>14315</v>
      </c>
      <c r="G3706" s="33" t="s">
        <v>12</v>
      </c>
      <c r="H3706" s="33" t="n">
        <v>10</v>
      </c>
    </row>
    <row r="3707" customFormat="false" ht="54" hidden="false" customHeight="true" outlineLevel="0" collapsed="false">
      <c r="A3707" s="32" t="s">
        <v>14316</v>
      </c>
      <c r="B3707" s="32" t="s">
        <v>7798</v>
      </c>
      <c r="C3707" s="33" t="s">
        <v>1407</v>
      </c>
      <c r="D3707" s="33" t="s">
        <v>50</v>
      </c>
      <c r="E3707" s="33" t="s">
        <v>80</v>
      </c>
      <c r="F3707" s="33" t="s">
        <v>7802</v>
      </c>
      <c r="G3707" s="33" t="s">
        <v>9</v>
      </c>
      <c r="H3707" s="33" t="n">
        <v>10</v>
      </c>
    </row>
    <row r="3708" customFormat="false" ht="54" hidden="false" customHeight="true" outlineLevel="0" collapsed="false">
      <c r="A3708" s="32" t="s">
        <v>14317</v>
      </c>
      <c r="B3708" s="32" t="s">
        <v>7798</v>
      </c>
      <c r="C3708" s="33" t="s">
        <v>1407</v>
      </c>
      <c r="D3708" s="33" t="s">
        <v>50</v>
      </c>
      <c r="E3708" s="33" t="s">
        <v>80</v>
      </c>
      <c r="F3708" s="33" t="s">
        <v>7803</v>
      </c>
      <c r="G3708" s="33" t="s">
        <v>9</v>
      </c>
      <c r="H3708" s="33" t="n">
        <v>10</v>
      </c>
    </row>
    <row r="3709" customFormat="false" ht="54" hidden="false" customHeight="true" outlineLevel="0" collapsed="false">
      <c r="A3709" s="32" t="s">
        <v>14318</v>
      </c>
      <c r="B3709" s="32" t="s">
        <v>7798</v>
      </c>
      <c r="C3709" s="33" t="s">
        <v>1407</v>
      </c>
      <c r="D3709" s="33" t="s">
        <v>50</v>
      </c>
      <c r="E3709" s="33" t="s">
        <v>80</v>
      </c>
      <c r="F3709" s="33" t="s">
        <v>14319</v>
      </c>
      <c r="G3709" s="33" t="s">
        <v>9</v>
      </c>
      <c r="H3709" s="33" t="n">
        <v>10</v>
      </c>
    </row>
    <row r="3710" customFormat="false" ht="54" hidden="false" customHeight="true" outlineLevel="0" collapsed="false">
      <c r="A3710" s="32" t="s">
        <v>14320</v>
      </c>
      <c r="B3710" s="32" t="s">
        <v>7798</v>
      </c>
      <c r="C3710" s="33" t="s">
        <v>1407</v>
      </c>
      <c r="D3710" s="33" t="s">
        <v>50</v>
      </c>
      <c r="E3710" s="33" t="s">
        <v>80</v>
      </c>
      <c r="F3710" s="33" t="s">
        <v>183</v>
      </c>
      <c r="G3710" s="33" t="s">
        <v>9</v>
      </c>
      <c r="H3710" s="33" t="n">
        <v>10</v>
      </c>
    </row>
    <row r="3711" customFormat="false" ht="54" hidden="false" customHeight="true" outlineLevel="0" collapsed="false">
      <c r="A3711" s="32" t="s">
        <v>14321</v>
      </c>
      <c r="B3711" s="32" t="s">
        <v>7798</v>
      </c>
      <c r="C3711" s="33" t="s">
        <v>1407</v>
      </c>
      <c r="D3711" s="33" t="s">
        <v>50</v>
      </c>
      <c r="E3711" s="33" t="s">
        <v>80</v>
      </c>
      <c r="F3711" s="33" t="s">
        <v>14322</v>
      </c>
      <c r="G3711" s="33" t="s">
        <v>9</v>
      </c>
      <c r="H3711" s="33" t="n">
        <v>10</v>
      </c>
    </row>
    <row r="3712" customFormat="false" ht="54" hidden="false" customHeight="true" outlineLevel="0" collapsed="false">
      <c r="A3712" s="32" t="s">
        <v>14323</v>
      </c>
      <c r="B3712" s="32" t="s">
        <v>7798</v>
      </c>
      <c r="C3712" s="33" t="s">
        <v>1407</v>
      </c>
      <c r="D3712" s="33" t="s">
        <v>50</v>
      </c>
      <c r="E3712" s="33" t="s">
        <v>81</v>
      </c>
      <c r="F3712" s="33" t="s">
        <v>2677</v>
      </c>
      <c r="G3712" s="33" t="s">
        <v>9</v>
      </c>
      <c r="H3712" s="33" t="n">
        <v>10</v>
      </c>
    </row>
    <row r="3713" customFormat="false" ht="54" hidden="false" customHeight="true" outlineLevel="0" collapsed="false">
      <c r="A3713" s="32" t="s">
        <v>14324</v>
      </c>
      <c r="B3713" s="32" t="s">
        <v>7798</v>
      </c>
      <c r="C3713" s="33" t="s">
        <v>1407</v>
      </c>
      <c r="D3713" s="33" t="s">
        <v>50</v>
      </c>
      <c r="E3713" s="33" t="s">
        <v>81</v>
      </c>
      <c r="F3713" s="33" t="s">
        <v>14325</v>
      </c>
      <c r="G3713" s="33" t="s">
        <v>9</v>
      </c>
      <c r="H3713" s="33" t="n">
        <v>10</v>
      </c>
    </row>
    <row r="3714" customFormat="false" ht="54" hidden="false" customHeight="true" outlineLevel="0" collapsed="false">
      <c r="A3714" s="32" t="s">
        <v>14326</v>
      </c>
      <c r="B3714" s="32" t="s">
        <v>7798</v>
      </c>
      <c r="C3714" s="33" t="s">
        <v>1407</v>
      </c>
      <c r="D3714" s="33" t="s">
        <v>50</v>
      </c>
      <c r="E3714" s="33" t="s">
        <v>81</v>
      </c>
      <c r="F3714" s="33" t="s">
        <v>7806</v>
      </c>
      <c r="G3714" s="33" t="s">
        <v>9</v>
      </c>
      <c r="H3714" s="33" t="n">
        <v>10</v>
      </c>
    </row>
    <row r="3715" customFormat="false" ht="54" hidden="false" customHeight="true" outlineLevel="0" collapsed="false">
      <c r="A3715" s="32" t="s">
        <v>14327</v>
      </c>
      <c r="B3715" s="32" t="s">
        <v>7798</v>
      </c>
      <c r="C3715" s="33" t="s">
        <v>1407</v>
      </c>
      <c r="D3715" s="33" t="s">
        <v>50</v>
      </c>
      <c r="E3715" s="33" t="s">
        <v>84</v>
      </c>
      <c r="F3715" s="33" t="s">
        <v>183</v>
      </c>
      <c r="G3715" s="33" t="s">
        <v>9</v>
      </c>
      <c r="H3715" s="33" t="n">
        <v>10</v>
      </c>
    </row>
    <row r="3716" customFormat="false" ht="54" hidden="false" customHeight="true" outlineLevel="0" collapsed="false">
      <c r="A3716" s="32" t="s">
        <v>14328</v>
      </c>
      <c r="B3716" s="32" t="s">
        <v>7798</v>
      </c>
      <c r="C3716" s="33" t="s">
        <v>1407</v>
      </c>
      <c r="D3716" s="33" t="s">
        <v>50</v>
      </c>
      <c r="E3716" s="33" t="s">
        <v>84</v>
      </c>
      <c r="F3716" s="33" t="s">
        <v>14322</v>
      </c>
      <c r="G3716" s="33" t="s">
        <v>9</v>
      </c>
      <c r="H3716" s="33" t="n">
        <v>10</v>
      </c>
    </row>
    <row r="3717" customFormat="false" ht="54" hidden="false" customHeight="true" outlineLevel="0" collapsed="false">
      <c r="A3717" s="32" t="s">
        <v>14329</v>
      </c>
      <c r="B3717" s="32" t="s">
        <v>7813</v>
      </c>
      <c r="C3717" s="33" t="s">
        <v>1407</v>
      </c>
      <c r="D3717" s="33" t="s">
        <v>50</v>
      </c>
      <c r="E3717" s="33" t="s">
        <v>80</v>
      </c>
      <c r="F3717" s="33" t="s">
        <v>183</v>
      </c>
      <c r="G3717" s="33" t="s">
        <v>12</v>
      </c>
      <c r="H3717" s="33" t="n">
        <v>10</v>
      </c>
    </row>
    <row r="3718" customFormat="false" ht="54" hidden="false" customHeight="true" outlineLevel="0" collapsed="false">
      <c r="A3718" s="32" t="s">
        <v>14330</v>
      </c>
      <c r="B3718" s="32" t="s">
        <v>7813</v>
      </c>
      <c r="C3718" s="33" t="s">
        <v>1407</v>
      </c>
      <c r="D3718" s="33" t="s">
        <v>50</v>
      </c>
      <c r="E3718" s="33" t="s">
        <v>80</v>
      </c>
      <c r="F3718" s="33" t="s">
        <v>14331</v>
      </c>
      <c r="G3718" s="33" t="s">
        <v>12</v>
      </c>
      <c r="H3718" s="33" t="n">
        <v>10</v>
      </c>
    </row>
    <row r="3719" customFormat="false" ht="54" hidden="false" customHeight="true" outlineLevel="0" collapsed="false">
      <c r="A3719" s="32" t="s">
        <v>14332</v>
      </c>
      <c r="B3719" s="32" t="s">
        <v>7813</v>
      </c>
      <c r="C3719" s="33" t="s">
        <v>1407</v>
      </c>
      <c r="D3719" s="33" t="s">
        <v>50</v>
      </c>
      <c r="E3719" s="33" t="s">
        <v>81</v>
      </c>
      <c r="F3719" s="33" t="s">
        <v>7817</v>
      </c>
      <c r="G3719" s="33" t="s">
        <v>12</v>
      </c>
      <c r="H3719" s="33" t="n">
        <v>10</v>
      </c>
    </row>
    <row r="3720" customFormat="false" ht="54" hidden="false" customHeight="true" outlineLevel="0" collapsed="false">
      <c r="A3720" s="32" t="s">
        <v>14333</v>
      </c>
      <c r="B3720" s="32" t="s">
        <v>7813</v>
      </c>
      <c r="C3720" s="33" t="s">
        <v>1407</v>
      </c>
      <c r="D3720" s="33" t="s">
        <v>50</v>
      </c>
      <c r="E3720" s="33" t="s">
        <v>82</v>
      </c>
      <c r="F3720" s="33" t="s">
        <v>7817</v>
      </c>
      <c r="G3720" s="33" t="s">
        <v>12</v>
      </c>
      <c r="H3720" s="33" t="n">
        <v>10</v>
      </c>
    </row>
    <row r="3721" customFormat="false" ht="54" hidden="false" customHeight="true" outlineLevel="0" collapsed="false">
      <c r="A3721" s="32" t="s">
        <v>14334</v>
      </c>
      <c r="B3721" s="32" t="s">
        <v>7813</v>
      </c>
      <c r="C3721" s="33" t="s">
        <v>1407</v>
      </c>
      <c r="D3721" s="33" t="s">
        <v>50</v>
      </c>
      <c r="E3721" s="33" t="s">
        <v>82</v>
      </c>
      <c r="F3721" s="33" t="s">
        <v>14331</v>
      </c>
      <c r="G3721" s="33" t="s">
        <v>12</v>
      </c>
      <c r="H3721" s="33" t="n">
        <v>10</v>
      </c>
    </row>
    <row r="3722" customFormat="false" ht="54" hidden="false" customHeight="true" outlineLevel="0" collapsed="false">
      <c r="A3722" s="32" t="s">
        <v>14335</v>
      </c>
      <c r="B3722" s="32" t="s">
        <v>7813</v>
      </c>
      <c r="C3722" s="33" t="s">
        <v>1407</v>
      </c>
      <c r="D3722" s="33" t="s">
        <v>50</v>
      </c>
      <c r="E3722" s="33" t="s">
        <v>84</v>
      </c>
      <c r="F3722" s="33" t="s">
        <v>183</v>
      </c>
      <c r="G3722" s="33" t="s">
        <v>12</v>
      </c>
      <c r="H3722" s="33" t="n">
        <v>10</v>
      </c>
    </row>
    <row r="3723" customFormat="false" ht="54" hidden="false" customHeight="true" outlineLevel="0" collapsed="false">
      <c r="A3723" s="32" t="s">
        <v>14336</v>
      </c>
      <c r="B3723" s="32" t="s">
        <v>7813</v>
      </c>
      <c r="C3723" s="33" t="s">
        <v>1407</v>
      </c>
      <c r="D3723" s="33" t="s">
        <v>50</v>
      </c>
      <c r="E3723" s="33" t="s">
        <v>84</v>
      </c>
      <c r="F3723" s="33" t="s">
        <v>14331</v>
      </c>
      <c r="G3723" s="33" t="s">
        <v>12</v>
      </c>
      <c r="H3723" s="33" t="n">
        <v>10</v>
      </c>
    </row>
    <row r="3724" customFormat="false" ht="54" hidden="false" customHeight="true" outlineLevel="0" collapsed="false">
      <c r="A3724" s="32" t="s">
        <v>14337</v>
      </c>
      <c r="B3724" s="32" t="s">
        <v>7825</v>
      </c>
      <c r="C3724" s="33" t="s">
        <v>1407</v>
      </c>
      <c r="D3724" s="33" t="s">
        <v>50</v>
      </c>
      <c r="E3724" s="33" t="s">
        <v>80</v>
      </c>
      <c r="F3724" s="33" t="s">
        <v>183</v>
      </c>
      <c r="G3724" s="33" t="s">
        <v>9</v>
      </c>
      <c r="H3724" s="33" t="n">
        <v>10</v>
      </c>
    </row>
    <row r="3725" customFormat="false" ht="54" hidden="false" customHeight="true" outlineLevel="0" collapsed="false">
      <c r="A3725" s="32" t="s">
        <v>14338</v>
      </c>
      <c r="B3725" s="32" t="s">
        <v>7825</v>
      </c>
      <c r="C3725" s="33" t="s">
        <v>1407</v>
      </c>
      <c r="D3725" s="33" t="s">
        <v>50</v>
      </c>
      <c r="E3725" s="33" t="s">
        <v>80</v>
      </c>
      <c r="F3725" s="33" t="s">
        <v>14339</v>
      </c>
      <c r="G3725" s="33" t="s">
        <v>9</v>
      </c>
      <c r="H3725" s="33" t="n">
        <v>10</v>
      </c>
    </row>
    <row r="3726" customFormat="false" ht="54" hidden="false" customHeight="true" outlineLevel="0" collapsed="false">
      <c r="A3726" s="32" t="s">
        <v>14340</v>
      </c>
      <c r="B3726" s="32" t="s">
        <v>7825</v>
      </c>
      <c r="C3726" s="33" t="s">
        <v>1407</v>
      </c>
      <c r="D3726" s="33" t="s">
        <v>50</v>
      </c>
      <c r="E3726" s="33" t="s">
        <v>81</v>
      </c>
      <c r="F3726" s="33" t="s">
        <v>7834</v>
      </c>
      <c r="G3726" s="33" t="s">
        <v>9</v>
      </c>
      <c r="H3726" s="33" t="n">
        <v>10</v>
      </c>
    </row>
    <row r="3727" customFormat="false" ht="54" hidden="false" customHeight="true" outlineLevel="0" collapsed="false">
      <c r="A3727" s="32" t="s">
        <v>14341</v>
      </c>
      <c r="B3727" s="32" t="s">
        <v>7825</v>
      </c>
      <c r="C3727" s="33" t="s">
        <v>1407</v>
      </c>
      <c r="D3727" s="33" t="s">
        <v>50</v>
      </c>
      <c r="E3727" s="33" t="s">
        <v>82</v>
      </c>
      <c r="F3727" s="33" t="s">
        <v>7834</v>
      </c>
      <c r="G3727" s="33" t="s">
        <v>9</v>
      </c>
      <c r="H3727" s="33" t="n">
        <v>10</v>
      </c>
    </row>
    <row r="3728" customFormat="false" ht="54" hidden="false" customHeight="true" outlineLevel="0" collapsed="false">
      <c r="A3728" s="32" t="s">
        <v>14342</v>
      </c>
      <c r="B3728" s="32" t="s">
        <v>7825</v>
      </c>
      <c r="C3728" s="33" t="s">
        <v>1407</v>
      </c>
      <c r="D3728" s="33" t="s">
        <v>50</v>
      </c>
      <c r="E3728" s="33" t="s">
        <v>82</v>
      </c>
      <c r="F3728" s="33" t="s">
        <v>14343</v>
      </c>
      <c r="G3728" s="33" t="s">
        <v>9</v>
      </c>
      <c r="H3728" s="33" t="n">
        <v>10</v>
      </c>
    </row>
    <row r="3729" customFormat="false" ht="54" hidden="false" customHeight="true" outlineLevel="0" collapsed="false">
      <c r="A3729" s="32" t="s">
        <v>14344</v>
      </c>
      <c r="B3729" s="32" t="s">
        <v>7825</v>
      </c>
      <c r="C3729" s="33" t="s">
        <v>1407</v>
      </c>
      <c r="D3729" s="33" t="s">
        <v>50</v>
      </c>
      <c r="E3729" s="33" t="s">
        <v>83</v>
      </c>
      <c r="F3729" s="33" t="s">
        <v>7836</v>
      </c>
      <c r="G3729" s="33" t="s">
        <v>9</v>
      </c>
      <c r="H3729" s="33" t="n">
        <v>10</v>
      </c>
    </row>
    <row r="3730" customFormat="false" ht="54" hidden="false" customHeight="true" outlineLevel="0" collapsed="false">
      <c r="A3730" s="32" t="s">
        <v>14345</v>
      </c>
      <c r="B3730" s="32" t="s">
        <v>7825</v>
      </c>
      <c r="C3730" s="33" t="s">
        <v>1407</v>
      </c>
      <c r="D3730" s="33" t="s">
        <v>50</v>
      </c>
      <c r="E3730" s="33" t="s">
        <v>84</v>
      </c>
      <c r="F3730" s="33" t="s">
        <v>183</v>
      </c>
      <c r="G3730" s="33" t="s">
        <v>9</v>
      </c>
      <c r="H3730" s="33" t="n">
        <v>10</v>
      </c>
    </row>
    <row r="3731" customFormat="false" ht="54" hidden="false" customHeight="true" outlineLevel="0" collapsed="false">
      <c r="A3731" s="32" t="s">
        <v>14346</v>
      </c>
      <c r="B3731" s="32" t="s">
        <v>7825</v>
      </c>
      <c r="C3731" s="33" t="s">
        <v>1407</v>
      </c>
      <c r="D3731" s="33" t="s">
        <v>50</v>
      </c>
      <c r="E3731" s="33" t="s">
        <v>84</v>
      </c>
      <c r="F3731" s="33" t="s">
        <v>14343</v>
      </c>
      <c r="G3731" s="33" t="s">
        <v>9</v>
      </c>
      <c r="H3731" s="33" t="n">
        <v>10</v>
      </c>
    </row>
    <row r="3732" customFormat="false" ht="54" hidden="false" customHeight="true" outlineLevel="0" collapsed="false">
      <c r="A3732" s="32" t="s">
        <v>14347</v>
      </c>
      <c r="B3732" s="32" t="s">
        <v>7825</v>
      </c>
      <c r="C3732" s="33" t="s">
        <v>1407</v>
      </c>
      <c r="D3732" s="33" t="s">
        <v>50</v>
      </c>
      <c r="E3732" s="33" t="s">
        <v>84</v>
      </c>
      <c r="F3732" s="33" t="s">
        <v>14348</v>
      </c>
      <c r="G3732" s="33" t="s">
        <v>9</v>
      </c>
      <c r="H3732" s="33" t="n">
        <v>10</v>
      </c>
    </row>
    <row r="3733" customFormat="false" ht="54" hidden="false" customHeight="true" outlineLevel="0" collapsed="false">
      <c r="A3733" s="32" t="s">
        <v>14349</v>
      </c>
      <c r="B3733" s="32" t="s">
        <v>7841</v>
      </c>
      <c r="C3733" s="33" t="s">
        <v>1407</v>
      </c>
      <c r="D3733" s="33" t="s">
        <v>50</v>
      </c>
      <c r="E3733" s="33" t="s">
        <v>80</v>
      </c>
      <c r="F3733" s="33" t="s">
        <v>183</v>
      </c>
      <c r="G3733" s="33" t="s">
        <v>9</v>
      </c>
      <c r="H3733" s="33" t="n">
        <v>10</v>
      </c>
    </row>
    <row r="3734" customFormat="false" ht="54" hidden="false" customHeight="true" outlineLevel="0" collapsed="false">
      <c r="A3734" s="32" t="s">
        <v>14350</v>
      </c>
      <c r="B3734" s="32" t="s">
        <v>7841</v>
      </c>
      <c r="C3734" s="33" t="s">
        <v>1407</v>
      </c>
      <c r="D3734" s="33" t="s">
        <v>50</v>
      </c>
      <c r="E3734" s="33" t="s">
        <v>80</v>
      </c>
      <c r="F3734" s="33" t="s">
        <v>14351</v>
      </c>
      <c r="G3734" s="33" t="s">
        <v>9</v>
      </c>
      <c r="H3734" s="33" t="n">
        <v>10</v>
      </c>
    </row>
    <row r="3735" customFormat="false" ht="54" hidden="false" customHeight="true" outlineLevel="0" collapsed="false">
      <c r="A3735" s="32" t="s">
        <v>14352</v>
      </c>
      <c r="B3735" s="32" t="s">
        <v>7841</v>
      </c>
      <c r="C3735" s="33" t="s">
        <v>1407</v>
      </c>
      <c r="D3735" s="33" t="s">
        <v>50</v>
      </c>
      <c r="E3735" s="33" t="s">
        <v>80</v>
      </c>
      <c r="F3735" s="33" t="s">
        <v>14353</v>
      </c>
      <c r="G3735" s="33" t="s">
        <v>9</v>
      </c>
      <c r="H3735" s="33" t="n">
        <v>10</v>
      </c>
    </row>
    <row r="3736" customFormat="false" ht="54" hidden="false" customHeight="true" outlineLevel="0" collapsed="false">
      <c r="A3736" s="32" t="s">
        <v>14354</v>
      </c>
      <c r="B3736" s="32" t="s">
        <v>7841</v>
      </c>
      <c r="C3736" s="33" t="s">
        <v>1407</v>
      </c>
      <c r="D3736" s="33" t="s">
        <v>50</v>
      </c>
      <c r="E3736" s="33" t="s">
        <v>81</v>
      </c>
      <c r="F3736" s="33" t="s">
        <v>7846</v>
      </c>
      <c r="G3736" s="33" t="s">
        <v>9</v>
      </c>
      <c r="H3736" s="33" t="n">
        <v>10</v>
      </c>
    </row>
    <row r="3737" customFormat="false" ht="54" hidden="false" customHeight="true" outlineLevel="0" collapsed="false">
      <c r="A3737" s="32" t="s">
        <v>14355</v>
      </c>
      <c r="B3737" s="32" t="s">
        <v>7841</v>
      </c>
      <c r="C3737" s="33" t="s">
        <v>1407</v>
      </c>
      <c r="D3737" s="33" t="s">
        <v>50</v>
      </c>
      <c r="E3737" s="33" t="s">
        <v>81</v>
      </c>
      <c r="F3737" s="33" t="s">
        <v>7847</v>
      </c>
      <c r="G3737" s="33" t="s">
        <v>9</v>
      </c>
      <c r="H3737" s="33" t="n">
        <v>10</v>
      </c>
    </row>
    <row r="3738" customFormat="false" ht="54" hidden="false" customHeight="true" outlineLevel="0" collapsed="false">
      <c r="A3738" s="32" t="s">
        <v>14356</v>
      </c>
      <c r="B3738" s="32" t="s">
        <v>7841</v>
      </c>
      <c r="C3738" s="33" t="s">
        <v>1407</v>
      </c>
      <c r="D3738" s="33" t="s">
        <v>50</v>
      </c>
      <c r="E3738" s="33" t="s">
        <v>81</v>
      </c>
      <c r="F3738" s="33" t="s">
        <v>14351</v>
      </c>
      <c r="G3738" s="33" t="s">
        <v>9</v>
      </c>
      <c r="H3738" s="33" t="n">
        <v>10</v>
      </c>
    </row>
    <row r="3739" customFormat="false" ht="54" hidden="false" customHeight="true" outlineLevel="0" collapsed="false">
      <c r="A3739" s="32" t="s">
        <v>14357</v>
      </c>
      <c r="B3739" s="32" t="s">
        <v>7841</v>
      </c>
      <c r="C3739" s="33" t="s">
        <v>1407</v>
      </c>
      <c r="D3739" s="33" t="s">
        <v>50</v>
      </c>
      <c r="E3739" s="33" t="s">
        <v>81</v>
      </c>
      <c r="F3739" s="33" t="s">
        <v>14353</v>
      </c>
      <c r="G3739" s="33" t="s">
        <v>9</v>
      </c>
      <c r="H3739" s="33" t="n">
        <v>10</v>
      </c>
    </row>
    <row r="3740" customFormat="false" ht="54" hidden="false" customHeight="true" outlineLevel="0" collapsed="false">
      <c r="A3740" s="32" t="s">
        <v>14358</v>
      </c>
      <c r="B3740" s="32" t="s">
        <v>7841</v>
      </c>
      <c r="C3740" s="33" t="s">
        <v>1407</v>
      </c>
      <c r="D3740" s="33" t="s">
        <v>50</v>
      </c>
      <c r="E3740" s="33" t="s">
        <v>81</v>
      </c>
      <c r="F3740" s="33" t="s">
        <v>14359</v>
      </c>
      <c r="G3740" s="33" t="s">
        <v>9</v>
      </c>
      <c r="H3740" s="33" t="n">
        <v>10</v>
      </c>
    </row>
    <row r="3741" customFormat="false" ht="54" hidden="false" customHeight="true" outlineLevel="0" collapsed="false">
      <c r="A3741" s="32" t="s">
        <v>14360</v>
      </c>
      <c r="B3741" s="32" t="s">
        <v>7841</v>
      </c>
      <c r="C3741" s="33" t="s">
        <v>1407</v>
      </c>
      <c r="D3741" s="33" t="s">
        <v>50</v>
      </c>
      <c r="E3741" s="33" t="s">
        <v>84</v>
      </c>
      <c r="F3741" s="33" t="s">
        <v>7845</v>
      </c>
      <c r="G3741" s="33" t="s">
        <v>9</v>
      </c>
      <c r="H3741" s="33" t="n">
        <v>10</v>
      </c>
    </row>
    <row r="3742" customFormat="false" ht="54" hidden="false" customHeight="true" outlineLevel="0" collapsed="false">
      <c r="A3742" s="32" t="s">
        <v>14361</v>
      </c>
      <c r="B3742" s="32" t="s">
        <v>7841</v>
      </c>
      <c r="C3742" s="33" t="s">
        <v>1407</v>
      </c>
      <c r="D3742" s="33" t="s">
        <v>50</v>
      </c>
      <c r="E3742" s="33" t="s">
        <v>84</v>
      </c>
      <c r="F3742" s="33" t="s">
        <v>183</v>
      </c>
      <c r="G3742" s="33" t="s">
        <v>9</v>
      </c>
      <c r="H3742" s="33" t="n">
        <v>10</v>
      </c>
    </row>
    <row r="3743" customFormat="false" ht="54" hidden="false" customHeight="true" outlineLevel="0" collapsed="false">
      <c r="A3743" s="32" t="s">
        <v>14362</v>
      </c>
      <c r="B3743" s="32" t="s">
        <v>7841</v>
      </c>
      <c r="C3743" s="33" t="s">
        <v>1407</v>
      </c>
      <c r="D3743" s="33" t="s">
        <v>50</v>
      </c>
      <c r="E3743" s="33" t="s">
        <v>84</v>
      </c>
      <c r="F3743" s="33" t="s">
        <v>7849</v>
      </c>
      <c r="G3743" s="33" t="s">
        <v>9</v>
      </c>
      <c r="H3743" s="33" t="n">
        <v>10</v>
      </c>
    </row>
    <row r="3744" customFormat="false" ht="54" hidden="false" customHeight="true" outlineLevel="0" collapsed="false">
      <c r="A3744" s="32" t="s">
        <v>14363</v>
      </c>
      <c r="B3744" s="32" t="s">
        <v>7841</v>
      </c>
      <c r="C3744" s="33" t="s">
        <v>1407</v>
      </c>
      <c r="D3744" s="33" t="s">
        <v>50</v>
      </c>
      <c r="E3744" s="33" t="s">
        <v>86</v>
      </c>
      <c r="F3744" s="33" t="s">
        <v>7847</v>
      </c>
      <c r="G3744" s="33" t="s">
        <v>9</v>
      </c>
      <c r="H3744" s="33" t="n">
        <v>10</v>
      </c>
    </row>
    <row r="3745" customFormat="false" ht="54" hidden="false" customHeight="true" outlineLevel="0" collapsed="false">
      <c r="A3745" s="32" t="s">
        <v>14364</v>
      </c>
      <c r="B3745" s="32" t="s">
        <v>7841</v>
      </c>
      <c r="C3745" s="33" t="s">
        <v>1407</v>
      </c>
      <c r="D3745" s="33" t="s">
        <v>50</v>
      </c>
      <c r="E3745" s="33" t="s">
        <v>86</v>
      </c>
      <c r="F3745" s="33" t="s">
        <v>14353</v>
      </c>
      <c r="G3745" s="33" t="s">
        <v>9</v>
      </c>
      <c r="H3745" s="33" t="n">
        <v>10</v>
      </c>
    </row>
    <row r="3746" customFormat="false" ht="54" hidden="false" customHeight="true" outlineLevel="0" collapsed="false">
      <c r="A3746" s="32" t="s">
        <v>14365</v>
      </c>
      <c r="B3746" s="32" t="s">
        <v>7841</v>
      </c>
      <c r="C3746" s="33" t="s">
        <v>1407</v>
      </c>
      <c r="D3746" s="33" t="s">
        <v>50</v>
      </c>
      <c r="E3746" s="33" t="s">
        <v>86</v>
      </c>
      <c r="F3746" s="33" t="s">
        <v>14366</v>
      </c>
      <c r="G3746" s="33" t="s">
        <v>9</v>
      </c>
      <c r="H3746" s="33" t="n">
        <v>10</v>
      </c>
    </row>
    <row r="3747" customFormat="false" ht="54" hidden="false" customHeight="true" outlineLevel="0" collapsed="false">
      <c r="A3747" s="32" t="s">
        <v>14367</v>
      </c>
      <c r="B3747" s="32" t="s">
        <v>7857</v>
      </c>
      <c r="C3747" s="33" t="s">
        <v>1407</v>
      </c>
      <c r="D3747" s="33" t="s">
        <v>50</v>
      </c>
      <c r="E3747" s="33" t="s">
        <v>80</v>
      </c>
      <c r="F3747" s="33" t="s">
        <v>183</v>
      </c>
      <c r="G3747" s="33" t="s">
        <v>9</v>
      </c>
      <c r="H3747" s="33" t="n">
        <v>10</v>
      </c>
    </row>
    <row r="3748" customFormat="false" ht="54" hidden="false" customHeight="true" outlineLevel="0" collapsed="false">
      <c r="A3748" s="32" t="s">
        <v>14368</v>
      </c>
      <c r="B3748" s="32" t="s">
        <v>7857</v>
      </c>
      <c r="C3748" s="33" t="s">
        <v>1407</v>
      </c>
      <c r="D3748" s="33" t="s">
        <v>50</v>
      </c>
      <c r="E3748" s="33" t="s">
        <v>80</v>
      </c>
      <c r="F3748" s="33" t="s">
        <v>14369</v>
      </c>
      <c r="G3748" s="33" t="s">
        <v>9</v>
      </c>
      <c r="H3748" s="33" t="n">
        <v>10</v>
      </c>
    </row>
    <row r="3749" customFormat="false" ht="54" hidden="false" customHeight="true" outlineLevel="0" collapsed="false">
      <c r="A3749" s="32" t="s">
        <v>14370</v>
      </c>
      <c r="B3749" s="32" t="s">
        <v>7857</v>
      </c>
      <c r="C3749" s="33" t="s">
        <v>1407</v>
      </c>
      <c r="D3749" s="33" t="s">
        <v>50</v>
      </c>
      <c r="E3749" s="33" t="s">
        <v>80</v>
      </c>
      <c r="F3749" s="33" t="s">
        <v>14371</v>
      </c>
      <c r="G3749" s="33" t="s">
        <v>9</v>
      </c>
      <c r="H3749" s="33" t="n">
        <v>10</v>
      </c>
    </row>
    <row r="3750" customFormat="false" ht="54" hidden="false" customHeight="true" outlineLevel="0" collapsed="false">
      <c r="A3750" s="32" t="s">
        <v>14372</v>
      </c>
      <c r="B3750" s="32" t="s">
        <v>7857</v>
      </c>
      <c r="C3750" s="33" t="s">
        <v>1407</v>
      </c>
      <c r="D3750" s="33" t="s">
        <v>50</v>
      </c>
      <c r="E3750" s="33" t="s">
        <v>80</v>
      </c>
      <c r="F3750" s="33" t="s">
        <v>7866</v>
      </c>
      <c r="G3750" s="33" t="s">
        <v>9</v>
      </c>
      <c r="H3750" s="33" t="n">
        <v>10</v>
      </c>
    </row>
    <row r="3751" customFormat="false" ht="54" hidden="false" customHeight="true" outlineLevel="0" collapsed="false">
      <c r="A3751" s="32" t="s">
        <v>14373</v>
      </c>
      <c r="B3751" s="32" t="s">
        <v>7857</v>
      </c>
      <c r="C3751" s="33" t="s">
        <v>1407</v>
      </c>
      <c r="D3751" s="33" t="s">
        <v>50</v>
      </c>
      <c r="E3751" s="33" t="s">
        <v>81</v>
      </c>
      <c r="F3751" s="33" t="s">
        <v>14371</v>
      </c>
      <c r="G3751" s="33" t="s">
        <v>9</v>
      </c>
      <c r="H3751" s="33" t="n">
        <v>10</v>
      </c>
    </row>
    <row r="3752" customFormat="false" ht="54" hidden="false" customHeight="true" outlineLevel="0" collapsed="false">
      <c r="A3752" s="32" t="s">
        <v>14374</v>
      </c>
      <c r="B3752" s="32" t="s">
        <v>7857</v>
      </c>
      <c r="C3752" s="33" t="s">
        <v>1407</v>
      </c>
      <c r="D3752" s="33" t="s">
        <v>50</v>
      </c>
      <c r="E3752" s="33" t="s">
        <v>81</v>
      </c>
      <c r="F3752" s="33" t="s">
        <v>14375</v>
      </c>
      <c r="G3752" s="33" t="s">
        <v>9</v>
      </c>
      <c r="H3752" s="33" t="n">
        <v>10</v>
      </c>
    </row>
    <row r="3753" customFormat="false" ht="54" hidden="false" customHeight="true" outlineLevel="0" collapsed="false">
      <c r="A3753" s="32" t="s">
        <v>14376</v>
      </c>
      <c r="B3753" s="32" t="s">
        <v>7857</v>
      </c>
      <c r="C3753" s="33" t="s">
        <v>1407</v>
      </c>
      <c r="D3753" s="33" t="s">
        <v>50</v>
      </c>
      <c r="E3753" s="33" t="s">
        <v>84</v>
      </c>
      <c r="F3753" s="33" t="s">
        <v>183</v>
      </c>
      <c r="G3753" s="33" t="s">
        <v>9</v>
      </c>
      <c r="H3753" s="33" t="n">
        <v>10</v>
      </c>
    </row>
    <row r="3754" customFormat="false" ht="54" hidden="false" customHeight="true" outlineLevel="0" collapsed="false">
      <c r="A3754" s="32" t="s">
        <v>14377</v>
      </c>
      <c r="B3754" s="32" t="s">
        <v>7857</v>
      </c>
      <c r="C3754" s="33" t="s">
        <v>1407</v>
      </c>
      <c r="D3754" s="33" t="s">
        <v>50</v>
      </c>
      <c r="E3754" s="33" t="s">
        <v>84</v>
      </c>
      <c r="F3754" s="33" t="s">
        <v>14371</v>
      </c>
      <c r="G3754" s="33" t="s">
        <v>9</v>
      </c>
      <c r="H3754" s="33" t="n">
        <v>10</v>
      </c>
    </row>
    <row r="3755" customFormat="false" ht="54" hidden="false" customHeight="true" outlineLevel="0" collapsed="false">
      <c r="A3755" s="32" t="s">
        <v>14378</v>
      </c>
      <c r="B3755" s="32" t="s">
        <v>7872</v>
      </c>
      <c r="C3755" s="33" t="s">
        <v>1407</v>
      </c>
      <c r="D3755" s="33" t="s">
        <v>50</v>
      </c>
      <c r="E3755" s="33" t="s">
        <v>80</v>
      </c>
      <c r="F3755" s="33" t="s">
        <v>183</v>
      </c>
      <c r="G3755" s="33" t="s">
        <v>9</v>
      </c>
      <c r="H3755" s="33" t="n">
        <v>10</v>
      </c>
    </row>
    <row r="3756" customFormat="false" ht="54" hidden="false" customHeight="true" outlineLevel="0" collapsed="false">
      <c r="A3756" s="32" t="s">
        <v>14379</v>
      </c>
      <c r="B3756" s="32" t="s">
        <v>7872</v>
      </c>
      <c r="C3756" s="33" t="s">
        <v>1407</v>
      </c>
      <c r="D3756" s="33" t="s">
        <v>50</v>
      </c>
      <c r="E3756" s="33" t="s">
        <v>82</v>
      </c>
      <c r="F3756" s="33" t="s">
        <v>7879</v>
      </c>
      <c r="G3756" s="33" t="s">
        <v>9</v>
      </c>
      <c r="H3756" s="33" t="n">
        <v>10</v>
      </c>
    </row>
    <row r="3757" customFormat="false" ht="54" hidden="false" customHeight="true" outlineLevel="0" collapsed="false">
      <c r="A3757" s="32" t="s">
        <v>14380</v>
      </c>
      <c r="B3757" s="32" t="s">
        <v>7872</v>
      </c>
      <c r="C3757" s="33" t="s">
        <v>1407</v>
      </c>
      <c r="D3757" s="33" t="s">
        <v>50</v>
      </c>
      <c r="E3757" s="33" t="s">
        <v>84</v>
      </c>
      <c r="F3757" s="33" t="s">
        <v>183</v>
      </c>
      <c r="G3757" s="33" t="s">
        <v>9</v>
      </c>
      <c r="H3757" s="33" t="n">
        <v>10</v>
      </c>
    </row>
    <row r="3758" customFormat="false" ht="54" hidden="false" customHeight="true" outlineLevel="0" collapsed="false">
      <c r="A3758" s="32" t="s">
        <v>14381</v>
      </c>
      <c r="B3758" s="32" t="s">
        <v>7884</v>
      </c>
      <c r="C3758" s="33" t="s">
        <v>1407</v>
      </c>
      <c r="D3758" s="33" t="s">
        <v>50</v>
      </c>
      <c r="E3758" s="33" t="s">
        <v>80</v>
      </c>
      <c r="F3758" s="33" t="s">
        <v>183</v>
      </c>
      <c r="G3758" s="33" t="s">
        <v>9</v>
      </c>
      <c r="H3758" s="33" t="n">
        <v>10</v>
      </c>
    </row>
    <row r="3759" customFormat="false" ht="54" hidden="false" customHeight="true" outlineLevel="0" collapsed="false">
      <c r="A3759" s="32" t="s">
        <v>14382</v>
      </c>
      <c r="B3759" s="32" t="s">
        <v>7884</v>
      </c>
      <c r="C3759" s="33" t="s">
        <v>1407</v>
      </c>
      <c r="D3759" s="33" t="s">
        <v>50</v>
      </c>
      <c r="E3759" s="33" t="s">
        <v>80</v>
      </c>
      <c r="F3759" s="33" t="s">
        <v>14383</v>
      </c>
      <c r="G3759" s="33" t="s">
        <v>9</v>
      </c>
      <c r="H3759" s="33" t="n">
        <v>10</v>
      </c>
    </row>
    <row r="3760" customFormat="false" ht="54" hidden="false" customHeight="true" outlineLevel="0" collapsed="false">
      <c r="A3760" s="32" t="s">
        <v>14384</v>
      </c>
      <c r="B3760" s="32" t="s">
        <v>7884</v>
      </c>
      <c r="C3760" s="33" t="s">
        <v>1407</v>
      </c>
      <c r="D3760" s="33" t="s">
        <v>50</v>
      </c>
      <c r="E3760" s="33" t="s">
        <v>84</v>
      </c>
      <c r="F3760" s="33" t="s">
        <v>183</v>
      </c>
      <c r="G3760" s="33" t="s">
        <v>9</v>
      </c>
      <c r="H3760" s="33" t="n">
        <v>10</v>
      </c>
    </row>
    <row r="3761" customFormat="false" ht="54" hidden="false" customHeight="true" outlineLevel="0" collapsed="false">
      <c r="A3761" s="32" t="s">
        <v>14385</v>
      </c>
      <c r="B3761" s="32" t="s">
        <v>7896</v>
      </c>
      <c r="C3761" s="33" t="s">
        <v>1407</v>
      </c>
      <c r="D3761" s="33" t="s">
        <v>50</v>
      </c>
      <c r="E3761" s="33" t="s">
        <v>80</v>
      </c>
      <c r="F3761" s="33" t="s">
        <v>183</v>
      </c>
      <c r="G3761" s="33" t="s">
        <v>9</v>
      </c>
      <c r="H3761" s="33" t="n">
        <v>10</v>
      </c>
    </row>
    <row r="3762" customFormat="false" ht="54" hidden="false" customHeight="true" outlineLevel="0" collapsed="false">
      <c r="A3762" s="32" t="s">
        <v>14386</v>
      </c>
      <c r="B3762" s="32" t="s">
        <v>7896</v>
      </c>
      <c r="C3762" s="33" t="s">
        <v>1407</v>
      </c>
      <c r="D3762" s="33" t="s">
        <v>50</v>
      </c>
      <c r="E3762" s="33" t="s">
        <v>82</v>
      </c>
      <c r="F3762" s="33" t="s">
        <v>12704</v>
      </c>
      <c r="G3762" s="33" t="s">
        <v>9</v>
      </c>
      <c r="H3762" s="33" t="n">
        <v>10</v>
      </c>
    </row>
    <row r="3763" customFormat="false" ht="54" hidden="false" customHeight="true" outlineLevel="0" collapsed="false">
      <c r="A3763" s="32" t="s">
        <v>14387</v>
      </c>
      <c r="B3763" s="32" t="s">
        <v>7896</v>
      </c>
      <c r="C3763" s="33" t="s">
        <v>1407</v>
      </c>
      <c r="D3763" s="33" t="s">
        <v>50</v>
      </c>
      <c r="E3763" s="33" t="s">
        <v>82</v>
      </c>
      <c r="F3763" s="33" t="s">
        <v>14388</v>
      </c>
      <c r="G3763" s="33" t="s">
        <v>9</v>
      </c>
      <c r="H3763" s="33" t="n">
        <v>10</v>
      </c>
    </row>
    <row r="3764" customFormat="false" ht="54" hidden="false" customHeight="true" outlineLevel="0" collapsed="false">
      <c r="A3764" s="32" t="s">
        <v>14389</v>
      </c>
      <c r="B3764" s="32" t="s">
        <v>7896</v>
      </c>
      <c r="C3764" s="33" t="s">
        <v>1407</v>
      </c>
      <c r="D3764" s="33" t="s">
        <v>50</v>
      </c>
      <c r="E3764" s="33" t="s">
        <v>82</v>
      </c>
      <c r="F3764" s="33" t="s">
        <v>14390</v>
      </c>
      <c r="G3764" s="33" t="s">
        <v>9</v>
      </c>
      <c r="H3764" s="33" t="n">
        <v>10</v>
      </c>
    </row>
    <row r="3765" customFormat="false" ht="54" hidden="false" customHeight="true" outlineLevel="0" collapsed="false">
      <c r="A3765" s="32" t="s">
        <v>14391</v>
      </c>
      <c r="B3765" s="32" t="s">
        <v>7896</v>
      </c>
      <c r="C3765" s="33" t="s">
        <v>1407</v>
      </c>
      <c r="D3765" s="33" t="s">
        <v>50</v>
      </c>
      <c r="E3765" s="33" t="s">
        <v>84</v>
      </c>
      <c r="F3765" s="33" t="s">
        <v>183</v>
      </c>
      <c r="G3765" s="33" t="s">
        <v>9</v>
      </c>
      <c r="H3765" s="33" t="n">
        <v>10</v>
      </c>
    </row>
    <row r="3766" customFormat="false" ht="54" hidden="false" customHeight="true" outlineLevel="0" collapsed="false">
      <c r="A3766" s="32" t="s">
        <v>14392</v>
      </c>
      <c r="B3766" s="32" t="s">
        <v>7908</v>
      </c>
      <c r="C3766" s="33" t="s">
        <v>1407</v>
      </c>
      <c r="D3766" s="33" t="s">
        <v>50</v>
      </c>
      <c r="E3766" s="33" t="s">
        <v>80</v>
      </c>
      <c r="F3766" s="33" t="s">
        <v>183</v>
      </c>
      <c r="G3766" s="33" t="s">
        <v>9</v>
      </c>
      <c r="H3766" s="33" t="n">
        <v>10</v>
      </c>
    </row>
    <row r="3767" customFormat="false" ht="54" hidden="false" customHeight="true" outlineLevel="0" collapsed="false">
      <c r="A3767" s="32" t="s">
        <v>14393</v>
      </c>
      <c r="B3767" s="32" t="s">
        <v>7908</v>
      </c>
      <c r="C3767" s="33" t="s">
        <v>1407</v>
      </c>
      <c r="D3767" s="33" t="s">
        <v>50</v>
      </c>
      <c r="E3767" s="33" t="s">
        <v>80</v>
      </c>
      <c r="F3767" s="33" t="s">
        <v>14371</v>
      </c>
      <c r="G3767" s="33" t="s">
        <v>9</v>
      </c>
      <c r="H3767" s="33" t="n">
        <v>10</v>
      </c>
    </row>
    <row r="3768" customFormat="false" ht="54" hidden="false" customHeight="true" outlineLevel="0" collapsed="false">
      <c r="A3768" s="32" t="s">
        <v>14394</v>
      </c>
      <c r="B3768" s="32" t="s">
        <v>7908</v>
      </c>
      <c r="C3768" s="33" t="s">
        <v>1407</v>
      </c>
      <c r="D3768" s="33" t="s">
        <v>50</v>
      </c>
      <c r="E3768" s="33" t="s">
        <v>80</v>
      </c>
      <c r="F3768" s="33" t="s">
        <v>14395</v>
      </c>
      <c r="G3768" s="33" t="s">
        <v>9</v>
      </c>
      <c r="H3768" s="33" t="n">
        <v>10</v>
      </c>
    </row>
    <row r="3769" customFormat="false" ht="54" hidden="false" customHeight="true" outlineLevel="0" collapsed="false">
      <c r="A3769" s="32" t="s">
        <v>14396</v>
      </c>
      <c r="B3769" s="32" t="s">
        <v>7908</v>
      </c>
      <c r="C3769" s="33" t="s">
        <v>1407</v>
      </c>
      <c r="D3769" s="33" t="s">
        <v>50</v>
      </c>
      <c r="E3769" s="33" t="s">
        <v>81</v>
      </c>
      <c r="F3769" s="33" t="s">
        <v>14371</v>
      </c>
      <c r="G3769" s="33" t="s">
        <v>9</v>
      </c>
      <c r="H3769" s="33" t="n">
        <v>10</v>
      </c>
    </row>
    <row r="3770" customFormat="false" ht="54" hidden="false" customHeight="true" outlineLevel="0" collapsed="false">
      <c r="A3770" s="32" t="s">
        <v>14397</v>
      </c>
      <c r="B3770" s="32" t="s">
        <v>7908</v>
      </c>
      <c r="C3770" s="33" t="s">
        <v>1407</v>
      </c>
      <c r="D3770" s="33" t="s">
        <v>50</v>
      </c>
      <c r="E3770" s="33" t="s">
        <v>81</v>
      </c>
      <c r="F3770" s="33" t="s">
        <v>14395</v>
      </c>
      <c r="G3770" s="33" t="s">
        <v>9</v>
      </c>
      <c r="H3770" s="33" t="n">
        <v>10</v>
      </c>
    </row>
    <row r="3771" customFormat="false" ht="54" hidden="false" customHeight="true" outlineLevel="0" collapsed="false">
      <c r="A3771" s="32" t="s">
        <v>14398</v>
      </c>
      <c r="B3771" s="32" t="s">
        <v>7908</v>
      </c>
      <c r="C3771" s="33" t="s">
        <v>1407</v>
      </c>
      <c r="D3771" s="33" t="s">
        <v>50</v>
      </c>
      <c r="E3771" s="33" t="s">
        <v>82</v>
      </c>
      <c r="F3771" s="33" t="s">
        <v>7913</v>
      </c>
      <c r="G3771" s="33" t="s">
        <v>9</v>
      </c>
      <c r="H3771" s="33" t="n">
        <v>10</v>
      </c>
    </row>
    <row r="3772" customFormat="false" ht="54" hidden="false" customHeight="true" outlineLevel="0" collapsed="false">
      <c r="A3772" s="32" t="s">
        <v>14399</v>
      </c>
      <c r="B3772" s="32" t="s">
        <v>7908</v>
      </c>
      <c r="C3772" s="33" t="s">
        <v>1407</v>
      </c>
      <c r="D3772" s="33" t="s">
        <v>50</v>
      </c>
      <c r="E3772" s="33" t="s">
        <v>84</v>
      </c>
      <c r="F3772" s="33" t="s">
        <v>183</v>
      </c>
      <c r="G3772" s="33" t="s">
        <v>9</v>
      </c>
      <c r="H3772" s="33" t="n">
        <v>10</v>
      </c>
    </row>
    <row r="3773" customFormat="false" ht="54" hidden="false" customHeight="true" outlineLevel="0" collapsed="false">
      <c r="A3773" s="32" t="s">
        <v>14400</v>
      </c>
      <c r="B3773" s="32" t="s">
        <v>7908</v>
      </c>
      <c r="C3773" s="33" t="s">
        <v>1407</v>
      </c>
      <c r="D3773" s="33" t="s">
        <v>50</v>
      </c>
      <c r="E3773" s="33" t="s">
        <v>84</v>
      </c>
      <c r="F3773" s="33" t="s">
        <v>14371</v>
      </c>
      <c r="G3773" s="33" t="s">
        <v>9</v>
      </c>
      <c r="H3773" s="33" t="n">
        <v>10</v>
      </c>
    </row>
    <row r="3774" customFormat="false" ht="54" hidden="false" customHeight="true" outlineLevel="0" collapsed="false">
      <c r="A3774" s="32" t="s">
        <v>14401</v>
      </c>
      <c r="B3774" s="32" t="s">
        <v>7920</v>
      </c>
      <c r="C3774" s="33" t="s">
        <v>1407</v>
      </c>
      <c r="D3774" s="33" t="s">
        <v>50</v>
      </c>
      <c r="E3774" s="33" t="s">
        <v>80</v>
      </c>
      <c r="F3774" s="33" t="s">
        <v>183</v>
      </c>
      <c r="G3774" s="33" t="s">
        <v>9</v>
      </c>
      <c r="H3774" s="33" t="n">
        <v>10</v>
      </c>
    </row>
    <row r="3775" customFormat="false" ht="54" hidden="false" customHeight="true" outlineLevel="0" collapsed="false">
      <c r="A3775" s="32" t="s">
        <v>14402</v>
      </c>
      <c r="B3775" s="32" t="s">
        <v>7920</v>
      </c>
      <c r="C3775" s="33" t="s">
        <v>1407</v>
      </c>
      <c r="D3775" s="33" t="s">
        <v>50</v>
      </c>
      <c r="E3775" s="33" t="s">
        <v>80</v>
      </c>
      <c r="F3775" s="33" t="s">
        <v>14403</v>
      </c>
      <c r="G3775" s="33" t="s">
        <v>9</v>
      </c>
      <c r="H3775" s="33" t="n">
        <v>10</v>
      </c>
    </row>
    <row r="3776" customFormat="false" ht="54" hidden="false" customHeight="true" outlineLevel="0" collapsed="false">
      <c r="A3776" s="32" t="s">
        <v>14404</v>
      </c>
      <c r="B3776" s="32" t="s">
        <v>7920</v>
      </c>
      <c r="C3776" s="33" t="s">
        <v>1407</v>
      </c>
      <c r="D3776" s="33" t="s">
        <v>50</v>
      </c>
      <c r="E3776" s="33" t="s">
        <v>80</v>
      </c>
      <c r="F3776" s="33" t="s">
        <v>14405</v>
      </c>
      <c r="G3776" s="33" t="s">
        <v>9</v>
      </c>
      <c r="H3776" s="33" t="n">
        <v>10</v>
      </c>
    </row>
    <row r="3777" customFormat="false" ht="54" hidden="false" customHeight="true" outlineLevel="0" collapsed="false">
      <c r="A3777" s="32" t="s">
        <v>14406</v>
      </c>
      <c r="B3777" s="32" t="s">
        <v>7920</v>
      </c>
      <c r="C3777" s="33" t="s">
        <v>1407</v>
      </c>
      <c r="D3777" s="33" t="s">
        <v>50</v>
      </c>
      <c r="E3777" s="33" t="s">
        <v>80</v>
      </c>
      <c r="F3777" s="33" t="s">
        <v>14407</v>
      </c>
      <c r="G3777" s="33" t="s">
        <v>9</v>
      </c>
      <c r="H3777" s="33" t="n">
        <v>10</v>
      </c>
    </row>
    <row r="3778" customFormat="false" ht="54" hidden="false" customHeight="true" outlineLevel="0" collapsed="false">
      <c r="A3778" s="32" t="s">
        <v>14408</v>
      </c>
      <c r="B3778" s="32" t="s">
        <v>7920</v>
      </c>
      <c r="C3778" s="33" t="s">
        <v>1407</v>
      </c>
      <c r="D3778" s="33" t="s">
        <v>50</v>
      </c>
      <c r="E3778" s="33" t="s">
        <v>81</v>
      </c>
      <c r="F3778" s="33" t="s">
        <v>2662</v>
      </c>
      <c r="G3778" s="33" t="s">
        <v>9</v>
      </c>
      <c r="H3778" s="33" t="n">
        <v>10</v>
      </c>
    </row>
    <row r="3779" customFormat="false" ht="54" hidden="false" customHeight="true" outlineLevel="0" collapsed="false">
      <c r="A3779" s="32" t="s">
        <v>14409</v>
      </c>
      <c r="B3779" s="32" t="s">
        <v>7920</v>
      </c>
      <c r="C3779" s="33" t="s">
        <v>1407</v>
      </c>
      <c r="D3779" s="33" t="s">
        <v>50</v>
      </c>
      <c r="E3779" s="33" t="s">
        <v>81</v>
      </c>
      <c r="F3779" s="33" t="s">
        <v>14410</v>
      </c>
      <c r="G3779" s="33" t="s">
        <v>9</v>
      </c>
      <c r="H3779" s="33" t="n">
        <v>10</v>
      </c>
    </row>
    <row r="3780" customFormat="false" ht="54" hidden="false" customHeight="true" outlineLevel="0" collapsed="false">
      <c r="A3780" s="32" t="s">
        <v>14411</v>
      </c>
      <c r="B3780" s="32" t="s">
        <v>7920</v>
      </c>
      <c r="C3780" s="33" t="s">
        <v>1407</v>
      </c>
      <c r="D3780" s="33" t="s">
        <v>50</v>
      </c>
      <c r="E3780" s="33" t="s">
        <v>82</v>
      </c>
      <c r="F3780" s="33" t="s">
        <v>2662</v>
      </c>
      <c r="G3780" s="33" t="s">
        <v>9</v>
      </c>
      <c r="H3780" s="33" t="n">
        <v>10</v>
      </c>
    </row>
    <row r="3781" customFormat="false" ht="54" hidden="false" customHeight="true" outlineLevel="0" collapsed="false">
      <c r="A3781" s="32" t="s">
        <v>14412</v>
      </c>
      <c r="B3781" s="32" t="s">
        <v>7920</v>
      </c>
      <c r="C3781" s="33" t="s">
        <v>1407</v>
      </c>
      <c r="D3781" s="33" t="s">
        <v>50</v>
      </c>
      <c r="E3781" s="33" t="s">
        <v>82</v>
      </c>
      <c r="F3781" s="33" t="s">
        <v>14410</v>
      </c>
      <c r="G3781" s="33" t="s">
        <v>9</v>
      </c>
      <c r="H3781" s="33" t="n">
        <v>10</v>
      </c>
    </row>
    <row r="3782" customFormat="false" ht="54" hidden="false" customHeight="true" outlineLevel="0" collapsed="false">
      <c r="A3782" s="32" t="s">
        <v>14413</v>
      </c>
      <c r="B3782" s="32" t="s">
        <v>7920</v>
      </c>
      <c r="C3782" s="33" t="s">
        <v>1407</v>
      </c>
      <c r="D3782" s="33" t="s">
        <v>50</v>
      </c>
      <c r="E3782" s="33" t="s">
        <v>82</v>
      </c>
      <c r="F3782" s="33" t="s">
        <v>14403</v>
      </c>
      <c r="G3782" s="33" t="s">
        <v>9</v>
      </c>
      <c r="H3782" s="33" t="n">
        <v>10</v>
      </c>
    </row>
    <row r="3783" customFormat="false" ht="54" hidden="false" customHeight="true" outlineLevel="0" collapsed="false">
      <c r="A3783" s="32" t="s">
        <v>14414</v>
      </c>
      <c r="B3783" s="32" t="s">
        <v>7920</v>
      </c>
      <c r="C3783" s="33" t="s">
        <v>1407</v>
      </c>
      <c r="D3783" s="33" t="s">
        <v>50</v>
      </c>
      <c r="E3783" s="33" t="s">
        <v>84</v>
      </c>
      <c r="F3783" s="33" t="s">
        <v>183</v>
      </c>
      <c r="G3783" s="33" t="s">
        <v>9</v>
      </c>
      <c r="H3783" s="33" t="n">
        <v>10</v>
      </c>
    </row>
    <row r="3784" customFormat="false" ht="54" hidden="false" customHeight="true" outlineLevel="0" collapsed="false">
      <c r="A3784" s="32" t="s">
        <v>14415</v>
      </c>
      <c r="B3784" s="32" t="s">
        <v>7920</v>
      </c>
      <c r="C3784" s="33" t="s">
        <v>1407</v>
      </c>
      <c r="D3784" s="33" t="s">
        <v>50</v>
      </c>
      <c r="E3784" s="33" t="s">
        <v>84</v>
      </c>
      <c r="F3784" s="33" t="s">
        <v>14403</v>
      </c>
      <c r="G3784" s="33" t="s">
        <v>9</v>
      </c>
      <c r="H3784" s="33" t="n">
        <v>10</v>
      </c>
    </row>
    <row r="3785" customFormat="false" ht="54" hidden="false" customHeight="true" outlineLevel="0" collapsed="false">
      <c r="A3785" s="32" t="s">
        <v>14416</v>
      </c>
      <c r="B3785" s="32" t="s">
        <v>7920</v>
      </c>
      <c r="C3785" s="33" t="s">
        <v>1407</v>
      </c>
      <c r="D3785" s="33" t="s">
        <v>50</v>
      </c>
      <c r="E3785" s="33" t="s">
        <v>84</v>
      </c>
      <c r="F3785" s="33" t="s">
        <v>14405</v>
      </c>
      <c r="G3785" s="33" t="s">
        <v>9</v>
      </c>
      <c r="H3785" s="33" t="n">
        <v>10</v>
      </c>
    </row>
    <row r="3786" customFormat="false" ht="54" hidden="false" customHeight="true" outlineLevel="0" collapsed="false">
      <c r="A3786" s="32" t="s">
        <v>14417</v>
      </c>
      <c r="B3786" s="32" t="s">
        <v>7920</v>
      </c>
      <c r="C3786" s="33" t="s">
        <v>1407</v>
      </c>
      <c r="D3786" s="33" t="s">
        <v>50</v>
      </c>
      <c r="E3786" s="33" t="s">
        <v>84</v>
      </c>
      <c r="F3786" s="33" t="s">
        <v>14407</v>
      </c>
      <c r="G3786" s="33" t="s">
        <v>9</v>
      </c>
      <c r="H3786" s="33" t="n">
        <v>10</v>
      </c>
    </row>
    <row r="3787" customFormat="false" ht="54" hidden="false" customHeight="true" outlineLevel="0" collapsed="false">
      <c r="A3787" s="32" t="s">
        <v>14418</v>
      </c>
      <c r="B3787" s="32" t="s">
        <v>7931</v>
      </c>
      <c r="C3787" s="33" t="s">
        <v>1407</v>
      </c>
      <c r="D3787" s="33" t="s">
        <v>50</v>
      </c>
      <c r="E3787" s="33" t="s">
        <v>80</v>
      </c>
      <c r="F3787" s="33" t="s">
        <v>183</v>
      </c>
      <c r="G3787" s="33" t="s">
        <v>9</v>
      </c>
      <c r="H3787" s="33" t="n">
        <v>10</v>
      </c>
    </row>
    <row r="3788" customFormat="false" ht="54" hidden="false" customHeight="true" outlineLevel="0" collapsed="false">
      <c r="A3788" s="32" t="s">
        <v>14419</v>
      </c>
      <c r="B3788" s="32" t="s">
        <v>7931</v>
      </c>
      <c r="C3788" s="33" t="s">
        <v>1407</v>
      </c>
      <c r="D3788" s="33" t="s">
        <v>50</v>
      </c>
      <c r="E3788" s="33" t="s">
        <v>80</v>
      </c>
      <c r="F3788" s="33" t="s">
        <v>14420</v>
      </c>
      <c r="G3788" s="33" t="s">
        <v>9</v>
      </c>
      <c r="H3788" s="33" t="n">
        <v>10</v>
      </c>
    </row>
    <row r="3789" customFormat="false" ht="54" hidden="false" customHeight="true" outlineLevel="0" collapsed="false">
      <c r="A3789" s="32" t="s">
        <v>14421</v>
      </c>
      <c r="B3789" s="32" t="s">
        <v>7931</v>
      </c>
      <c r="C3789" s="33" t="s">
        <v>1407</v>
      </c>
      <c r="D3789" s="33" t="s">
        <v>50</v>
      </c>
      <c r="E3789" s="33" t="s">
        <v>81</v>
      </c>
      <c r="F3789" s="33" t="s">
        <v>7936</v>
      </c>
      <c r="G3789" s="33" t="s">
        <v>9</v>
      </c>
      <c r="H3789" s="33" t="n">
        <v>10</v>
      </c>
    </row>
    <row r="3790" customFormat="false" ht="54" hidden="false" customHeight="true" outlineLevel="0" collapsed="false">
      <c r="A3790" s="32" t="s">
        <v>14422</v>
      </c>
      <c r="B3790" s="32" t="s">
        <v>7931</v>
      </c>
      <c r="C3790" s="33" t="s">
        <v>1407</v>
      </c>
      <c r="D3790" s="33" t="s">
        <v>50</v>
      </c>
      <c r="E3790" s="33" t="s">
        <v>82</v>
      </c>
      <c r="F3790" s="33" t="s">
        <v>7936</v>
      </c>
      <c r="G3790" s="33" t="s">
        <v>9</v>
      </c>
      <c r="H3790" s="33" t="n">
        <v>10</v>
      </c>
    </row>
    <row r="3791" customFormat="false" ht="54" hidden="false" customHeight="true" outlineLevel="0" collapsed="false">
      <c r="A3791" s="32" t="s">
        <v>14423</v>
      </c>
      <c r="B3791" s="32" t="s">
        <v>7931</v>
      </c>
      <c r="C3791" s="33" t="s">
        <v>1407</v>
      </c>
      <c r="D3791" s="33" t="s">
        <v>50</v>
      </c>
      <c r="E3791" s="33" t="s">
        <v>82</v>
      </c>
      <c r="F3791" s="33" t="s">
        <v>14420</v>
      </c>
      <c r="G3791" s="33" t="s">
        <v>9</v>
      </c>
      <c r="H3791" s="33" t="n">
        <v>10</v>
      </c>
    </row>
    <row r="3792" customFormat="false" ht="54" hidden="false" customHeight="true" outlineLevel="0" collapsed="false">
      <c r="A3792" s="32" t="s">
        <v>14424</v>
      </c>
      <c r="B3792" s="32" t="s">
        <v>7931</v>
      </c>
      <c r="C3792" s="33" t="s">
        <v>1407</v>
      </c>
      <c r="D3792" s="33" t="s">
        <v>50</v>
      </c>
      <c r="E3792" s="33" t="s">
        <v>82</v>
      </c>
      <c r="F3792" s="33" t="s">
        <v>14425</v>
      </c>
      <c r="G3792" s="33" t="s">
        <v>9</v>
      </c>
      <c r="H3792" s="33" t="n">
        <v>10</v>
      </c>
    </row>
    <row r="3793" customFormat="false" ht="54" hidden="false" customHeight="true" outlineLevel="0" collapsed="false">
      <c r="A3793" s="32" t="s">
        <v>14426</v>
      </c>
      <c r="B3793" s="32" t="s">
        <v>7931</v>
      </c>
      <c r="C3793" s="33" t="s">
        <v>1407</v>
      </c>
      <c r="D3793" s="33" t="s">
        <v>50</v>
      </c>
      <c r="E3793" s="33" t="s">
        <v>82</v>
      </c>
      <c r="F3793" s="33" t="s">
        <v>14427</v>
      </c>
      <c r="G3793" s="33" t="s">
        <v>9</v>
      </c>
      <c r="H3793" s="33" t="n">
        <v>10</v>
      </c>
    </row>
    <row r="3794" customFormat="false" ht="54" hidden="false" customHeight="true" outlineLevel="0" collapsed="false">
      <c r="A3794" s="32" t="s">
        <v>14428</v>
      </c>
      <c r="B3794" s="32" t="s">
        <v>7931</v>
      </c>
      <c r="C3794" s="33" t="s">
        <v>1407</v>
      </c>
      <c r="D3794" s="33" t="s">
        <v>50</v>
      </c>
      <c r="E3794" s="33" t="s">
        <v>82</v>
      </c>
      <c r="F3794" s="33" t="s">
        <v>14429</v>
      </c>
      <c r="G3794" s="33" t="s">
        <v>9</v>
      </c>
      <c r="H3794" s="33" t="n">
        <v>10</v>
      </c>
    </row>
    <row r="3795" customFormat="false" ht="54" hidden="false" customHeight="true" outlineLevel="0" collapsed="false">
      <c r="A3795" s="32" t="s">
        <v>14430</v>
      </c>
      <c r="B3795" s="32" t="s">
        <v>7931</v>
      </c>
      <c r="C3795" s="33" t="s">
        <v>1407</v>
      </c>
      <c r="D3795" s="33" t="s">
        <v>50</v>
      </c>
      <c r="E3795" s="33" t="s">
        <v>84</v>
      </c>
      <c r="F3795" s="33" t="s">
        <v>183</v>
      </c>
      <c r="G3795" s="33" t="s">
        <v>9</v>
      </c>
      <c r="H3795" s="33" t="n">
        <v>10</v>
      </c>
    </row>
    <row r="3796" customFormat="false" ht="54" hidden="false" customHeight="true" outlineLevel="0" collapsed="false">
      <c r="A3796" s="32" t="s">
        <v>14431</v>
      </c>
      <c r="B3796" s="32" t="s">
        <v>7931</v>
      </c>
      <c r="C3796" s="33" t="s">
        <v>1407</v>
      </c>
      <c r="D3796" s="33" t="s">
        <v>50</v>
      </c>
      <c r="E3796" s="33" t="s">
        <v>84</v>
      </c>
      <c r="F3796" s="33" t="s">
        <v>14420</v>
      </c>
      <c r="G3796" s="33" t="s">
        <v>9</v>
      </c>
      <c r="H3796" s="33" t="n">
        <v>10</v>
      </c>
    </row>
    <row r="3797" customFormat="false" ht="54" hidden="false" customHeight="true" outlineLevel="0" collapsed="false">
      <c r="A3797" s="32" t="s">
        <v>14432</v>
      </c>
      <c r="B3797" s="32" t="s">
        <v>7944</v>
      </c>
      <c r="C3797" s="33" t="s">
        <v>1407</v>
      </c>
      <c r="D3797" s="33" t="s">
        <v>50</v>
      </c>
      <c r="E3797" s="33" t="s">
        <v>80</v>
      </c>
      <c r="F3797" s="33" t="s">
        <v>183</v>
      </c>
      <c r="G3797" s="33" t="s">
        <v>9</v>
      </c>
      <c r="H3797" s="33" t="n">
        <v>10</v>
      </c>
    </row>
    <row r="3798" customFormat="false" ht="54" hidden="false" customHeight="true" outlineLevel="0" collapsed="false">
      <c r="A3798" s="32" t="s">
        <v>14433</v>
      </c>
      <c r="B3798" s="32" t="s">
        <v>7944</v>
      </c>
      <c r="C3798" s="33" t="s">
        <v>1407</v>
      </c>
      <c r="D3798" s="33" t="s">
        <v>50</v>
      </c>
      <c r="E3798" s="33" t="s">
        <v>81</v>
      </c>
      <c r="F3798" s="33" t="s">
        <v>7949</v>
      </c>
      <c r="G3798" s="33" t="s">
        <v>9</v>
      </c>
      <c r="H3798" s="33" t="n">
        <v>10</v>
      </c>
    </row>
    <row r="3799" customFormat="false" ht="54" hidden="false" customHeight="true" outlineLevel="0" collapsed="false">
      <c r="A3799" s="32" t="s">
        <v>14434</v>
      </c>
      <c r="B3799" s="32" t="s">
        <v>7944</v>
      </c>
      <c r="C3799" s="33" t="s">
        <v>1407</v>
      </c>
      <c r="D3799" s="33" t="s">
        <v>50</v>
      </c>
      <c r="E3799" s="33" t="s">
        <v>84</v>
      </c>
      <c r="F3799" s="33" t="s">
        <v>183</v>
      </c>
      <c r="G3799" s="33" t="s">
        <v>9</v>
      </c>
      <c r="H3799" s="33" t="n">
        <v>10</v>
      </c>
    </row>
    <row r="3800" customFormat="false" ht="54" hidden="false" customHeight="true" outlineLevel="0" collapsed="false">
      <c r="A3800" s="32" t="s">
        <v>14435</v>
      </c>
      <c r="B3800" s="32" t="s">
        <v>7955</v>
      </c>
      <c r="C3800" s="33" t="s">
        <v>98</v>
      </c>
      <c r="D3800" s="33" t="s">
        <v>59</v>
      </c>
      <c r="E3800" s="33" t="s">
        <v>80</v>
      </c>
      <c r="F3800" s="33" t="s">
        <v>7959</v>
      </c>
      <c r="G3800" s="33" t="s">
        <v>12</v>
      </c>
      <c r="H3800" s="33" t="n">
        <v>10</v>
      </c>
    </row>
    <row r="3801" customFormat="false" ht="54" hidden="false" customHeight="true" outlineLevel="0" collapsed="false">
      <c r="A3801" s="32" t="s">
        <v>14436</v>
      </c>
      <c r="B3801" s="32" t="s">
        <v>7955</v>
      </c>
      <c r="C3801" s="33" t="s">
        <v>98</v>
      </c>
      <c r="D3801" s="33" t="s">
        <v>59</v>
      </c>
      <c r="E3801" s="33" t="s">
        <v>80</v>
      </c>
      <c r="F3801" s="33" t="s">
        <v>183</v>
      </c>
      <c r="G3801" s="33" t="s">
        <v>12</v>
      </c>
      <c r="H3801" s="33" t="n">
        <v>10</v>
      </c>
    </row>
    <row r="3802" customFormat="false" ht="54" hidden="false" customHeight="true" outlineLevel="0" collapsed="false">
      <c r="A3802" s="32" t="s">
        <v>14437</v>
      </c>
      <c r="B3802" s="32" t="s">
        <v>7955</v>
      </c>
      <c r="C3802" s="33" t="s">
        <v>98</v>
      </c>
      <c r="D3802" s="33" t="s">
        <v>59</v>
      </c>
      <c r="E3802" s="33" t="s">
        <v>80</v>
      </c>
      <c r="F3802" s="33" t="s">
        <v>14438</v>
      </c>
      <c r="G3802" s="33" t="s">
        <v>12</v>
      </c>
      <c r="H3802" s="33" t="n">
        <v>10</v>
      </c>
    </row>
    <row r="3803" customFormat="false" ht="54" hidden="false" customHeight="true" outlineLevel="0" collapsed="false">
      <c r="A3803" s="32" t="s">
        <v>14439</v>
      </c>
      <c r="B3803" s="32" t="s">
        <v>7955</v>
      </c>
      <c r="C3803" s="33" t="s">
        <v>98</v>
      </c>
      <c r="D3803" s="33" t="s">
        <v>59</v>
      </c>
      <c r="E3803" s="33" t="s">
        <v>81</v>
      </c>
      <c r="F3803" s="33" t="s">
        <v>7966</v>
      </c>
      <c r="G3803" s="33" t="s">
        <v>12</v>
      </c>
      <c r="H3803" s="33" t="n">
        <v>10</v>
      </c>
    </row>
    <row r="3804" customFormat="false" ht="54" hidden="false" customHeight="true" outlineLevel="0" collapsed="false">
      <c r="A3804" s="32" t="s">
        <v>14440</v>
      </c>
      <c r="B3804" s="32" t="s">
        <v>7955</v>
      </c>
      <c r="C3804" s="33" t="s">
        <v>98</v>
      </c>
      <c r="D3804" s="33" t="s">
        <v>59</v>
      </c>
      <c r="E3804" s="33" t="s">
        <v>82</v>
      </c>
      <c r="F3804" s="33" t="s">
        <v>7967</v>
      </c>
      <c r="G3804" s="33" t="s">
        <v>12</v>
      </c>
      <c r="H3804" s="33" t="n">
        <v>10</v>
      </c>
    </row>
    <row r="3805" customFormat="false" ht="54" hidden="false" customHeight="true" outlineLevel="0" collapsed="false">
      <c r="A3805" s="32" t="s">
        <v>14441</v>
      </c>
      <c r="B3805" s="32" t="s">
        <v>7955</v>
      </c>
      <c r="C3805" s="33" t="s">
        <v>98</v>
      </c>
      <c r="D3805" s="33" t="s">
        <v>59</v>
      </c>
      <c r="E3805" s="33" t="s">
        <v>84</v>
      </c>
      <c r="F3805" s="33" t="s">
        <v>7959</v>
      </c>
      <c r="G3805" s="33" t="s">
        <v>12</v>
      </c>
      <c r="H3805" s="33" t="n">
        <v>10</v>
      </c>
    </row>
    <row r="3806" customFormat="false" ht="54" hidden="false" customHeight="true" outlineLevel="0" collapsed="false">
      <c r="A3806" s="32" t="s">
        <v>14442</v>
      </c>
      <c r="B3806" s="32" t="s">
        <v>7955</v>
      </c>
      <c r="C3806" s="33" t="s">
        <v>98</v>
      </c>
      <c r="D3806" s="33" t="s">
        <v>59</v>
      </c>
      <c r="E3806" s="33" t="s">
        <v>84</v>
      </c>
      <c r="F3806" s="33" t="s">
        <v>183</v>
      </c>
      <c r="G3806" s="33" t="s">
        <v>12</v>
      </c>
      <c r="H3806" s="33" t="n">
        <v>10</v>
      </c>
    </row>
    <row r="3807" customFormat="false" ht="54" hidden="false" customHeight="true" outlineLevel="0" collapsed="false">
      <c r="A3807" s="32" t="s">
        <v>14443</v>
      </c>
      <c r="B3807" s="32" t="s">
        <v>7955</v>
      </c>
      <c r="C3807" s="33" t="s">
        <v>98</v>
      </c>
      <c r="D3807" s="33" t="s">
        <v>59</v>
      </c>
      <c r="E3807" s="33" t="s">
        <v>84</v>
      </c>
      <c r="F3807" s="33" t="s">
        <v>14438</v>
      </c>
      <c r="G3807" s="33" t="s">
        <v>12</v>
      </c>
      <c r="H3807" s="33" t="n">
        <v>10</v>
      </c>
    </row>
    <row r="3808" customFormat="false" ht="54" hidden="false" customHeight="true" outlineLevel="0" collapsed="false">
      <c r="A3808" s="32" t="s">
        <v>14444</v>
      </c>
      <c r="B3808" s="32" t="s">
        <v>7970</v>
      </c>
      <c r="C3808" s="33" t="s">
        <v>1407</v>
      </c>
      <c r="D3808" s="33" t="s">
        <v>50</v>
      </c>
      <c r="E3808" s="33" t="s">
        <v>80</v>
      </c>
      <c r="F3808" s="33" t="s">
        <v>183</v>
      </c>
      <c r="G3808" s="33" t="s">
        <v>12</v>
      </c>
      <c r="H3808" s="33" t="n">
        <v>10</v>
      </c>
    </row>
    <row r="3809" customFormat="false" ht="54" hidden="false" customHeight="true" outlineLevel="0" collapsed="false">
      <c r="A3809" s="32" t="s">
        <v>14445</v>
      </c>
      <c r="B3809" s="32" t="s">
        <v>7970</v>
      </c>
      <c r="C3809" s="33" t="s">
        <v>1407</v>
      </c>
      <c r="D3809" s="33" t="s">
        <v>50</v>
      </c>
      <c r="E3809" s="33" t="s">
        <v>84</v>
      </c>
      <c r="F3809" s="33" t="s">
        <v>183</v>
      </c>
      <c r="G3809" s="33" t="s">
        <v>12</v>
      </c>
      <c r="H3809" s="33" t="n">
        <v>10</v>
      </c>
    </row>
    <row r="3810" customFormat="false" ht="54" hidden="false" customHeight="true" outlineLevel="0" collapsed="false">
      <c r="A3810" s="32" t="s">
        <v>14446</v>
      </c>
      <c r="B3810" s="32" t="s">
        <v>7982</v>
      </c>
      <c r="C3810" s="33" t="s">
        <v>98</v>
      </c>
      <c r="D3810" s="33" t="s">
        <v>59</v>
      </c>
      <c r="E3810" s="33" t="s">
        <v>80</v>
      </c>
      <c r="F3810" s="33" t="s">
        <v>183</v>
      </c>
      <c r="G3810" s="33" t="s">
        <v>12</v>
      </c>
      <c r="H3810" s="33" t="n">
        <v>10</v>
      </c>
    </row>
    <row r="3811" customFormat="false" ht="54" hidden="false" customHeight="true" outlineLevel="0" collapsed="false">
      <c r="A3811" s="32" t="s">
        <v>14447</v>
      </c>
      <c r="B3811" s="32" t="s">
        <v>7982</v>
      </c>
      <c r="C3811" s="33" t="s">
        <v>98</v>
      </c>
      <c r="D3811" s="33" t="s">
        <v>59</v>
      </c>
      <c r="E3811" s="33" t="s">
        <v>84</v>
      </c>
      <c r="F3811" s="33" t="s">
        <v>183</v>
      </c>
      <c r="G3811" s="33" t="s">
        <v>12</v>
      </c>
      <c r="H3811" s="33" t="n">
        <v>10</v>
      </c>
    </row>
    <row r="3812" customFormat="false" ht="54" hidden="false" customHeight="true" outlineLevel="0" collapsed="false">
      <c r="A3812" s="32" t="s">
        <v>14448</v>
      </c>
      <c r="B3812" s="32" t="s">
        <v>7982</v>
      </c>
      <c r="C3812" s="33" t="s">
        <v>98</v>
      </c>
      <c r="D3812" s="33" t="s">
        <v>59</v>
      </c>
      <c r="E3812" s="33" t="s">
        <v>84</v>
      </c>
      <c r="F3812" s="33" t="s">
        <v>14449</v>
      </c>
      <c r="G3812" s="33" t="s">
        <v>12</v>
      </c>
      <c r="H3812" s="33" t="n">
        <v>10</v>
      </c>
    </row>
    <row r="3813" customFormat="false" ht="54" hidden="false" customHeight="true" outlineLevel="0" collapsed="false">
      <c r="A3813" s="32" t="s">
        <v>14450</v>
      </c>
      <c r="B3813" s="32" t="s">
        <v>2763</v>
      </c>
      <c r="C3813" s="33" t="s">
        <v>1407</v>
      </c>
      <c r="D3813" s="33" t="s">
        <v>50</v>
      </c>
      <c r="E3813" s="33" t="s">
        <v>80</v>
      </c>
      <c r="F3813" s="33" t="s">
        <v>183</v>
      </c>
      <c r="G3813" s="33" t="s">
        <v>12</v>
      </c>
      <c r="H3813" s="33" t="n">
        <v>10</v>
      </c>
    </row>
    <row r="3814" customFormat="false" ht="54" hidden="false" customHeight="true" outlineLevel="0" collapsed="false">
      <c r="A3814" s="32" t="s">
        <v>14451</v>
      </c>
      <c r="B3814" s="32" t="s">
        <v>2763</v>
      </c>
      <c r="C3814" s="33" t="s">
        <v>1407</v>
      </c>
      <c r="D3814" s="33" t="s">
        <v>50</v>
      </c>
      <c r="E3814" s="33" t="s">
        <v>84</v>
      </c>
      <c r="F3814" s="33" t="s">
        <v>183</v>
      </c>
      <c r="G3814" s="33" t="s">
        <v>12</v>
      </c>
      <c r="H3814" s="33" t="n">
        <v>10</v>
      </c>
    </row>
    <row r="3815" customFormat="false" ht="54" hidden="false" customHeight="true" outlineLevel="0" collapsed="false">
      <c r="A3815" s="32" t="s">
        <v>14452</v>
      </c>
      <c r="B3815" s="32" t="s">
        <v>8004</v>
      </c>
      <c r="C3815" s="33" t="s">
        <v>1407</v>
      </c>
      <c r="D3815" s="33" t="s">
        <v>50</v>
      </c>
      <c r="E3815" s="33" t="s">
        <v>80</v>
      </c>
      <c r="F3815" s="33" t="s">
        <v>183</v>
      </c>
      <c r="G3815" s="33" t="s">
        <v>9</v>
      </c>
      <c r="H3815" s="33" t="n">
        <v>10</v>
      </c>
    </row>
    <row r="3816" customFormat="false" ht="54" hidden="false" customHeight="true" outlineLevel="0" collapsed="false">
      <c r="A3816" s="32" t="s">
        <v>14453</v>
      </c>
      <c r="B3816" s="32" t="s">
        <v>8004</v>
      </c>
      <c r="C3816" s="33" t="s">
        <v>1407</v>
      </c>
      <c r="D3816" s="33" t="s">
        <v>50</v>
      </c>
      <c r="E3816" s="33" t="s">
        <v>83</v>
      </c>
      <c r="F3816" s="33" t="s">
        <v>8012</v>
      </c>
      <c r="G3816" s="33" t="s">
        <v>9</v>
      </c>
      <c r="H3816" s="33" t="n">
        <v>10</v>
      </c>
    </row>
    <row r="3817" customFormat="false" ht="54" hidden="false" customHeight="true" outlineLevel="0" collapsed="false">
      <c r="A3817" s="32" t="s">
        <v>14454</v>
      </c>
      <c r="B3817" s="32" t="s">
        <v>8004</v>
      </c>
      <c r="C3817" s="33" t="s">
        <v>1407</v>
      </c>
      <c r="D3817" s="33" t="s">
        <v>50</v>
      </c>
      <c r="E3817" s="33" t="s">
        <v>84</v>
      </c>
      <c r="F3817" s="33" t="s">
        <v>8007</v>
      </c>
      <c r="G3817" s="33" t="s">
        <v>9</v>
      </c>
      <c r="H3817" s="33" t="n">
        <v>10</v>
      </c>
    </row>
    <row r="3818" customFormat="false" ht="54" hidden="false" customHeight="true" outlineLevel="0" collapsed="false">
      <c r="A3818" s="32" t="s">
        <v>14455</v>
      </c>
      <c r="B3818" s="32" t="s">
        <v>8004</v>
      </c>
      <c r="C3818" s="33" t="s">
        <v>1407</v>
      </c>
      <c r="D3818" s="33" t="s">
        <v>50</v>
      </c>
      <c r="E3818" s="33" t="s">
        <v>84</v>
      </c>
      <c r="F3818" s="33" t="s">
        <v>8008</v>
      </c>
      <c r="G3818" s="33" t="s">
        <v>9</v>
      </c>
      <c r="H3818" s="33" t="n">
        <v>10</v>
      </c>
    </row>
    <row r="3819" customFormat="false" ht="54" hidden="false" customHeight="true" outlineLevel="0" collapsed="false">
      <c r="A3819" s="32" t="s">
        <v>14456</v>
      </c>
      <c r="B3819" s="32" t="s">
        <v>8004</v>
      </c>
      <c r="C3819" s="33" t="s">
        <v>1407</v>
      </c>
      <c r="D3819" s="33" t="s">
        <v>50</v>
      </c>
      <c r="E3819" s="33" t="s">
        <v>84</v>
      </c>
      <c r="F3819" s="33" t="s">
        <v>183</v>
      </c>
      <c r="G3819" s="33" t="s">
        <v>9</v>
      </c>
      <c r="H3819" s="33" t="n">
        <v>10</v>
      </c>
    </row>
    <row r="3820" customFormat="false" ht="54" hidden="false" customHeight="true" outlineLevel="0" collapsed="false">
      <c r="A3820" s="32" t="s">
        <v>14457</v>
      </c>
      <c r="B3820" s="32" t="s">
        <v>8004</v>
      </c>
      <c r="C3820" s="33" t="s">
        <v>1407</v>
      </c>
      <c r="D3820" s="33" t="s">
        <v>50</v>
      </c>
      <c r="E3820" s="33" t="s">
        <v>84</v>
      </c>
      <c r="F3820" s="33" t="s">
        <v>14458</v>
      </c>
      <c r="G3820" s="33" t="s">
        <v>9</v>
      </c>
      <c r="H3820" s="33" t="n">
        <v>10</v>
      </c>
    </row>
    <row r="3821" customFormat="false" ht="54" hidden="false" customHeight="true" outlineLevel="0" collapsed="false">
      <c r="A3821" s="32" t="s">
        <v>14459</v>
      </c>
      <c r="B3821" s="32" t="s">
        <v>8004</v>
      </c>
      <c r="C3821" s="33" t="s">
        <v>1407</v>
      </c>
      <c r="D3821" s="33" t="s">
        <v>50</v>
      </c>
      <c r="E3821" s="33" t="s">
        <v>84</v>
      </c>
      <c r="F3821" s="33" t="s">
        <v>8012</v>
      </c>
      <c r="G3821" s="33" t="s">
        <v>9</v>
      </c>
      <c r="H3821" s="33" t="n">
        <v>10</v>
      </c>
    </row>
    <row r="3822" customFormat="false" ht="54" hidden="false" customHeight="true" outlineLevel="0" collapsed="false">
      <c r="A3822" s="32" t="s">
        <v>14460</v>
      </c>
      <c r="B3822" s="32" t="s">
        <v>8016</v>
      </c>
      <c r="C3822" s="33" t="s">
        <v>1407</v>
      </c>
      <c r="D3822" s="33" t="s">
        <v>50</v>
      </c>
      <c r="E3822" s="33" t="s">
        <v>80</v>
      </c>
      <c r="F3822" s="33" t="s">
        <v>183</v>
      </c>
      <c r="G3822" s="33" t="s">
        <v>12</v>
      </c>
      <c r="H3822" s="33" t="n">
        <v>10</v>
      </c>
    </row>
    <row r="3823" customFormat="false" ht="54" hidden="false" customHeight="true" outlineLevel="0" collapsed="false">
      <c r="A3823" s="32" t="s">
        <v>14461</v>
      </c>
      <c r="B3823" s="32" t="s">
        <v>8016</v>
      </c>
      <c r="C3823" s="33" t="s">
        <v>1407</v>
      </c>
      <c r="D3823" s="33" t="s">
        <v>50</v>
      </c>
      <c r="E3823" s="33" t="s">
        <v>80</v>
      </c>
      <c r="F3823" s="33" t="s">
        <v>14462</v>
      </c>
      <c r="G3823" s="33" t="s">
        <v>12</v>
      </c>
      <c r="H3823" s="33" t="n">
        <v>10</v>
      </c>
    </row>
    <row r="3824" customFormat="false" ht="54" hidden="false" customHeight="true" outlineLevel="0" collapsed="false">
      <c r="A3824" s="32" t="s">
        <v>14463</v>
      </c>
      <c r="B3824" s="32" t="s">
        <v>8016</v>
      </c>
      <c r="C3824" s="33" t="s">
        <v>1407</v>
      </c>
      <c r="D3824" s="33" t="s">
        <v>50</v>
      </c>
      <c r="E3824" s="33" t="s">
        <v>81</v>
      </c>
      <c r="F3824" s="33" t="s">
        <v>8020</v>
      </c>
      <c r="G3824" s="33" t="s">
        <v>12</v>
      </c>
      <c r="H3824" s="33" t="n">
        <v>10</v>
      </c>
    </row>
    <row r="3825" customFormat="false" ht="54" hidden="false" customHeight="true" outlineLevel="0" collapsed="false">
      <c r="A3825" s="32" t="s">
        <v>14464</v>
      </c>
      <c r="B3825" s="32" t="s">
        <v>8016</v>
      </c>
      <c r="C3825" s="33" t="s">
        <v>1407</v>
      </c>
      <c r="D3825" s="33" t="s">
        <v>50</v>
      </c>
      <c r="E3825" s="33" t="s">
        <v>81</v>
      </c>
      <c r="F3825" s="33" t="s">
        <v>2756</v>
      </c>
      <c r="G3825" s="33" t="s">
        <v>12</v>
      </c>
      <c r="H3825" s="33" t="n">
        <v>10</v>
      </c>
    </row>
    <row r="3826" customFormat="false" ht="54" hidden="false" customHeight="true" outlineLevel="0" collapsed="false">
      <c r="A3826" s="32" t="s">
        <v>14465</v>
      </c>
      <c r="B3826" s="32" t="s">
        <v>8016</v>
      </c>
      <c r="C3826" s="33" t="s">
        <v>1407</v>
      </c>
      <c r="D3826" s="33" t="s">
        <v>50</v>
      </c>
      <c r="E3826" s="33" t="s">
        <v>82</v>
      </c>
      <c r="F3826" s="33" t="s">
        <v>2756</v>
      </c>
      <c r="G3826" s="33" t="s">
        <v>12</v>
      </c>
      <c r="H3826" s="33" t="n">
        <v>10</v>
      </c>
    </row>
    <row r="3827" customFormat="false" ht="54" hidden="false" customHeight="true" outlineLevel="0" collapsed="false">
      <c r="A3827" s="32" t="s">
        <v>14466</v>
      </c>
      <c r="B3827" s="32" t="s">
        <v>8016</v>
      </c>
      <c r="C3827" s="33" t="s">
        <v>1407</v>
      </c>
      <c r="D3827" s="33" t="s">
        <v>50</v>
      </c>
      <c r="E3827" s="33" t="s">
        <v>82</v>
      </c>
      <c r="F3827" s="33" t="s">
        <v>14462</v>
      </c>
      <c r="G3827" s="33" t="s">
        <v>12</v>
      </c>
      <c r="H3827" s="33" t="n">
        <v>10</v>
      </c>
    </row>
    <row r="3828" customFormat="false" ht="54" hidden="false" customHeight="true" outlineLevel="0" collapsed="false">
      <c r="A3828" s="32" t="s">
        <v>14467</v>
      </c>
      <c r="B3828" s="32" t="s">
        <v>8016</v>
      </c>
      <c r="C3828" s="33" t="s">
        <v>1407</v>
      </c>
      <c r="D3828" s="33" t="s">
        <v>50</v>
      </c>
      <c r="E3828" s="33" t="s">
        <v>82</v>
      </c>
      <c r="F3828" s="33" t="s">
        <v>14468</v>
      </c>
      <c r="G3828" s="33" t="s">
        <v>12</v>
      </c>
      <c r="H3828" s="33" t="n">
        <v>10</v>
      </c>
    </row>
    <row r="3829" customFormat="false" ht="54" hidden="false" customHeight="true" outlineLevel="0" collapsed="false">
      <c r="A3829" s="32" t="s">
        <v>14469</v>
      </c>
      <c r="B3829" s="32" t="s">
        <v>8016</v>
      </c>
      <c r="C3829" s="33" t="s">
        <v>1407</v>
      </c>
      <c r="D3829" s="33" t="s">
        <v>50</v>
      </c>
      <c r="E3829" s="33" t="s">
        <v>84</v>
      </c>
      <c r="F3829" s="33" t="s">
        <v>183</v>
      </c>
      <c r="G3829" s="33" t="s">
        <v>12</v>
      </c>
      <c r="H3829" s="33" t="n">
        <v>10</v>
      </c>
    </row>
    <row r="3830" customFormat="false" ht="54" hidden="false" customHeight="true" outlineLevel="0" collapsed="false">
      <c r="A3830" s="32" t="s">
        <v>14470</v>
      </c>
      <c r="B3830" s="32" t="s">
        <v>8016</v>
      </c>
      <c r="C3830" s="33" t="s">
        <v>1407</v>
      </c>
      <c r="D3830" s="33" t="s">
        <v>50</v>
      </c>
      <c r="E3830" s="33" t="s">
        <v>84</v>
      </c>
      <c r="F3830" s="33" t="s">
        <v>14462</v>
      </c>
      <c r="G3830" s="33" t="s">
        <v>12</v>
      </c>
      <c r="H3830" s="33" t="n">
        <v>10</v>
      </c>
    </row>
    <row r="3831" customFormat="false" ht="54" hidden="false" customHeight="true" outlineLevel="0" collapsed="false">
      <c r="A3831" s="32" t="s">
        <v>14471</v>
      </c>
      <c r="B3831" s="32" t="s">
        <v>8028</v>
      </c>
      <c r="C3831" s="33" t="s">
        <v>98</v>
      </c>
      <c r="D3831" s="33" t="s">
        <v>59</v>
      </c>
      <c r="E3831" s="33" t="s">
        <v>80</v>
      </c>
      <c r="F3831" s="33" t="s">
        <v>183</v>
      </c>
      <c r="G3831" s="33" t="s">
        <v>12</v>
      </c>
      <c r="H3831" s="33" t="n">
        <v>10</v>
      </c>
    </row>
    <row r="3832" customFormat="false" ht="54" hidden="false" customHeight="true" outlineLevel="0" collapsed="false">
      <c r="A3832" s="32" t="s">
        <v>14472</v>
      </c>
      <c r="B3832" s="32" t="s">
        <v>8028</v>
      </c>
      <c r="C3832" s="33" t="s">
        <v>98</v>
      </c>
      <c r="D3832" s="33" t="s">
        <v>59</v>
      </c>
      <c r="E3832" s="33" t="s">
        <v>80</v>
      </c>
      <c r="F3832" s="33" t="s">
        <v>14473</v>
      </c>
      <c r="G3832" s="33" t="s">
        <v>12</v>
      </c>
      <c r="H3832" s="33" t="n">
        <v>10</v>
      </c>
    </row>
    <row r="3833" customFormat="false" ht="54" hidden="false" customHeight="true" outlineLevel="0" collapsed="false">
      <c r="A3833" s="32" t="s">
        <v>14474</v>
      </c>
      <c r="B3833" s="32" t="s">
        <v>8028</v>
      </c>
      <c r="C3833" s="33" t="s">
        <v>98</v>
      </c>
      <c r="D3833" s="33" t="s">
        <v>59</v>
      </c>
      <c r="E3833" s="33" t="s">
        <v>81</v>
      </c>
      <c r="F3833" s="33" t="s">
        <v>8033</v>
      </c>
      <c r="G3833" s="33" t="s">
        <v>12</v>
      </c>
      <c r="H3833" s="33" t="n">
        <v>10</v>
      </c>
    </row>
    <row r="3834" customFormat="false" ht="54" hidden="false" customHeight="true" outlineLevel="0" collapsed="false">
      <c r="A3834" s="32" t="s">
        <v>14475</v>
      </c>
      <c r="B3834" s="32" t="s">
        <v>8028</v>
      </c>
      <c r="C3834" s="33" t="s">
        <v>98</v>
      </c>
      <c r="D3834" s="33" t="s">
        <v>59</v>
      </c>
      <c r="E3834" s="33" t="s">
        <v>81</v>
      </c>
      <c r="F3834" s="33" t="s">
        <v>8034</v>
      </c>
      <c r="G3834" s="33" t="s">
        <v>12</v>
      </c>
      <c r="H3834" s="33" t="n">
        <v>10</v>
      </c>
    </row>
    <row r="3835" customFormat="false" ht="54" hidden="false" customHeight="true" outlineLevel="0" collapsed="false">
      <c r="A3835" s="32" t="s">
        <v>14476</v>
      </c>
      <c r="B3835" s="32" t="s">
        <v>8028</v>
      </c>
      <c r="C3835" s="33" t="s">
        <v>98</v>
      </c>
      <c r="D3835" s="33" t="s">
        <v>59</v>
      </c>
      <c r="E3835" s="33" t="s">
        <v>81</v>
      </c>
      <c r="F3835" s="33" t="s">
        <v>14473</v>
      </c>
      <c r="G3835" s="33" t="s">
        <v>12</v>
      </c>
      <c r="H3835" s="33" t="n">
        <v>10</v>
      </c>
    </row>
    <row r="3836" customFormat="false" ht="54" hidden="false" customHeight="true" outlineLevel="0" collapsed="false">
      <c r="A3836" s="32" t="s">
        <v>14477</v>
      </c>
      <c r="B3836" s="32" t="s">
        <v>8028</v>
      </c>
      <c r="C3836" s="33" t="s">
        <v>98</v>
      </c>
      <c r="D3836" s="33" t="s">
        <v>59</v>
      </c>
      <c r="E3836" s="33" t="s">
        <v>81</v>
      </c>
      <c r="F3836" s="33" t="s">
        <v>14478</v>
      </c>
      <c r="G3836" s="33" t="s">
        <v>12</v>
      </c>
      <c r="H3836" s="33" t="n">
        <v>10</v>
      </c>
    </row>
    <row r="3837" customFormat="false" ht="54" hidden="false" customHeight="true" outlineLevel="0" collapsed="false">
      <c r="A3837" s="32" t="s">
        <v>14479</v>
      </c>
      <c r="B3837" s="32" t="s">
        <v>8028</v>
      </c>
      <c r="C3837" s="33" t="s">
        <v>98</v>
      </c>
      <c r="D3837" s="33" t="s">
        <v>59</v>
      </c>
      <c r="E3837" s="33" t="s">
        <v>84</v>
      </c>
      <c r="F3837" s="33" t="s">
        <v>183</v>
      </c>
      <c r="G3837" s="33" t="s">
        <v>12</v>
      </c>
      <c r="H3837" s="33" t="n">
        <v>10</v>
      </c>
    </row>
    <row r="3838" customFormat="false" ht="54" hidden="false" customHeight="true" outlineLevel="0" collapsed="false">
      <c r="A3838" s="32" t="s">
        <v>14480</v>
      </c>
      <c r="B3838" s="32" t="s">
        <v>8028</v>
      </c>
      <c r="C3838" s="33" t="s">
        <v>98</v>
      </c>
      <c r="D3838" s="33" t="s">
        <v>59</v>
      </c>
      <c r="E3838" s="33" t="s">
        <v>84</v>
      </c>
      <c r="F3838" s="33" t="s">
        <v>14473</v>
      </c>
      <c r="G3838" s="33" t="s">
        <v>12</v>
      </c>
      <c r="H3838" s="33" t="n">
        <v>10</v>
      </c>
    </row>
    <row r="3839" customFormat="false" ht="54" hidden="false" customHeight="true" outlineLevel="0" collapsed="false">
      <c r="A3839" s="32" t="s">
        <v>14481</v>
      </c>
      <c r="B3839" s="32" t="s">
        <v>8041</v>
      </c>
      <c r="C3839" s="33" t="s">
        <v>1407</v>
      </c>
      <c r="D3839" s="33" t="s">
        <v>50</v>
      </c>
      <c r="E3839" s="33" t="s">
        <v>80</v>
      </c>
      <c r="F3839" s="33" t="s">
        <v>183</v>
      </c>
      <c r="G3839" s="33" t="s">
        <v>9</v>
      </c>
      <c r="H3839" s="33" t="n">
        <v>10</v>
      </c>
    </row>
    <row r="3840" customFormat="false" ht="54" hidden="false" customHeight="true" outlineLevel="0" collapsed="false">
      <c r="A3840" s="32" t="s">
        <v>14482</v>
      </c>
      <c r="B3840" s="32" t="s">
        <v>8041</v>
      </c>
      <c r="C3840" s="33" t="s">
        <v>1407</v>
      </c>
      <c r="D3840" s="33" t="s">
        <v>50</v>
      </c>
      <c r="E3840" s="33" t="s">
        <v>80</v>
      </c>
      <c r="F3840" s="33" t="s">
        <v>14483</v>
      </c>
      <c r="G3840" s="33" t="s">
        <v>9</v>
      </c>
      <c r="H3840" s="33" t="n">
        <v>10</v>
      </c>
    </row>
    <row r="3841" customFormat="false" ht="54" hidden="false" customHeight="true" outlineLevel="0" collapsed="false">
      <c r="A3841" s="32" t="s">
        <v>14484</v>
      </c>
      <c r="B3841" s="32" t="s">
        <v>8041</v>
      </c>
      <c r="C3841" s="33" t="s">
        <v>1407</v>
      </c>
      <c r="D3841" s="33" t="s">
        <v>50</v>
      </c>
      <c r="E3841" s="33" t="s">
        <v>80</v>
      </c>
      <c r="F3841" s="33" t="s">
        <v>14485</v>
      </c>
      <c r="G3841" s="33" t="s">
        <v>9</v>
      </c>
      <c r="H3841" s="33" t="n">
        <v>10</v>
      </c>
    </row>
    <row r="3842" customFormat="false" ht="54" hidden="false" customHeight="true" outlineLevel="0" collapsed="false">
      <c r="A3842" s="32" t="s">
        <v>14486</v>
      </c>
      <c r="B3842" s="32" t="s">
        <v>8041</v>
      </c>
      <c r="C3842" s="33" t="s">
        <v>1407</v>
      </c>
      <c r="D3842" s="33" t="s">
        <v>50</v>
      </c>
      <c r="E3842" s="33" t="s">
        <v>81</v>
      </c>
      <c r="F3842" s="33" t="s">
        <v>8046</v>
      </c>
      <c r="G3842" s="33" t="s">
        <v>9</v>
      </c>
      <c r="H3842" s="33" t="n">
        <v>10</v>
      </c>
    </row>
    <row r="3843" customFormat="false" ht="54" hidden="false" customHeight="true" outlineLevel="0" collapsed="false">
      <c r="A3843" s="32" t="s">
        <v>14487</v>
      </c>
      <c r="B3843" s="32" t="s">
        <v>8041</v>
      </c>
      <c r="C3843" s="33" t="s">
        <v>1407</v>
      </c>
      <c r="D3843" s="33" t="s">
        <v>50</v>
      </c>
      <c r="E3843" s="33" t="s">
        <v>81</v>
      </c>
      <c r="F3843" s="33" t="s">
        <v>8047</v>
      </c>
      <c r="G3843" s="33" t="s">
        <v>9</v>
      </c>
      <c r="H3843" s="33" t="n">
        <v>10</v>
      </c>
    </row>
    <row r="3844" customFormat="false" ht="54" hidden="false" customHeight="true" outlineLevel="0" collapsed="false">
      <c r="A3844" s="32" t="s">
        <v>14488</v>
      </c>
      <c r="B3844" s="32" t="s">
        <v>8041</v>
      </c>
      <c r="C3844" s="33" t="s">
        <v>1407</v>
      </c>
      <c r="D3844" s="33" t="s">
        <v>50</v>
      </c>
      <c r="E3844" s="33" t="s">
        <v>81</v>
      </c>
      <c r="F3844" s="33" t="s">
        <v>14485</v>
      </c>
      <c r="G3844" s="33" t="s">
        <v>9</v>
      </c>
      <c r="H3844" s="33" t="n">
        <v>10</v>
      </c>
    </row>
    <row r="3845" customFormat="false" ht="54" hidden="false" customHeight="true" outlineLevel="0" collapsed="false">
      <c r="A3845" s="32" t="s">
        <v>14489</v>
      </c>
      <c r="B3845" s="32" t="s">
        <v>8041</v>
      </c>
      <c r="C3845" s="33" t="s">
        <v>1407</v>
      </c>
      <c r="D3845" s="33" t="s">
        <v>50</v>
      </c>
      <c r="E3845" s="33" t="s">
        <v>84</v>
      </c>
      <c r="F3845" s="33" t="s">
        <v>183</v>
      </c>
      <c r="G3845" s="33" t="s">
        <v>9</v>
      </c>
      <c r="H3845" s="33" t="n">
        <v>10</v>
      </c>
    </row>
    <row r="3846" customFormat="false" ht="54" hidden="false" customHeight="true" outlineLevel="0" collapsed="false">
      <c r="A3846" s="32" t="s">
        <v>14490</v>
      </c>
      <c r="B3846" s="32" t="s">
        <v>8055</v>
      </c>
      <c r="C3846" s="33" t="s">
        <v>1407</v>
      </c>
      <c r="D3846" s="33" t="s">
        <v>50</v>
      </c>
      <c r="E3846" s="33" t="s">
        <v>80</v>
      </c>
      <c r="F3846" s="33" t="s">
        <v>183</v>
      </c>
      <c r="G3846" s="33" t="s">
        <v>9</v>
      </c>
      <c r="H3846" s="33" t="n">
        <v>10</v>
      </c>
    </row>
    <row r="3847" customFormat="false" ht="54" hidden="false" customHeight="true" outlineLevel="0" collapsed="false">
      <c r="A3847" s="32" t="s">
        <v>14491</v>
      </c>
      <c r="B3847" s="32" t="s">
        <v>8055</v>
      </c>
      <c r="C3847" s="33" t="s">
        <v>1407</v>
      </c>
      <c r="D3847" s="33" t="s">
        <v>50</v>
      </c>
      <c r="E3847" s="33" t="s">
        <v>80</v>
      </c>
      <c r="F3847" s="33" t="s">
        <v>14485</v>
      </c>
      <c r="G3847" s="33" t="s">
        <v>9</v>
      </c>
      <c r="H3847" s="33" t="n">
        <v>10</v>
      </c>
    </row>
    <row r="3848" customFormat="false" ht="54" hidden="false" customHeight="true" outlineLevel="0" collapsed="false">
      <c r="A3848" s="32" t="s">
        <v>14492</v>
      </c>
      <c r="B3848" s="32" t="s">
        <v>8055</v>
      </c>
      <c r="C3848" s="33" t="s">
        <v>1407</v>
      </c>
      <c r="D3848" s="33" t="s">
        <v>50</v>
      </c>
      <c r="E3848" s="33" t="s">
        <v>80</v>
      </c>
      <c r="F3848" s="33" t="s">
        <v>14493</v>
      </c>
      <c r="G3848" s="33" t="s">
        <v>9</v>
      </c>
      <c r="H3848" s="33" t="n">
        <v>10</v>
      </c>
    </row>
    <row r="3849" customFormat="false" ht="54" hidden="false" customHeight="true" outlineLevel="0" collapsed="false">
      <c r="A3849" s="32" t="s">
        <v>14494</v>
      </c>
      <c r="B3849" s="32" t="s">
        <v>8055</v>
      </c>
      <c r="C3849" s="33" t="s">
        <v>1407</v>
      </c>
      <c r="D3849" s="33" t="s">
        <v>50</v>
      </c>
      <c r="E3849" s="33" t="s">
        <v>80</v>
      </c>
      <c r="F3849" s="33" t="s">
        <v>14495</v>
      </c>
      <c r="G3849" s="33" t="s">
        <v>9</v>
      </c>
      <c r="H3849" s="33" t="n">
        <v>10</v>
      </c>
    </row>
    <row r="3850" customFormat="false" ht="54" hidden="false" customHeight="true" outlineLevel="0" collapsed="false">
      <c r="A3850" s="32" t="s">
        <v>14496</v>
      </c>
      <c r="B3850" s="32" t="s">
        <v>8055</v>
      </c>
      <c r="C3850" s="33" t="s">
        <v>1407</v>
      </c>
      <c r="D3850" s="33" t="s">
        <v>50</v>
      </c>
      <c r="E3850" s="33" t="s">
        <v>81</v>
      </c>
      <c r="F3850" s="33" t="s">
        <v>8059</v>
      </c>
      <c r="G3850" s="33" t="s">
        <v>9</v>
      </c>
      <c r="H3850" s="33" t="n">
        <v>10</v>
      </c>
    </row>
    <row r="3851" customFormat="false" ht="54" hidden="false" customHeight="true" outlineLevel="0" collapsed="false">
      <c r="A3851" s="32" t="s">
        <v>14497</v>
      </c>
      <c r="B3851" s="32" t="s">
        <v>8055</v>
      </c>
      <c r="C3851" s="33" t="s">
        <v>1407</v>
      </c>
      <c r="D3851" s="33" t="s">
        <v>50</v>
      </c>
      <c r="E3851" s="33" t="s">
        <v>81</v>
      </c>
      <c r="F3851" s="33" t="s">
        <v>14485</v>
      </c>
      <c r="G3851" s="33" t="s">
        <v>9</v>
      </c>
      <c r="H3851" s="33" t="n">
        <v>10</v>
      </c>
    </row>
    <row r="3852" customFormat="false" ht="54" hidden="false" customHeight="true" outlineLevel="0" collapsed="false">
      <c r="A3852" s="32" t="s">
        <v>14498</v>
      </c>
      <c r="B3852" s="32" t="s">
        <v>8055</v>
      </c>
      <c r="C3852" s="33" t="s">
        <v>1407</v>
      </c>
      <c r="D3852" s="33" t="s">
        <v>50</v>
      </c>
      <c r="E3852" s="33" t="s">
        <v>81</v>
      </c>
      <c r="F3852" s="33" t="s">
        <v>14495</v>
      </c>
      <c r="G3852" s="33" t="s">
        <v>9</v>
      </c>
      <c r="H3852" s="33" t="n">
        <v>10</v>
      </c>
    </row>
    <row r="3853" customFormat="false" ht="54" hidden="false" customHeight="true" outlineLevel="0" collapsed="false">
      <c r="A3853" s="32" t="s">
        <v>14499</v>
      </c>
      <c r="B3853" s="32" t="s">
        <v>8055</v>
      </c>
      <c r="C3853" s="33" t="s">
        <v>1407</v>
      </c>
      <c r="D3853" s="33" t="s">
        <v>50</v>
      </c>
      <c r="E3853" s="33" t="s">
        <v>82</v>
      </c>
      <c r="F3853" s="33" t="s">
        <v>8060</v>
      </c>
      <c r="G3853" s="33" t="s">
        <v>9</v>
      </c>
      <c r="H3853" s="33" t="n">
        <v>10</v>
      </c>
    </row>
    <row r="3854" customFormat="false" ht="54" hidden="false" customHeight="true" outlineLevel="0" collapsed="false">
      <c r="A3854" s="32" t="s">
        <v>14500</v>
      </c>
      <c r="B3854" s="32" t="s">
        <v>8055</v>
      </c>
      <c r="C3854" s="33" t="s">
        <v>1407</v>
      </c>
      <c r="D3854" s="33" t="s">
        <v>50</v>
      </c>
      <c r="E3854" s="33" t="s">
        <v>82</v>
      </c>
      <c r="F3854" s="33" t="s">
        <v>14501</v>
      </c>
      <c r="G3854" s="33" t="s">
        <v>9</v>
      </c>
      <c r="H3854" s="33" t="n">
        <v>10</v>
      </c>
    </row>
    <row r="3855" customFormat="false" ht="54" hidden="false" customHeight="true" outlineLevel="0" collapsed="false">
      <c r="A3855" s="32" t="s">
        <v>14502</v>
      </c>
      <c r="B3855" s="32" t="s">
        <v>8055</v>
      </c>
      <c r="C3855" s="33" t="s">
        <v>1407</v>
      </c>
      <c r="D3855" s="33" t="s">
        <v>50</v>
      </c>
      <c r="E3855" s="33" t="s">
        <v>84</v>
      </c>
      <c r="F3855" s="33" t="s">
        <v>183</v>
      </c>
      <c r="G3855" s="33" t="s">
        <v>9</v>
      </c>
      <c r="H3855" s="33" t="n">
        <v>10</v>
      </c>
    </row>
    <row r="3856" customFormat="false" ht="54" hidden="false" customHeight="true" outlineLevel="0" collapsed="false">
      <c r="A3856" s="32" t="s">
        <v>14503</v>
      </c>
      <c r="B3856" s="32" t="s">
        <v>2809</v>
      </c>
      <c r="C3856" s="33" t="s">
        <v>1407</v>
      </c>
      <c r="D3856" s="33" t="s">
        <v>50</v>
      </c>
      <c r="E3856" s="33" t="s">
        <v>80</v>
      </c>
      <c r="F3856" s="33" t="s">
        <v>8074</v>
      </c>
      <c r="G3856" s="33" t="s">
        <v>9</v>
      </c>
      <c r="H3856" s="33" t="n">
        <v>10</v>
      </c>
    </row>
    <row r="3857" customFormat="false" ht="54" hidden="false" customHeight="true" outlineLevel="0" collapsed="false">
      <c r="A3857" s="32" t="s">
        <v>14504</v>
      </c>
      <c r="B3857" s="32" t="s">
        <v>2809</v>
      </c>
      <c r="C3857" s="33" t="s">
        <v>1407</v>
      </c>
      <c r="D3857" s="33" t="s">
        <v>50</v>
      </c>
      <c r="E3857" s="33" t="s">
        <v>80</v>
      </c>
      <c r="F3857" s="33" t="s">
        <v>183</v>
      </c>
      <c r="G3857" s="33" t="s">
        <v>9</v>
      </c>
      <c r="H3857" s="33" t="n">
        <v>10</v>
      </c>
    </row>
    <row r="3858" customFormat="false" ht="54" hidden="false" customHeight="true" outlineLevel="0" collapsed="false">
      <c r="A3858" s="32" t="s">
        <v>14505</v>
      </c>
      <c r="B3858" s="32" t="s">
        <v>2809</v>
      </c>
      <c r="C3858" s="33" t="s">
        <v>1407</v>
      </c>
      <c r="D3858" s="33" t="s">
        <v>50</v>
      </c>
      <c r="E3858" s="33" t="s">
        <v>80</v>
      </c>
      <c r="F3858" s="33" t="s">
        <v>14506</v>
      </c>
      <c r="G3858" s="33" t="s">
        <v>9</v>
      </c>
      <c r="H3858" s="33" t="n">
        <v>10</v>
      </c>
    </row>
    <row r="3859" customFormat="false" ht="54" hidden="false" customHeight="true" outlineLevel="0" collapsed="false">
      <c r="A3859" s="32" t="s">
        <v>14507</v>
      </c>
      <c r="B3859" s="32" t="s">
        <v>2809</v>
      </c>
      <c r="C3859" s="33" t="s">
        <v>1407</v>
      </c>
      <c r="D3859" s="33" t="s">
        <v>50</v>
      </c>
      <c r="E3859" s="33" t="s">
        <v>82</v>
      </c>
      <c r="F3859" s="33" t="s">
        <v>8075</v>
      </c>
      <c r="G3859" s="33" t="s">
        <v>9</v>
      </c>
      <c r="H3859" s="33" t="n">
        <v>10</v>
      </c>
    </row>
    <row r="3860" customFormat="false" ht="54" hidden="false" customHeight="true" outlineLevel="0" collapsed="false">
      <c r="A3860" s="32" t="s">
        <v>14508</v>
      </c>
      <c r="B3860" s="32" t="s">
        <v>2809</v>
      </c>
      <c r="C3860" s="33" t="s">
        <v>1407</v>
      </c>
      <c r="D3860" s="33" t="s">
        <v>50</v>
      </c>
      <c r="E3860" s="33" t="s">
        <v>84</v>
      </c>
      <c r="F3860" s="33" t="s">
        <v>8074</v>
      </c>
      <c r="G3860" s="33" t="s">
        <v>9</v>
      </c>
      <c r="H3860" s="33" t="n">
        <v>10</v>
      </c>
    </row>
    <row r="3861" customFormat="false" ht="54" hidden="false" customHeight="true" outlineLevel="0" collapsed="false">
      <c r="A3861" s="32" t="s">
        <v>14509</v>
      </c>
      <c r="B3861" s="32" t="s">
        <v>2809</v>
      </c>
      <c r="C3861" s="33" t="s">
        <v>1407</v>
      </c>
      <c r="D3861" s="33" t="s">
        <v>50</v>
      </c>
      <c r="E3861" s="33" t="s">
        <v>84</v>
      </c>
      <c r="F3861" s="33" t="s">
        <v>183</v>
      </c>
      <c r="G3861" s="33" t="s">
        <v>9</v>
      </c>
      <c r="H3861" s="33" t="n">
        <v>10</v>
      </c>
    </row>
    <row r="3862" customFormat="false" ht="54" hidden="false" customHeight="true" outlineLevel="0" collapsed="false">
      <c r="A3862" s="32" t="s">
        <v>14510</v>
      </c>
      <c r="B3862" s="32" t="s">
        <v>2809</v>
      </c>
      <c r="C3862" s="33" t="s">
        <v>1407</v>
      </c>
      <c r="D3862" s="33" t="s">
        <v>50</v>
      </c>
      <c r="E3862" s="33" t="s">
        <v>84</v>
      </c>
      <c r="F3862" s="33" t="s">
        <v>14506</v>
      </c>
      <c r="G3862" s="33" t="s">
        <v>9</v>
      </c>
      <c r="H3862" s="33" t="n">
        <v>10</v>
      </c>
    </row>
    <row r="3863" customFormat="false" ht="54" hidden="false" customHeight="true" outlineLevel="0" collapsed="false">
      <c r="A3863" s="32" t="s">
        <v>14511</v>
      </c>
      <c r="B3863" s="32" t="s">
        <v>8082</v>
      </c>
      <c r="C3863" s="33" t="s">
        <v>1407</v>
      </c>
      <c r="D3863" s="33" t="s">
        <v>50</v>
      </c>
      <c r="E3863" s="33" t="s">
        <v>80</v>
      </c>
      <c r="F3863" s="33" t="s">
        <v>183</v>
      </c>
      <c r="G3863" s="33" t="s">
        <v>9</v>
      </c>
      <c r="H3863" s="33" t="n">
        <v>10</v>
      </c>
    </row>
    <row r="3864" customFormat="false" ht="54" hidden="false" customHeight="true" outlineLevel="0" collapsed="false">
      <c r="A3864" s="32" t="s">
        <v>14512</v>
      </c>
      <c r="B3864" s="32" t="s">
        <v>8082</v>
      </c>
      <c r="C3864" s="33" t="s">
        <v>1407</v>
      </c>
      <c r="D3864" s="33" t="s">
        <v>50</v>
      </c>
      <c r="E3864" s="33" t="s">
        <v>84</v>
      </c>
      <c r="F3864" s="33" t="s">
        <v>183</v>
      </c>
      <c r="G3864" s="33" t="s">
        <v>9</v>
      </c>
      <c r="H3864" s="33" t="n">
        <v>10</v>
      </c>
    </row>
    <row r="3865" customFormat="false" ht="54" hidden="false" customHeight="true" outlineLevel="0" collapsed="false">
      <c r="A3865" s="32" t="s">
        <v>14513</v>
      </c>
      <c r="B3865" s="32" t="s">
        <v>8093</v>
      </c>
      <c r="C3865" s="33" t="s">
        <v>1407</v>
      </c>
      <c r="D3865" s="33" t="s">
        <v>50</v>
      </c>
      <c r="E3865" s="33" t="s">
        <v>80</v>
      </c>
      <c r="F3865" s="33" t="s">
        <v>183</v>
      </c>
      <c r="G3865" s="33" t="s">
        <v>9</v>
      </c>
      <c r="H3865" s="33" t="n">
        <v>10</v>
      </c>
    </row>
    <row r="3866" customFormat="false" ht="54" hidden="false" customHeight="true" outlineLevel="0" collapsed="false">
      <c r="A3866" s="32" t="s">
        <v>14514</v>
      </c>
      <c r="B3866" s="32" t="s">
        <v>8093</v>
      </c>
      <c r="C3866" s="33" t="s">
        <v>1407</v>
      </c>
      <c r="D3866" s="33" t="s">
        <v>50</v>
      </c>
      <c r="E3866" s="33" t="s">
        <v>84</v>
      </c>
      <c r="F3866" s="33" t="s">
        <v>183</v>
      </c>
      <c r="G3866" s="33" t="s">
        <v>9</v>
      </c>
      <c r="H3866" s="33" t="n">
        <v>10</v>
      </c>
    </row>
    <row r="3867" customFormat="false" ht="54" hidden="false" customHeight="true" outlineLevel="0" collapsed="false">
      <c r="A3867" s="32" t="s">
        <v>14515</v>
      </c>
      <c r="B3867" s="32" t="s">
        <v>8093</v>
      </c>
      <c r="C3867" s="33" t="s">
        <v>1407</v>
      </c>
      <c r="D3867" s="33" t="s">
        <v>50</v>
      </c>
      <c r="E3867" s="33" t="s">
        <v>84</v>
      </c>
      <c r="F3867" s="33" t="s">
        <v>14516</v>
      </c>
      <c r="G3867" s="33" t="s">
        <v>9</v>
      </c>
      <c r="H3867" s="33" t="n">
        <v>10</v>
      </c>
    </row>
    <row r="3868" customFormat="false" ht="54" hidden="false" customHeight="true" outlineLevel="0" collapsed="false">
      <c r="A3868" s="32" t="s">
        <v>14517</v>
      </c>
      <c r="B3868" s="32" t="s">
        <v>8106</v>
      </c>
      <c r="C3868" s="33" t="s">
        <v>1407</v>
      </c>
      <c r="D3868" s="33" t="s">
        <v>50</v>
      </c>
      <c r="E3868" s="33" t="s">
        <v>80</v>
      </c>
      <c r="F3868" s="33" t="s">
        <v>183</v>
      </c>
      <c r="G3868" s="33" t="s">
        <v>9</v>
      </c>
      <c r="H3868" s="33" t="n">
        <v>10</v>
      </c>
    </row>
    <row r="3869" customFormat="false" ht="54" hidden="false" customHeight="true" outlineLevel="0" collapsed="false">
      <c r="A3869" s="32" t="s">
        <v>14518</v>
      </c>
      <c r="B3869" s="32" t="s">
        <v>8106</v>
      </c>
      <c r="C3869" s="33" t="s">
        <v>1407</v>
      </c>
      <c r="D3869" s="33" t="s">
        <v>50</v>
      </c>
      <c r="E3869" s="33" t="s">
        <v>82</v>
      </c>
      <c r="F3869" s="33" t="s">
        <v>8116</v>
      </c>
      <c r="G3869" s="33" t="s">
        <v>9</v>
      </c>
      <c r="H3869" s="33" t="n">
        <v>10</v>
      </c>
    </row>
    <row r="3870" customFormat="false" ht="54" hidden="false" customHeight="true" outlineLevel="0" collapsed="false">
      <c r="A3870" s="32" t="s">
        <v>14519</v>
      </c>
      <c r="B3870" s="32" t="s">
        <v>8106</v>
      </c>
      <c r="C3870" s="33" t="s">
        <v>1407</v>
      </c>
      <c r="D3870" s="33" t="s">
        <v>50</v>
      </c>
      <c r="E3870" s="33" t="s">
        <v>84</v>
      </c>
      <c r="F3870" s="33" t="s">
        <v>8111</v>
      </c>
      <c r="G3870" s="33" t="s">
        <v>9</v>
      </c>
      <c r="H3870" s="33" t="n">
        <v>10</v>
      </c>
    </row>
    <row r="3871" customFormat="false" ht="54" hidden="false" customHeight="true" outlineLevel="0" collapsed="false">
      <c r="A3871" s="32" t="s">
        <v>14520</v>
      </c>
      <c r="B3871" s="32" t="s">
        <v>8106</v>
      </c>
      <c r="C3871" s="33" t="s">
        <v>1407</v>
      </c>
      <c r="D3871" s="33" t="s">
        <v>50</v>
      </c>
      <c r="E3871" s="33" t="s">
        <v>84</v>
      </c>
      <c r="F3871" s="33" t="s">
        <v>183</v>
      </c>
      <c r="G3871" s="33" t="s">
        <v>9</v>
      </c>
      <c r="H3871" s="33" t="n">
        <v>10</v>
      </c>
    </row>
    <row r="3872" customFormat="false" ht="54" hidden="false" customHeight="true" outlineLevel="0" collapsed="false">
      <c r="A3872" s="32" t="s">
        <v>14521</v>
      </c>
      <c r="B3872" s="32" t="s">
        <v>8106</v>
      </c>
      <c r="C3872" s="33" t="s">
        <v>1407</v>
      </c>
      <c r="D3872" s="33" t="s">
        <v>50</v>
      </c>
      <c r="E3872" s="33" t="s">
        <v>84</v>
      </c>
      <c r="F3872" s="33" t="s">
        <v>14522</v>
      </c>
      <c r="G3872" s="33" t="s">
        <v>9</v>
      </c>
      <c r="H3872" s="33" t="n">
        <v>10</v>
      </c>
    </row>
    <row r="3873" customFormat="false" ht="54" hidden="false" customHeight="true" outlineLevel="0" collapsed="false">
      <c r="A3873" s="32" t="s">
        <v>14523</v>
      </c>
      <c r="B3873" s="32" t="s">
        <v>2983</v>
      </c>
      <c r="C3873" s="33" t="s">
        <v>98</v>
      </c>
      <c r="D3873" s="33" t="s">
        <v>59</v>
      </c>
      <c r="E3873" s="33" t="s">
        <v>80</v>
      </c>
      <c r="F3873" s="33" t="s">
        <v>183</v>
      </c>
      <c r="G3873" s="33" t="s">
        <v>9</v>
      </c>
      <c r="H3873" s="33" t="n">
        <v>10</v>
      </c>
    </row>
    <row r="3874" customFormat="false" ht="54" hidden="false" customHeight="true" outlineLevel="0" collapsed="false">
      <c r="A3874" s="32" t="s">
        <v>14524</v>
      </c>
      <c r="B3874" s="32" t="s">
        <v>2983</v>
      </c>
      <c r="C3874" s="33" t="s">
        <v>98</v>
      </c>
      <c r="D3874" s="33" t="s">
        <v>59</v>
      </c>
      <c r="E3874" s="33" t="s">
        <v>81</v>
      </c>
      <c r="F3874" s="33" t="s">
        <v>8130</v>
      </c>
      <c r="G3874" s="33" t="s">
        <v>9</v>
      </c>
      <c r="H3874" s="33" t="n">
        <v>10</v>
      </c>
    </row>
    <row r="3875" customFormat="false" ht="54" hidden="false" customHeight="true" outlineLevel="0" collapsed="false">
      <c r="A3875" s="32" t="s">
        <v>14525</v>
      </c>
      <c r="B3875" s="32" t="s">
        <v>2983</v>
      </c>
      <c r="C3875" s="33" t="s">
        <v>98</v>
      </c>
      <c r="D3875" s="33" t="s">
        <v>59</v>
      </c>
      <c r="E3875" s="33" t="s">
        <v>84</v>
      </c>
      <c r="F3875" s="33" t="s">
        <v>8124</v>
      </c>
      <c r="G3875" s="33" t="s">
        <v>9</v>
      </c>
      <c r="H3875" s="33" t="n">
        <v>10</v>
      </c>
    </row>
    <row r="3876" customFormat="false" ht="54" hidden="false" customHeight="true" outlineLevel="0" collapsed="false">
      <c r="A3876" s="32" t="s">
        <v>14526</v>
      </c>
      <c r="B3876" s="32" t="s">
        <v>2983</v>
      </c>
      <c r="C3876" s="33" t="s">
        <v>98</v>
      </c>
      <c r="D3876" s="33" t="s">
        <v>59</v>
      </c>
      <c r="E3876" s="33" t="s">
        <v>84</v>
      </c>
      <c r="F3876" s="33" t="s">
        <v>183</v>
      </c>
      <c r="G3876" s="33" t="s">
        <v>9</v>
      </c>
      <c r="H3876" s="33" t="n">
        <v>10</v>
      </c>
    </row>
    <row r="3877" customFormat="false" ht="54" hidden="false" customHeight="true" outlineLevel="0" collapsed="false">
      <c r="A3877" s="32" t="s">
        <v>14527</v>
      </c>
      <c r="B3877" s="32" t="s">
        <v>2983</v>
      </c>
      <c r="C3877" s="33" t="s">
        <v>98</v>
      </c>
      <c r="D3877" s="33" t="s">
        <v>59</v>
      </c>
      <c r="E3877" s="33" t="s">
        <v>84</v>
      </c>
      <c r="F3877" s="33" t="s">
        <v>14528</v>
      </c>
      <c r="G3877" s="33" t="s">
        <v>9</v>
      </c>
      <c r="H3877" s="33" t="n">
        <v>10</v>
      </c>
    </row>
    <row r="3878" customFormat="false" ht="54" hidden="false" customHeight="true" outlineLevel="0" collapsed="false">
      <c r="A3878" s="32" t="s">
        <v>14529</v>
      </c>
      <c r="B3878" s="32" t="s">
        <v>2983</v>
      </c>
      <c r="C3878" s="33" t="s">
        <v>98</v>
      </c>
      <c r="D3878" s="33" t="s">
        <v>59</v>
      </c>
      <c r="E3878" s="33" t="s">
        <v>85</v>
      </c>
      <c r="F3878" s="33" t="s">
        <v>8132</v>
      </c>
      <c r="G3878" s="33" t="s">
        <v>9</v>
      </c>
      <c r="H3878" s="33" t="n">
        <v>10</v>
      </c>
    </row>
    <row r="3879" customFormat="false" ht="54" hidden="false" customHeight="true" outlineLevel="0" collapsed="false">
      <c r="A3879" s="32" t="s">
        <v>14530</v>
      </c>
      <c r="B3879" s="32" t="s">
        <v>8135</v>
      </c>
      <c r="C3879" s="33" t="s">
        <v>1407</v>
      </c>
      <c r="D3879" s="33" t="s">
        <v>50</v>
      </c>
      <c r="E3879" s="33" t="s">
        <v>80</v>
      </c>
      <c r="F3879" s="33" t="s">
        <v>183</v>
      </c>
      <c r="G3879" s="33" t="s">
        <v>9</v>
      </c>
      <c r="H3879" s="33" t="n">
        <v>10</v>
      </c>
    </row>
    <row r="3880" customFormat="false" ht="54" hidden="false" customHeight="true" outlineLevel="0" collapsed="false">
      <c r="A3880" s="32" t="s">
        <v>14531</v>
      </c>
      <c r="B3880" s="32" t="s">
        <v>8135</v>
      </c>
      <c r="C3880" s="33" t="s">
        <v>1407</v>
      </c>
      <c r="D3880" s="33" t="s">
        <v>50</v>
      </c>
      <c r="E3880" s="33" t="s">
        <v>84</v>
      </c>
      <c r="F3880" s="33" t="s">
        <v>183</v>
      </c>
      <c r="G3880" s="33" t="s">
        <v>9</v>
      </c>
      <c r="H3880" s="33" t="n">
        <v>10</v>
      </c>
    </row>
    <row r="3881" customFormat="false" ht="54" hidden="false" customHeight="true" outlineLevel="0" collapsed="false">
      <c r="A3881" s="32" t="s">
        <v>14532</v>
      </c>
      <c r="B3881" s="32" t="s">
        <v>8135</v>
      </c>
      <c r="C3881" s="33" t="s">
        <v>1407</v>
      </c>
      <c r="D3881" s="33" t="s">
        <v>50</v>
      </c>
      <c r="E3881" s="33" t="s">
        <v>84</v>
      </c>
      <c r="F3881" s="33" t="s">
        <v>14533</v>
      </c>
      <c r="G3881" s="33" t="s">
        <v>9</v>
      </c>
      <c r="H3881" s="33" t="n">
        <v>10</v>
      </c>
    </row>
    <row r="3882" customFormat="false" ht="54" hidden="false" customHeight="true" outlineLevel="0" collapsed="false">
      <c r="A3882" s="32" t="s">
        <v>14534</v>
      </c>
      <c r="B3882" s="32" t="s">
        <v>8151</v>
      </c>
      <c r="C3882" s="33" t="s">
        <v>1407</v>
      </c>
      <c r="D3882" s="33" t="s">
        <v>50</v>
      </c>
      <c r="E3882" s="33" t="s">
        <v>80</v>
      </c>
      <c r="F3882" s="33" t="s">
        <v>183</v>
      </c>
      <c r="G3882" s="33" t="s">
        <v>12</v>
      </c>
      <c r="H3882" s="33" t="n">
        <v>10</v>
      </c>
    </row>
    <row r="3883" customFormat="false" ht="54" hidden="false" customHeight="true" outlineLevel="0" collapsed="false">
      <c r="A3883" s="32" t="s">
        <v>14535</v>
      </c>
      <c r="B3883" s="32" t="s">
        <v>8151</v>
      </c>
      <c r="C3883" s="33" t="s">
        <v>1407</v>
      </c>
      <c r="D3883" s="33" t="s">
        <v>50</v>
      </c>
      <c r="E3883" s="33" t="s">
        <v>81</v>
      </c>
      <c r="F3883" s="33" t="s">
        <v>8158</v>
      </c>
      <c r="G3883" s="33" t="s">
        <v>12</v>
      </c>
      <c r="H3883" s="33" t="n">
        <v>10</v>
      </c>
    </row>
    <row r="3884" customFormat="false" ht="54" hidden="false" customHeight="true" outlineLevel="0" collapsed="false">
      <c r="A3884" s="32" t="s">
        <v>14536</v>
      </c>
      <c r="B3884" s="32" t="s">
        <v>8151</v>
      </c>
      <c r="C3884" s="33" t="s">
        <v>1407</v>
      </c>
      <c r="D3884" s="33" t="s">
        <v>50</v>
      </c>
      <c r="E3884" s="33" t="s">
        <v>82</v>
      </c>
      <c r="F3884" s="33" t="s">
        <v>8158</v>
      </c>
      <c r="G3884" s="33" t="s">
        <v>12</v>
      </c>
      <c r="H3884" s="33" t="n">
        <v>10</v>
      </c>
    </row>
    <row r="3885" customFormat="false" ht="54" hidden="false" customHeight="true" outlineLevel="0" collapsed="false">
      <c r="A3885" s="32" t="s">
        <v>14537</v>
      </c>
      <c r="B3885" s="32" t="s">
        <v>8151</v>
      </c>
      <c r="C3885" s="33" t="s">
        <v>1407</v>
      </c>
      <c r="D3885" s="33" t="s">
        <v>50</v>
      </c>
      <c r="E3885" s="33" t="s">
        <v>84</v>
      </c>
      <c r="F3885" s="33" t="s">
        <v>183</v>
      </c>
      <c r="G3885" s="33" t="s">
        <v>12</v>
      </c>
      <c r="H3885" s="33" t="n">
        <v>10</v>
      </c>
    </row>
    <row r="3886" customFormat="false" ht="54" hidden="false" customHeight="true" outlineLevel="0" collapsed="false">
      <c r="A3886" s="32" t="s">
        <v>14538</v>
      </c>
      <c r="B3886" s="32" t="s">
        <v>8164</v>
      </c>
      <c r="C3886" s="33" t="s">
        <v>1407</v>
      </c>
      <c r="D3886" s="33" t="s">
        <v>50</v>
      </c>
      <c r="E3886" s="33" t="s">
        <v>80</v>
      </c>
      <c r="F3886" s="33" t="s">
        <v>183</v>
      </c>
      <c r="G3886" s="33" t="s">
        <v>9</v>
      </c>
      <c r="H3886" s="33" t="n">
        <v>10</v>
      </c>
    </row>
    <row r="3887" customFormat="false" ht="54" hidden="false" customHeight="true" outlineLevel="0" collapsed="false">
      <c r="A3887" s="32" t="s">
        <v>14539</v>
      </c>
      <c r="B3887" s="32" t="s">
        <v>8164</v>
      </c>
      <c r="C3887" s="33" t="s">
        <v>1407</v>
      </c>
      <c r="D3887" s="33" t="s">
        <v>50</v>
      </c>
      <c r="E3887" s="33" t="s">
        <v>80</v>
      </c>
      <c r="F3887" s="33" t="s">
        <v>14540</v>
      </c>
      <c r="G3887" s="33" t="s">
        <v>9</v>
      </c>
      <c r="H3887" s="33" t="n">
        <v>10</v>
      </c>
    </row>
    <row r="3888" customFormat="false" ht="54" hidden="false" customHeight="true" outlineLevel="0" collapsed="false">
      <c r="A3888" s="32" t="s">
        <v>14541</v>
      </c>
      <c r="B3888" s="32" t="s">
        <v>8164</v>
      </c>
      <c r="C3888" s="33" t="s">
        <v>1407</v>
      </c>
      <c r="D3888" s="33" t="s">
        <v>50</v>
      </c>
      <c r="E3888" s="33" t="s">
        <v>82</v>
      </c>
      <c r="F3888" s="33" t="s">
        <v>8171</v>
      </c>
      <c r="G3888" s="33" t="s">
        <v>9</v>
      </c>
      <c r="H3888" s="33" t="n">
        <v>10</v>
      </c>
    </row>
    <row r="3889" customFormat="false" ht="54" hidden="false" customHeight="true" outlineLevel="0" collapsed="false">
      <c r="A3889" s="32" t="s">
        <v>14542</v>
      </c>
      <c r="B3889" s="32" t="s">
        <v>8164</v>
      </c>
      <c r="C3889" s="33" t="s">
        <v>1407</v>
      </c>
      <c r="D3889" s="33" t="s">
        <v>50</v>
      </c>
      <c r="E3889" s="33" t="s">
        <v>82</v>
      </c>
      <c r="F3889" s="33" t="s">
        <v>8177</v>
      </c>
      <c r="G3889" s="33" t="s">
        <v>9</v>
      </c>
      <c r="H3889" s="33" t="n">
        <v>10</v>
      </c>
    </row>
    <row r="3890" customFormat="false" ht="54" hidden="false" customHeight="true" outlineLevel="0" collapsed="false">
      <c r="A3890" s="32" t="s">
        <v>14543</v>
      </c>
      <c r="B3890" s="32" t="s">
        <v>8164</v>
      </c>
      <c r="C3890" s="33" t="s">
        <v>1407</v>
      </c>
      <c r="D3890" s="33" t="s">
        <v>50</v>
      </c>
      <c r="E3890" s="33" t="s">
        <v>82</v>
      </c>
      <c r="F3890" s="33" t="s">
        <v>14540</v>
      </c>
      <c r="G3890" s="33" t="s">
        <v>9</v>
      </c>
      <c r="H3890" s="33" t="n">
        <v>10</v>
      </c>
    </row>
    <row r="3891" customFormat="false" ht="54" hidden="false" customHeight="true" outlineLevel="0" collapsed="false">
      <c r="A3891" s="32" t="s">
        <v>14544</v>
      </c>
      <c r="B3891" s="32" t="s">
        <v>8164</v>
      </c>
      <c r="C3891" s="33" t="s">
        <v>1407</v>
      </c>
      <c r="D3891" s="33" t="s">
        <v>50</v>
      </c>
      <c r="E3891" s="33" t="s">
        <v>84</v>
      </c>
      <c r="F3891" s="33" t="s">
        <v>183</v>
      </c>
      <c r="G3891" s="33" t="s">
        <v>9</v>
      </c>
      <c r="H3891" s="33" t="n">
        <v>10</v>
      </c>
    </row>
    <row r="3892" customFormat="false" ht="54" hidden="false" customHeight="true" outlineLevel="0" collapsed="false">
      <c r="A3892" s="32" t="s">
        <v>14545</v>
      </c>
      <c r="B3892" s="32" t="s">
        <v>8164</v>
      </c>
      <c r="C3892" s="33" t="s">
        <v>1407</v>
      </c>
      <c r="D3892" s="33" t="s">
        <v>50</v>
      </c>
      <c r="E3892" s="33" t="s">
        <v>86</v>
      </c>
      <c r="F3892" s="33" t="s">
        <v>8177</v>
      </c>
      <c r="G3892" s="33" t="s">
        <v>9</v>
      </c>
      <c r="H3892" s="33" t="n">
        <v>10</v>
      </c>
    </row>
    <row r="3893" customFormat="false" ht="54" hidden="false" customHeight="true" outlineLevel="0" collapsed="false">
      <c r="A3893" s="32" t="s">
        <v>14546</v>
      </c>
      <c r="B3893" s="32" t="s">
        <v>8179</v>
      </c>
      <c r="C3893" s="33" t="s">
        <v>98</v>
      </c>
      <c r="D3893" s="33" t="s">
        <v>59</v>
      </c>
      <c r="E3893" s="33" t="s">
        <v>80</v>
      </c>
      <c r="F3893" s="33" t="s">
        <v>183</v>
      </c>
      <c r="G3893" s="33" t="s">
        <v>9</v>
      </c>
      <c r="H3893" s="33" t="n">
        <v>10</v>
      </c>
    </row>
    <row r="3894" customFormat="false" ht="54" hidden="false" customHeight="true" outlineLevel="0" collapsed="false">
      <c r="A3894" s="32" t="s">
        <v>14547</v>
      </c>
      <c r="B3894" s="32" t="s">
        <v>8179</v>
      </c>
      <c r="C3894" s="33" t="s">
        <v>98</v>
      </c>
      <c r="D3894" s="33" t="s">
        <v>59</v>
      </c>
      <c r="E3894" s="33" t="s">
        <v>81</v>
      </c>
      <c r="F3894" s="33" t="s">
        <v>8187</v>
      </c>
      <c r="G3894" s="33" t="s">
        <v>9</v>
      </c>
      <c r="H3894" s="33" t="n">
        <v>10</v>
      </c>
    </row>
    <row r="3895" customFormat="false" ht="54" hidden="false" customHeight="true" outlineLevel="0" collapsed="false">
      <c r="A3895" s="32" t="s">
        <v>14548</v>
      </c>
      <c r="B3895" s="32" t="s">
        <v>8179</v>
      </c>
      <c r="C3895" s="33" t="s">
        <v>98</v>
      </c>
      <c r="D3895" s="33" t="s">
        <v>59</v>
      </c>
      <c r="E3895" s="33" t="s">
        <v>82</v>
      </c>
      <c r="F3895" s="33" t="s">
        <v>8185</v>
      </c>
      <c r="G3895" s="33" t="s">
        <v>9</v>
      </c>
      <c r="H3895" s="33" t="n">
        <v>10</v>
      </c>
    </row>
    <row r="3896" customFormat="false" ht="54" hidden="false" customHeight="true" outlineLevel="0" collapsed="false">
      <c r="A3896" s="32" t="s">
        <v>14549</v>
      </c>
      <c r="B3896" s="32" t="s">
        <v>8179</v>
      </c>
      <c r="C3896" s="33" t="s">
        <v>98</v>
      </c>
      <c r="D3896" s="33" t="s">
        <v>59</v>
      </c>
      <c r="E3896" s="33" t="s">
        <v>82</v>
      </c>
      <c r="F3896" s="33" t="s">
        <v>14550</v>
      </c>
      <c r="G3896" s="33" t="s">
        <v>9</v>
      </c>
      <c r="H3896" s="33" t="n">
        <v>10</v>
      </c>
    </row>
    <row r="3897" customFormat="false" ht="54" hidden="false" customHeight="true" outlineLevel="0" collapsed="false">
      <c r="A3897" s="32" t="s">
        <v>14551</v>
      </c>
      <c r="B3897" s="32" t="s">
        <v>8179</v>
      </c>
      <c r="C3897" s="33" t="s">
        <v>98</v>
      </c>
      <c r="D3897" s="33" t="s">
        <v>59</v>
      </c>
      <c r="E3897" s="33" t="s">
        <v>84</v>
      </c>
      <c r="F3897" s="33" t="s">
        <v>8183</v>
      </c>
      <c r="G3897" s="33" t="s">
        <v>9</v>
      </c>
      <c r="H3897" s="33" t="n">
        <v>10</v>
      </c>
    </row>
    <row r="3898" customFormat="false" ht="54" hidden="false" customHeight="true" outlineLevel="0" collapsed="false">
      <c r="A3898" s="32" t="s">
        <v>14552</v>
      </c>
      <c r="B3898" s="32" t="s">
        <v>8179</v>
      </c>
      <c r="C3898" s="33" t="s">
        <v>98</v>
      </c>
      <c r="D3898" s="33" t="s">
        <v>59</v>
      </c>
      <c r="E3898" s="33" t="s">
        <v>84</v>
      </c>
      <c r="F3898" s="33" t="s">
        <v>183</v>
      </c>
      <c r="G3898" s="33" t="s">
        <v>9</v>
      </c>
      <c r="H3898" s="33" t="n">
        <v>10</v>
      </c>
    </row>
    <row r="3899" customFormat="false" ht="54" hidden="false" customHeight="true" outlineLevel="0" collapsed="false">
      <c r="A3899" s="32" t="s">
        <v>14553</v>
      </c>
      <c r="B3899" s="32" t="s">
        <v>8179</v>
      </c>
      <c r="C3899" s="33" t="s">
        <v>98</v>
      </c>
      <c r="D3899" s="33" t="s">
        <v>59</v>
      </c>
      <c r="E3899" s="33" t="s">
        <v>84</v>
      </c>
      <c r="F3899" s="33" t="s">
        <v>8191</v>
      </c>
      <c r="G3899" s="33" t="s">
        <v>9</v>
      </c>
      <c r="H3899" s="33" t="n">
        <v>10</v>
      </c>
    </row>
    <row r="3900" customFormat="false" ht="54" hidden="false" customHeight="true" outlineLevel="0" collapsed="false">
      <c r="A3900" s="32" t="s">
        <v>14554</v>
      </c>
      <c r="B3900" s="32" t="s">
        <v>8179</v>
      </c>
      <c r="C3900" s="33" t="s">
        <v>98</v>
      </c>
      <c r="D3900" s="33" t="s">
        <v>59</v>
      </c>
      <c r="E3900" s="33" t="s">
        <v>84</v>
      </c>
      <c r="F3900" s="33" t="s">
        <v>14555</v>
      </c>
      <c r="G3900" s="33" t="s">
        <v>9</v>
      </c>
      <c r="H3900" s="33" t="n">
        <v>10</v>
      </c>
    </row>
    <row r="3901" customFormat="false" ht="54" hidden="false" customHeight="true" outlineLevel="0" collapsed="false">
      <c r="A3901" s="32" t="s">
        <v>14556</v>
      </c>
      <c r="B3901" s="32" t="s">
        <v>8179</v>
      </c>
      <c r="C3901" s="33" t="s">
        <v>98</v>
      </c>
      <c r="D3901" s="33" t="s">
        <v>59</v>
      </c>
      <c r="E3901" s="33" t="s">
        <v>86</v>
      </c>
      <c r="F3901" s="33" t="s">
        <v>8191</v>
      </c>
      <c r="G3901" s="33" t="s">
        <v>9</v>
      </c>
      <c r="H3901" s="33" t="n">
        <v>10</v>
      </c>
    </row>
    <row r="3902" customFormat="false" ht="54" hidden="false" customHeight="true" outlineLevel="0" collapsed="false">
      <c r="A3902" s="32" t="s">
        <v>14557</v>
      </c>
      <c r="B3902" s="32" t="s">
        <v>8193</v>
      </c>
      <c r="C3902" s="33" t="s">
        <v>1407</v>
      </c>
      <c r="D3902" s="33" t="s">
        <v>50</v>
      </c>
      <c r="E3902" s="33" t="s">
        <v>80</v>
      </c>
      <c r="F3902" s="33" t="s">
        <v>183</v>
      </c>
      <c r="G3902" s="33" t="s">
        <v>9</v>
      </c>
      <c r="H3902" s="33" t="n">
        <v>10</v>
      </c>
    </row>
    <row r="3903" customFormat="false" ht="54" hidden="false" customHeight="true" outlineLevel="0" collapsed="false">
      <c r="A3903" s="32" t="s">
        <v>14558</v>
      </c>
      <c r="B3903" s="32" t="s">
        <v>8193</v>
      </c>
      <c r="C3903" s="33" t="s">
        <v>1407</v>
      </c>
      <c r="D3903" s="33" t="s">
        <v>50</v>
      </c>
      <c r="E3903" s="33" t="s">
        <v>81</v>
      </c>
      <c r="F3903" s="33" t="s">
        <v>8202</v>
      </c>
      <c r="G3903" s="33" t="s">
        <v>9</v>
      </c>
      <c r="H3903" s="33" t="n">
        <v>10</v>
      </c>
    </row>
    <row r="3904" customFormat="false" ht="54" hidden="false" customHeight="true" outlineLevel="0" collapsed="false">
      <c r="A3904" s="32" t="s">
        <v>14559</v>
      </c>
      <c r="B3904" s="32" t="s">
        <v>8193</v>
      </c>
      <c r="C3904" s="33" t="s">
        <v>1407</v>
      </c>
      <c r="D3904" s="33" t="s">
        <v>50</v>
      </c>
      <c r="E3904" s="33" t="s">
        <v>82</v>
      </c>
      <c r="F3904" s="33" t="s">
        <v>8200</v>
      </c>
      <c r="G3904" s="33" t="s">
        <v>9</v>
      </c>
      <c r="H3904" s="33" t="n">
        <v>10</v>
      </c>
    </row>
    <row r="3905" customFormat="false" ht="54" hidden="false" customHeight="true" outlineLevel="0" collapsed="false">
      <c r="A3905" s="32" t="s">
        <v>14560</v>
      </c>
      <c r="B3905" s="32" t="s">
        <v>8193</v>
      </c>
      <c r="C3905" s="33" t="s">
        <v>1407</v>
      </c>
      <c r="D3905" s="33" t="s">
        <v>50</v>
      </c>
      <c r="E3905" s="33" t="s">
        <v>82</v>
      </c>
      <c r="F3905" s="33" t="s">
        <v>14561</v>
      </c>
      <c r="G3905" s="33" t="s">
        <v>9</v>
      </c>
      <c r="H3905" s="33" t="n">
        <v>10</v>
      </c>
    </row>
    <row r="3906" customFormat="false" ht="54" hidden="false" customHeight="true" outlineLevel="0" collapsed="false">
      <c r="A3906" s="32" t="s">
        <v>14562</v>
      </c>
      <c r="B3906" s="32" t="s">
        <v>8193</v>
      </c>
      <c r="C3906" s="33" t="s">
        <v>1407</v>
      </c>
      <c r="D3906" s="33" t="s">
        <v>50</v>
      </c>
      <c r="E3906" s="33" t="s">
        <v>84</v>
      </c>
      <c r="F3906" s="33" t="s">
        <v>8198</v>
      </c>
      <c r="G3906" s="33" t="s">
        <v>9</v>
      </c>
      <c r="H3906" s="33" t="n">
        <v>10</v>
      </c>
    </row>
    <row r="3907" customFormat="false" ht="54" hidden="false" customHeight="true" outlineLevel="0" collapsed="false">
      <c r="A3907" s="32" t="s">
        <v>14563</v>
      </c>
      <c r="B3907" s="32" t="s">
        <v>8193</v>
      </c>
      <c r="C3907" s="33" t="s">
        <v>1407</v>
      </c>
      <c r="D3907" s="33" t="s">
        <v>50</v>
      </c>
      <c r="E3907" s="33" t="s">
        <v>84</v>
      </c>
      <c r="F3907" s="33" t="s">
        <v>8200</v>
      </c>
      <c r="G3907" s="33" t="s">
        <v>9</v>
      </c>
      <c r="H3907" s="33" t="n">
        <v>10</v>
      </c>
    </row>
    <row r="3908" customFormat="false" ht="54" hidden="false" customHeight="true" outlineLevel="0" collapsed="false">
      <c r="A3908" s="32" t="s">
        <v>14564</v>
      </c>
      <c r="B3908" s="32" t="s">
        <v>8193</v>
      </c>
      <c r="C3908" s="33" t="s">
        <v>1407</v>
      </c>
      <c r="D3908" s="33" t="s">
        <v>50</v>
      </c>
      <c r="E3908" s="33" t="s">
        <v>84</v>
      </c>
      <c r="F3908" s="33" t="s">
        <v>183</v>
      </c>
      <c r="G3908" s="33" t="s">
        <v>9</v>
      </c>
      <c r="H3908" s="33" t="n">
        <v>10</v>
      </c>
    </row>
    <row r="3909" customFormat="false" ht="54" hidden="false" customHeight="true" outlineLevel="0" collapsed="false">
      <c r="A3909" s="32" t="s">
        <v>14565</v>
      </c>
      <c r="B3909" s="32" t="s">
        <v>8193</v>
      </c>
      <c r="C3909" s="33" t="s">
        <v>1407</v>
      </c>
      <c r="D3909" s="33" t="s">
        <v>50</v>
      </c>
      <c r="E3909" s="33" t="s">
        <v>84</v>
      </c>
      <c r="F3909" s="33" t="s">
        <v>14561</v>
      </c>
      <c r="G3909" s="33" t="s">
        <v>9</v>
      </c>
      <c r="H3909" s="33" t="n">
        <v>10</v>
      </c>
    </row>
    <row r="3910" customFormat="false" ht="54" hidden="false" customHeight="true" outlineLevel="0" collapsed="false">
      <c r="A3910" s="32" t="s">
        <v>14566</v>
      </c>
      <c r="B3910" s="32" t="s">
        <v>8193</v>
      </c>
      <c r="C3910" s="33" t="s">
        <v>1407</v>
      </c>
      <c r="D3910" s="33" t="s">
        <v>50</v>
      </c>
      <c r="E3910" s="33" t="s">
        <v>84</v>
      </c>
      <c r="F3910" s="33" t="s">
        <v>14567</v>
      </c>
      <c r="G3910" s="33" t="s">
        <v>9</v>
      </c>
      <c r="H3910" s="33" t="n">
        <v>10</v>
      </c>
    </row>
    <row r="3911" customFormat="false" ht="54" hidden="false" customHeight="true" outlineLevel="0" collapsed="false">
      <c r="A3911" s="32" t="s">
        <v>14568</v>
      </c>
      <c r="B3911" s="32" t="s">
        <v>8207</v>
      </c>
      <c r="C3911" s="33" t="s">
        <v>1407</v>
      </c>
      <c r="D3911" s="33" t="s">
        <v>50</v>
      </c>
      <c r="E3911" s="33" t="s">
        <v>80</v>
      </c>
      <c r="F3911" s="33" t="s">
        <v>183</v>
      </c>
      <c r="G3911" s="33" t="s">
        <v>9</v>
      </c>
      <c r="H3911" s="33" t="n">
        <v>10</v>
      </c>
    </row>
    <row r="3912" customFormat="false" ht="54" hidden="false" customHeight="true" outlineLevel="0" collapsed="false">
      <c r="A3912" s="32" t="s">
        <v>14569</v>
      </c>
      <c r="B3912" s="32" t="s">
        <v>8207</v>
      </c>
      <c r="C3912" s="33" t="s">
        <v>1407</v>
      </c>
      <c r="D3912" s="33" t="s">
        <v>50</v>
      </c>
      <c r="E3912" s="33" t="s">
        <v>82</v>
      </c>
      <c r="F3912" s="33" t="s">
        <v>14570</v>
      </c>
      <c r="G3912" s="33" t="s">
        <v>9</v>
      </c>
      <c r="H3912" s="33" t="n">
        <v>10</v>
      </c>
    </row>
    <row r="3913" customFormat="false" ht="54" hidden="false" customHeight="true" outlineLevel="0" collapsed="false">
      <c r="A3913" s="32" t="s">
        <v>14571</v>
      </c>
      <c r="B3913" s="32" t="s">
        <v>8207</v>
      </c>
      <c r="C3913" s="33" t="s">
        <v>1407</v>
      </c>
      <c r="D3913" s="33" t="s">
        <v>50</v>
      </c>
      <c r="E3913" s="33" t="s">
        <v>82</v>
      </c>
      <c r="F3913" s="33" t="s">
        <v>14572</v>
      </c>
      <c r="G3913" s="33" t="s">
        <v>9</v>
      </c>
      <c r="H3913" s="33" t="n">
        <v>10</v>
      </c>
    </row>
    <row r="3914" customFormat="false" ht="54" hidden="false" customHeight="true" outlineLevel="0" collapsed="false">
      <c r="A3914" s="32" t="s">
        <v>14573</v>
      </c>
      <c r="B3914" s="32" t="s">
        <v>8207</v>
      </c>
      <c r="C3914" s="33" t="s">
        <v>1407</v>
      </c>
      <c r="D3914" s="33" t="s">
        <v>50</v>
      </c>
      <c r="E3914" s="33" t="s">
        <v>83</v>
      </c>
      <c r="F3914" s="33" t="s">
        <v>8214</v>
      </c>
      <c r="G3914" s="33" t="s">
        <v>9</v>
      </c>
      <c r="H3914" s="33" t="n">
        <v>10</v>
      </c>
    </row>
    <row r="3915" customFormat="false" ht="54" hidden="false" customHeight="true" outlineLevel="0" collapsed="false">
      <c r="A3915" s="32" t="s">
        <v>14574</v>
      </c>
      <c r="B3915" s="32" t="s">
        <v>8207</v>
      </c>
      <c r="C3915" s="33" t="s">
        <v>1407</v>
      </c>
      <c r="D3915" s="33" t="s">
        <v>50</v>
      </c>
      <c r="E3915" s="33" t="s">
        <v>84</v>
      </c>
      <c r="F3915" s="33" t="s">
        <v>183</v>
      </c>
      <c r="G3915" s="33" t="s">
        <v>9</v>
      </c>
      <c r="H3915" s="33" t="n">
        <v>10</v>
      </c>
    </row>
    <row r="3916" customFormat="false" ht="54" hidden="false" customHeight="true" outlineLevel="0" collapsed="false">
      <c r="A3916" s="32" t="s">
        <v>14575</v>
      </c>
      <c r="B3916" s="32" t="s">
        <v>8218</v>
      </c>
      <c r="C3916" s="33" t="s">
        <v>1407</v>
      </c>
      <c r="D3916" s="33" t="s">
        <v>50</v>
      </c>
      <c r="E3916" s="33" t="s">
        <v>80</v>
      </c>
      <c r="F3916" s="33" t="s">
        <v>8225</v>
      </c>
      <c r="G3916" s="33" t="s">
        <v>12</v>
      </c>
      <c r="H3916" s="33" t="n">
        <v>10</v>
      </c>
    </row>
    <row r="3917" customFormat="false" ht="54" hidden="false" customHeight="true" outlineLevel="0" collapsed="false">
      <c r="A3917" s="32" t="s">
        <v>14576</v>
      </c>
      <c r="B3917" s="32" t="s">
        <v>8218</v>
      </c>
      <c r="C3917" s="33" t="s">
        <v>1407</v>
      </c>
      <c r="D3917" s="33" t="s">
        <v>50</v>
      </c>
      <c r="E3917" s="33" t="s">
        <v>80</v>
      </c>
      <c r="F3917" s="33" t="s">
        <v>183</v>
      </c>
      <c r="G3917" s="33" t="s">
        <v>12</v>
      </c>
      <c r="H3917" s="33" t="n">
        <v>10</v>
      </c>
    </row>
    <row r="3918" customFormat="false" ht="54" hidden="false" customHeight="true" outlineLevel="0" collapsed="false">
      <c r="A3918" s="32" t="s">
        <v>14577</v>
      </c>
      <c r="B3918" s="32" t="s">
        <v>8218</v>
      </c>
      <c r="C3918" s="33" t="s">
        <v>1407</v>
      </c>
      <c r="D3918" s="33" t="s">
        <v>50</v>
      </c>
      <c r="E3918" s="33" t="s">
        <v>80</v>
      </c>
      <c r="F3918" s="33" t="s">
        <v>14578</v>
      </c>
      <c r="G3918" s="33" t="s">
        <v>12</v>
      </c>
      <c r="H3918" s="33" t="n">
        <v>10</v>
      </c>
    </row>
    <row r="3919" customFormat="false" ht="54" hidden="false" customHeight="true" outlineLevel="0" collapsed="false">
      <c r="A3919" s="32" t="s">
        <v>14579</v>
      </c>
      <c r="B3919" s="32" t="s">
        <v>8218</v>
      </c>
      <c r="C3919" s="33" t="s">
        <v>1407</v>
      </c>
      <c r="D3919" s="33" t="s">
        <v>50</v>
      </c>
      <c r="E3919" s="33" t="s">
        <v>82</v>
      </c>
      <c r="F3919" s="33" t="s">
        <v>8225</v>
      </c>
      <c r="G3919" s="33" t="s">
        <v>12</v>
      </c>
      <c r="H3919" s="33" t="n">
        <v>10</v>
      </c>
    </row>
    <row r="3920" customFormat="false" ht="54" hidden="false" customHeight="true" outlineLevel="0" collapsed="false">
      <c r="A3920" s="32" t="s">
        <v>14580</v>
      </c>
      <c r="B3920" s="32" t="s">
        <v>8218</v>
      </c>
      <c r="C3920" s="33" t="s">
        <v>1407</v>
      </c>
      <c r="D3920" s="33" t="s">
        <v>50</v>
      </c>
      <c r="E3920" s="33" t="s">
        <v>82</v>
      </c>
      <c r="F3920" s="33" t="s">
        <v>14578</v>
      </c>
      <c r="G3920" s="33" t="s">
        <v>12</v>
      </c>
      <c r="H3920" s="33" t="n">
        <v>10</v>
      </c>
    </row>
    <row r="3921" customFormat="false" ht="54" hidden="false" customHeight="true" outlineLevel="0" collapsed="false">
      <c r="A3921" s="32" t="s">
        <v>14581</v>
      </c>
      <c r="B3921" s="32" t="s">
        <v>8218</v>
      </c>
      <c r="C3921" s="33" t="s">
        <v>1407</v>
      </c>
      <c r="D3921" s="33" t="s">
        <v>50</v>
      </c>
      <c r="E3921" s="33" t="s">
        <v>84</v>
      </c>
      <c r="F3921" s="33" t="s">
        <v>8225</v>
      </c>
      <c r="G3921" s="33" t="s">
        <v>12</v>
      </c>
      <c r="H3921" s="33" t="n">
        <v>10</v>
      </c>
    </row>
    <row r="3922" customFormat="false" ht="54" hidden="false" customHeight="true" outlineLevel="0" collapsed="false">
      <c r="A3922" s="32" t="s">
        <v>14582</v>
      </c>
      <c r="B3922" s="32" t="s">
        <v>8218</v>
      </c>
      <c r="C3922" s="33" t="s">
        <v>1407</v>
      </c>
      <c r="D3922" s="33" t="s">
        <v>50</v>
      </c>
      <c r="E3922" s="33" t="s">
        <v>84</v>
      </c>
      <c r="F3922" s="33" t="s">
        <v>183</v>
      </c>
      <c r="G3922" s="33" t="s">
        <v>12</v>
      </c>
      <c r="H3922" s="33" t="n">
        <v>10</v>
      </c>
    </row>
    <row r="3923" customFormat="false" ht="54" hidden="false" customHeight="true" outlineLevel="0" collapsed="false">
      <c r="A3923" s="32" t="s">
        <v>14583</v>
      </c>
      <c r="B3923" s="32" t="s">
        <v>8218</v>
      </c>
      <c r="C3923" s="33" t="s">
        <v>1407</v>
      </c>
      <c r="D3923" s="33" t="s">
        <v>50</v>
      </c>
      <c r="E3923" s="33" t="s">
        <v>84</v>
      </c>
      <c r="F3923" s="33" t="s">
        <v>14578</v>
      </c>
      <c r="G3923" s="33" t="s">
        <v>12</v>
      </c>
      <c r="H3923" s="33" t="n">
        <v>10</v>
      </c>
    </row>
    <row r="3924" customFormat="false" ht="54" hidden="false" customHeight="true" outlineLevel="0" collapsed="false">
      <c r="A3924" s="32" t="s">
        <v>14584</v>
      </c>
      <c r="B3924" s="32" t="s">
        <v>8232</v>
      </c>
      <c r="C3924" s="33" t="s">
        <v>1407</v>
      </c>
      <c r="D3924" s="33" t="s">
        <v>50</v>
      </c>
      <c r="E3924" s="33" t="s">
        <v>80</v>
      </c>
      <c r="F3924" s="33" t="s">
        <v>183</v>
      </c>
      <c r="G3924" s="33" t="s">
        <v>9</v>
      </c>
      <c r="H3924" s="33" t="n">
        <v>10</v>
      </c>
    </row>
    <row r="3925" customFormat="false" ht="54" hidden="false" customHeight="true" outlineLevel="0" collapsed="false">
      <c r="A3925" s="32" t="s">
        <v>14585</v>
      </c>
      <c r="B3925" s="32" t="s">
        <v>8232</v>
      </c>
      <c r="C3925" s="33" t="s">
        <v>1407</v>
      </c>
      <c r="D3925" s="33" t="s">
        <v>50</v>
      </c>
      <c r="E3925" s="33" t="s">
        <v>81</v>
      </c>
      <c r="F3925" s="33" t="s">
        <v>8240</v>
      </c>
      <c r="G3925" s="33" t="s">
        <v>9</v>
      </c>
      <c r="H3925" s="33" t="n">
        <v>10</v>
      </c>
    </row>
    <row r="3926" customFormat="false" ht="54" hidden="false" customHeight="true" outlineLevel="0" collapsed="false">
      <c r="A3926" s="32" t="s">
        <v>14586</v>
      </c>
      <c r="B3926" s="32" t="s">
        <v>8232</v>
      </c>
      <c r="C3926" s="33" t="s">
        <v>1407</v>
      </c>
      <c r="D3926" s="33" t="s">
        <v>50</v>
      </c>
      <c r="E3926" s="33" t="s">
        <v>84</v>
      </c>
      <c r="F3926" s="33" t="s">
        <v>183</v>
      </c>
      <c r="G3926" s="33" t="s">
        <v>9</v>
      </c>
      <c r="H3926" s="33" t="n">
        <v>10</v>
      </c>
    </row>
    <row r="3927" customFormat="false" ht="54" hidden="false" customHeight="true" outlineLevel="0" collapsed="false">
      <c r="A3927" s="32" t="s">
        <v>14587</v>
      </c>
      <c r="B3927" s="32" t="s">
        <v>8232</v>
      </c>
      <c r="C3927" s="33" t="s">
        <v>1407</v>
      </c>
      <c r="D3927" s="33" t="s">
        <v>50</v>
      </c>
      <c r="E3927" s="33" t="s">
        <v>84</v>
      </c>
      <c r="F3927" s="33" t="s">
        <v>14588</v>
      </c>
      <c r="G3927" s="33" t="s">
        <v>9</v>
      </c>
      <c r="H3927" s="33" t="n">
        <v>10</v>
      </c>
    </row>
    <row r="3928" customFormat="false" ht="54" hidden="false" customHeight="true" outlineLevel="0" collapsed="false">
      <c r="A3928" s="32" t="s">
        <v>14589</v>
      </c>
      <c r="B3928" s="32" t="s">
        <v>8244</v>
      </c>
      <c r="C3928" s="33" t="s">
        <v>1407</v>
      </c>
      <c r="D3928" s="33" t="s">
        <v>50</v>
      </c>
      <c r="E3928" s="33" t="s">
        <v>80</v>
      </c>
      <c r="F3928" s="33" t="s">
        <v>8249</v>
      </c>
      <c r="G3928" s="33" t="s">
        <v>9</v>
      </c>
      <c r="H3928" s="33" t="n">
        <v>10</v>
      </c>
    </row>
    <row r="3929" customFormat="false" ht="54" hidden="false" customHeight="true" outlineLevel="0" collapsed="false">
      <c r="A3929" s="32" t="s">
        <v>14590</v>
      </c>
      <c r="B3929" s="32" t="s">
        <v>8244</v>
      </c>
      <c r="C3929" s="33" t="s">
        <v>1407</v>
      </c>
      <c r="D3929" s="33" t="s">
        <v>50</v>
      </c>
      <c r="E3929" s="33" t="s">
        <v>80</v>
      </c>
      <c r="F3929" s="33" t="s">
        <v>8250</v>
      </c>
      <c r="G3929" s="33" t="s">
        <v>9</v>
      </c>
      <c r="H3929" s="33" t="n">
        <v>10</v>
      </c>
    </row>
    <row r="3930" customFormat="false" ht="54" hidden="false" customHeight="true" outlineLevel="0" collapsed="false">
      <c r="A3930" s="32" t="s">
        <v>14591</v>
      </c>
      <c r="B3930" s="32" t="s">
        <v>8244</v>
      </c>
      <c r="C3930" s="33" t="s">
        <v>1407</v>
      </c>
      <c r="D3930" s="33" t="s">
        <v>50</v>
      </c>
      <c r="E3930" s="33" t="s">
        <v>80</v>
      </c>
      <c r="F3930" s="33" t="s">
        <v>183</v>
      </c>
      <c r="G3930" s="33" t="s">
        <v>9</v>
      </c>
      <c r="H3930" s="33" t="n">
        <v>10</v>
      </c>
    </row>
    <row r="3931" customFormat="false" ht="54" hidden="false" customHeight="true" outlineLevel="0" collapsed="false">
      <c r="A3931" s="32" t="s">
        <v>14592</v>
      </c>
      <c r="B3931" s="32" t="s">
        <v>8244</v>
      </c>
      <c r="C3931" s="33" t="s">
        <v>1407</v>
      </c>
      <c r="D3931" s="33" t="s">
        <v>50</v>
      </c>
      <c r="E3931" s="33" t="s">
        <v>80</v>
      </c>
      <c r="F3931" s="33" t="s">
        <v>14593</v>
      </c>
      <c r="G3931" s="33" t="s">
        <v>9</v>
      </c>
      <c r="H3931" s="33" t="n">
        <v>10</v>
      </c>
    </row>
    <row r="3932" customFormat="false" ht="54" hidden="false" customHeight="true" outlineLevel="0" collapsed="false">
      <c r="A3932" s="32" t="s">
        <v>14594</v>
      </c>
      <c r="B3932" s="32" t="s">
        <v>8244</v>
      </c>
      <c r="C3932" s="33" t="s">
        <v>1407</v>
      </c>
      <c r="D3932" s="33" t="s">
        <v>50</v>
      </c>
      <c r="E3932" s="33" t="s">
        <v>80</v>
      </c>
      <c r="F3932" s="33" t="s">
        <v>14595</v>
      </c>
      <c r="G3932" s="33" t="s">
        <v>9</v>
      </c>
      <c r="H3932" s="33" t="n">
        <v>10</v>
      </c>
    </row>
    <row r="3933" customFormat="false" ht="54" hidden="false" customHeight="true" outlineLevel="0" collapsed="false">
      <c r="A3933" s="32" t="s">
        <v>14596</v>
      </c>
      <c r="B3933" s="32" t="s">
        <v>8244</v>
      </c>
      <c r="C3933" s="33" t="s">
        <v>1407</v>
      </c>
      <c r="D3933" s="33" t="s">
        <v>50</v>
      </c>
      <c r="E3933" s="33" t="s">
        <v>81</v>
      </c>
      <c r="F3933" s="33" t="s">
        <v>8249</v>
      </c>
      <c r="G3933" s="33" t="s">
        <v>9</v>
      </c>
      <c r="H3933" s="33" t="n">
        <v>10</v>
      </c>
    </row>
    <row r="3934" customFormat="false" ht="54" hidden="false" customHeight="true" outlineLevel="0" collapsed="false">
      <c r="A3934" s="32" t="s">
        <v>14597</v>
      </c>
      <c r="B3934" s="32" t="s">
        <v>8244</v>
      </c>
      <c r="C3934" s="33" t="s">
        <v>1407</v>
      </c>
      <c r="D3934" s="33" t="s">
        <v>50</v>
      </c>
      <c r="E3934" s="33" t="s">
        <v>81</v>
      </c>
      <c r="F3934" s="33" t="s">
        <v>8271</v>
      </c>
      <c r="G3934" s="33" t="s">
        <v>9</v>
      </c>
      <c r="H3934" s="33" t="n">
        <v>10</v>
      </c>
    </row>
    <row r="3935" customFormat="false" ht="54" hidden="false" customHeight="true" outlineLevel="0" collapsed="false">
      <c r="A3935" s="32" t="s">
        <v>14598</v>
      </c>
      <c r="B3935" s="32" t="s">
        <v>8244</v>
      </c>
      <c r="C3935" s="33" t="s">
        <v>1407</v>
      </c>
      <c r="D3935" s="33" t="s">
        <v>50</v>
      </c>
      <c r="E3935" s="33" t="s">
        <v>84</v>
      </c>
      <c r="F3935" s="33" t="s">
        <v>8250</v>
      </c>
      <c r="G3935" s="33" t="s">
        <v>9</v>
      </c>
      <c r="H3935" s="33" t="n">
        <v>10</v>
      </c>
    </row>
    <row r="3936" customFormat="false" ht="54" hidden="false" customHeight="true" outlineLevel="0" collapsed="false">
      <c r="A3936" s="32" t="s">
        <v>14599</v>
      </c>
      <c r="B3936" s="32" t="s">
        <v>8244</v>
      </c>
      <c r="C3936" s="33" t="s">
        <v>1407</v>
      </c>
      <c r="D3936" s="33" t="s">
        <v>50</v>
      </c>
      <c r="E3936" s="33" t="s">
        <v>84</v>
      </c>
      <c r="F3936" s="33" t="s">
        <v>183</v>
      </c>
      <c r="G3936" s="33" t="s">
        <v>9</v>
      </c>
      <c r="H3936" s="33" t="n">
        <v>10</v>
      </c>
    </row>
    <row r="3937" customFormat="false" ht="54" hidden="false" customHeight="true" outlineLevel="0" collapsed="false">
      <c r="A3937" s="32" t="s">
        <v>14600</v>
      </c>
      <c r="B3937" s="32" t="s">
        <v>8244</v>
      </c>
      <c r="C3937" s="33" t="s">
        <v>1407</v>
      </c>
      <c r="D3937" s="33" t="s">
        <v>50</v>
      </c>
      <c r="E3937" s="33" t="s">
        <v>84</v>
      </c>
      <c r="F3937" s="33" t="s">
        <v>14593</v>
      </c>
      <c r="G3937" s="33" t="s">
        <v>9</v>
      </c>
      <c r="H3937" s="33" t="n">
        <v>10</v>
      </c>
    </row>
    <row r="3938" customFormat="false" ht="54" hidden="false" customHeight="true" outlineLevel="0" collapsed="false">
      <c r="A3938" s="32" t="s">
        <v>14601</v>
      </c>
      <c r="B3938" s="32" t="s">
        <v>8244</v>
      </c>
      <c r="C3938" s="33" t="s">
        <v>1407</v>
      </c>
      <c r="D3938" s="33" t="s">
        <v>50</v>
      </c>
      <c r="E3938" s="33" t="s">
        <v>84</v>
      </c>
      <c r="F3938" s="33" t="s">
        <v>8271</v>
      </c>
      <c r="G3938" s="33" t="s">
        <v>9</v>
      </c>
      <c r="H3938" s="33" t="n">
        <v>10</v>
      </c>
    </row>
    <row r="3939" customFormat="false" ht="54" hidden="false" customHeight="true" outlineLevel="0" collapsed="false">
      <c r="A3939" s="32" t="s">
        <v>14602</v>
      </c>
      <c r="B3939" s="32" t="s">
        <v>8260</v>
      </c>
      <c r="C3939" s="33" t="s">
        <v>1407</v>
      </c>
      <c r="D3939" s="33" t="s">
        <v>50</v>
      </c>
      <c r="E3939" s="33" t="s">
        <v>80</v>
      </c>
      <c r="F3939" s="33" t="s">
        <v>183</v>
      </c>
      <c r="G3939" s="33" t="s">
        <v>9</v>
      </c>
      <c r="H3939" s="33" t="n">
        <v>90</v>
      </c>
    </row>
    <row r="3940" customFormat="false" ht="54" hidden="false" customHeight="true" outlineLevel="0" collapsed="false">
      <c r="A3940" s="32" t="s">
        <v>14603</v>
      </c>
      <c r="B3940" s="32" t="s">
        <v>8260</v>
      </c>
      <c r="C3940" s="33" t="s">
        <v>1407</v>
      </c>
      <c r="D3940" s="33" t="s">
        <v>50</v>
      </c>
      <c r="E3940" s="33" t="s">
        <v>81</v>
      </c>
      <c r="F3940" s="33" t="s">
        <v>8271</v>
      </c>
      <c r="G3940" s="33" t="s">
        <v>9</v>
      </c>
      <c r="H3940" s="33" t="n">
        <v>90</v>
      </c>
    </row>
    <row r="3941" customFormat="false" ht="54" hidden="false" customHeight="true" outlineLevel="0" collapsed="false">
      <c r="A3941" s="32" t="s">
        <v>14604</v>
      </c>
      <c r="B3941" s="32" t="s">
        <v>8260</v>
      </c>
      <c r="C3941" s="33" t="s">
        <v>1407</v>
      </c>
      <c r="D3941" s="33" t="s">
        <v>50</v>
      </c>
      <c r="E3941" s="33" t="s">
        <v>82</v>
      </c>
      <c r="F3941" s="33" t="s">
        <v>8267</v>
      </c>
      <c r="G3941" s="33" t="s">
        <v>9</v>
      </c>
      <c r="H3941" s="33" t="n">
        <v>90</v>
      </c>
    </row>
    <row r="3942" customFormat="false" ht="54" hidden="false" customHeight="true" outlineLevel="0" collapsed="false">
      <c r="A3942" s="32" t="s">
        <v>14605</v>
      </c>
      <c r="B3942" s="32" t="s">
        <v>8260</v>
      </c>
      <c r="C3942" s="33" t="s">
        <v>1407</v>
      </c>
      <c r="D3942" s="33" t="s">
        <v>50</v>
      </c>
      <c r="E3942" s="33" t="s">
        <v>82</v>
      </c>
      <c r="F3942" s="33" t="s">
        <v>14606</v>
      </c>
      <c r="G3942" s="33" t="s">
        <v>9</v>
      </c>
      <c r="H3942" s="33" t="n">
        <v>90</v>
      </c>
    </row>
    <row r="3943" customFormat="false" ht="54" hidden="false" customHeight="true" outlineLevel="0" collapsed="false">
      <c r="A3943" s="32" t="s">
        <v>14607</v>
      </c>
      <c r="B3943" s="32" t="s">
        <v>8260</v>
      </c>
      <c r="C3943" s="33" t="s">
        <v>1407</v>
      </c>
      <c r="D3943" s="33" t="s">
        <v>50</v>
      </c>
      <c r="E3943" s="33" t="s">
        <v>82</v>
      </c>
      <c r="F3943" s="33" t="s">
        <v>14608</v>
      </c>
      <c r="G3943" s="33" t="s">
        <v>9</v>
      </c>
      <c r="H3943" s="33" t="n">
        <v>90</v>
      </c>
    </row>
    <row r="3944" customFormat="false" ht="54" hidden="false" customHeight="true" outlineLevel="0" collapsed="false">
      <c r="A3944" s="32" t="s">
        <v>14609</v>
      </c>
      <c r="B3944" s="32" t="s">
        <v>8260</v>
      </c>
      <c r="C3944" s="33" t="s">
        <v>1407</v>
      </c>
      <c r="D3944" s="33" t="s">
        <v>50</v>
      </c>
      <c r="E3944" s="33" t="s">
        <v>82</v>
      </c>
      <c r="F3944" s="33" t="s">
        <v>14610</v>
      </c>
      <c r="G3944" s="33" t="s">
        <v>9</v>
      </c>
      <c r="H3944" s="33" t="n">
        <v>90</v>
      </c>
    </row>
    <row r="3945" customFormat="false" ht="54" hidden="false" customHeight="true" outlineLevel="0" collapsed="false">
      <c r="A3945" s="32" t="s">
        <v>14611</v>
      </c>
      <c r="B3945" s="32" t="s">
        <v>8260</v>
      </c>
      <c r="C3945" s="33" t="s">
        <v>1407</v>
      </c>
      <c r="D3945" s="33" t="s">
        <v>50</v>
      </c>
      <c r="E3945" s="33" t="s">
        <v>84</v>
      </c>
      <c r="F3945" s="33" t="s">
        <v>8265</v>
      </c>
      <c r="G3945" s="33" t="s">
        <v>9</v>
      </c>
      <c r="H3945" s="33" t="n">
        <v>90</v>
      </c>
    </row>
    <row r="3946" customFormat="false" ht="54" hidden="false" customHeight="true" outlineLevel="0" collapsed="false">
      <c r="A3946" s="32" t="s">
        <v>14612</v>
      </c>
      <c r="B3946" s="32" t="s">
        <v>8260</v>
      </c>
      <c r="C3946" s="33" t="s">
        <v>1407</v>
      </c>
      <c r="D3946" s="33" t="s">
        <v>50</v>
      </c>
      <c r="E3946" s="33" t="s">
        <v>84</v>
      </c>
      <c r="F3946" s="33" t="s">
        <v>183</v>
      </c>
      <c r="G3946" s="33" t="s">
        <v>9</v>
      </c>
      <c r="H3946" s="33" t="n">
        <v>90</v>
      </c>
    </row>
    <row r="3947" customFormat="false" ht="54" hidden="false" customHeight="true" outlineLevel="0" collapsed="false">
      <c r="A3947" s="32" t="s">
        <v>14613</v>
      </c>
      <c r="B3947" s="32" t="s">
        <v>8260</v>
      </c>
      <c r="C3947" s="33" t="s">
        <v>1407</v>
      </c>
      <c r="D3947" s="33" t="s">
        <v>50</v>
      </c>
      <c r="E3947" s="33" t="s">
        <v>84</v>
      </c>
      <c r="F3947" s="33" t="s">
        <v>8271</v>
      </c>
      <c r="G3947" s="33" t="s">
        <v>9</v>
      </c>
      <c r="H3947" s="33" t="n">
        <v>90</v>
      </c>
    </row>
    <row r="3948" customFormat="false" ht="54" hidden="false" customHeight="true" outlineLevel="0" collapsed="false">
      <c r="A3948" s="32" t="s">
        <v>14614</v>
      </c>
      <c r="B3948" s="32" t="s">
        <v>8260</v>
      </c>
      <c r="C3948" s="33" t="s">
        <v>1407</v>
      </c>
      <c r="D3948" s="33" t="s">
        <v>50</v>
      </c>
      <c r="E3948" s="33" t="s">
        <v>84</v>
      </c>
      <c r="F3948" s="33" t="s">
        <v>14615</v>
      </c>
      <c r="G3948" s="33" t="s">
        <v>9</v>
      </c>
      <c r="H3948" s="33" t="n">
        <v>90</v>
      </c>
    </row>
    <row r="3949" customFormat="false" ht="54" hidden="false" customHeight="true" outlineLevel="0" collapsed="false">
      <c r="A3949" s="32" t="s">
        <v>14616</v>
      </c>
      <c r="B3949" s="32" t="s">
        <v>8278</v>
      </c>
      <c r="C3949" s="33" t="s">
        <v>1407</v>
      </c>
      <c r="D3949" s="33" t="s">
        <v>50</v>
      </c>
      <c r="E3949" s="33" t="s">
        <v>80</v>
      </c>
      <c r="F3949" s="33" t="s">
        <v>183</v>
      </c>
      <c r="G3949" s="33" t="s">
        <v>9</v>
      </c>
      <c r="H3949" s="33" t="n">
        <v>10</v>
      </c>
    </row>
    <row r="3950" customFormat="false" ht="54" hidden="false" customHeight="true" outlineLevel="0" collapsed="false">
      <c r="A3950" s="32" t="s">
        <v>14617</v>
      </c>
      <c r="B3950" s="32" t="s">
        <v>8278</v>
      </c>
      <c r="C3950" s="33" t="s">
        <v>1407</v>
      </c>
      <c r="D3950" s="33" t="s">
        <v>50</v>
      </c>
      <c r="E3950" s="33" t="s">
        <v>82</v>
      </c>
      <c r="F3950" s="33" t="s">
        <v>8283</v>
      </c>
      <c r="G3950" s="33" t="s">
        <v>9</v>
      </c>
      <c r="H3950" s="33" t="n">
        <v>10</v>
      </c>
    </row>
    <row r="3951" customFormat="false" ht="54" hidden="false" customHeight="true" outlineLevel="0" collapsed="false">
      <c r="A3951" s="32" t="s">
        <v>14618</v>
      </c>
      <c r="B3951" s="32" t="s">
        <v>8278</v>
      </c>
      <c r="C3951" s="33" t="s">
        <v>1407</v>
      </c>
      <c r="D3951" s="33" t="s">
        <v>50</v>
      </c>
      <c r="E3951" s="33" t="s">
        <v>82</v>
      </c>
      <c r="F3951" s="33" t="s">
        <v>14619</v>
      </c>
      <c r="G3951" s="33" t="s">
        <v>9</v>
      </c>
      <c r="H3951" s="33" t="n">
        <v>10</v>
      </c>
    </row>
    <row r="3952" customFormat="false" ht="54" hidden="false" customHeight="true" outlineLevel="0" collapsed="false">
      <c r="A3952" s="32" t="s">
        <v>14620</v>
      </c>
      <c r="B3952" s="32" t="s">
        <v>8278</v>
      </c>
      <c r="C3952" s="33" t="s">
        <v>1407</v>
      </c>
      <c r="D3952" s="33" t="s">
        <v>50</v>
      </c>
      <c r="E3952" s="33" t="s">
        <v>82</v>
      </c>
      <c r="F3952" s="33" t="s">
        <v>14621</v>
      </c>
      <c r="G3952" s="33" t="s">
        <v>9</v>
      </c>
      <c r="H3952" s="33" t="n">
        <v>10</v>
      </c>
    </row>
    <row r="3953" customFormat="false" ht="54" hidden="false" customHeight="true" outlineLevel="0" collapsed="false">
      <c r="A3953" s="32" t="s">
        <v>14622</v>
      </c>
      <c r="B3953" s="32" t="s">
        <v>8278</v>
      </c>
      <c r="C3953" s="33" t="s">
        <v>1407</v>
      </c>
      <c r="D3953" s="33" t="s">
        <v>50</v>
      </c>
      <c r="E3953" s="33" t="s">
        <v>83</v>
      </c>
      <c r="F3953" s="33" t="s">
        <v>8287</v>
      </c>
      <c r="G3953" s="33" t="s">
        <v>9</v>
      </c>
      <c r="H3953" s="33" t="n">
        <v>10</v>
      </c>
    </row>
    <row r="3954" customFormat="false" ht="54" hidden="false" customHeight="true" outlineLevel="0" collapsed="false">
      <c r="A3954" s="32" t="s">
        <v>14623</v>
      </c>
      <c r="B3954" s="32" t="s">
        <v>8278</v>
      </c>
      <c r="C3954" s="33" t="s">
        <v>1407</v>
      </c>
      <c r="D3954" s="33" t="s">
        <v>50</v>
      </c>
      <c r="E3954" s="33" t="s">
        <v>84</v>
      </c>
      <c r="F3954" s="33" t="s">
        <v>183</v>
      </c>
      <c r="G3954" s="33" t="s">
        <v>9</v>
      </c>
      <c r="H3954" s="33" t="n">
        <v>10</v>
      </c>
    </row>
    <row r="3955" customFormat="false" ht="54" hidden="false" customHeight="true" outlineLevel="0" collapsed="false">
      <c r="A3955" s="32" t="s">
        <v>14624</v>
      </c>
      <c r="B3955" s="32" t="s">
        <v>8289</v>
      </c>
      <c r="C3955" s="33" t="s">
        <v>1407</v>
      </c>
      <c r="D3955" s="33" t="s">
        <v>50</v>
      </c>
      <c r="E3955" s="33" t="s">
        <v>80</v>
      </c>
      <c r="F3955" s="33" t="s">
        <v>183</v>
      </c>
      <c r="G3955" s="33" t="s">
        <v>12</v>
      </c>
      <c r="H3955" s="33" t="n">
        <v>10</v>
      </c>
    </row>
    <row r="3956" customFormat="false" ht="54" hidden="false" customHeight="true" outlineLevel="0" collapsed="false">
      <c r="A3956" s="32" t="s">
        <v>14625</v>
      </c>
      <c r="B3956" s="32" t="s">
        <v>8289</v>
      </c>
      <c r="C3956" s="33" t="s">
        <v>1407</v>
      </c>
      <c r="D3956" s="33" t="s">
        <v>50</v>
      </c>
      <c r="E3956" s="33" t="s">
        <v>80</v>
      </c>
      <c r="F3956" s="33" t="s">
        <v>14626</v>
      </c>
      <c r="G3956" s="33" t="s">
        <v>12</v>
      </c>
      <c r="H3956" s="33" t="n">
        <v>10</v>
      </c>
    </row>
    <row r="3957" customFormat="false" ht="54" hidden="false" customHeight="true" outlineLevel="0" collapsed="false">
      <c r="A3957" s="32" t="s">
        <v>14627</v>
      </c>
      <c r="B3957" s="32" t="s">
        <v>8289</v>
      </c>
      <c r="C3957" s="33" t="s">
        <v>1407</v>
      </c>
      <c r="D3957" s="33" t="s">
        <v>50</v>
      </c>
      <c r="E3957" s="33" t="s">
        <v>80</v>
      </c>
      <c r="F3957" s="33" t="s">
        <v>8296</v>
      </c>
      <c r="G3957" s="33" t="s">
        <v>12</v>
      </c>
      <c r="H3957" s="33" t="n">
        <v>10</v>
      </c>
    </row>
    <row r="3958" customFormat="false" ht="54" hidden="false" customHeight="true" outlineLevel="0" collapsed="false">
      <c r="A3958" s="32" t="s">
        <v>14628</v>
      </c>
      <c r="B3958" s="32" t="s">
        <v>8289</v>
      </c>
      <c r="C3958" s="33" t="s">
        <v>1407</v>
      </c>
      <c r="D3958" s="33" t="s">
        <v>50</v>
      </c>
      <c r="E3958" s="33" t="s">
        <v>82</v>
      </c>
      <c r="F3958" s="33" t="s">
        <v>14629</v>
      </c>
      <c r="G3958" s="33" t="s">
        <v>12</v>
      </c>
      <c r="H3958" s="33" t="n">
        <v>10</v>
      </c>
    </row>
    <row r="3959" customFormat="false" ht="54" hidden="false" customHeight="true" outlineLevel="0" collapsed="false">
      <c r="A3959" s="32" t="s">
        <v>14630</v>
      </c>
      <c r="B3959" s="32" t="s">
        <v>8289</v>
      </c>
      <c r="C3959" s="33" t="s">
        <v>1407</v>
      </c>
      <c r="D3959" s="33" t="s">
        <v>50</v>
      </c>
      <c r="E3959" s="33" t="s">
        <v>82</v>
      </c>
      <c r="F3959" s="33" t="s">
        <v>14631</v>
      </c>
      <c r="G3959" s="33" t="s">
        <v>12</v>
      </c>
      <c r="H3959" s="33" t="n">
        <v>10</v>
      </c>
    </row>
    <row r="3960" customFormat="false" ht="54" hidden="false" customHeight="true" outlineLevel="0" collapsed="false">
      <c r="A3960" s="32" t="s">
        <v>14632</v>
      </c>
      <c r="B3960" s="32" t="s">
        <v>8289</v>
      </c>
      <c r="C3960" s="33" t="s">
        <v>1407</v>
      </c>
      <c r="D3960" s="33" t="s">
        <v>50</v>
      </c>
      <c r="E3960" s="33" t="s">
        <v>84</v>
      </c>
      <c r="F3960" s="33" t="s">
        <v>183</v>
      </c>
      <c r="G3960" s="33" t="s">
        <v>12</v>
      </c>
      <c r="H3960" s="33" t="n">
        <v>10</v>
      </c>
    </row>
    <row r="3961" customFormat="false" ht="54" hidden="false" customHeight="true" outlineLevel="0" collapsed="false">
      <c r="A3961" s="32" t="s">
        <v>14633</v>
      </c>
      <c r="B3961" s="32" t="s">
        <v>8301</v>
      </c>
      <c r="C3961" s="33" t="s">
        <v>1407</v>
      </c>
      <c r="D3961" s="33" t="s">
        <v>50</v>
      </c>
      <c r="E3961" s="33" t="s">
        <v>80</v>
      </c>
      <c r="F3961" s="33" t="s">
        <v>183</v>
      </c>
      <c r="G3961" s="33" t="s">
        <v>9</v>
      </c>
      <c r="H3961" s="33" t="n">
        <v>10</v>
      </c>
    </row>
    <row r="3962" customFormat="false" ht="54" hidden="false" customHeight="true" outlineLevel="0" collapsed="false">
      <c r="A3962" s="32" t="s">
        <v>14634</v>
      </c>
      <c r="B3962" s="32" t="s">
        <v>8301</v>
      </c>
      <c r="C3962" s="33" t="s">
        <v>1407</v>
      </c>
      <c r="D3962" s="33" t="s">
        <v>50</v>
      </c>
      <c r="E3962" s="33" t="s">
        <v>81</v>
      </c>
      <c r="F3962" s="33" t="s">
        <v>8309</v>
      </c>
      <c r="G3962" s="33" t="s">
        <v>9</v>
      </c>
      <c r="H3962" s="33" t="n">
        <v>10</v>
      </c>
    </row>
    <row r="3963" customFormat="false" ht="54" hidden="false" customHeight="true" outlineLevel="0" collapsed="false">
      <c r="A3963" s="32" t="s">
        <v>14635</v>
      </c>
      <c r="B3963" s="32" t="s">
        <v>8301</v>
      </c>
      <c r="C3963" s="33" t="s">
        <v>1407</v>
      </c>
      <c r="D3963" s="33" t="s">
        <v>50</v>
      </c>
      <c r="E3963" s="33" t="s">
        <v>82</v>
      </c>
      <c r="F3963" s="33" t="s">
        <v>8307</v>
      </c>
      <c r="G3963" s="33" t="s">
        <v>9</v>
      </c>
      <c r="H3963" s="33" t="n">
        <v>10</v>
      </c>
    </row>
    <row r="3964" customFormat="false" ht="54" hidden="false" customHeight="true" outlineLevel="0" collapsed="false">
      <c r="A3964" s="32" t="s">
        <v>14636</v>
      </c>
      <c r="B3964" s="32" t="s">
        <v>8301</v>
      </c>
      <c r="C3964" s="33" t="s">
        <v>1407</v>
      </c>
      <c r="D3964" s="33" t="s">
        <v>50</v>
      </c>
      <c r="E3964" s="33" t="s">
        <v>82</v>
      </c>
      <c r="F3964" s="33" t="s">
        <v>14637</v>
      </c>
      <c r="G3964" s="33" t="s">
        <v>9</v>
      </c>
      <c r="H3964" s="33" t="n">
        <v>10</v>
      </c>
    </row>
    <row r="3965" customFormat="false" ht="54" hidden="false" customHeight="true" outlineLevel="0" collapsed="false">
      <c r="A3965" s="32" t="s">
        <v>14638</v>
      </c>
      <c r="B3965" s="32" t="s">
        <v>8301</v>
      </c>
      <c r="C3965" s="33" t="s">
        <v>1407</v>
      </c>
      <c r="D3965" s="33" t="s">
        <v>50</v>
      </c>
      <c r="E3965" s="33" t="s">
        <v>84</v>
      </c>
      <c r="F3965" s="33" t="s">
        <v>183</v>
      </c>
      <c r="G3965" s="33" t="s">
        <v>9</v>
      </c>
      <c r="H3965" s="33" t="n">
        <v>10</v>
      </c>
    </row>
    <row r="3966" customFormat="false" ht="54" hidden="false" customHeight="true" outlineLevel="0" collapsed="false">
      <c r="A3966" s="32" t="s">
        <v>14639</v>
      </c>
      <c r="B3966" s="32" t="s">
        <v>8301</v>
      </c>
      <c r="C3966" s="33" t="s">
        <v>1407</v>
      </c>
      <c r="D3966" s="33" t="s">
        <v>50</v>
      </c>
      <c r="E3966" s="33" t="s">
        <v>84</v>
      </c>
      <c r="F3966" s="33" t="s">
        <v>14640</v>
      </c>
      <c r="G3966" s="33" t="s">
        <v>9</v>
      </c>
      <c r="H3966" s="33" t="n">
        <v>10</v>
      </c>
    </row>
    <row r="3967" customFormat="false" ht="54" hidden="false" customHeight="true" outlineLevel="0" collapsed="false">
      <c r="A3967" s="32" t="s">
        <v>14641</v>
      </c>
      <c r="B3967" s="32" t="s">
        <v>8314</v>
      </c>
      <c r="C3967" s="33" t="s">
        <v>1407</v>
      </c>
      <c r="D3967" s="33" t="s">
        <v>50</v>
      </c>
      <c r="E3967" s="33" t="s">
        <v>80</v>
      </c>
      <c r="F3967" s="33" t="s">
        <v>183</v>
      </c>
      <c r="G3967" s="33" t="s">
        <v>12</v>
      </c>
      <c r="H3967" s="33" t="n">
        <v>10</v>
      </c>
    </row>
    <row r="3968" customFormat="false" ht="54" hidden="false" customHeight="true" outlineLevel="0" collapsed="false">
      <c r="A3968" s="32" t="s">
        <v>14642</v>
      </c>
      <c r="B3968" s="32" t="s">
        <v>8314</v>
      </c>
      <c r="C3968" s="33" t="s">
        <v>1407</v>
      </c>
      <c r="D3968" s="33" t="s">
        <v>50</v>
      </c>
      <c r="E3968" s="33" t="s">
        <v>82</v>
      </c>
      <c r="F3968" s="33" t="s">
        <v>14629</v>
      </c>
      <c r="G3968" s="33" t="s">
        <v>12</v>
      </c>
      <c r="H3968" s="33" t="n">
        <v>10</v>
      </c>
    </row>
    <row r="3969" customFormat="false" ht="54" hidden="false" customHeight="true" outlineLevel="0" collapsed="false">
      <c r="A3969" s="32" t="s">
        <v>14643</v>
      </c>
      <c r="B3969" s="32" t="s">
        <v>8314</v>
      </c>
      <c r="C3969" s="33" t="s">
        <v>1407</v>
      </c>
      <c r="D3969" s="33" t="s">
        <v>50</v>
      </c>
      <c r="E3969" s="33" t="s">
        <v>82</v>
      </c>
      <c r="F3969" s="33" t="s">
        <v>14644</v>
      </c>
      <c r="G3969" s="33" t="s">
        <v>12</v>
      </c>
      <c r="H3969" s="33" t="n">
        <v>10</v>
      </c>
    </row>
    <row r="3970" customFormat="false" ht="54" hidden="false" customHeight="true" outlineLevel="0" collapsed="false">
      <c r="A3970" s="32" t="s">
        <v>14645</v>
      </c>
      <c r="B3970" s="32" t="s">
        <v>8314</v>
      </c>
      <c r="C3970" s="33" t="s">
        <v>1407</v>
      </c>
      <c r="D3970" s="33" t="s">
        <v>50</v>
      </c>
      <c r="E3970" s="33" t="s">
        <v>84</v>
      </c>
      <c r="F3970" s="33" t="s">
        <v>8318</v>
      </c>
      <c r="G3970" s="33" t="s">
        <v>12</v>
      </c>
      <c r="H3970" s="33" t="n">
        <v>10</v>
      </c>
    </row>
    <row r="3971" customFormat="false" ht="54" hidden="false" customHeight="true" outlineLevel="0" collapsed="false">
      <c r="A3971" s="32" t="s">
        <v>14646</v>
      </c>
      <c r="B3971" s="32" t="s">
        <v>8314</v>
      </c>
      <c r="C3971" s="33" t="s">
        <v>1407</v>
      </c>
      <c r="D3971" s="33" t="s">
        <v>50</v>
      </c>
      <c r="E3971" s="33" t="s">
        <v>84</v>
      </c>
      <c r="F3971" s="33" t="s">
        <v>183</v>
      </c>
      <c r="G3971" s="33" t="s">
        <v>12</v>
      </c>
      <c r="H3971" s="33" t="n">
        <v>10</v>
      </c>
    </row>
    <row r="3972" customFormat="false" ht="54" hidden="false" customHeight="true" outlineLevel="0" collapsed="false">
      <c r="A3972" s="32" t="s">
        <v>14647</v>
      </c>
      <c r="B3972" s="32" t="s">
        <v>8314</v>
      </c>
      <c r="C3972" s="33" t="s">
        <v>1407</v>
      </c>
      <c r="D3972" s="33" t="s">
        <v>50</v>
      </c>
      <c r="E3972" s="33" t="s">
        <v>84</v>
      </c>
      <c r="F3972" s="33" t="s">
        <v>14648</v>
      </c>
      <c r="G3972" s="33" t="s">
        <v>12</v>
      </c>
      <c r="H3972" s="33" t="n">
        <v>10</v>
      </c>
    </row>
    <row r="3973" customFormat="false" ht="54" hidden="false" customHeight="true" outlineLevel="0" collapsed="false">
      <c r="A3973" s="32" t="s">
        <v>14649</v>
      </c>
      <c r="B3973" s="32" t="s">
        <v>8314</v>
      </c>
      <c r="C3973" s="33" t="s">
        <v>1407</v>
      </c>
      <c r="D3973" s="33" t="s">
        <v>50</v>
      </c>
      <c r="E3973" s="33" t="s">
        <v>84</v>
      </c>
      <c r="F3973" s="33" t="s">
        <v>14650</v>
      </c>
      <c r="G3973" s="33" t="s">
        <v>12</v>
      </c>
      <c r="H3973" s="33" t="n">
        <v>10</v>
      </c>
    </row>
    <row r="3974" customFormat="false" ht="54" hidden="false" customHeight="true" outlineLevel="0" collapsed="false">
      <c r="A3974" s="32" t="s">
        <v>14651</v>
      </c>
      <c r="B3974" s="32" t="s">
        <v>3333</v>
      </c>
      <c r="C3974" s="33" t="s">
        <v>1407</v>
      </c>
      <c r="D3974" s="33" t="s">
        <v>50</v>
      </c>
      <c r="E3974" s="33" t="s">
        <v>80</v>
      </c>
      <c r="F3974" s="33" t="s">
        <v>183</v>
      </c>
      <c r="G3974" s="33" t="s">
        <v>9</v>
      </c>
      <c r="H3974" s="33" t="n">
        <v>10</v>
      </c>
    </row>
    <row r="3975" customFormat="false" ht="54" hidden="false" customHeight="true" outlineLevel="0" collapsed="false">
      <c r="A3975" s="32" t="s">
        <v>14652</v>
      </c>
      <c r="B3975" s="32" t="s">
        <v>3333</v>
      </c>
      <c r="C3975" s="33" t="s">
        <v>1407</v>
      </c>
      <c r="D3975" s="33" t="s">
        <v>50</v>
      </c>
      <c r="E3975" s="33" t="s">
        <v>80</v>
      </c>
      <c r="F3975" s="33" t="s">
        <v>14653</v>
      </c>
      <c r="G3975" s="33" t="s">
        <v>9</v>
      </c>
      <c r="H3975" s="33" t="n">
        <v>10</v>
      </c>
    </row>
    <row r="3976" customFormat="false" ht="54" hidden="false" customHeight="true" outlineLevel="0" collapsed="false">
      <c r="A3976" s="32" t="s">
        <v>14654</v>
      </c>
      <c r="B3976" s="32" t="s">
        <v>3333</v>
      </c>
      <c r="C3976" s="33" t="s">
        <v>1407</v>
      </c>
      <c r="D3976" s="33" t="s">
        <v>50</v>
      </c>
      <c r="E3976" s="33" t="s">
        <v>80</v>
      </c>
      <c r="F3976" s="33" t="s">
        <v>14655</v>
      </c>
      <c r="G3976" s="33" t="s">
        <v>9</v>
      </c>
      <c r="H3976" s="33" t="n">
        <v>10</v>
      </c>
    </row>
    <row r="3977" customFormat="false" ht="54" hidden="false" customHeight="true" outlineLevel="0" collapsed="false">
      <c r="A3977" s="32" t="s">
        <v>14656</v>
      </c>
      <c r="B3977" s="32" t="s">
        <v>3333</v>
      </c>
      <c r="C3977" s="33" t="s">
        <v>1407</v>
      </c>
      <c r="D3977" s="33" t="s">
        <v>50</v>
      </c>
      <c r="E3977" s="33" t="s">
        <v>82</v>
      </c>
      <c r="F3977" s="33" t="s">
        <v>8333</v>
      </c>
      <c r="G3977" s="33" t="s">
        <v>9</v>
      </c>
      <c r="H3977" s="33" t="n">
        <v>10</v>
      </c>
    </row>
    <row r="3978" customFormat="false" ht="54" hidden="false" customHeight="true" outlineLevel="0" collapsed="false">
      <c r="A3978" s="32" t="s">
        <v>14657</v>
      </c>
      <c r="B3978" s="32" t="s">
        <v>3333</v>
      </c>
      <c r="C3978" s="33" t="s">
        <v>1407</v>
      </c>
      <c r="D3978" s="33" t="s">
        <v>50</v>
      </c>
      <c r="E3978" s="33" t="s">
        <v>84</v>
      </c>
      <c r="F3978" s="33" t="s">
        <v>183</v>
      </c>
      <c r="G3978" s="33" t="s">
        <v>9</v>
      </c>
      <c r="H3978" s="33" t="n">
        <v>10</v>
      </c>
    </row>
    <row r="3979" customFormat="false" ht="54" hidden="false" customHeight="true" outlineLevel="0" collapsed="false">
      <c r="A3979" s="32" t="s">
        <v>14658</v>
      </c>
      <c r="B3979" s="32" t="s">
        <v>3333</v>
      </c>
      <c r="C3979" s="33" t="s">
        <v>1407</v>
      </c>
      <c r="D3979" s="33" t="s">
        <v>50</v>
      </c>
      <c r="E3979" s="33" t="s">
        <v>84</v>
      </c>
      <c r="F3979" s="33" t="s">
        <v>14653</v>
      </c>
      <c r="G3979" s="33" t="s">
        <v>9</v>
      </c>
      <c r="H3979" s="33" t="n">
        <v>10</v>
      </c>
    </row>
    <row r="3980" customFormat="false" ht="54" hidden="false" customHeight="true" outlineLevel="0" collapsed="false">
      <c r="A3980" s="32" t="s">
        <v>14659</v>
      </c>
      <c r="B3980" s="32" t="s">
        <v>3333</v>
      </c>
      <c r="C3980" s="33" t="s">
        <v>1407</v>
      </c>
      <c r="D3980" s="33" t="s">
        <v>50</v>
      </c>
      <c r="E3980" s="33" t="s">
        <v>84</v>
      </c>
      <c r="F3980" s="33" t="s">
        <v>14655</v>
      </c>
      <c r="G3980" s="33" t="s">
        <v>9</v>
      </c>
      <c r="H3980" s="33" t="n">
        <v>10</v>
      </c>
    </row>
    <row r="3981" customFormat="false" ht="54" hidden="false" customHeight="true" outlineLevel="0" collapsed="false">
      <c r="A3981" s="32" t="s">
        <v>14660</v>
      </c>
      <c r="B3981" s="32" t="s">
        <v>8339</v>
      </c>
      <c r="C3981" s="33" t="s">
        <v>1407</v>
      </c>
      <c r="D3981" s="33" t="s">
        <v>50</v>
      </c>
      <c r="E3981" s="33" t="s">
        <v>80</v>
      </c>
      <c r="F3981" s="33" t="s">
        <v>183</v>
      </c>
      <c r="G3981" s="33" t="s">
        <v>9</v>
      </c>
      <c r="H3981" s="33" t="n">
        <v>10</v>
      </c>
    </row>
    <row r="3982" customFormat="false" ht="54" hidden="false" customHeight="true" outlineLevel="0" collapsed="false">
      <c r="A3982" s="32" t="s">
        <v>14661</v>
      </c>
      <c r="B3982" s="32" t="s">
        <v>8339</v>
      </c>
      <c r="C3982" s="33" t="s">
        <v>1407</v>
      </c>
      <c r="D3982" s="33" t="s">
        <v>50</v>
      </c>
      <c r="E3982" s="33" t="s">
        <v>80</v>
      </c>
      <c r="F3982" s="33" t="s">
        <v>14662</v>
      </c>
      <c r="G3982" s="33" t="s">
        <v>9</v>
      </c>
      <c r="H3982" s="33" t="n">
        <v>10</v>
      </c>
    </row>
    <row r="3983" customFormat="false" ht="54" hidden="false" customHeight="true" outlineLevel="0" collapsed="false">
      <c r="A3983" s="32" t="s">
        <v>14663</v>
      </c>
      <c r="B3983" s="32" t="s">
        <v>8339</v>
      </c>
      <c r="C3983" s="33" t="s">
        <v>1407</v>
      </c>
      <c r="D3983" s="33" t="s">
        <v>50</v>
      </c>
      <c r="E3983" s="33" t="s">
        <v>80</v>
      </c>
      <c r="F3983" s="33" t="s">
        <v>8350</v>
      </c>
      <c r="G3983" s="33" t="s">
        <v>9</v>
      </c>
      <c r="H3983" s="33" t="n">
        <v>10</v>
      </c>
    </row>
    <row r="3984" customFormat="false" ht="54" hidden="false" customHeight="true" outlineLevel="0" collapsed="false">
      <c r="A3984" s="32" t="s">
        <v>14664</v>
      </c>
      <c r="B3984" s="32" t="s">
        <v>8339</v>
      </c>
      <c r="C3984" s="33" t="s">
        <v>1407</v>
      </c>
      <c r="D3984" s="33" t="s">
        <v>50</v>
      </c>
      <c r="E3984" s="33" t="s">
        <v>82</v>
      </c>
      <c r="F3984" s="33" t="s">
        <v>8350</v>
      </c>
      <c r="G3984" s="33" t="s">
        <v>9</v>
      </c>
      <c r="H3984" s="33" t="n">
        <v>10</v>
      </c>
    </row>
    <row r="3985" customFormat="false" ht="54" hidden="false" customHeight="true" outlineLevel="0" collapsed="false">
      <c r="A3985" s="32" t="s">
        <v>14665</v>
      </c>
      <c r="B3985" s="32" t="s">
        <v>8339</v>
      </c>
      <c r="C3985" s="33" t="s">
        <v>1407</v>
      </c>
      <c r="D3985" s="33" t="s">
        <v>50</v>
      </c>
      <c r="E3985" s="33" t="s">
        <v>84</v>
      </c>
      <c r="F3985" s="33" t="s">
        <v>8345</v>
      </c>
      <c r="G3985" s="33" t="s">
        <v>9</v>
      </c>
      <c r="H3985" s="33" t="n">
        <v>10</v>
      </c>
    </row>
    <row r="3986" customFormat="false" ht="54" hidden="false" customHeight="true" outlineLevel="0" collapsed="false">
      <c r="A3986" s="32" t="s">
        <v>14666</v>
      </c>
      <c r="B3986" s="32" t="s">
        <v>8339</v>
      </c>
      <c r="C3986" s="33" t="s">
        <v>1407</v>
      </c>
      <c r="D3986" s="33" t="s">
        <v>50</v>
      </c>
      <c r="E3986" s="33" t="s">
        <v>84</v>
      </c>
      <c r="F3986" s="33" t="s">
        <v>183</v>
      </c>
      <c r="G3986" s="33" t="s">
        <v>9</v>
      </c>
      <c r="H3986" s="33" t="n">
        <v>10</v>
      </c>
    </row>
    <row r="3987" customFormat="false" ht="54" hidden="false" customHeight="true" outlineLevel="0" collapsed="false">
      <c r="A3987" s="32" t="s">
        <v>14667</v>
      </c>
      <c r="B3987" s="32" t="s">
        <v>8339</v>
      </c>
      <c r="C3987" s="33" t="s">
        <v>1407</v>
      </c>
      <c r="D3987" s="33" t="s">
        <v>50</v>
      </c>
      <c r="E3987" s="33" t="s">
        <v>84</v>
      </c>
      <c r="F3987" s="33" t="s">
        <v>14668</v>
      </c>
      <c r="G3987" s="33" t="s">
        <v>9</v>
      </c>
      <c r="H3987" s="33" t="n">
        <v>10</v>
      </c>
    </row>
    <row r="3988" customFormat="false" ht="54" hidden="false" customHeight="true" outlineLevel="0" collapsed="false">
      <c r="A3988" s="32" t="s">
        <v>14669</v>
      </c>
      <c r="B3988" s="32" t="s">
        <v>8339</v>
      </c>
      <c r="C3988" s="33" t="s">
        <v>1407</v>
      </c>
      <c r="D3988" s="33" t="s">
        <v>50</v>
      </c>
      <c r="E3988" s="33" t="s">
        <v>84</v>
      </c>
      <c r="F3988" s="33" t="s">
        <v>14662</v>
      </c>
      <c r="G3988" s="33" t="s">
        <v>9</v>
      </c>
      <c r="H3988" s="33" t="n">
        <v>10</v>
      </c>
    </row>
    <row r="3989" customFormat="false" ht="54" hidden="false" customHeight="true" outlineLevel="0" collapsed="false">
      <c r="A3989" s="32" t="s">
        <v>14670</v>
      </c>
      <c r="B3989" s="32" t="s">
        <v>8353</v>
      </c>
      <c r="C3989" s="33" t="s">
        <v>1805</v>
      </c>
      <c r="D3989" s="33" t="s">
        <v>56</v>
      </c>
      <c r="E3989" s="33" t="s">
        <v>80</v>
      </c>
      <c r="F3989" s="33" t="s">
        <v>183</v>
      </c>
      <c r="G3989" s="33" t="s">
        <v>9</v>
      </c>
      <c r="H3989" s="33" t="n">
        <v>60</v>
      </c>
    </row>
    <row r="3990" customFormat="false" ht="54" hidden="false" customHeight="true" outlineLevel="0" collapsed="false">
      <c r="A3990" s="32" t="s">
        <v>14671</v>
      </c>
      <c r="B3990" s="32" t="s">
        <v>8353</v>
      </c>
      <c r="C3990" s="33" t="s">
        <v>1805</v>
      </c>
      <c r="D3990" s="33" t="s">
        <v>56</v>
      </c>
      <c r="E3990" s="33" t="s">
        <v>80</v>
      </c>
      <c r="F3990" s="33" t="s">
        <v>14672</v>
      </c>
      <c r="G3990" s="33" t="s">
        <v>9</v>
      </c>
      <c r="H3990" s="33" t="n">
        <v>60</v>
      </c>
    </row>
    <row r="3991" customFormat="false" ht="54" hidden="false" customHeight="true" outlineLevel="0" collapsed="false">
      <c r="A3991" s="32" t="s">
        <v>14673</v>
      </c>
      <c r="B3991" s="32" t="s">
        <v>8353</v>
      </c>
      <c r="C3991" s="33" t="s">
        <v>1805</v>
      </c>
      <c r="D3991" s="33" t="s">
        <v>56</v>
      </c>
      <c r="E3991" s="33" t="s">
        <v>80</v>
      </c>
      <c r="F3991" s="33" t="s">
        <v>14674</v>
      </c>
      <c r="G3991" s="33" t="s">
        <v>9</v>
      </c>
      <c r="H3991" s="33" t="n">
        <v>60</v>
      </c>
    </row>
    <row r="3992" customFormat="false" ht="54" hidden="false" customHeight="true" outlineLevel="0" collapsed="false">
      <c r="A3992" s="32" t="s">
        <v>14675</v>
      </c>
      <c r="B3992" s="32" t="s">
        <v>8353</v>
      </c>
      <c r="C3992" s="33" t="s">
        <v>1805</v>
      </c>
      <c r="D3992" s="33" t="s">
        <v>56</v>
      </c>
      <c r="E3992" s="33" t="s">
        <v>82</v>
      </c>
      <c r="F3992" s="33" t="s">
        <v>14676</v>
      </c>
      <c r="G3992" s="33" t="s">
        <v>9</v>
      </c>
      <c r="H3992" s="33" t="n">
        <v>60</v>
      </c>
    </row>
    <row r="3993" customFormat="false" ht="54" hidden="false" customHeight="true" outlineLevel="0" collapsed="false">
      <c r="A3993" s="32" t="s">
        <v>14677</v>
      </c>
      <c r="B3993" s="32" t="s">
        <v>8353</v>
      </c>
      <c r="C3993" s="33" t="s">
        <v>1805</v>
      </c>
      <c r="D3993" s="33" t="s">
        <v>56</v>
      </c>
      <c r="E3993" s="33" t="s">
        <v>82</v>
      </c>
      <c r="F3993" s="33" t="s">
        <v>14678</v>
      </c>
      <c r="G3993" s="33" t="s">
        <v>9</v>
      </c>
      <c r="H3993" s="33" t="n">
        <v>60</v>
      </c>
    </row>
    <row r="3994" customFormat="false" ht="54" hidden="false" customHeight="true" outlineLevel="0" collapsed="false">
      <c r="A3994" s="32" t="s">
        <v>14679</v>
      </c>
      <c r="B3994" s="32" t="s">
        <v>8353</v>
      </c>
      <c r="C3994" s="33" t="s">
        <v>1805</v>
      </c>
      <c r="D3994" s="33" t="s">
        <v>56</v>
      </c>
      <c r="E3994" s="33" t="s">
        <v>83</v>
      </c>
      <c r="F3994" s="33" t="s">
        <v>14680</v>
      </c>
      <c r="G3994" s="33" t="s">
        <v>9</v>
      </c>
      <c r="H3994" s="33" t="n">
        <v>60</v>
      </c>
    </row>
    <row r="3995" customFormat="false" ht="54" hidden="false" customHeight="true" outlineLevel="0" collapsed="false">
      <c r="A3995" s="32" t="s">
        <v>14681</v>
      </c>
      <c r="B3995" s="32" t="s">
        <v>8353</v>
      </c>
      <c r="C3995" s="33" t="s">
        <v>1805</v>
      </c>
      <c r="D3995" s="33" t="s">
        <v>56</v>
      </c>
      <c r="E3995" s="33" t="s">
        <v>83</v>
      </c>
      <c r="F3995" s="33" t="s">
        <v>14682</v>
      </c>
      <c r="G3995" s="33" t="s">
        <v>9</v>
      </c>
      <c r="H3995" s="33" t="n">
        <v>60</v>
      </c>
    </row>
    <row r="3996" customFormat="false" ht="54" hidden="false" customHeight="true" outlineLevel="0" collapsed="false">
      <c r="A3996" s="32" t="s">
        <v>14683</v>
      </c>
      <c r="B3996" s="32" t="s">
        <v>8353</v>
      </c>
      <c r="C3996" s="33" t="s">
        <v>1805</v>
      </c>
      <c r="D3996" s="33" t="s">
        <v>56</v>
      </c>
      <c r="E3996" s="33" t="s">
        <v>84</v>
      </c>
      <c r="F3996" s="33" t="s">
        <v>8357</v>
      </c>
      <c r="G3996" s="33" t="s">
        <v>9</v>
      </c>
      <c r="H3996" s="33" t="n">
        <v>60</v>
      </c>
    </row>
    <row r="3997" customFormat="false" ht="54" hidden="false" customHeight="true" outlineLevel="0" collapsed="false">
      <c r="A3997" s="32" t="s">
        <v>14684</v>
      </c>
      <c r="B3997" s="32" t="s">
        <v>8353</v>
      </c>
      <c r="C3997" s="33" t="s">
        <v>1805</v>
      </c>
      <c r="D3997" s="33" t="s">
        <v>56</v>
      </c>
      <c r="E3997" s="33" t="s">
        <v>84</v>
      </c>
      <c r="F3997" s="33" t="s">
        <v>183</v>
      </c>
      <c r="G3997" s="33" t="s">
        <v>9</v>
      </c>
      <c r="H3997" s="33" t="n">
        <v>60</v>
      </c>
    </row>
    <row r="3998" customFormat="false" ht="54" hidden="false" customHeight="true" outlineLevel="0" collapsed="false">
      <c r="A3998" s="32" t="s">
        <v>14685</v>
      </c>
      <c r="B3998" s="32" t="s">
        <v>8353</v>
      </c>
      <c r="C3998" s="33" t="s">
        <v>1805</v>
      </c>
      <c r="D3998" s="33" t="s">
        <v>56</v>
      </c>
      <c r="E3998" s="33" t="s">
        <v>84</v>
      </c>
      <c r="F3998" s="33" t="s">
        <v>14672</v>
      </c>
      <c r="G3998" s="33" t="s">
        <v>9</v>
      </c>
      <c r="H3998" s="33" t="n">
        <v>60</v>
      </c>
    </row>
    <row r="3999" customFormat="false" ht="54" hidden="false" customHeight="true" outlineLevel="0" collapsed="false">
      <c r="A3999" s="32" t="s">
        <v>14686</v>
      </c>
      <c r="B3999" s="32" t="s">
        <v>8353</v>
      </c>
      <c r="C3999" s="33" t="s">
        <v>1805</v>
      </c>
      <c r="D3999" s="33" t="s">
        <v>56</v>
      </c>
      <c r="E3999" s="33" t="s">
        <v>84</v>
      </c>
      <c r="F3999" s="33" t="s">
        <v>14687</v>
      </c>
      <c r="G3999" s="33" t="s">
        <v>9</v>
      </c>
      <c r="H3999" s="33" t="n">
        <v>60</v>
      </c>
    </row>
    <row r="4000" customFormat="false" ht="54" hidden="false" customHeight="true" outlineLevel="0" collapsed="false">
      <c r="A4000" s="32" t="s">
        <v>14688</v>
      </c>
      <c r="B4000" s="32" t="s">
        <v>8353</v>
      </c>
      <c r="C4000" s="33" t="s">
        <v>1805</v>
      </c>
      <c r="D4000" s="33" t="s">
        <v>56</v>
      </c>
      <c r="E4000" s="33" t="s">
        <v>84</v>
      </c>
      <c r="F4000" s="33" t="s">
        <v>14689</v>
      </c>
      <c r="G4000" s="33" t="s">
        <v>9</v>
      </c>
      <c r="H4000" s="33" t="n">
        <v>60</v>
      </c>
    </row>
    <row r="4001" customFormat="false" ht="54" hidden="false" customHeight="true" outlineLevel="0" collapsed="false">
      <c r="A4001" s="32" t="s">
        <v>14690</v>
      </c>
      <c r="B4001" s="32" t="s">
        <v>8353</v>
      </c>
      <c r="C4001" s="33" t="s">
        <v>1805</v>
      </c>
      <c r="D4001" s="33" t="s">
        <v>56</v>
      </c>
      <c r="E4001" s="33" t="s">
        <v>84</v>
      </c>
      <c r="F4001" s="33" t="s">
        <v>14691</v>
      </c>
      <c r="G4001" s="33" t="s">
        <v>9</v>
      </c>
      <c r="H4001" s="33" t="n">
        <v>60</v>
      </c>
    </row>
    <row r="4002" customFormat="false" ht="54" hidden="false" customHeight="true" outlineLevel="0" collapsed="false">
      <c r="A4002" s="32" t="s">
        <v>14692</v>
      </c>
      <c r="B4002" s="32" t="s">
        <v>8367</v>
      </c>
      <c r="C4002" s="33" t="s">
        <v>1407</v>
      </c>
      <c r="D4002" s="33" t="s">
        <v>50</v>
      </c>
      <c r="E4002" s="33" t="s">
        <v>80</v>
      </c>
      <c r="F4002" s="33" t="s">
        <v>183</v>
      </c>
      <c r="G4002" s="33" t="s">
        <v>9</v>
      </c>
      <c r="H4002" s="33" t="n">
        <v>10</v>
      </c>
    </row>
    <row r="4003" customFormat="false" ht="54" hidden="false" customHeight="true" outlineLevel="0" collapsed="false">
      <c r="A4003" s="32" t="s">
        <v>14693</v>
      </c>
      <c r="B4003" s="32" t="s">
        <v>8367</v>
      </c>
      <c r="C4003" s="33" t="s">
        <v>1407</v>
      </c>
      <c r="D4003" s="33" t="s">
        <v>50</v>
      </c>
      <c r="E4003" s="33" t="s">
        <v>80</v>
      </c>
      <c r="F4003" s="33" t="s">
        <v>14694</v>
      </c>
      <c r="G4003" s="33" t="s">
        <v>9</v>
      </c>
      <c r="H4003" s="33" t="n">
        <v>10</v>
      </c>
    </row>
    <row r="4004" customFormat="false" ht="54" hidden="false" customHeight="true" outlineLevel="0" collapsed="false">
      <c r="A4004" s="32" t="s">
        <v>14695</v>
      </c>
      <c r="B4004" s="32" t="s">
        <v>8367</v>
      </c>
      <c r="C4004" s="33" t="s">
        <v>1407</v>
      </c>
      <c r="D4004" s="33" t="s">
        <v>50</v>
      </c>
      <c r="E4004" s="33" t="s">
        <v>84</v>
      </c>
      <c r="F4004" s="33" t="s">
        <v>8371</v>
      </c>
      <c r="G4004" s="33" t="s">
        <v>9</v>
      </c>
      <c r="H4004" s="33" t="n">
        <v>10</v>
      </c>
    </row>
    <row r="4005" customFormat="false" ht="54" hidden="false" customHeight="true" outlineLevel="0" collapsed="false">
      <c r="A4005" s="32" t="s">
        <v>14696</v>
      </c>
      <c r="B4005" s="32" t="s">
        <v>8367</v>
      </c>
      <c r="C4005" s="33" t="s">
        <v>1407</v>
      </c>
      <c r="D4005" s="33" t="s">
        <v>50</v>
      </c>
      <c r="E4005" s="33" t="s">
        <v>84</v>
      </c>
      <c r="F4005" s="33" t="s">
        <v>183</v>
      </c>
      <c r="G4005" s="33" t="s">
        <v>9</v>
      </c>
      <c r="H4005" s="33" t="n">
        <v>10</v>
      </c>
    </row>
    <row r="4006" customFormat="false" ht="54" hidden="false" customHeight="true" outlineLevel="0" collapsed="false">
      <c r="A4006" s="32" t="s">
        <v>14697</v>
      </c>
      <c r="B4006" s="32" t="s">
        <v>8367</v>
      </c>
      <c r="C4006" s="33" t="s">
        <v>1407</v>
      </c>
      <c r="D4006" s="33" t="s">
        <v>50</v>
      </c>
      <c r="E4006" s="33" t="s">
        <v>84</v>
      </c>
      <c r="F4006" s="33" t="s">
        <v>8379</v>
      </c>
      <c r="G4006" s="33" t="s">
        <v>9</v>
      </c>
      <c r="H4006" s="33" t="n">
        <v>10</v>
      </c>
    </row>
    <row r="4007" customFormat="false" ht="54" hidden="false" customHeight="true" outlineLevel="0" collapsed="false">
      <c r="A4007" s="32" t="s">
        <v>14698</v>
      </c>
      <c r="B4007" s="32" t="s">
        <v>8367</v>
      </c>
      <c r="C4007" s="33" t="s">
        <v>1407</v>
      </c>
      <c r="D4007" s="33" t="s">
        <v>50</v>
      </c>
      <c r="E4007" s="33" t="s">
        <v>84</v>
      </c>
      <c r="F4007" s="33" t="s">
        <v>14699</v>
      </c>
      <c r="G4007" s="33" t="s">
        <v>9</v>
      </c>
      <c r="H4007" s="33" t="n">
        <v>10</v>
      </c>
    </row>
    <row r="4008" customFormat="false" ht="54" hidden="false" customHeight="true" outlineLevel="0" collapsed="false">
      <c r="A4008" s="32" t="s">
        <v>14700</v>
      </c>
      <c r="B4008" s="32" t="s">
        <v>8367</v>
      </c>
      <c r="C4008" s="33" t="s">
        <v>1407</v>
      </c>
      <c r="D4008" s="33" t="s">
        <v>50</v>
      </c>
      <c r="E4008" s="33" t="s">
        <v>84</v>
      </c>
      <c r="F4008" s="33" t="s">
        <v>8375</v>
      </c>
      <c r="G4008" s="33" t="s">
        <v>9</v>
      </c>
      <c r="H4008" s="33" t="n">
        <v>10</v>
      </c>
    </row>
    <row r="4009" customFormat="false" ht="54" hidden="false" customHeight="true" outlineLevel="0" collapsed="false">
      <c r="A4009" s="32" t="s">
        <v>14701</v>
      </c>
      <c r="B4009" s="32" t="s">
        <v>8367</v>
      </c>
      <c r="C4009" s="33" t="s">
        <v>1407</v>
      </c>
      <c r="D4009" s="33" t="s">
        <v>50</v>
      </c>
      <c r="E4009" s="33" t="s">
        <v>86</v>
      </c>
      <c r="F4009" s="33" t="s">
        <v>8379</v>
      </c>
      <c r="G4009" s="33" t="s">
        <v>9</v>
      </c>
      <c r="H4009" s="33" t="n">
        <v>10</v>
      </c>
    </row>
    <row r="4010" customFormat="false" ht="54" hidden="false" customHeight="true" outlineLevel="0" collapsed="false">
      <c r="A4010" s="32" t="s">
        <v>14702</v>
      </c>
      <c r="B4010" s="32" t="s">
        <v>8381</v>
      </c>
      <c r="C4010" s="33" t="s">
        <v>1407</v>
      </c>
      <c r="D4010" s="33" t="s">
        <v>50</v>
      </c>
      <c r="E4010" s="33" t="s">
        <v>80</v>
      </c>
      <c r="F4010" s="33" t="s">
        <v>8392</v>
      </c>
      <c r="G4010" s="33" t="s">
        <v>9</v>
      </c>
      <c r="H4010" s="33" t="n">
        <v>10</v>
      </c>
    </row>
    <row r="4011" customFormat="false" ht="54" hidden="false" customHeight="true" outlineLevel="0" collapsed="false">
      <c r="A4011" s="32" t="s">
        <v>14703</v>
      </c>
      <c r="B4011" s="32" t="s">
        <v>8381</v>
      </c>
      <c r="C4011" s="33" t="s">
        <v>1407</v>
      </c>
      <c r="D4011" s="33" t="s">
        <v>50</v>
      </c>
      <c r="E4011" s="33" t="s">
        <v>80</v>
      </c>
      <c r="F4011" s="33" t="s">
        <v>183</v>
      </c>
      <c r="G4011" s="33" t="s">
        <v>9</v>
      </c>
      <c r="H4011" s="33" t="n">
        <v>10</v>
      </c>
    </row>
    <row r="4012" customFormat="false" ht="54" hidden="false" customHeight="true" outlineLevel="0" collapsed="false">
      <c r="A4012" s="32" t="s">
        <v>14704</v>
      </c>
      <c r="B4012" s="32" t="s">
        <v>8381</v>
      </c>
      <c r="C4012" s="33" t="s">
        <v>1407</v>
      </c>
      <c r="D4012" s="33" t="s">
        <v>50</v>
      </c>
      <c r="E4012" s="33" t="s">
        <v>80</v>
      </c>
      <c r="F4012" s="33" t="s">
        <v>14705</v>
      </c>
      <c r="G4012" s="33" t="s">
        <v>9</v>
      </c>
      <c r="H4012" s="33" t="n">
        <v>10</v>
      </c>
    </row>
    <row r="4013" customFormat="false" ht="54" hidden="false" customHeight="true" outlineLevel="0" collapsed="false">
      <c r="A4013" s="32" t="s">
        <v>14706</v>
      </c>
      <c r="B4013" s="32" t="s">
        <v>8381</v>
      </c>
      <c r="C4013" s="33" t="s">
        <v>1407</v>
      </c>
      <c r="D4013" s="33" t="s">
        <v>50</v>
      </c>
      <c r="E4013" s="33" t="s">
        <v>80</v>
      </c>
      <c r="F4013" s="33" t="s">
        <v>14707</v>
      </c>
      <c r="G4013" s="33" t="s">
        <v>9</v>
      </c>
      <c r="H4013" s="33" t="n">
        <v>10</v>
      </c>
    </row>
    <row r="4014" customFormat="false" ht="54" hidden="false" customHeight="true" outlineLevel="0" collapsed="false">
      <c r="A4014" s="32" t="s">
        <v>14708</v>
      </c>
      <c r="B4014" s="32" t="s">
        <v>8381</v>
      </c>
      <c r="C4014" s="33" t="s">
        <v>1407</v>
      </c>
      <c r="D4014" s="33" t="s">
        <v>50</v>
      </c>
      <c r="E4014" s="33" t="s">
        <v>81</v>
      </c>
      <c r="F4014" s="33" t="s">
        <v>8392</v>
      </c>
      <c r="G4014" s="33" t="s">
        <v>9</v>
      </c>
      <c r="H4014" s="33" t="n">
        <v>10</v>
      </c>
    </row>
    <row r="4015" customFormat="false" ht="54" hidden="false" customHeight="true" outlineLevel="0" collapsed="false">
      <c r="A4015" s="32" t="s">
        <v>14709</v>
      </c>
      <c r="B4015" s="32" t="s">
        <v>8381</v>
      </c>
      <c r="C4015" s="33" t="s">
        <v>1407</v>
      </c>
      <c r="D4015" s="33" t="s">
        <v>50</v>
      </c>
      <c r="E4015" s="33" t="s">
        <v>82</v>
      </c>
      <c r="F4015" s="33" t="s">
        <v>14629</v>
      </c>
      <c r="G4015" s="33" t="s">
        <v>9</v>
      </c>
      <c r="H4015" s="33" t="n">
        <v>10</v>
      </c>
    </row>
    <row r="4016" customFormat="false" ht="54" hidden="false" customHeight="true" outlineLevel="0" collapsed="false">
      <c r="A4016" s="32" t="s">
        <v>14710</v>
      </c>
      <c r="B4016" s="32" t="s">
        <v>8381</v>
      </c>
      <c r="C4016" s="33" t="s">
        <v>1407</v>
      </c>
      <c r="D4016" s="33" t="s">
        <v>50</v>
      </c>
      <c r="E4016" s="33" t="s">
        <v>82</v>
      </c>
      <c r="F4016" s="33" t="s">
        <v>8392</v>
      </c>
      <c r="G4016" s="33" t="s">
        <v>9</v>
      </c>
      <c r="H4016" s="33" t="n">
        <v>10</v>
      </c>
    </row>
    <row r="4017" customFormat="false" ht="54" hidden="false" customHeight="true" outlineLevel="0" collapsed="false">
      <c r="A4017" s="32" t="s">
        <v>14711</v>
      </c>
      <c r="B4017" s="32" t="s">
        <v>8381</v>
      </c>
      <c r="C4017" s="33" t="s">
        <v>1407</v>
      </c>
      <c r="D4017" s="33" t="s">
        <v>50</v>
      </c>
      <c r="E4017" s="33" t="s">
        <v>83</v>
      </c>
      <c r="F4017" s="33" t="s">
        <v>8386</v>
      </c>
      <c r="G4017" s="33" t="s">
        <v>9</v>
      </c>
      <c r="H4017" s="33" t="n">
        <v>10</v>
      </c>
    </row>
    <row r="4018" customFormat="false" ht="54" hidden="false" customHeight="true" outlineLevel="0" collapsed="false">
      <c r="A4018" s="32" t="s">
        <v>14712</v>
      </c>
      <c r="B4018" s="32" t="s">
        <v>8381</v>
      </c>
      <c r="C4018" s="33" t="s">
        <v>1407</v>
      </c>
      <c r="D4018" s="33" t="s">
        <v>50</v>
      </c>
      <c r="E4018" s="33" t="s">
        <v>84</v>
      </c>
      <c r="F4018" s="33" t="s">
        <v>8386</v>
      </c>
      <c r="G4018" s="33" t="s">
        <v>9</v>
      </c>
      <c r="H4018" s="33" t="n">
        <v>10</v>
      </c>
    </row>
    <row r="4019" customFormat="false" ht="54" hidden="false" customHeight="true" outlineLevel="0" collapsed="false">
      <c r="A4019" s="32" t="s">
        <v>14713</v>
      </c>
      <c r="B4019" s="32" t="s">
        <v>8381</v>
      </c>
      <c r="C4019" s="33" t="s">
        <v>1407</v>
      </c>
      <c r="D4019" s="33" t="s">
        <v>50</v>
      </c>
      <c r="E4019" s="33" t="s">
        <v>84</v>
      </c>
      <c r="F4019" s="33" t="s">
        <v>183</v>
      </c>
      <c r="G4019" s="33" t="s">
        <v>9</v>
      </c>
      <c r="H4019" s="33" t="n">
        <v>10</v>
      </c>
    </row>
    <row r="4020" customFormat="false" ht="54" hidden="false" customHeight="true" outlineLevel="0" collapsed="false">
      <c r="A4020" s="32" t="s">
        <v>14714</v>
      </c>
      <c r="B4020" s="32" t="s">
        <v>8381</v>
      </c>
      <c r="C4020" s="33" t="s">
        <v>1407</v>
      </c>
      <c r="D4020" s="33" t="s">
        <v>50</v>
      </c>
      <c r="E4020" s="33" t="s">
        <v>84</v>
      </c>
      <c r="F4020" s="33" t="s">
        <v>14705</v>
      </c>
      <c r="G4020" s="33" t="s">
        <v>9</v>
      </c>
      <c r="H4020" s="33" t="n">
        <v>10</v>
      </c>
    </row>
    <row r="4021" customFormat="false" ht="54" hidden="false" customHeight="true" outlineLevel="0" collapsed="false">
      <c r="A4021" s="32" t="s">
        <v>14715</v>
      </c>
      <c r="B4021" s="32" t="s">
        <v>8381</v>
      </c>
      <c r="C4021" s="33" t="s">
        <v>1407</v>
      </c>
      <c r="D4021" s="33" t="s">
        <v>50</v>
      </c>
      <c r="E4021" s="33" t="s">
        <v>84</v>
      </c>
      <c r="F4021" s="33" t="s">
        <v>14716</v>
      </c>
      <c r="G4021" s="33" t="s">
        <v>9</v>
      </c>
      <c r="H4021" s="33" t="n">
        <v>10</v>
      </c>
    </row>
    <row r="4022" customFormat="false" ht="54" hidden="false" customHeight="true" outlineLevel="0" collapsed="false">
      <c r="A4022" s="32" t="s">
        <v>14717</v>
      </c>
      <c r="B4022" s="32" t="s">
        <v>8381</v>
      </c>
      <c r="C4022" s="33" t="s">
        <v>1407</v>
      </c>
      <c r="D4022" s="33" t="s">
        <v>50</v>
      </c>
      <c r="E4022" s="33" t="s">
        <v>84</v>
      </c>
      <c r="F4022" s="33" t="s">
        <v>8389</v>
      </c>
      <c r="G4022" s="33" t="s">
        <v>9</v>
      </c>
      <c r="H4022" s="33" t="n">
        <v>10</v>
      </c>
    </row>
    <row r="4023" customFormat="false" ht="54" hidden="false" customHeight="true" outlineLevel="0" collapsed="false">
      <c r="A4023" s="32" t="s">
        <v>14718</v>
      </c>
      <c r="B4023" s="32" t="s">
        <v>8381</v>
      </c>
      <c r="C4023" s="33" t="s">
        <v>1407</v>
      </c>
      <c r="D4023" s="33" t="s">
        <v>50</v>
      </c>
      <c r="E4023" s="33" t="s">
        <v>84</v>
      </c>
      <c r="F4023" s="33" t="s">
        <v>14719</v>
      </c>
      <c r="G4023" s="33" t="s">
        <v>9</v>
      </c>
      <c r="H4023" s="33" t="n">
        <v>10</v>
      </c>
    </row>
    <row r="4024" customFormat="false" ht="54" hidden="false" customHeight="true" outlineLevel="0" collapsed="false">
      <c r="A4024" s="32" t="s">
        <v>14720</v>
      </c>
      <c r="B4024" s="32" t="s">
        <v>8396</v>
      </c>
      <c r="C4024" s="33" t="s">
        <v>1805</v>
      </c>
      <c r="D4024" s="33" t="s">
        <v>56</v>
      </c>
      <c r="E4024" s="33" t="s">
        <v>80</v>
      </c>
      <c r="F4024" s="33" t="s">
        <v>183</v>
      </c>
      <c r="G4024" s="33" t="s">
        <v>9</v>
      </c>
      <c r="H4024" s="33" t="n">
        <v>10</v>
      </c>
    </row>
    <row r="4025" customFormat="false" ht="54" hidden="false" customHeight="true" outlineLevel="0" collapsed="false">
      <c r="A4025" s="32" t="s">
        <v>14721</v>
      </c>
      <c r="B4025" s="32" t="s">
        <v>8396</v>
      </c>
      <c r="C4025" s="33" t="s">
        <v>1805</v>
      </c>
      <c r="D4025" s="33" t="s">
        <v>56</v>
      </c>
      <c r="E4025" s="33" t="s">
        <v>80</v>
      </c>
      <c r="F4025" s="33" t="s">
        <v>14722</v>
      </c>
      <c r="G4025" s="33" t="s">
        <v>9</v>
      </c>
      <c r="H4025" s="33" t="n">
        <v>10</v>
      </c>
    </row>
    <row r="4026" customFormat="false" ht="54" hidden="false" customHeight="true" outlineLevel="0" collapsed="false">
      <c r="A4026" s="32" t="s">
        <v>14723</v>
      </c>
      <c r="B4026" s="32" t="s">
        <v>8396</v>
      </c>
      <c r="C4026" s="33" t="s">
        <v>1805</v>
      </c>
      <c r="D4026" s="33" t="s">
        <v>56</v>
      </c>
      <c r="E4026" s="33" t="s">
        <v>82</v>
      </c>
      <c r="F4026" s="33" t="s">
        <v>8403</v>
      </c>
      <c r="G4026" s="33" t="s">
        <v>9</v>
      </c>
      <c r="H4026" s="33" t="n">
        <v>10</v>
      </c>
    </row>
    <row r="4027" customFormat="false" ht="54" hidden="false" customHeight="true" outlineLevel="0" collapsed="false">
      <c r="A4027" s="32" t="s">
        <v>14724</v>
      </c>
      <c r="B4027" s="32" t="s">
        <v>8396</v>
      </c>
      <c r="C4027" s="33" t="s">
        <v>1805</v>
      </c>
      <c r="D4027" s="33" t="s">
        <v>56</v>
      </c>
      <c r="E4027" s="33" t="s">
        <v>82</v>
      </c>
      <c r="F4027" s="33" t="s">
        <v>14725</v>
      </c>
      <c r="G4027" s="33" t="s">
        <v>9</v>
      </c>
      <c r="H4027" s="33" t="n">
        <v>10</v>
      </c>
    </row>
    <row r="4028" customFormat="false" ht="54" hidden="false" customHeight="true" outlineLevel="0" collapsed="false">
      <c r="A4028" s="32" t="s">
        <v>14726</v>
      </c>
      <c r="B4028" s="32" t="s">
        <v>8396</v>
      </c>
      <c r="C4028" s="33" t="s">
        <v>1805</v>
      </c>
      <c r="D4028" s="33" t="s">
        <v>56</v>
      </c>
      <c r="E4028" s="33" t="s">
        <v>84</v>
      </c>
      <c r="F4028" s="33" t="s">
        <v>183</v>
      </c>
      <c r="G4028" s="33" t="s">
        <v>9</v>
      </c>
      <c r="H4028" s="33" t="n">
        <v>10</v>
      </c>
    </row>
    <row r="4029" customFormat="false" ht="54" hidden="false" customHeight="true" outlineLevel="0" collapsed="false">
      <c r="A4029" s="32" t="s">
        <v>14727</v>
      </c>
      <c r="B4029" s="32" t="s">
        <v>8396</v>
      </c>
      <c r="C4029" s="33" t="s">
        <v>1805</v>
      </c>
      <c r="D4029" s="33" t="s">
        <v>56</v>
      </c>
      <c r="E4029" s="33" t="s">
        <v>84</v>
      </c>
      <c r="F4029" s="33" t="s">
        <v>14725</v>
      </c>
      <c r="G4029" s="33" t="s">
        <v>9</v>
      </c>
      <c r="H4029" s="33" t="n">
        <v>10</v>
      </c>
    </row>
    <row r="4030" customFormat="false" ht="54" hidden="false" customHeight="true" outlineLevel="0" collapsed="false">
      <c r="A4030" s="32" t="s">
        <v>14728</v>
      </c>
      <c r="B4030" s="32" t="s">
        <v>8396</v>
      </c>
      <c r="C4030" s="33" t="s">
        <v>1805</v>
      </c>
      <c r="D4030" s="33" t="s">
        <v>56</v>
      </c>
      <c r="E4030" s="33" t="s">
        <v>84</v>
      </c>
      <c r="F4030" s="33" t="s">
        <v>14729</v>
      </c>
      <c r="G4030" s="33" t="s">
        <v>9</v>
      </c>
      <c r="H4030" s="33" t="n">
        <v>10</v>
      </c>
    </row>
    <row r="4031" customFormat="false" ht="54" hidden="false" customHeight="true" outlineLevel="0" collapsed="false">
      <c r="A4031" s="32" t="s">
        <v>14730</v>
      </c>
      <c r="B4031" s="32" t="s">
        <v>8396</v>
      </c>
      <c r="C4031" s="33" t="s">
        <v>1805</v>
      </c>
      <c r="D4031" s="33" t="s">
        <v>56</v>
      </c>
      <c r="E4031" s="33" t="s">
        <v>84</v>
      </c>
      <c r="F4031" s="33" t="s">
        <v>14722</v>
      </c>
      <c r="G4031" s="33" t="s">
        <v>9</v>
      </c>
      <c r="H4031" s="33" t="n">
        <v>10</v>
      </c>
    </row>
    <row r="4032" customFormat="false" ht="54" hidden="false" customHeight="true" outlineLevel="0" collapsed="false">
      <c r="A4032" s="32" t="s">
        <v>14731</v>
      </c>
      <c r="B4032" s="32" t="s">
        <v>8412</v>
      </c>
      <c r="C4032" s="33" t="s">
        <v>98</v>
      </c>
      <c r="D4032" s="33" t="s">
        <v>59</v>
      </c>
      <c r="E4032" s="33" t="s">
        <v>80</v>
      </c>
      <c r="F4032" s="33" t="s">
        <v>183</v>
      </c>
      <c r="G4032" s="33" t="s">
        <v>9</v>
      </c>
      <c r="H4032" s="33" t="n">
        <v>10</v>
      </c>
    </row>
    <row r="4033" customFormat="false" ht="54" hidden="false" customHeight="true" outlineLevel="0" collapsed="false">
      <c r="A4033" s="32" t="s">
        <v>14732</v>
      </c>
      <c r="B4033" s="32" t="s">
        <v>8412</v>
      </c>
      <c r="C4033" s="33" t="s">
        <v>98</v>
      </c>
      <c r="D4033" s="33" t="s">
        <v>59</v>
      </c>
      <c r="E4033" s="33" t="s">
        <v>82</v>
      </c>
      <c r="F4033" s="33" t="s">
        <v>14733</v>
      </c>
      <c r="G4033" s="33" t="s">
        <v>9</v>
      </c>
      <c r="H4033" s="33" t="n">
        <v>10</v>
      </c>
    </row>
    <row r="4034" customFormat="false" ht="54" hidden="false" customHeight="true" outlineLevel="0" collapsed="false">
      <c r="A4034" s="32" t="s">
        <v>14734</v>
      </c>
      <c r="B4034" s="32" t="s">
        <v>8412</v>
      </c>
      <c r="C4034" s="33" t="s">
        <v>98</v>
      </c>
      <c r="D4034" s="33" t="s">
        <v>59</v>
      </c>
      <c r="E4034" s="33" t="s">
        <v>82</v>
      </c>
      <c r="F4034" s="33" t="s">
        <v>14735</v>
      </c>
      <c r="G4034" s="33" t="s">
        <v>9</v>
      </c>
      <c r="H4034" s="33" t="n">
        <v>10</v>
      </c>
    </row>
    <row r="4035" customFormat="false" ht="54" hidden="false" customHeight="true" outlineLevel="0" collapsed="false">
      <c r="A4035" s="32" t="s">
        <v>14736</v>
      </c>
      <c r="B4035" s="32" t="s">
        <v>8412</v>
      </c>
      <c r="C4035" s="33" t="s">
        <v>98</v>
      </c>
      <c r="D4035" s="33" t="s">
        <v>59</v>
      </c>
      <c r="E4035" s="33" t="s">
        <v>84</v>
      </c>
      <c r="F4035" s="33" t="s">
        <v>183</v>
      </c>
      <c r="G4035" s="33" t="s">
        <v>9</v>
      </c>
      <c r="H4035" s="33" t="n">
        <v>10</v>
      </c>
    </row>
    <row r="4036" customFormat="false" ht="54" hidden="false" customHeight="true" outlineLevel="0" collapsed="false">
      <c r="A4036" s="32" t="s">
        <v>14737</v>
      </c>
      <c r="B4036" s="32" t="s">
        <v>8419</v>
      </c>
      <c r="C4036" s="33" t="s">
        <v>1407</v>
      </c>
      <c r="D4036" s="33" t="s">
        <v>50</v>
      </c>
      <c r="E4036" s="33" t="s">
        <v>80</v>
      </c>
      <c r="F4036" s="33" t="s">
        <v>183</v>
      </c>
      <c r="G4036" s="33" t="s">
        <v>9</v>
      </c>
      <c r="H4036" s="33" t="n">
        <v>10</v>
      </c>
    </row>
    <row r="4037" customFormat="false" ht="54" hidden="false" customHeight="true" outlineLevel="0" collapsed="false">
      <c r="A4037" s="32" t="s">
        <v>14738</v>
      </c>
      <c r="B4037" s="32" t="s">
        <v>8419</v>
      </c>
      <c r="C4037" s="33" t="s">
        <v>1407</v>
      </c>
      <c r="D4037" s="33" t="s">
        <v>50</v>
      </c>
      <c r="E4037" s="33" t="s">
        <v>82</v>
      </c>
      <c r="F4037" s="33" t="s">
        <v>14739</v>
      </c>
      <c r="G4037" s="33" t="s">
        <v>9</v>
      </c>
      <c r="H4037" s="33" t="n">
        <v>10</v>
      </c>
    </row>
    <row r="4038" customFormat="false" ht="54" hidden="false" customHeight="true" outlineLevel="0" collapsed="false">
      <c r="A4038" s="32" t="s">
        <v>14740</v>
      </c>
      <c r="B4038" s="32" t="s">
        <v>8419</v>
      </c>
      <c r="C4038" s="33" t="s">
        <v>1407</v>
      </c>
      <c r="D4038" s="33" t="s">
        <v>50</v>
      </c>
      <c r="E4038" s="33" t="s">
        <v>82</v>
      </c>
      <c r="F4038" s="33" t="s">
        <v>14741</v>
      </c>
      <c r="G4038" s="33" t="s">
        <v>9</v>
      </c>
      <c r="H4038" s="33" t="n">
        <v>10</v>
      </c>
    </row>
    <row r="4039" customFormat="false" ht="54" hidden="false" customHeight="true" outlineLevel="0" collapsed="false">
      <c r="A4039" s="32" t="s">
        <v>14742</v>
      </c>
      <c r="B4039" s="32" t="s">
        <v>8419</v>
      </c>
      <c r="C4039" s="33" t="s">
        <v>1407</v>
      </c>
      <c r="D4039" s="33" t="s">
        <v>50</v>
      </c>
      <c r="E4039" s="33" t="s">
        <v>82</v>
      </c>
      <c r="F4039" s="33" t="s">
        <v>14743</v>
      </c>
      <c r="G4039" s="33" t="s">
        <v>9</v>
      </c>
      <c r="H4039" s="33" t="n">
        <v>10</v>
      </c>
    </row>
    <row r="4040" customFormat="false" ht="54" hidden="false" customHeight="true" outlineLevel="0" collapsed="false">
      <c r="A4040" s="32" t="s">
        <v>14744</v>
      </c>
      <c r="B4040" s="32" t="s">
        <v>8419</v>
      </c>
      <c r="C4040" s="33" t="s">
        <v>1407</v>
      </c>
      <c r="D4040" s="33" t="s">
        <v>50</v>
      </c>
      <c r="E4040" s="33" t="s">
        <v>82</v>
      </c>
      <c r="F4040" s="33" t="s">
        <v>14735</v>
      </c>
      <c r="G4040" s="33" t="s">
        <v>9</v>
      </c>
      <c r="H4040" s="33" t="n">
        <v>10</v>
      </c>
    </row>
    <row r="4041" customFormat="false" ht="54" hidden="false" customHeight="true" outlineLevel="0" collapsed="false">
      <c r="A4041" s="32" t="s">
        <v>14745</v>
      </c>
      <c r="B4041" s="32" t="s">
        <v>8419</v>
      </c>
      <c r="C4041" s="33" t="s">
        <v>1407</v>
      </c>
      <c r="D4041" s="33" t="s">
        <v>50</v>
      </c>
      <c r="E4041" s="33" t="s">
        <v>82</v>
      </c>
      <c r="F4041" s="33" t="s">
        <v>14746</v>
      </c>
      <c r="G4041" s="33" t="s">
        <v>9</v>
      </c>
      <c r="H4041" s="33" t="n">
        <v>10</v>
      </c>
    </row>
    <row r="4042" customFormat="false" ht="54" hidden="false" customHeight="true" outlineLevel="0" collapsed="false">
      <c r="A4042" s="32" t="s">
        <v>14747</v>
      </c>
      <c r="B4042" s="32" t="s">
        <v>8419</v>
      </c>
      <c r="C4042" s="33" t="s">
        <v>1407</v>
      </c>
      <c r="D4042" s="33" t="s">
        <v>50</v>
      </c>
      <c r="E4042" s="33" t="s">
        <v>84</v>
      </c>
      <c r="F4042" s="33" t="s">
        <v>183</v>
      </c>
      <c r="G4042" s="33" t="s">
        <v>9</v>
      </c>
      <c r="H4042" s="33" t="n">
        <v>10</v>
      </c>
    </row>
    <row r="4043" customFormat="false" ht="54" hidden="false" customHeight="true" outlineLevel="0" collapsed="false">
      <c r="A4043" s="32" t="s">
        <v>14748</v>
      </c>
      <c r="B4043" s="32" t="s">
        <v>8419</v>
      </c>
      <c r="C4043" s="33" t="s">
        <v>1407</v>
      </c>
      <c r="D4043" s="33" t="s">
        <v>50</v>
      </c>
      <c r="E4043" s="33" t="s">
        <v>84</v>
      </c>
      <c r="F4043" s="33" t="s">
        <v>14743</v>
      </c>
      <c r="G4043" s="33" t="s">
        <v>9</v>
      </c>
      <c r="H4043" s="33" t="n">
        <v>10</v>
      </c>
    </row>
    <row r="4044" customFormat="false" ht="54" hidden="false" customHeight="true" outlineLevel="0" collapsed="false">
      <c r="A4044" s="32" t="s">
        <v>14749</v>
      </c>
      <c r="B4044" s="32" t="s">
        <v>8419</v>
      </c>
      <c r="C4044" s="33" t="s">
        <v>1407</v>
      </c>
      <c r="D4044" s="33" t="s">
        <v>50</v>
      </c>
      <c r="E4044" s="33" t="s">
        <v>84</v>
      </c>
      <c r="F4044" s="33" t="s">
        <v>14750</v>
      </c>
      <c r="G4044" s="33" t="s">
        <v>9</v>
      </c>
      <c r="H4044" s="33" t="n">
        <v>10</v>
      </c>
    </row>
    <row r="4045" customFormat="false" ht="54" hidden="false" customHeight="true" outlineLevel="0" collapsed="false">
      <c r="A4045" s="32" t="s">
        <v>14751</v>
      </c>
      <c r="B4045" s="32" t="s">
        <v>8433</v>
      </c>
      <c r="C4045" s="33" t="s">
        <v>1805</v>
      </c>
      <c r="D4045" s="33" t="s">
        <v>56</v>
      </c>
      <c r="E4045" s="33" t="s">
        <v>80</v>
      </c>
      <c r="F4045" s="33" t="s">
        <v>183</v>
      </c>
      <c r="G4045" s="33" t="s">
        <v>9</v>
      </c>
      <c r="H4045" s="33" t="n">
        <v>10</v>
      </c>
    </row>
    <row r="4046" customFormat="false" ht="54" hidden="false" customHeight="true" outlineLevel="0" collapsed="false">
      <c r="A4046" s="32" t="s">
        <v>14752</v>
      </c>
      <c r="B4046" s="32" t="s">
        <v>8433</v>
      </c>
      <c r="C4046" s="33" t="s">
        <v>1805</v>
      </c>
      <c r="D4046" s="33" t="s">
        <v>56</v>
      </c>
      <c r="E4046" s="33" t="s">
        <v>80</v>
      </c>
      <c r="F4046" s="33" t="s">
        <v>8444</v>
      </c>
      <c r="G4046" s="33" t="s">
        <v>9</v>
      </c>
      <c r="H4046" s="33" t="n">
        <v>10</v>
      </c>
    </row>
    <row r="4047" customFormat="false" ht="54" hidden="false" customHeight="true" outlineLevel="0" collapsed="false">
      <c r="A4047" s="32" t="s">
        <v>14753</v>
      </c>
      <c r="B4047" s="32" t="s">
        <v>8433</v>
      </c>
      <c r="C4047" s="33" t="s">
        <v>1805</v>
      </c>
      <c r="D4047" s="33" t="s">
        <v>56</v>
      </c>
      <c r="E4047" s="33" t="s">
        <v>84</v>
      </c>
      <c r="F4047" s="33" t="s">
        <v>8437</v>
      </c>
      <c r="G4047" s="33" t="s">
        <v>9</v>
      </c>
      <c r="H4047" s="33" t="n">
        <v>10</v>
      </c>
    </row>
    <row r="4048" customFormat="false" ht="54" hidden="false" customHeight="true" outlineLevel="0" collapsed="false">
      <c r="A4048" s="32" t="s">
        <v>14754</v>
      </c>
      <c r="B4048" s="32" t="s">
        <v>8433</v>
      </c>
      <c r="C4048" s="33" t="s">
        <v>1805</v>
      </c>
      <c r="D4048" s="33" t="s">
        <v>56</v>
      </c>
      <c r="E4048" s="33" t="s">
        <v>84</v>
      </c>
      <c r="F4048" s="33" t="s">
        <v>183</v>
      </c>
      <c r="G4048" s="33" t="s">
        <v>9</v>
      </c>
      <c r="H4048" s="33" t="n">
        <v>10</v>
      </c>
    </row>
    <row r="4049" customFormat="false" ht="54" hidden="false" customHeight="true" outlineLevel="0" collapsed="false">
      <c r="A4049" s="32" t="s">
        <v>14755</v>
      </c>
      <c r="B4049" s="32" t="s">
        <v>8433</v>
      </c>
      <c r="C4049" s="33" t="s">
        <v>1805</v>
      </c>
      <c r="D4049" s="33" t="s">
        <v>56</v>
      </c>
      <c r="E4049" s="33" t="s">
        <v>84</v>
      </c>
      <c r="F4049" s="33" t="s">
        <v>8444</v>
      </c>
      <c r="G4049" s="33" t="s">
        <v>9</v>
      </c>
      <c r="H4049" s="33" t="n">
        <v>10</v>
      </c>
    </row>
    <row r="4050" customFormat="false" ht="54" hidden="false" customHeight="true" outlineLevel="0" collapsed="false">
      <c r="A4050" s="32" t="s">
        <v>14756</v>
      </c>
      <c r="B4050" s="32" t="s">
        <v>8433</v>
      </c>
      <c r="C4050" s="33" t="s">
        <v>1805</v>
      </c>
      <c r="D4050" s="33" t="s">
        <v>56</v>
      </c>
      <c r="E4050" s="33" t="s">
        <v>84</v>
      </c>
      <c r="F4050" s="33" t="s">
        <v>14757</v>
      </c>
      <c r="G4050" s="33" t="s">
        <v>9</v>
      </c>
      <c r="H4050" s="33" t="n">
        <v>10</v>
      </c>
    </row>
    <row r="4051" customFormat="false" ht="54" hidden="false" customHeight="true" outlineLevel="0" collapsed="false">
      <c r="A4051" s="32" t="s">
        <v>14758</v>
      </c>
      <c r="B4051" s="32" t="s">
        <v>8433</v>
      </c>
      <c r="C4051" s="33" t="s">
        <v>1805</v>
      </c>
      <c r="D4051" s="33" t="s">
        <v>56</v>
      </c>
      <c r="E4051" s="33" t="s">
        <v>84</v>
      </c>
      <c r="F4051" s="33" t="s">
        <v>14759</v>
      </c>
      <c r="G4051" s="33" t="s">
        <v>9</v>
      </c>
      <c r="H4051" s="33" t="n">
        <v>10</v>
      </c>
    </row>
    <row r="4052" customFormat="false" ht="54" hidden="false" customHeight="true" outlineLevel="0" collapsed="false">
      <c r="A4052" s="32" t="s">
        <v>14760</v>
      </c>
      <c r="B4052" s="32" t="s">
        <v>8433</v>
      </c>
      <c r="C4052" s="33" t="s">
        <v>1805</v>
      </c>
      <c r="D4052" s="33" t="s">
        <v>56</v>
      </c>
      <c r="E4052" s="33" t="s">
        <v>84</v>
      </c>
      <c r="F4052" s="33" t="s">
        <v>8440</v>
      </c>
      <c r="G4052" s="33" t="s">
        <v>9</v>
      </c>
      <c r="H4052" s="33" t="n">
        <v>10</v>
      </c>
    </row>
    <row r="4053" customFormat="false" ht="54" hidden="false" customHeight="true" outlineLevel="0" collapsed="false">
      <c r="A4053" s="32" t="s">
        <v>14761</v>
      </c>
      <c r="B4053" s="32" t="s">
        <v>8433</v>
      </c>
      <c r="C4053" s="33" t="s">
        <v>1805</v>
      </c>
      <c r="D4053" s="33" t="s">
        <v>56</v>
      </c>
      <c r="E4053" s="33" t="s">
        <v>86</v>
      </c>
      <c r="F4053" s="33" t="s">
        <v>8444</v>
      </c>
      <c r="G4053" s="33" t="s">
        <v>9</v>
      </c>
      <c r="H4053" s="33" t="n">
        <v>10</v>
      </c>
    </row>
    <row r="4054" customFormat="false" ht="54" hidden="false" customHeight="true" outlineLevel="0" collapsed="false">
      <c r="A4054" s="32" t="s">
        <v>14762</v>
      </c>
      <c r="B4054" s="32" t="s">
        <v>8446</v>
      </c>
      <c r="C4054" s="33" t="s">
        <v>1407</v>
      </c>
      <c r="D4054" s="33" t="s">
        <v>50</v>
      </c>
      <c r="E4054" s="33" t="s">
        <v>80</v>
      </c>
      <c r="F4054" s="33" t="s">
        <v>183</v>
      </c>
      <c r="G4054" s="33" t="s">
        <v>12</v>
      </c>
      <c r="H4054" s="33" t="n">
        <v>10</v>
      </c>
    </row>
    <row r="4055" customFormat="false" ht="54" hidden="false" customHeight="true" outlineLevel="0" collapsed="false">
      <c r="A4055" s="32" t="s">
        <v>14763</v>
      </c>
      <c r="B4055" s="32" t="s">
        <v>8446</v>
      </c>
      <c r="C4055" s="33" t="s">
        <v>1407</v>
      </c>
      <c r="D4055" s="33" t="s">
        <v>50</v>
      </c>
      <c r="E4055" s="33" t="s">
        <v>82</v>
      </c>
      <c r="F4055" s="33" t="s">
        <v>8453</v>
      </c>
      <c r="G4055" s="33" t="s">
        <v>12</v>
      </c>
      <c r="H4055" s="33" t="n">
        <v>10</v>
      </c>
    </row>
    <row r="4056" customFormat="false" ht="54" hidden="false" customHeight="true" outlineLevel="0" collapsed="false">
      <c r="A4056" s="32" t="s">
        <v>14764</v>
      </c>
      <c r="B4056" s="32" t="s">
        <v>8446</v>
      </c>
      <c r="C4056" s="33" t="s">
        <v>1407</v>
      </c>
      <c r="D4056" s="33" t="s">
        <v>50</v>
      </c>
      <c r="E4056" s="33" t="s">
        <v>84</v>
      </c>
      <c r="F4056" s="33" t="s">
        <v>183</v>
      </c>
      <c r="G4056" s="33" t="s">
        <v>12</v>
      </c>
      <c r="H4056" s="33" t="n">
        <v>10</v>
      </c>
    </row>
    <row r="4057" customFormat="false" ht="54" hidden="false" customHeight="true" outlineLevel="0" collapsed="false">
      <c r="A4057" s="32" t="s">
        <v>14765</v>
      </c>
      <c r="B4057" s="32" t="s">
        <v>8458</v>
      </c>
      <c r="C4057" s="33" t="s">
        <v>1407</v>
      </c>
      <c r="D4057" s="33" t="s">
        <v>50</v>
      </c>
      <c r="E4057" s="33" t="s">
        <v>80</v>
      </c>
      <c r="F4057" s="33" t="s">
        <v>183</v>
      </c>
      <c r="G4057" s="33" t="s">
        <v>12</v>
      </c>
      <c r="H4057" s="33" t="n">
        <v>10</v>
      </c>
    </row>
    <row r="4058" customFormat="false" ht="54" hidden="false" customHeight="true" outlineLevel="0" collapsed="false">
      <c r="A4058" s="32" t="s">
        <v>14766</v>
      </c>
      <c r="B4058" s="32" t="s">
        <v>8458</v>
      </c>
      <c r="C4058" s="33" t="s">
        <v>1407</v>
      </c>
      <c r="D4058" s="33" t="s">
        <v>50</v>
      </c>
      <c r="E4058" s="33" t="s">
        <v>80</v>
      </c>
      <c r="F4058" s="33" t="s">
        <v>8470</v>
      </c>
      <c r="G4058" s="33" t="s">
        <v>12</v>
      </c>
      <c r="H4058" s="33" t="n">
        <v>10</v>
      </c>
    </row>
    <row r="4059" customFormat="false" ht="54" hidden="false" customHeight="true" outlineLevel="0" collapsed="false">
      <c r="A4059" s="32" t="s">
        <v>14767</v>
      </c>
      <c r="B4059" s="32" t="s">
        <v>8458</v>
      </c>
      <c r="C4059" s="33" t="s">
        <v>1407</v>
      </c>
      <c r="D4059" s="33" t="s">
        <v>50</v>
      </c>
      <c r="E4059" s="33" t="s">
        <v>81</v>
      </c>
      <c r="F4059" s="33" t="s">
        <v>8470</v>
      </c>
      <c r="G4059" s="33" t="s">
        <v>12</v>
      </c>
      <c r="H4059" s="33" t="n">
        <v>10</v>
      </c>
    </row>
    <row r="4060" customFormat="false" ht="54" hidden="false" customHeight="true" outlineLevel="0" collapsed="false">
      <c r="A4060" s="32" t="s">
        <v>14768</v>
      </c>
      <c r="B4060" s="32" t="s">
        <v>8458</v>
      </c>
      <c r="C4060" s="33" t="s">
        <v>1407</v>
      </c>
      <c r="D4060" s="33" t="s">
        <v>50</v>
      </c>
      <c r="E4060" s="33" t="s">
        <v>84</v>
      </c>
      <c r="F4060" s="33" t="s">
        <v>183</v>
      </c>
      <c r="G4060" s="33" t="s">
        <v>12</v>
      </c>
      <c r="H4060" s="33" t="n">
        <v>10</v>
      </c>
    </row>
    <row r="4061" customFormat="false" ht="54" hidden="false" customHeight="true" outlineLevel="0" collapsed="false">
      <c r="A4061" s="32" t="s">
        <v>14769</v>
      </c>
      <c r="B4061" s="32" t="s">
        <v>8473</v>
      </c>
      <c r="C4061" s="33" t="s">
        <v>1407</v>
      </c>
      <c r="D4061" s="33" t="s">
        <v>50</v>
      </c>
      <c r="E4061" s="33" t="s">
        <v>80</v>
      </c>
      <c r="F4061" s="33" t="s">
        <v>183</v>
      </c>
      <c r="G4061" s="33" t="s">
        <v>12</v>
      </c>
      <c r="H4061" s="33" t="n">
        <v>10</v>
      </c>
    </row>
    <row r="4062" customFormat="false" ht="54" hidden="false" customHeight="true" outlineLevel="0" collapsed="false">
      <c r="A4062" s="32" t="s">
        <v>14770</v>
      </c>
      <c r="B4062" s="32" t="s">
        <v>8473</v>
      </c>
      <c r="C4062" s="33" t="s">
        <v>1407</v>
      </c>
      <c r="D4062" s="33" t="s">
        <v>50</v>
      </c>
      <c r="E4062" s="33" t="s">
        <v>84</v>
      </c>
      <c r="F4062" s="33" t="s">
        <v>8479</v>
      </c>
      <c r="G4062" s="33" t="s">
        <v>12</v>
      </c>
      <c r="H4062" s="33" t="n">
        <v>10</v>
      </c>
    </row>
    <row r="4063" customFormat="false" ht="54" hidden="false" customHeight="true" outlineLevel="0" collapsed="false">
      <c r="A4063" s="32" t="s">
        <v>14771</v>
      </c>
      <c r="B4063" s="32" t="s">
        <v>8473</v>
      </c>
      <c r="C4063" s="33" t="s">
        <v>1407</v>
      </c>
      <c r="D4063" s="33" t="s">
        <v>50</v>
      </c>
      <c r="E4063" s="33" t="s">
        <v>84</v>
      </c>
      <c r="F4063" s="33" t="s">
        <v>183</v>
      </c>
      <c r="G4063" s="33" t="s">
        <v>12</v>
      </c>
      <c r="H4063" s="33" t="n">
        <v>10</v>
      </c>
    </row>
    <row r="4064" customFormat="false" ht="54" hidden="false" customHeight="true" outlineLevel="0" collapsed="false">
      <c r="A4064" s="32" t="s">
        <v>14772</v>
      </c>
      <c r="B4064" s="32" t="s">
        <v>8473</v>
      </c>
      <c r="C4064" s="33" t="s">
        <v>1407</v>
      </c>
      <c r="D4064" s="33" t="s">
        <v>50</v>
      </c>
      <c r="E4064" s="33" t="s">
        <v>84</v>
      </c>
      <c r="F4064" s="33" t="s">
        <v>14773</v>
      </c>
      <c r="G4064" s="33" t="s">
        <v>12</v>
      </c>
      <c r="H4064" s="33" t="n">
        <v>10</v>
      </c>
    </row>
    <row r="4065" customFormat="false" ht="54" hidden="false" customHeight="true" outlineLevel="0" collapsed="false">
      <c r="A4065" s="32" t="s">
        <v>14774</v>
      </c>
      <c r="B4065" s="32" t="s">
        <v>8473</v>
      </c>
      <c r="C4065" s="33" t="s">
        <v>1407</v>
      </c>
      <c r="D4065" s="33" t="s">
        <v>50</v>
      </c>
      <c r="E4065" s="33" t="s">
        <v>84</v>
      </c>
      <c r="F4065" s="33" t="s">
        <v>14775</v>
      </c>
      <c r="G4065" s="33" t="s">
        <v>12</v>
      </c>
      <c r="H4065" s="33" t="n">
        <v>10</v>
      </c>
    </row>
    <row r="4066" customFormat="false" ht="54" hidden="false" customHeight="true" outlineLevel="0" collapsed="false">
      <c r="A4066" s="32" t="s">
        <v>14776</v>
      </c>
      <c r="B4066" s="32" t="s">
        <v>8486</v>
      </c>
      <c r="C4066" s="33" t="s">
        <v>1407</v>
      </c>
      <c r="D4066" s="33" t="s">
        <v>50</v>
      </c>
      <c r="E4066" s="33" t="s">
        <v>84</v>
      </c>
      <c r="F4066" s="33" t="s">
        <v>8495</v>
      </c>
      <c r="G4066" s="33" t="s">
        <v>9</v>
      </c>
      <c r="H4066" s="33" t="n">
        <v>60</v>
      </c>
    </row>
    <row r="4067" customFormat="false" ht="54" hidden="false" customHeight="true" outlineLevel="0" collapsed="false">
      <c r="A4067" s="32" t="s">
        <v>14777</v>
      </c>
      <c r="B4067" s="32" t="s">
        <v>8486</v>
      </c>
      <c r="C4067" s="33" t="s">
        <v>1407</v>
      </c>
      <c r="D4067" s="33" t="s">
        <v>50</v>
      </c>
      <c r="E4067" s="33" t="s">
        <v>84</v>
      </c>
      <c r="F4067" s="33" t="s">
        <v>14778</v>
      </c>
      <c r="G4067" s="33" t="s">
        <v>9</v>
      </c>
      <c r="H4067" s="33" t="n">
        <v>60</v>
      </c>
    </row>
    <row r="4068" customFormat="false" ht="54" hidden="false" customHeight="true" outlineLevel="0" collapsed="false">
      <c r="A4068" s="32" t="s">
        <v>14779</v>
      </c>
      <c r="B4068" s="32" t="s">
        <v>8486</v>
      </c>
      <c r="C4068" s="33" t="s">
        <v>1407</v>
      </c>
      <c r="D4068" s="33" t="s">
        <v>50</v>
      </c>
      <c r="E4068" s="33" t="s">
        <v>84</v>
      </c>
      <c r="F4068" s="33" t="s">
        <v>14780</v>
      </c>
      <c r="G4068" s="33" t="s">
        <v>9</v>
      </c>
      <c r="H4068" s="33" t="n">
        <v>60</v>
      </c>
    </row>
    <row r="4069" customFormat="false" ht="54" hidden="false" customHeight="true" outlineLevel="0" collapsed="false">
      <c r="A4069" s="32" t="s">
        <v>14781</v>
      </c>
      <c r="B4069" s="32" t="s">
        <v>8486</v>
      </c>
      <c r="C4069" s="33" t="s">
        <v>1407</v>
      </c>
      <c r="D4069" s="33" t="s">
        <v>50</v>
      </c>
      <c r="E4069" s="33" t="s">
        <v>84</v>
      </c>
      <c r="F4069" s="33" t="s">
        <v>14782</v>
      </c>
      <c r="G4069" s="33" t="s">
        <v>9</v>
      </c>
      <c r="H4069" s="33" t="n">
        <v>60</v>
      </c>
    </row>
    <row r="4070" customFormat="false" ht="54" hidden="false" customHeight="true" outlineLevel="0" collapsed="false">
      <c r="A4070" s="32" t="s">
        <v>14783</v>
      </c>
      <c r="B4070" s="32" t="s">
        <v>8486</v>
      </c>
      <c r="C4070" s="33" t="s">
        <v>1407</v>
      </c>
      <c r="D4070" s="33" t="s">
        <v>50</v>
      </c>
      <c r="E4070" s="33" t="s">
        <v>84</v>
      </c>
      <c r="F4070" s="33" t="s">
        <v>8497</v>
      </c>
      <c r="G4070" s="33" t="s">
        <v>9</v>
      </c>
      <c r="H4070" s="33" t="n">
        <v>60</v>
      </c>
    </row>
    <row r="4071" customFormat="false" ht="54" hidden="false" customHeight="true" outlineLevel="0" collapsed="false">
      <c r="A4071" s="32" t="s">
        <v>14784</v>
      </c>
      <c r="B4071" s="32" t="s">
        <v>8486</v>
      </c>
      <c r="C4071" s="33" t="s">
        <v>1407</v>
      </c>
      <c r="D4071" s="33" t="s">
        <v>50</v>
      </c>
      <c r="E4071" s="33" t="s">
        <v>85</v>
      </c>
      <c r="F4071" s="33" t="s">
        <v>8493</v>
      </c>
      <c r="G4071" s="33" t="s">
        <v>9</v>
      </c>
      <c r="H4071" s="33" t="n">
        <v>60</v>
      </c>
    </row>
    <row r="4072" customFormat="false" ht="54" hidden="false" customHeight="true" outlineLevel="0" collapsed="false">
      <c r="A4072" s="32" t="s">
        <v>14785</v>
      </c>
      <c r="B4072" s="32" t="s">
        <v>8504</v>
      </c>
      <c r="C4072" s="33" t="s">
        <v>6636</v>
      </c>
      <c r="D4072" s="33" t="s">
        <v>52</v>
      </c>
      <c r="E4072" s="33" t="s">
        <v>80</v>
      </c>
      <c r="F4072" s="33" t="s">
        <v>8514</v>
      </c>
      <c r="G4072" s="33" t="s">
        <v>9</v>
      </c>
      <c r="H4072" s="33" t="n">
        <v>60</v>
      </c>
    </row>
    <row r="4073" customFormat="false" ht="54" hidden="false" customHeight="true" outlineLevel="0" collapsed="false">
      <c r="A4073" s="32" t="s">
        <v>14786</v>
      </c>
      <c r="B4073" s="32" t="s">
        <v>8504</v>
      </c>
      <c r="C4073" s="33" t="s">
        <v>6636</v>
      </c>
      <c r="D4073" s="33" t="s">
        <v>52</v>
      </c>
      <c r="E4073" s="33" t="s">
        <v>83</v>
      </c>
      <c r="F4073" s="33" t="s">
        <v>8515</v>
      </c>
      <c r="G4073" s="33" t="s">
        <v>9</v>
      </c>
      <c r="H4073" s="33" t="n">
        <v>60</v>
      </c>
    </row>
    <row r="4074" customFormat="false" ht="54" hidden="false" customHeight="true" outlineLevel="0" collapsed="false">
      <c r="A4074" s="32" t="s">
        <v>14787</v>
      </c>
      <c r="B4074" s="32" t="s">
        <v>8533</v>
      </c>
      <c r="C4074" s="33" t="s">
        <v>1407</v>
      </c>
      <c r="D4074" s="33" t="s">
        <v>50</v>
      </c>
      <c r="E4074" s="33" t="s">
        <v>80</v>
      </c>
      <c r="F4074" s="33" t="s">
        <v>14788</v>
      </c>
      <c r="G4074" s="33" t="s">
        <v>9</v>
      </c>
      <c r="H4074" s="33" t="n">
        <v>60</v>
      </c>
    </row>
    <row r="4075" customFormat="false" ht="54" hidden="false" customHeight="true" outlineLevel="0" collapsed="false">
      <c r="A4075" s="32" t="s">
        <v>14789</v>
      </c>
      <c r="B4075" s="32" t="s">
        <v>8533</v>
      </c>
      <c r="C4075" s="33" t="s">
        <v>1407</v>
      </c>
      <c r="D4075" s="33" t="s">
        <v>50</v>
      </c>
      <c r="E4075" s="33" t="s">
        <v>80</v>
      </c>
      <c r="F4075" s="33" t="s">
        <v>14790</v>
      </c>
      <c r="G4075" s="33" t="s">
        <v>9</v>
      </c>
      <c r="H4075" s="33" t="n">
        <v>60</v>
      </c>
    </row>
    <row r="4076" customFormat="false" ht="54" hidden="false" customHeight="true" outlineLevel="0" collapsed="false">
      <c r="A4076" s="32" t="s">
        <v>14791</v>
      </c>
      <c r="B4076" s="32" t="s">
        <v>8533</v>
      </c>
      <c r="C4076" s="33" t="s">
        <v>1407</v>
      </c>
      <c r="D4076" s="33" t="s">
        <v>50</v>
      </c>
      <c r="E4076" s="33" t="s">
        <v>80</v>
      </c>
      <c r="F4076" s="33" t="s">
        <v>8543</v>
      </c>
      <c r="G4076" s="33" t="s">
        <v>9</v>
      </c>
      <c r="H4076" s="33" t="n">
        <v>60</v>
      </c>
    </row>
    <row r="4077" customFormat="false" ht="54" hidden="false" customHeight="true" outlineLevel="0" collapsed="false">
      <c r="A4077" s="32" t="s">
        <v>14792</v>
      </c>
      <c r="B4077" s="32" t="s">
        <v>8533</v>
      </c>
      <c r="C4077" s="33" t="s">
        <v>1407</v>
      </c>
      <c r="D4077" s="33" t="s">
        <v>50</v>
      </c>
      <c r="E4077" s="33" t="s">
        <v>83</v>
      </c>
      <c r="F4077" s="33" t="s">
        <v>14793</v>
      </c>
      <c r="G4077" s="33" t="s">
        <v>9</v>
      </c>
      <c r="H4077" s="33" t="n">
        <v>60</v>
      </c>
    </row>
    <row r="4078" customFormat="false" ht="54" hidden="false" customHeight="true" outlineLevel="0" collapsed="false">
      <c r="A4078" s="32" t="s">
        <v>14794</v>
      </c>
      <c r="B4078" s="32" t="s">
        <v>8533</v>
      </c>
      <c r="C4078" s="33" t="s">
        <v>1407</v>
      </c>
      <c r="D4078" s="33" t="s">
        <v>50</v>
      </c>
      <c r="E4078" s="33" t="s">
        <v>83</v>
      </c>
      <c r="F4078" s="33" t="s">
        <v>14788</v>
      </c>
      <c r="G4078" s="33" t="s">
        <v>9</v>
      </c>
      <c r="H4078" s="33" t="n">
        <v>60</v>
      </c>
    </row>
    <row r="4079" customFormat="false" ht="54" hidden="false" customHeight="true" outlineLevel="0" collapsed="false">
      <c r="A4079" s="32" t="s">
        <v>14795</v>
      </c>
      <c r="B4079" s="32" t="s">
        <v>8533</v>
      </c>
      <c r="C4079" s="33" t="s">
        <v>1407</v>
      </c>
      <c r="D4079" s="33" t="s">
        <v>50</v>
      </c>
      <c r="E4079" s="33" t="s">
        <v>84</v>
      </c>
      <c r="F4079" s="33" t="s">
        <v>14790</v>
      </c>
      <c r="G4079" s="33" t="s">
        <v>9</v>
      </c>
      <c r="H4079" s="33" t="n">
        <v>60</v>
      </c>
    </row>
    <row r="4080" customFormat="false" ht="54" hidden="false" customHeight="true" outlineLevel="0" collapsed="false">
      <c r="A4080" s="32" t="s">
        <v>14796</v>
      </c>
      <c r="B4080" s="32" t="s">
        <v>8533</v>
      </c>
      <c r="C4080" s="33" t="s">
        <v>1407</v>
      </c>
      <c r="D4080" s="33" t="s">
        <v>50</v>
      </c>
      <c r="E4080" s="33" t="s">
        <v>84</v>
      </c>
      <c r="F4080" s="33" t="s">
        <v>8543</v>
      </c>
      <c r="G4080" s="33" t="s">
        <v>9</v>
      </c>
      <c r="H4080" s="33" t="n">
        <v>60</v>
      </c>
    </row>
    <row r="4081" customFormat="false" ht="54" hidden="false" customHeight="true" outlineLevel="0" collapsed="false">
      <c r="A4081" s="32" t="s">
        <v>14797</v>
      </c>
      <c r="B4081" s="32" t="s">
        <v>8550</v>
      </c>
      <c r="C4081" s="33" t="s">
        <v>57</v>
      </c>
      <c r="D4081" s="33" t="s">
        <v>57</v>
      </c>
      <c r="E4081" s="33" t="s">
        <v>84</v>
      </c>
      <c r="F4081" s="33" t="s">
        <v>8554</v>
      </c>
      <c r="G4081" s="33" t="s">
        <v>9</v>
      </c>
      <c r="H4081" s="33" t="n">
        <v>60</v>
      </c>
    </row>
    <row r="4082" customFormat="false" ht="54" hidden="false" customHeight="true" outlineLevel="0" collapsed="false">
      <c r="A4082" s="32" t="s">
        <v>14798</v>
      </c>
      <c r="B4082" s="32" t="s">
        <v>8550</v>
      </c>
      <c r="C4082" s="33" t="s">
        <v>57</v>
      </c>
      <c r="D4082" s="33" t="s">
        <v>57</v>
      </c>
      <c r="E4082" s="33" t="s">
        <v>84</v>
      </c>
      <c r="F4082" s="33" t="s">
        <v>8556</v>
      </c>
      <c r="G4082" s="33" t="s">
        <v>9</v>
      </c>
      <c r="H4082" s="33" t="n">
        <v>60</v>
      </c>
    </row>
    <row r="4083" customFormat="false" ht="54" hidden="false" customHeight="true" outlineLevel="0" collapsed="false">
      <c r="A4083" s="32" t="s">
        <v>14799</v>
      </c>
      <c r="B4083" s="32" t="s">
        <v>8550</v>
      </c>
      <c r="C4083" s="33" t="s">
        <v>57</v>
      </c>
      <c r="D4083" s="33" t="s">
        <v>57</v>
      </c>
      <c r="E4083" s="33" t="s">
        <v>84</v>
      </c>
      <c r="F4083" s="33" t="s">
        <v>14800</v>
      </c>
      <c r="G4083" s="33" t="s">
        <v>9</v>
      </c>
      <c r="H4083" s="33" t="n">
        <v>60</v>
      </c>
    </row>
    <row r="4084" customFormat="false" ht="54" hidden="false" customHeight="true" outlineLevel="0" collapsed="false">
      <c r="A4084" s="32" t="s">
        <v>14801</v>
      </c>
      <c r="B4084" s="32" t="s">
        <v>8550</v>
      </c>
      <c r="C4084" s="33" t="s">
        <v>57</v>
      </c>
      <c r="D4084" s="33" t="s">
        <v>57</v>
      </c>
      <c r="E4084" s="33" t="s">
        <v>84</v>
      </c>
      <c r="F4084" s="33" t="s">
        <v>14802</v>
      </c>
      <c r="G4084" s="33" t="s">
        <v>9</v>
      </c>
      <c r="H4084" s="33" t="n">
        <v>60</v>
      </c>
    </row>
    <row r="4085" customFormat="false" ht="54" hidden="false" customHeight="true" outlineLevel="0" collapsed="false">
      <c r="A4085" s="32" t="s">
        <v>14803</v>
      </c>
      <c r="B4085" s="32" t="s">
        <v>8564</v>
      </c>
      <c r="C4085" s="33" t="s">
        <v>57</v>
      </c>
      <c r="D4085" s="33" t="s">
        <v>57</v>
      </c>
      <c r="E4085" s="33" t="s">
        <v>83</v>
      </c>
      <c r="F4085" s="33" t="s">
        <v>8572</v>
      </c>
      <c r="G4085" s="33" t="s">
        <v>9</v>
      </c>
      <c r="H4085" s="33" t="n">
        <v>60</v>
      </c>
    </row>
    <row r="4086" customFormat="false" ht="54" hidden="false" customHeight="true" outlineLevel="0" collapsed="false">
      <c r="A4086" s="32" t="s">
        <v>14804</v>
      </c>
      <c r="B4086" s="32" t="s">
        <v>8577</v>
      </c>
      <c r="C4086" s="33" t="s">
        <v>1714</v>
      </c>
      <c r="D4086" s="33" t="s">
        <v>54</v>
      </c>
      <c r="E4086" s="33" t="s">
        <v>83</v>
      </c>
      <c r="F4086" s="33" t="s">
        <v>8586</v>
      </c>
      <c r="G4086" s="33" t="s">
        <v>9</v>
      </c>
      <c r="H4086" s="33" t="n">
        <v>60</v>
      </c>
    </row>
    <row r="4087" customFormat="false" ht="54" hidden="false" customHeight="true" outlineLevel="0" collapsed="false">
      <c r="A4087" s="32" t="s">
        <v>14805</v>
      </c>
      <c r="B4087" s="32" t="s">
        <v>8577</v>
      </c>
      <c r="C4087" s="33" t="s">
        <v>1714</v>
      </c>
      <c r="D4087" s="33" t="s">
        <v>54</v>
      </c>
      <c r="E4087" s="33" t="s">
        <v>84</v>
      </c>
      <c r="F4087" s="33" t="s">
        <v>8582</v>
      </c>
      <c r="G4087" s="33" t="s">
        <v>9</v>
      </c>
      <c r="H4087" s="33" t="n">
        <v>60</v>
      </c>
    </row>
    <row r="4088" customFormat="false" ht="54" hidden="false" customHeight="true" outlineLevel="0" collapsed="false">
      <c r="A4088" s="32" t="s">
        <v>14806</v>
      </c>
      <c r="B4088" s="32" t="s">
        <v>8577</v>
      </c>
      <c r="C4088" s="33" t="s">
        <v>1714</v>
      </c>
      <c r="D4088" s="33" t="s">
        <v>54</v>
      </c>
      <c r="E4088" s="33" t="s">
        <v>84</v>
      </c>
      <c r="F4088" s="33" t="s">
        <v>14807</v>
      </c>
      <c r="G4088" s="33" t="s">
        <v>9</v>
      </c>
      <c r="H4088" s="33" t="n">
        <v>60</v>
      </c>
    </row>
    <row r="4089" customFormat="false" ht="54" hidden="false" customHeight="true" outlineLevel="0" collapsed="false">
      <c r="A4089" s="32" t="s">
        <v>14808</v>
      </c>
      <c r="B4089" s="32" t="s">
        <v>8577</v>
      </c>
      <c r="C4089" s="33" t="s">
        <v>1714</v>
      </c>
      <c r="D4089" s="33" t="s">
        <v>54</v>
      </c>
      <c r="E4089" s="33" t="s">
        <v>84</v>
      </c>
      <c r="F4089" s="33" t="s">
        <v>14809</v>
      </c>
      <c r="G4089" s="33" t="s">
        <v>9</v>
      </c>
      <c r="H4089" s="33" t="n">
        <v>60</v>
      </c>
    </row>
    <row r="4090" customFormat="false" ht="54" hidden="false" customHeight="true" outlineLevel="0" collapsed="false">
      <c r="A4090" s="32" t="s">
        <v>14810</v>
      </c>
      <c r="B4090" s="32" t="s">
        <v>8577</v>
      </c>
      <c r="C4090" s="33" t="s">
        <v>1714</v>
      </c>
      <c r="D4090" s="33" t="s">
        <v>54</v>
      </c>
      <c r="E4090" s="33" t="s">
        <v>86</v>
      </c>
      <c r="F4090" s="33" t="s">
        <v>14807</v>
      </c>
      <c r="G4090" s="33" t="s">
        <v>9</v>
      </c>
      <c r="H4090" s="33" t="n">
        <v>60</v>
      </c>
    </row>
    <row r="4091" customFormat="false" ht="54" hidden="false" customHeight="true" outlineLevel="0" collapsed="false">
      <c r="A4091" s="32" t="s">
        <v>14811</v>
      </c>
      <c r="B4091" s="32" t="s">
        <v>8577</v>
      </c>
      <c r="C4091" s="33" t="s">
        <v>1714</v>
      </c>
      <c r="D4091" s="33" t="s">
        <v>54</v>
      </c>
      <c r="E4091" s="33" t="s">
        <v>86</v>
      </c>
      <c r="F4091" s="33" t="s">
        <v>14812</v>
      </c>
      <c r="G4091" s="33" t="s">
        <v>9</v>
      </c>
      <c r="H4091" s="33" t="n">
        <v>60</v>
      </c>
    </row>
    <row r="4092" customFormat="false" ht="54" hidden="false" customHeight="true" outlineLevel="0" collapsed="false">
      <c r="A4092" s="32" t="s">
        <v>14813</v>
      </c>
      <c r="B4092" s="32" t="s">
        <v>8577</v>
      </c>
      <c r="C4092" s="33" t="s">
        <v>1714</v>
      </c>
      <c r="D4092" s="33" t="s">
        <v>54</v>
      </c>
      <c r="E4092" s="33" t="s">
        <v>86</v>
      </c>
      <c r="F4092" s="33" t="s">
        <v>8584</v>
      </c>
      <c r="G4092" s="33" t="s">
        <v>9</v>
      </c>
      <c r="H4092" s="33" t="n">
        <v>60</v>
      </c>
    </row>
    <row r="4093" customFormat="false" ht="54" hidden="false" customHeight="true" outlineLevel="0" collapsed="false">
      <c r="A4093" s="32" t="s">
        <v>14814</v>
      </c>
      <c r="B4093" s="32" t="s">
        <v>8592</v>
      </c>
      <c r="C4093" s="33" t="s">
        <v>8593</v>
      </c>
      <c r="D4093" s="33" t="s">
        <v>58</v>
      </c>
      <c r="E4093" s="33" t="s">
        <v>81</v>
      </c>
      <c r="F4093" s="33" t="s">
        <v>8598</v>
      </c>
      <c r="G4093" s="33" t="s">
        <v>9</v>
      </c>
      <c r="H4093" s="33" t="n">
        <v>60</v>
      </c>
    </row>
    <row r="4094" customFormat="false" ht="54" hidden="false" customHeight="true" outlineLevel="0" collapsed="false">
      <c r="A4094" s="32" t="s">
        <v>14815</v>
      </c>
      <c r="B4094" s="32" t="s">
        <v>8592</v>
      </c>
      <c r="C4094" s="33" t="s">
        <v>8593</v>
      </c>
      <c r="D4094" s="33" t="s">
        <v>58</v>
      </c>
      <c r="E4094" s="33" t="s">
        <v>81</v>
      </c>
      <c r="F4094" s="33" t="s">
        <v>8600</v>
      </c>
      <c r="G4094" s="33" t="s">
        <v>9</v>
      </c>
      <c r="H4094" s="33" t="n">
        <v>60</v>
      </c>
    </row>
    <row r="4095" customFormat="false" ht="54" hidden="false" customHeight="true" outlineLevel="0" collapsed="false">
      <c r="A4095" s="32" t="s">
        <v>14816</v>
      </c>
      <c r="B4095" s="32" t="s">
        <v>8592</v>
      </c>
      <c r="C4095" s="33" t="s">
        <v>8593</v>
      </c>
      <c r="D4095" s="33" t="s">
        <v>58</v>
      </c>
      <c r="E4095" s="33" t="s">
        <v>81</v>
      </c>
      <c r="F4095" s="33" t="s">
        <v>14817</v>
      </c>
      <c r="G4095" s="33" t="s">
        <v>9</v>
      </c>
      <c r="H4095" s="33" t="n">
        <v>60</v>
      </c>
    </row>
    <row r="4096" customFormat="false" ht="54" hidden="false" customHeight="true" outlineLevel="0" collapsed="false">
      <c r="A4096" s="32" t="s">
        <v>14818</v>
      </c>
      <c r="B4096" s="32" t="s">
        <v>8608</v>
      </c>
      <c r="C4096" s="33" t="s">
        <v>8593</v>
      </c>
      <c r="D4096" s="33" t="s">
        <v>58</v>
      </c>
      <c r="E4096" s="33" t="s">
        <v>80</v>
      </c>
      <c r="F4096" s="33" t="s">
        <v>8612</v>
      </c>
      <c r="G4096" s="33" t="s">
        <v>9</v>
      </c>
      <c r="H4096" s="33" t="n">
        <v>60</v>
      </c>
    </row>
    <row r="4097" customFormat="false" ht="54" hidden="false" customHeight="true" outlineLevel="0" collapsed="false">
      <c r="A4097" s="32" t="s">
        <v>14819</v>
      </c>
      <c r="B4097" s="32" t="s">
        <v>8608</v>
      </c>
      <c r="C4097" s="33" t="s">
        <v>8593</v>
      </c>
      <c r="D4097" s="33" t="s">
        <v>58</v>
      </c>
      <c r="E4097" s="33" t="s">
        <v>80</v>
      </c>
      <c r="F4097" s="33" t="s">
        <v>14820</v>
      </c>
      <c r="G4097" s="33" t="s">
        <v>9</v>
      </c>
      <c r="H4097" s="33" t="n">
        <v>60</v>
      </c>
    </row>
    <row r="4098" customFormat="false" ht="54" hidden="false" customHeight="true" outlineLevel="0" collapsed="false">
      <c r="A4098" s="32" t="s">
        <v>14821</v>
      </c>
      <c r="B4098" s="32" t="s">
        <v>8608</v>
      </c>
      <c r="C4098" s="33" t="s">
        <v>8593</v>
      </c>
      <c r="D4098" s="33" t="s">
        <v>58</v>
      </c>
      <c r="E4098" s="33" t="s">
        <v>84</v>
      </c>
      <c r="F4098" s="33" t="s">
        <v>8612</v>
      </c>
      <c r="G4098" s="33" t="s">
        <v>9</v>
      </c>
      <c r="H4098" s="33" t="n">
        <v>60</v>
      </c>
    </row>
    <row r="4099" customFormat="false" ht="54" hidden="false" customHeight="true" outlineLevel="0" collapsed="false">
      <c r="A4099" s="32" t="s">
        <v>14822</v>
      </c>
      <c r="B4099" s="32" t="s">
        <v>8608</v>
      </c>
      <c r="C4099" s="33" t="s">
        <v>8593</v>
      </c>
      <c r="D4099" s="33" t="s">
        <v>58</v>
      </c>
      <c r="E4099" s="33" t="s">
        <v>84</v>
      </c>
      <c r="F4099" s="33" t="s">
        <v>14820</v>
      </c>
      <c r="G4099" s="33" t="s">
        <v>9</v>
      </c>
      <c r="H4099" s="33" t="n">
        <v>60</v>
      </c>
    </row>
    <row r="4100" customFormat="false" ht="54" hidden="false" customHeight="true" outlineLevel="0" collapsed="false">
      <c r="A4100" s="32" t="s">
        <v>14823</v>
      </c>
      <c r="B4100" s="32" t="s">
        <v>8608</v>
      </c>
      <c r="C4100" s="33" t="s">
        <v>8593</v>
      </c>
      <c r="D4100" s="33" t="s">
        <v>58</v>
      </c>
      <c r="E4100" s="33" t="s">
        <v>86</v>
      </c>
      <c r="F4100" s="33" t="s">
        <v>8619</v>
      </c>
      <c r="G4100" s="33" t="s">
        <v>9</v>
      </c>
      <c r="H4100" s="33" t="n">
        <v>60</v>
      </c>
    </row>
    <row r="4101" customFormat="false" ht="26.4" hidden="false" customHeight="true" outlineLevel="0" collapsed="false">
      <c r="A4101" s="28" t="s">
        <v>14824</v>
      </c>
      <c r="B4101" s="28" t="s">
        <v>269</v>
      </c>
      <c r="C4101" s="28" t="s">
        <v>98</v>
      </c>
      <c r="D4101" s="28" t="s">
        <v>59</v>
      </c>
      <c r="E4101" s="28" t="s">
        <v>14825</v>
      </c>
      <c r="F4101" s="28" t="s">
        <v>14826</v>
      </c>
      <c r="G4101" s="28" t="s">
        <v>9</v>
      </c>
      <c r="H4101" s="28" t="n">
        <v>60</v>
      </c>
    </row>
    <row r="4102" customFormat="false" ht="26.4" hidden="false" customHeight="true" outlineLevel="0" collapsed="false">
      <c r="A4102" s="28" t="s">
        <v>14827</v>
      </c>
      <c r="B4102" s="28" t="s">
        <v>285</v>
      </c>
      <c r="C4102" s="28" t="s">
        <v>98</v>
      </c>
      <c r="D4102" s="28" t="s">
        <v>59</v>
      </c>
      <c r="E4102" s="28" t="s">
        <v>14825</v>
      </c>
      <c r="F4102" s="28" t="s">
        <v>14826</v>
      </c>
      <c r="G4102" s="28" t="s">
        <v>9</v>
      </c>
      <c r="H4102" s="28" t="n">
        <v>60</v>
      </c>
    </row>
    <row r="4103" customFormat="false" ht="26.4" hidden="false" customHeight="true" outlineLevel="0" collapsed="false">
      <c r="A4103" s="28" t="s">
        <v>14828</v>
      </c>
      <c r="B4103" s="28" t="s">
        <v>5483</v>
      </c>
      <c r="C4103" s="28" t="s">
        <v>98</v>
      </c>
      <c r="D4103" s="28" t="s">
        <v>59</v>
      </c>
      <c r="E4103" s="28" t="s">
        <v>14825</v>
      </c>
      <c r="F4103" s="28" t="s">
        <v>14826</v>
      </c>
      <c r="G4103" s="28" t="s">
        <v>9</v>
      </c>
      <c r="H4103" s="28" t="n">
        <v>60</v>
      </c>
    </row>
    <row r="4104" customFormat="false" ht="26.4" hidden="false" customHeight="true" outlineLevel="0" collapsed="false">
      <c r="A4104" s="28" t="s">
        <v>14829</v>
      </c>
      <c r="B4104" s="28" t="s">
        <v>5496</v>
      </c>
      <c r="C4104" s="28" t="s">
        <v>98</v>
      </c>
      <c r="D4104" s="28" t="s">
        <v>59</v>
      </c>
      <c r="E4104" s="28" t="s">
        <v>14825</v>
      </c>
      <c r="F4104" s="28" t="s">
        <v>14826</v>
      </c>
      <c r="G4104" s="28" t="s">
        <v>9</v>
      </c>
      <c r="H4104" s="28" t="n">
        <v>60</v>
      </c>
    </row>
    <row r="4105" customFormat="false" ht="26.4" hidden="false" customHeight="true" outlineLevel="0" collapsed="false">
      <c r="A4105" s="28" t="s">
        <v>14830</v>
      </c>
      <c r="B4105" s="28" t="s">
        <v>5507</v>
      </c>
      <c r="C4105" s="28" t="s">
        <v>98</v>
      </c>
      <c r="D4105" s="28" t="s">
        <v>59</v>
      </c>
      <c r="E4105" s="28" t="s">
        <v>14825</v>
      </c>
      <c r="F4105" s="28" t="s">
        <v>14826</v>
      </c>
      <c r="G4105" s="28" t="s">
        <v>9</v>
      </c>
      <c r="H4105" s="28" t="n">
        <v>60</v>
      </c>
    </row>
    <row r="4106" customFormat="false" ht="26.4" hidden="false" customHeight="true" outlineLevel="0" collapsed="false">
      <c r="A4106" s="28" t="s">
        <v>14831</v>
      </c>
      <c r="B4106" s="28" t="s">
        <v>5525</v>
      </c>
      <c r="C4106" s="28" t="s">
        <v>98</v>
      </c>
      <c r="D4106" s="28" t="s">
        <v>59</v>
      </c>
      <c r="E4106" s="28" t="s">
        <v>14825</v>
      </c>
      <c r="F4106" s="28" t="s">
        <v>14826</v>
      </c>
      <c r="G4106" s="28" t="s">
        <v>9</v>
      </c>
      <c r="H4106" s="28" t="n">
        <v>60</v>
      </c>
    </row>
    <row r="4107" customFormat="false" ht="26.4" hidden="false" customHeight="true" outlineLevel="0" collapsed="false">
      <c r="A4107" s="28" t="s">
        <v>14832</v>
      </c>
      <c r="B4107" s="28" t="s">
        <v>335</v>
      </c>
      <c r="C4107" s="28" t="s">
        <v>98</v>
      </c>
      <c r="D4107" s="28" t="s">
        <v>59</v>
      </c>
      <c r="E4107" s="28" t="s">
        <v>14825</v>
      </c>
      <c r="F4107" s="28" t="s">
        <v>14826</v>
      </c>
      <c r="G4107" s="28" t="s">
        <v>9</v>
      </c>
      <c r="H4107" s="28" t="n">
        <v>60</v>
      </c>
    </row>
    <row r="4108" customFormat="false" ht="26.4" hidden="false" customHeight="true" outlineLevel="0" collapsed="false">
      <c r="A4108" s="28" t="s">
        <v>14833</v>
      </c>
      <c r="B4108" s="28" t="s">
        <v>5536</v>
      </c>
      <c r="C4108" s="28" t="s">
        <v>98</v>
      </c>
      <c r="D4108" s="28" t="s">
        <v>59</v>
      </c>
      <c r="E4108" s="28" t="s">
        <v>14825</v>
      </c>
      <c r="F4108" s="28" t="s">
        <v>14826</v>
      </c>
      <c r="G4108" s="28" t="s">
        <v>9</v>
      </c>
      <c r="H4108" s="28" t="n">
        <v>60</v>
      </c>
    </row>
    <row r="4109" customFormat="false" ht="26.4" hidden="false" customHeight="true" outlineLevel="0" collapsed="false">
      <c r="A4109" s="28" t="s">
        <v>14834</v>
      </c>
      <c r="B4109" s="28" t="s">
        <v>349</v>
      </c>
      <c r="C4109" s="28" t="s">
        <v>98</v>
      </c>
      <c r="D4109" s="28" t="s">
        <v>59</v>
      </c>
      <c r="E4109" s="28" t="s">
        <v>14825</v>
      </c>
      <c r="F4109" s="28" t="s">
        <v>14826</v>
      </c>
      <c r="G4109" s="28" t="s">
        <v>9</v>
      </c>
      <c r="H4109" s="28" t="n">
        <v>60</v>
      </c>
    </row>
    <row r="4110" customFormat="false" ht="26.4" hidden="false" customHeight="true" outlineLevel="0" collapsed="false">
      <c r="A4110" s="28" t="s">
        <v>14835</v>
      </c>
      <c r="B4110" s="28" t="s">
        <v>360</v>
      </c>
      <c r="C4110" s="28" t="s">
        <v>98</v>
      </c>
      <c r="D4110" s="28" t="s">
        <v>59</v>
      </c>
      <c r="E4110" s="28" t="s">
        <v>14825</v>
      </c>
      <c r="F4110" s="28" t="s">
        <v>14826</v>
      </c>
      <c r="G4110" s="28" t="s">
        <v>9</v>
      </c>
      <c r="H4110" s="28" t="n">
        <v>60</v>
      </c>
    </row>
    <row r="4111" customFormat="false" ht="26.4" hidden="false" customHeight="true" outlineLevel="0" collapsed="false">
      <c r="A4111" s="28" t="s">
        <v>14836</v>
      </c>
      <c r="B4111" s="28" t="s">
        <v>370</v>
      </c>
      <c r="C4111" s="28" t="s">
        <v>98</v>
      </c>
      <c r="D4111" s="28" t="s">
        <v>59</v>
      </c>
      <c r="E4111" s="28" t="s">
        <v>14825</v>
      </c>
      <c r="F4111" s="28" t="s">
        <v>14826</v>
      </c>
      <c r="G4111" s="28" t="s">
        <v>9</v>
      </c>
      <c r="H4111" s="28" t="n">
        <v>60</v>
      </c>
    </row>
    <row r="4112" customFormat="false" ht="26.4" hidden="false" customHeight="true" outlineLevel="0" collapsed="false">
      <c r="A4112" s="28" t="s">
        <v>14837</v>
      </c>
      <c r="B4112" s="28" t="s">
        <v>5548</v>
      </c>
      <c r="C4112" s="28" t="s">
        <v>98</v>
      </c>
      <c r="D4112" s="28" t="s">
        <v>59</v>
      </c>
      <c r="E4112" s="28" t="s">
        <v>14825</v>
      </c>
      <c r="F4112" s="28" t="s">
        <v>14826</v>
      </c>
      <c r="G4112" s="28" t="s">
        <v>9</v>
      </c>
      <c r="H4112" s="28" t="n">
        <v>60</v>
      </c>
    </row>
    <row r="4113" customFormat="false" ht="26.4" hidden="false" customHeight="true" outlineLevel="0" collapsed="false">
      <c r="A4113" s="28" t="s">
        <v>14838</v>
      </c>
      <c r="B4113" s="28" t="s">
        <v>5560</v>
      </c>
      <c r="C4113" s="28" t="s">
        <v>98</v>
      </c>
      <c r="D4113" s="28" t="s">
        <v>59</v>
      </c>
      <c r="E4113" s="28" t="s">
        <v>14825</v>
      </c>
      <c r="F4113" s="28" t="s">
        <v>14826</v>
      </c>
      <c r="G4113" s="28" t="s">
        <v>9</v>
      </c>
      <c r="H4113" s="28" t="n">
        <v>60</v>
      </c>
    </row>
    <row r="4114" customFormat="false" ht="26.4" hidden="false" customHeight="true" outlineLevel="0" collapsed="false">
      <c r="A4114" s="28" t="s">
        <v>14839</v>
      </c>
      <c r="B4114" s="28" t="s">
        <v>5568</v>
      </c>
      <c r="C4114" s="28" t="s">
        <v>98</v>
      </c>
      <c r="D4114" s="28" t="s">
        <v>59</v>
      </c>
      <c r="E4114" s="28" t="s">
        <v>14825</v>
      </c>
      <c r="F4114" s="28" t="s">
        <v>14826</v>
      </c>
      <c r="G4114" s="28" t="s">
        <v>9</v>
      </c>
      <c r="H4114" s="28" t="n">
        <v>60</v>
      </c>
    </row>
    <row r="4115" customFormat="false" ht="26.4" hidden="false" customHeight="true" outlineLevel="0" collapsed="false">
      <c r="A4115" s="28" t="s">
        <v>14840</v>
      </c>
      <c r="B4115" s="28" t="s">
        <v>5574</v>
      </c>
      <c r="C4115" s="28" t="s">
        <v>98</v>
      </c>
      <c r="D4115" s="28" t="s">
        <v>59</v>
      </c>
      <c r="E4115" s="28" t="s">
        <v>14825</v>
      </c>
      <c r="F4115" s="28" t="s">
        <v>14826</v>
      </c>
      <c r="G4115" s="28" t="s">
        <v>9</v>
      </c>
      <c r="H4115" s="28" t="n">
        <v>60</v>
      </c>
    </row>
    <row r="4116" customFormat="false" ht="26.4" hidden="false" customHeight="true" outlineLevel="0" collapsed="false">
      <c r="A4116" s="28" t="s">
        <v>14841</v>
      </c>
      <c r="B4116" s="28" t="s">
        <v>5579</v>
      </c>
      <c r="C4116" s="28" t="s">
        <v>98</v>
      </c>
      <c r="D4116" s="28" t="s">
        <v>59</v>
      </c>
      <c r="E4116" s="28" t="s">
        <v>14825</v>
      </c>
      <c r="F4116" s="28" t="s">
        <v>14826</v>
      </c>
      <c r="G4116" s="28" t="s">
        <v>9</v>
      </c>
      <c r="H4116" s="28" t="n">
        <v>60</v>
      </c>
    </row>
    <row r="4117" customFormat="false" ht="26.4" hidden="false" customHeight="true" outlineLevel="0" collapsed="false">
      <c r="A4117" s="28" t="s">
        <v>14842</v>
      </c>
      <c r="B4117" s="28" t="s">
        <v>381</v>
      </c>
      <c r="C4117" s="28" t="s">
        <v>98</v>
      </c>
      <c r="D4117" s="28" t="s">
        <v>59</v>
      </c>
      <c r="E4117" s="28" t="s">
        <v>14825</v>
      </c>
      <c r="F4117" s="28" t="s">
        <v>14826</v>
      </c>
      <c r="G4117" s="28" t="s">
        <v>9</v>
      </c>
      <c r="H4117" s="28" t="n">
        <v>60</v>
      </c>
    </row>
    <row r="4118" customFormat="false" ht="26.4" hidden="false" customHeight="true" outlineLevel="0" collapsed="false">
      <c r="A4118" s="28" t="s">
        <v>14843</v>
      </c>
      <c r="B4118" s="28" t="s">
        <v>5584</v>
      </c>
      <c r="C4118" s="28" t="s">
        <v>98</v>
      </c>
      <c r="D4118" s="28" t="s">
        <v>59</v>
      </c>
      <c r="E4118" s="28" t="s">
        <v>14825</v>
      </c>
      <c r="F4118" s="28" t="s">
        <v>14826</v>
      </c>
      <c r="G4118" s="28" t="s">
        <v>9</v>
      </c>
      <c r="H4118" s="28" t="n">
        <v>60</v>
      </c>
    </row>
    <row r="4119" customFormat="false" ht="26.4" hidden="false" customHeight="true" outlineLevel="0" collapsed="false">
      <c r="A4119" s="28" t="s">
        <v>14844</v>
      </c>
      <c r="B4119" s="28" t="s">
        <v>5597</v>
      </c>
      <c r="C4119" s="28" t="s">
        <v>98</v>
      </c>
      <c r="D4119" s="28" t="s">
        <v>59</v>
      </c>
      <c r="E4119" s="28" t="s">
        <v>14825</v>
      </c>
      <c r="F4119" s="28" t="s">
        <v>14826</v>
      </c>
      <c r="G4119" s="28" t="s">
        <v>9</v>
      </c>
      <c r="H4119" s="28" t="n">
        <v>60</v>
      </c>
    </row>
    <row r="4120" customFormat="false" ht="26.4" hidden="false" customHeight="true" outlineLevel="0" collapsed="false">
      <c r="A4120" s="28" t="s">
        <v>14845</v>
      </c>
      <c r="B4120" s="28" t="s">
        <v>5604</v>
      </c>
      <c r="C4120" s="28" t="s">
        <v>98</v>
      </c>
      <c r="D4120" s="28" t="s">
        <v>59</v>
      </c>
      <c r="E4120" s="28" t="s">
        <v>14825</v>
      </c>
      <c r="F4120" s="28" t="s">
        <v>14826</v>
      </c>
      <c r="G4120" s="28" t="s">
        <v>9</v>
      </c>
      <c r="H4120" s="28" t="n">
        <v>60</v>
      </c>
    </row>
    <row r="4121" customFormat="false" ht="26.4" hidden="false" customHeight="true" outlineLevel="0" collapsed="false">
      <c r="A4121" s="28" t="s">
        <v>14846</v>
      </c>
      <c r="B4121" s="28" t="s">
        <v>5612</v>
      </c>
      <c r="C4121" s="28" t="s">
        <v>98</v>
      </c>
      <c r="D4121" s="28" t="s">
        <v>59</v>
      </c>
      <c r="E4121" s="28" t="s">
        <v>14825</v>
      </c>
      <c r="F4121" s="28" t="s">
        <v>14826</v>
      </c>
      <c r="G4121" s="28" t="s">
        <v>9</v>
      </c>
      <c r="H4121" s="28" t="n">
        <v>60</v>
      </c>
    </row>
    <row r="4122" customFormat="false" ht="26.4" hidden="false" customHeight="true" outlineLevel="0" collapsed="false">
      <c r="A4122" s="28" t="s">
        <v>14847</v>
      </c>
      <c r="B4122" s="28" t="s">
        <v>297</v>
      </c>
      <c r="C4122" s="28" t="s">
        <v>98</v>
      </c>
      <c r="D4122" s="28" t="s">
        <v>59</v>
      </c>
      <c r="E4122" s="28" t="s">
        <v>14848</v>
      </c>
      <c r="F4122" s="28" t="s">
        <v>14849</v>
      </c>
      <c r="G4122" s="28" t="s">
        <v>9</v>
      </c>
      <c r="H4122" s="28" t="n">
        <v>60</v>
      </c>
    </row>
    <row r="4123" customFormat="false" ht="26.4" hidden="false" customHeight="true" outlineLevel="0" collapsed="false">
      <c r="A4123" s="28" t="s">
        <v>14850</v>
      </c>
      <c r="B4123" s="28" t="s">
        <v>312</v>
      </c>
      <c r="C4123" s="28" t="s">
        <v>98</v>
      </c>
      <c r="D4123" s="28" t="s">
        <v>59</v>
      </c>
      <c r="E4123" s="28" t="s">
        <v>14848</v>
      </c>
      <c r="F4123" s="28" t="s">
        <v>14849</v>
      </c>
      <c r="G4123" s="28" t="s">
        <v>9</v>
      </c>
      <c r="H4123" s="28" t="n">
        <v>60</v>
      </c>
    </row>
    <row r="4124" customFormat="false" ht="26.4" hidden="false" customHeight="true" outlineLevel="0" collapsed="false">
      <c r="A4124" s="28" t="s">
        <v>14851</v>
      </c>
      <c r="B4124" s="28" t="s">
        <v>324</v>
      </c>
      <c r="C4124" s="28" t="s">
        <v>98</v>
      </c>
      <c r="D4124" s="28" t="s">
        <v>59</v>
      </c>
      <c r="E4124" s="28" t="s">
        <v>14848</v>
      </c>
      <c r="F4124" s="28" t="s">
        <v>14849</v>
      </c>
      <c r="G4124" s="28" t="s">
        <v>9</v>
      </c>
      <c r="H4124" s="28" t="n">
        <v>60</v>
      </c>
    </row>
    <row r="4125" customFormat="false" ht="26.4" hidden="false" customHeight="true" outlineLevel="0" collapsed="false">
      <c r="A4125" s="28" t="s">
        <v>14852</v>
      </c>
      <c r="B4125" s="28" t="s">
        <v>5469</v>
      </c>
      <c r="C4125" s="28" t="s">
        <v>98</v>
      </c>
      <c r="D4125" s="28" t="s">
        <v>59</v>
      </c>
      <c r="E4125" s="28" t="s">
        <v>14848</v>
      </c>
      <c r="F4125" s="28" t="s">
        <v>14849</v>
      </c>
      <c r="G4125" s="28" t="s">
        <v>9</v>
      </c>
      <c r="H4125" s="28" t="n">
        <v>60</v>
      </c>
    </row>
    <row r="4126" customFormat="false" ht="26.4" hidden="false" customHeight="true" outlineLevel="0" collapsed="false">
      <c r="A4126" s="28" t="s">
        <v>14853</v>
      </c>
      <c r="B4126" s="28" t="s">
        <v>5617</v>
      </c>
      <c r="C4126" s="28" t="s">
        <v>98</v>
      </c>
      <c r="D4126" s="28" t="s">
        <v>59</v>
      </c>
      <c r="E4126" s="28" t="s">
        <v>14848</v>
      </c>
      <c r="F4126" s="28" t="s">
        <v>14849</v>
      </c>
      <c r="G4126" s="28" t="s">
        <v>9</v>
      </c>
      <c r="H4126" s="28" t="n">
        <v>60</v>
      </c>
    </row>
    <row r="4127" customFormat="false" ht="26.4" hidden="false" customHeight="true" outlineLevel="0" collapsed="false">
      <c r="A4127" s="28" t="s">
        <v>14854</v>
      </c>
      <c r="B4127" s="28" t="s">
        <v>5633</v>
      </c>
      <c r="C4127" s="28" t="s">
        <v>98</v>
      </c>
      <c r="D4127" s="28" t="s">
        <v>59</v>
      </c>
      <c r="E4127" s="28" t="s">
        <v>14848</v>
      </c>
      <c r="F4127" s="28" t="s">
        <v>14849</v>
      </c>
      <c r="G4127" s="28" t="s">
        <v>9</v>
      </c>
      <c r="H4127" s="28" t="n">
        <v>60</v>
      </c>
    </row>
    <row r="4128" customFormat="false" ht="15" hidden="false" customHeight="true" outlineLevel="0" collapsed="false">
      <c r="A4128" s="28" t="s">
        <v>14855</v>
      </c>
      <c r="B4128" s="28" t="s">
        <v>8623</v>
      </c>
      <c r="C4128" s="28" t="s">
        <v>6636</v>
      </c>
      <c r="D4128" s="28" t="s">
        <v>52</v>
      </c>
      <c r="E4128" s="28" t="s">
        <v>14856</v>
      </c>
      <c r="F4128" s="28" t="s">
        <v>14857</v>
      </c>
      <c r="G4128" s="28" t="s">
        <v>9</v>
      </c>
      <c r="H4128" s="28" t="n">
        <v>60</v>
      </c>
    </row>
    <row r="4129" customFormat="false" ht="15" hidden="false" customHeight="true" outlineLevel="0" collapsed="false">
      <c r="A4129" s="28" t="s">
        <v>14858</v>
      </c>
      <c r="B4129" s="28" t="s">
        <v>8623</v>
      </c>
      <c r="C4129" s="28" t="s">
        <v>6636</v>
      </c>
      <c r="D4129" s="28" t="s">
        <v>52</v>
      </c>
      <c r="E4129" s="28" t="s">
        <v>14859</v>
      </c>
      <c r="F4129" s="28" t="s">
        <v>14860</v>
      </c>
      <c r="G4129" s="28" t="s">
        <v>9</v>
      </c>
      <c r="H4129" s="28" t="n">
        <v>60</v>
      </c>
    </row>
    <row r="4130" customFormat="false" ht="15" hidden="false" customHeight="true" outlineLevel="0" collapsed="false">
      <c r="A4130" s="28" t="s">
        <v>14861</v>
      </c>
      <c r="B4130" s="28" t="s">
        <v>8623</v>
      </c>
      <c r="C4130" s="28" t="s">
        <v>6636</v>
      </c>
      <c r="D4130" s="28" t="s">
        <v>52</v>
      </c>
      <c r="E4130" s="28" t="s">
        <v>14862</v>
      </c>
      <c r="F4130" s="28" t="s">
        <v>14863</v>
      </c>
      <c r="G4130" s="28" t="s">
        <v>9</v>
      </c>
      <c r="H4130" s="28" t="n">
        <v>60</v>
      </c>
    </row>
    <row r="4131" customFormat="false" ht="15" hidden="false" customHeight="true" outlineLevel="0" collapsed="false">
      <c r="A4131" s="28" t="s">
        <v>14864</v>
      </c>
      <c r="B4131" s="28" t="s">
        <v>8623</v>
      </c>
      <c r="C4131" s="28" t="s">
        <v>6636</v>
      </c>
      <c r="D4131" s="28" t="s">
        <v>52</v>
      </c>
      <c r="E4131" s="28" t="s">
        <v>14865</v>
      </c>
      <c r="F4131" s="28" t="s">
        <v>14866</v>
      </c>
      <c r="G4131" s="28" t="s">
        <v>9</v>
      </c>
      <c r="H4131" s="28" t="n">
        <v>60</v>
      </c>
    </row>
    <row r="4132" customFormat="false" ht="15" hidden="false" customHeight="true" outlineLevel="0" collapsed="false">
      <c r="A4132" s="28" t="s">
        <v>14867</v>
      </c>
      <c r="B4132" s="28" t="s">
        <v>8623</v>
      </c>
      <c r="C4132" s="28" t="s">
        <v>6636</v>
      </c>
      <c r="D4132" s="28" t="s">
        <v>52</v>
      </c>
      <c r="E4132" s="28" t="s">
        <v>14868</v>
      </c>
      <c r="F4132" s="28" t="s">
        <v>14869</v>
      </c>
      <c r="G4132" s="28" t="s">
        <v>9</v>
      </c>
      <c r="H4132" s="28" t="n">
        <v>60</v>
      </c>
    </row>
    <row r="4133" customFormat="false" ht="15" hidden="false" customHeight="true" outlineLevel="0" collapsed="false">
      <c r="A4133" s="28" t="s">
        <v>14870</v>
      </c>
      <c r="B4133" s="28" t="s">
        <v>8623</v>
      </c>
      <c r="C4133" s="28" t="s">
        <v>6636</v>
      </c>
      <c r="D4133" s="28" t="s">
        <v>52</v>
      </c>
      <c r="E4133" s="28" t="s">
        <v>14871</v>
      </c>
      <c r="F4133" s="28" t="s">
        <v>14872</v>
      </c>
      <c r="G4133" s="28" t="s">
        <v>9</v>
      </c>
      <c r="H4133" s="28" t="n">
        <v>60</v>
      </c>
    </row>
    <row r="4134" customFormat="false" ht="15" hidden="false" customHeight="true" outlineLevel="0" collapsed="false">
      <c r="A4134" s="28" t="s">
        <v>14873</v>
      </c>
      <c r="B4134" s="28" t="s">
        <v>8646</v>
      </c>
      <c r="C4134" s="28" t="s">
        <v>98</v>
      </c>
      <c r="D4134" s="28" t="s">
        <v>59</v>
      </c>
      <c r="E4134" s="28" t="s">
        <v>14874</v>
      </c>
      <c r="F4134" s="28" t="s">
        <v>14875</v>
      </c>
      <c r="G4134" s="28" t="s">
        <v>9</v>
      </c>
      <c r="H4134" s="28" t="n">
        <v>60</v>
      </c>
    </row>
    <row r="4135" customFormat="false" ht="15" hidden="false" customHeight="true" outlineLevel="0" collapsed="false">
      <c r="A4135" s="28" t="s">
        <v>14876</v>
      </c>
      <c r="B4135" s="28" t="s">
        <v>8646</v>
      </c>
      <c r="C4135" s="28" t="s">
        <v>98</v>
      </c>
      <c r="D4135" s="28" t="s">
        <v>59</v>
      </c>
      <c r="E4135" s="28" t="s">
        <v>14877</v>
      </c>
      <c r="F4135" s="28" t="s">
        <v>14878</v>
      </c>
      <c r="G4135" s="28" t="s">
        <v>9</v>
      </c>
      <c r="H4135" s="28" t="n">
        <v>60</v>
      </c>
    </row>
    <row r="4136" customFormat="false" ht="15" hidden="false" customHeight="true" outlineLevel="0" collapsed="false">
      <c r="A4136" s="28" t="s">
        <v>14879</v>
      </c>
      <c r="B4136" s="28" t="s">
        <v>8646</v>
      </c>
      <c r="C4136" s="28" t="s">
        <v>98</v>
      </c>
      <c r="D4136" s="28" t="s">
        <v>59</v>
      </c>
      <c r="E4136" s="28" t="s">
        <v>14880</v>
      </c>
      <c r="F4136" s="28" t="s">
        <v>14881</v>
      </c>
      <c r="G4136" s="28" t="s">
        <v>9</v>
      </c>
      <c r="H4136" s="28" t="n">
        <v>60</v>
      </c>
    </row>
    <row r="4137" customFormat="false" ht="15" hidden="false" customHeight="true" outlineLevel="0" collapsed="false">
      <c r="A4137" s="28" t="s">
        <v>14882</v>
      </c>
      <c r="B4137" s="28" t="s">
        <v>8646</v>
      </c>
      <c r="C4137" s="28" t="s">
        <v>98</v>
      </c>
      <c r="D4137" s="28" t="s">
        <v>59</v>
      </c>
      <c r="E4137" s="28" t="s">
        <v>14883</v>
      </c>
      <c r="F4137" s="28" t="s">
        <v>14884</v>
      </c>
      <c r="G4137" s="28" t="s">
        <v>9</v>
      </c>
      <c r="H4137" s="28" t="n">
        <v>60</v>
      </c>
    </row>
    <row r="4138" customFormat="false" ht="15" hidden="false" customHeight="true" outlineLevel="0" collapsed="false">
      <c r="A4138" s="28" t="s">
        <v>14885</v>
      </c>
      <c r="B4138" s="28" t="s">
        <v>8646</v>
      </c>
      <c r="C4138" s="28" t="s">
        <v>98</v>
      </c>
      <c r="D4138" s="28" t="s">
        <v>59</v>
      </c>
      <c r="E4138" s="28" t="s">
        <v>14859</v>
      </c>
      <c r="F4138" s="28" t="s">
        <v>14886</v>
      </c>
      <c r="G4138" s="28" t="s">
        <v>9</v>
      </c>
      <c r="H4138" s="28" t="n">
        <v>60</v>
      </c>
    </row>
    <row r="4139" customFormat="false" ht="15" hidden="false" customHeight="true" outlineLevel="0" collapsed="false">
      <c r="A4139" s="28" t="s">
        <v>14887</v>
      </c>
      <c r="B4139" s="28" t="s">
        <v>8646</v>
      </c>
      <c r="C4139" s="28" t="s">
        <v>98</v>
      </c>
      <c r="D4139" s="28" t="s">
        <v>59</v>
      </c>
      <c r="E4139" s="28" t="s">
        <v>14888</v>
      </c>
      <c r="F4139" s="28" t="s">
        <v>14889</v>
      </c>
      <c r="G4139" s="28" t="s">
        <v>9</v>
      </c>
      <c r="H4139" s="28" t="n">
        <v>60</v>
      </c>
    </row>
    <row r="4140" customFormat="false" ht="15" hidden="false" customHeight="true" outlineLevel="0" collapsed="false">
      <c r="A4140" s="28" t="s">
        <v>14890</v>
      </c>
      <c r="B4140" s="28" t="s">
        <v>8646</v>
      </c>
      <c r="C4140" s="28" t="s">
        <v>98</v>
      </c>
      <c r="D4140" s="28" t="s">
        <v>59</v>
      </c>
      <c r="E4140" s="28" t="s">
        <v>14888</v>
      </c>
      <c r="F4140" s="28" t="s">
        <v>14891</v>
      </c>
      <c r="G4140" s="28" t="s">
        <v>9</v>
      </c>
      <c r="H4140" s="28" t="n">
        <v>60</v>
      </c>
    </row>
    <row r="4141" customFormat="false" ht="15" hidden="false" customHeight="true" outlineLevel="0" collapsed="false">
      <c r="A4141" s="28" t="s">
        <v>14892</v>
      </c>
      <c r="B4141" s="28" t="s">
        <v>8662</v>
      </c>
      <c r="C4141" s="28" t="s">
        <v>98</v>
      </c>
      <c r="D4141" s="28" t="s">
        <v>59</v>
      </c>
      <c r="E4141" s="28" t="s">
        <v>14893</v>
      </c>
      <c r="F4141" s="28" t="s">
        <v>14894</v>
      </c>
      <c r="G4141" s="28" t="s">
        <v>9</v>
      </c>
      <c r="H4141" s="28" t="n">
        <v>60</v>
      </c>
    </row>
    <row r="4142" customFormat="false" ht="15" hidden="false" customHeight="true" outlineLevel="0" collapsed="false">
      <c r="A4142" s="28" t="s">
        <v>14895</v>
      </c>
      <c r="B4142" s="28" t="s">
        <v>8662</v>
      </c>
      <c r="C4142" s="28" t="s">
        <v>98</v>
      </c>
      <c r="D4142" s="28" t="s">
        <v>59</v>
      </c>
      <c r="E4142" s="28" t="s">
        <v>14896</v>
      </c>
      <c r="F4142" s="28" t="s">
        <v>14897</v>
      </c>
      <c r="G4142" s="28" t="s">
        <v>9</v>
      </c>
      <c r="H4142" s="28" t="n">
        <v>60</v>
      </c>
    </row>
    <row r="4143" customFormat="false" ht="15" hidden="false" customHeight="true" outlineLevel="0" collapsed="false">
      <c r="A4143" s="28" t="s">
        <v>14898</v>
      </c>
      <c r="B4143" s="28" t="s">
        <v>8662</v>
      </c>
      <c r="C4143" s="28" t="s">
        <v>98</v>
      </c>
      <c r="D4143" s="28" t="s">
        <v>59</v>
      </c>
      <c r="E4143" s="28" t="s">
        <v>14899</v>
      </c>
      <c r="F4143" s="28" t="s">
        <v>14900</v>
      </c>
      <c r="G4143" s="28" t="s">
        <v>9</v>
      </c>
      <c r="H4143" s="28" t="n">
        <v>60</v>
      </c>
    </row>
    <row r="4144" customFormat="false" ht="15" hidden="false" customHeight="true" outlineLevel="0" collapsed="false">
      <c r="A4144" s="28" t="s">
        <v>14901</v>
      </c>
      <c r="B4144" s="28" t="s">
        <v>8662</v>
      </c>
      <c r="C4144" s="28" t="s">
        <v>98</v>
      </c>
      <c r="D4144" s="28" t="s">
        <v>59</v>
      </c>
      <c r="E4144" s="28" t="s">
        <v>14902</v>
      </c>
      <c r="F4144" s="28" t="s">
        <v>14903</v>
      </c>
      <c r="G4144" s="28" t="s">
        <v>9</v>
      </c>
      <c r="H4144" s="28" t="n">
        <v>60</v>
      </c>
    </row>
    <row r="4145" customFormat="false" ht="15" hidden="false" customHeight="true" outlineLevel="0" collapsed="false">
      <c r="A4145" s="28" t="s">
        <v>14904</v>
      </c>
      <c r="B4145" s="28" t="s">
        <v>8662</v>
      </c>
      <c r="C4145" s="28" t="s">
        <v>98</v>
      </c>
      <c r="D4145" s="28" t="s">
        <v>59</v>
      </c>
      <c r="E4145" s="28" t="s">
        <v>14905</v>
      </c>
      <c r="F4145" s="28" t="s">
        <v>14906</v>
      </c>
      <c r="G4145" s="28" t="s">
        <v>9</v>
      </c>
      <c r="H4145" s="28" t="n">
        <v>60</v>
      </c>
    </row>
    <row r="4146" customFormat="false" ht="15" hidden="false" customHeight="true" outlineLevel="0" collapsed="false">
      <c r="A4146" s="28" t="s">
        <v>14907</v>
      </c>
      <c r="B4146" s="28" t="s">
        <v>8662</v>
      </c>
      <c r="C4146" s="28" t="s">
        <v>98</v>
      </c>
      <c r="D4146" s="28" t="s">
        <v>59</v>
      </c>
      <c r="E4146" s="28" t="s">
        <v>14908</v>
      </c>
      <c r="F4146" s="28" t="s">
        <v>14909</v>
      </c>
      <c r="G4146" s="28" t="s">
        <v>9</v>
      </c>
      <c r="H4146" s="28" t="n">
        <v>60</v>
      </c>
    </row>
    <row r="4147" customFormat="false" ht="15" hidden="false" customHeight="true" outlineLevel="0" collapsed="false">
      <c r="A4147" s="28" t="s">
        <v>14910</v>
      </c>
      <c r="B4147" s="28" t="s">
        <v>8662</v>
      </c>
      <c r="C4147" s="28" t="s">
        <v>98</v>
      </c>
      <c r="D4147" s="28" t="s">
        <v>59</v>
      </c>
      <c r="E4147" s="28" t="s">
        <v>14862</v>
      </c>
      <c r="F4147" s="28" t="s">
        <v>14911</v>
      </c>
      <c r="G4147" s="28" t="s">
        <v>9</v>
      </c>
      <c r="H4147" s="28" t="n">
        <v>60</v>
      </c>
    </row>
    <row r="4148" customFormat="false" ht="15" hidden="false" customHeight="true" outlineLevel="0" collapsed="false">
      <c r="A4148" s="28" t="s">
        <v>14912</v>
      </c>
      <c r="B4148" s="28" t="s">
        <v>8662</v>
      </c>
      <c r="C4148" s="28" t="s">
        <v>98</v>
      </c>
      <c r="D4148" s="28" t="s">
        <v>59</v>
      </c>
      <c r="E4148" s="28" t="s">
        <v>14913</v>
      </c>
      <c r="F4148" s="28" t="s">
        <v>14914</v>
      </c>
      <c r="G4148" s="28" t="s">
        <v>9</v>
      </c>
      <c r="H4148" s="28" t="n">
        <v>60</v>
      </c>
    </row>
    <row r="4149" customFormat="false" ht="15" hidden="false" customHeight="true" outlineLevel="0" collapsed="false">
      <c r="A4149" s="28" t="s">
        <v>14915</v>
      </c>
      <c r="B4149" s="28" t="s">
        <v>8662</v>
      </c>
      <c r="C4149" s="28" t="s">
        <v>98</v>
      </c>
      <c r="D4149" s="28" t="s">
        <v>59</v>
      </c>
      <c r="E4149" s="28" t="s">
        <v>14888</v>
      </c>
      <c r="F4149" s="28" t="s">
        <v>14916</v>
      </c>
      <c r="G4149" s="28" t="s">
        <v>9</v>
      </c>
      <c r="H4149" s="28" t="n">
        <v>60</v>
      </c>
    </row>
    <row r="4150" customFormat="false" ht="15" hidden="false" customHeight="true" outlineLevel="0" collapsed="false">
      <c r="A4150" s="28" t="s">
        <v>14917</v>
      </c>
      <c r="B4150" s="28" t="s">
        <v>8678</v>
      </c>
      <c r="C4150" s="28" t="s">
        <v>98</v>
      </c>
      <c r="D4150" s="28" t="s">
        <v>59</v>
      </c>
      <c r="E4150" s="28" t="s">
        <v>14918</v>
      </c>
      <c r="F4150" s="28" t="s">
        <v>14919</v>
      </c>
      <c r="G4150" s="28" t="s">
        <v>9</v>
      </c>
      <c r="H4150" s="28" t="n">
        <v>60</v>
      </c>
    </row>
    <row r="4151" customFormat="false" ht="15" hidden="false" customHeight="true" outlineLevel="0" collapsed="false">
      <c r="A4151" s="28" t="s">
        <v>14920</v>
      </c>
      <c r="B4151" s="28" t="s">
        <v>8678</v>
      </c>
      <c r="C4151" s="28" t="s">
        <v>98</v>
      </c>
      <c r="D4151" s="28" t="s">
        <v>59</v>
      </c>
      <c r="E4151" s="28" t="s">
        <v>14921</v>
      </c>
      <c r="F4151" s="28" t="s">
        <v>14922</v>
      </c>
      <c r="G4151" s="28" t="s">
        <v>9</v>
      </c>
      <c r="H4151" s="28" t="n">
        <v>60</v>
      </c>
    </row>
    <row r="4152" customFormat="false" ht="15" hidden="false" customHeight="true" outlineLevel="0" collapsed="false">
      <c r="A4152" s="28" t="s">
        <v>14923</v>
      </c>
      <c r="B4152" s="28" t="s">
        <v>8678</v>
      </c>
      <c r="C4152" s="28" t="s">
        <v>98</v>
      </c>
      <c r="D4152" s="28" t="s">
        <v>59</v>
      </c>
      <c r="E4152" s="28" t="s">
        <v>14924</v>
      </c>
      <c r="F4152" s="28" t="s">
        <v>14925</v>
      </c>
      <c r="G4152" s="28" t="s">
        <v>9</v>
      </c>
      <c r="H4152" s="28" t="n">
        <v>60</v>
      </c>
    </row>
    <row r="4153" customFormat="false" ht="15" hidden="false" customHeight="true" outlineLevel="0" collapsed="false">
      <c r="A4153" s="28" t="s">
        <v>14926</v>
      </c>
      <c r="B4153" s="28" t="s">
        <v>8678</v>
      </c>
      <c r="C4153" s="28" t="s">
        <v>98</v>
      </c>
      <c r="D4153" s="28" t="s">
        <v>59</v>
      </c>
      <c r="E4153" s="28" t="s">
        <v>14859</v>
      </c>
      <c r="F4153" s="28" t="s">
        <v>14927</v>
      </c>
      <c r="G4153" s="28" t="s">
        <v>9</v>
      </c>
      <c r="H4153" s="28" t="n">
        <v>60</v>
      </c>
    </row>
    <row r="4154" customFormat="false" ht="15" hidden="false" customHeight="true" outlineLevel="0" collapsed="false">
      <c r="A4154" s="28" t="s">
        <v>14928</v>
      </c>
      <c r="B4154" s="28" t="s">
        <v>8678</v>
      </c>
      <c r="C4154" s="28" t="s">
        <v>98</v>
      </c>
      <c r="D4154" s="28" t="s">
        <v>59</v>
      </c>
      <c r="E4154" s="28" t="s">
        <v>14929</v>
      </c>
      <c r="F4154" s="28" t="s">
        <v>14930</v>
      </c>
      <c r="G4154" s="28" t="s">
        <v>9</v>
      </c>
      <c r="H4154" s="28" t="n">
        <v>60</v>
      </c>
    </row>
    <row r="4155" customFormat="false" ht="15" hidden="false" customHeight="true" outlineLevel="0" collapsed="false">
      <c r="A4155" s="28" t="s">
        <v>14931</v>
      </c>
      <c r="B4155" s="28" t="s">
        <v>8678</v>
      </c>
      <c r="C4155" s="28" t="s">
        <v>98</v>
      </c>
      <c r="D4155" s="28" t="s">
        <v>59</v>
      </c>
      <c r="E4155" s="28" t="s">
        <v>14888</v>
      </c>
      <c r="F4155" s="28" t="s">
        <v>8688</v>
      </c>
      <c r="G4155" s="28" t="s">
        <v>9</v>
      </c>
      <c r="H4155" s="28" t="n">
        <v>60</v>
      </c>
    </row>
    <row r="4156" customFormat="false" ht="15" hidden="false" customHeight="true" outlineLevel="0" collapsed="false">
      <c r="A4156" s="28" t="s">
        <v>14932</v>
      </c>
      <c r="B4156" s="28" t="s">
        <v>8692</v>
      </c>
      <c r="C4156" s="28" t="s">
        <v>1714</v>
      </c>
      <c r="D4156" s="28" t="s">
        <v>54</v>
      </c>
      <c r="E4156" s="28" t="s">
        <v>14874</v>
      </c>
      <c r="F4156" s="28" t="s">
        <v>14933</v>
      </c>
      <c r="G4156" s="28" t="s">
        <v>9</v>
      </c>
      <c r="H4156" s="28" t="n">
        <v>60</v>
      </c>
    </row>
    <row r="4157" customFormat="false" ht="15" hidden="false" customHeight="true" outlineLevel="0" collapsed="false">
      <c r="A4157" s="28" t="s">
        <v>14934</v>
      </c>
      <c r="B4157" s="28" t="s">
        <v>8692</v>
      </c>
      <c r="C4157" s="28" t="s">
        <v>1714</v>
      </c>
      <c r="D4157" s="28" t="s">
        <v>54</v>
      </c>
      <c r="E4157" s="28" t="s">
        <v>14935</v>
      </c>
      <c r="F4157" s="28" t="s">
        <v>14936</v>
      </c>
      <c r="G4157" s="28" t="s">
        <v>9</v>
      </c>
      <c r="H4157" s="28" t="n">
        <v>60</v>
      </c>
    </row>
    <row r="4158" customFormat="false" ht="15" hidden="false" customHeight="true" outlineLevel="0" collapsed="false">
      <c r="A4158" s="28" t="s">
        <v>14937</v>
      </c>
      <c r="B4158" s="28" t="s">
        <v>8692</v>
      </c>
      <c r="C4158" s="28" t="s">
        <v>1714</v>
      </c>
      <c r="D4158" s="28" t="s">
        <v>54</v>
      </c>
      <c r="E4158" s="28" t="s">
        <v>14938</v>
      </c>
      <c r="F4158" s="28" t="s">
        <v>14939</v>
      </c>
      <c r="G4158" s="28" t="s">
        <v>9</v>
      </c>
      <c r="H4158" s="28" t="n">
        <v>60</v>
      </c>
    </row>
    <row r="4159" customFormat="false" ht="15" hidden="false" customHeight="true" outlineLevel="0" collapsed="false">
      <c r="A4159" s="28" t="s">
        <v>14940</v>
      </c>
      <c r="B4159" s="28" t="s">
        <v>8692</v>
      </c>
      <c r="C4159" s="28" t="s">
        <v>1714</v>
      </c>
      <c r="D4159" s="28" t="s">
        <v>54</v>
      </c>
      <c r="E4159" s="28" t="s">
        <v>14941</v>
      </c>
      <c r="F4159" s="28" t="s">
        <v>14942</v>
      </c>
      <c r="G4159" s="28" t="s">
        <v>9</v>
      </c>
      <c r="H4159" s="28" t="n">
        <v>60</v>
      </c>
    </row>
    <row r="4160" customFormat="false" ht="15" hidden="false" customHeight="true" outlineLevel="0" collapsed="false">
      <c r="A4160" s="28" t="s">
        <v>14943</v>
      </c>
      <c r="B4160" s="28" t="s">
        <v>8692</v>
      </c>
      <c r="C4160" s="28" t="s">
        <v>1714</v>
      </c>
      <c r="D4160" s="28" t="s">
        <v>54</v>
      </c>
      <c r="E4160" s="28" t="s">
        <v>14944</v>
      </c>
      <c r="F4160" s="28" t="s">
        <v>14945</v>
      </c>
      <c r="G4160" s="28" t="s">
        <v>9</v>
      </c>
      <c r="H4160" s="28" t="n">
        <v>60</v>
      </c>
    </row>
    <row r="4161" customFormat="false" ht="15" hidden="false" customHeight="true" outlineLevel="0" collapsed="false">
      <c r="A4161" s="28" t="s">
        <v>14946</v>
      </c>
      <c r="B4161" s="28" t="s">
        <v>8692</v>
      </c>
      <c r="C4161" s="28" t="s">
        <v>1714</v>
      </c>
      <c r="D4161" s="28" t="s">
        <v>54</v>
      </c>
      <c r="E4161" s="28" t="s">
        <v>14947</v>
      </c>
      <c r="F4161" s="28" t="s">
        <v>14948</v>
      </c>
      <c r="G4161" s="28" t="s">
        <v>9</v>
      </c>
      <c r="H4161" s="28" t="n">
        <v>60</v>
      </c>
    </row>
    <row r="4162" customFormat="false" ht="15" hidden="false" customHeight="true" outlineLevel="0" collapsed="false">
      <c r="A4162" s="28" t="s">
        <v>14949</v>
      </c>
      <c r="B4162" s="28" t="s">
        <v>8692</v>
      </c>
      <c r="C4162" s="28" t="s">
        <v>1714</v>
      </c>
      <c r="D4162" s="28" t="s">
        <v>54</v>
      </c>
      <c r="E4162" s="28" t="s">
        <v>14868</v>
      </c>
      <c r="F4162" s="28" t="s">
        <v>14950</v>
      </c>
      <c r="G4162" s="28" t="s">
        <v>9</v>
      </c>
      <c r="H4162" s="28" t="n">
        <v>60</v>
      </c>
    </row>
    <row r="4163" customFormat="false" ht="15" hidden="false" customHeight="true" outlineLevel="0" collapsed="false">
      <c r="A4163" s="28" t="s">
        <v>14951</v>
      </c>
      <c r="B4163" s="28" t="s">
        <v>8692</v>
      </c>
      <c r="C4163" s="28" t="s">
        <v>1714</v>
      </c>
      <c r="D4163" s="28" t="s">
        <v>54</v>
      </c>
      <c r="E4163" s="28" t="s">
        <v>14913</v>
      </c>
      <c r="F4163" s="28" t="s">
        <v>14952</v>
      </c>
      <c r="G4163" s="28" t="s">
        <v>9</v>
      </c>
      <c r="H4163" s="28" t="n">
        <v>60</v>
      </c>
    </row>
    <row r="4164" customFormat="false" ht="15" hidden="false" customHeight="true" outlineLevel="0" collapsed="false">
      <c r="A4164" s="28" t="s">
        <v>14953</v>
      </c>
      <c r="B4164" s="28" t="s">
        <v>8707</v>
      </c>
      <c r="C4164" s="28" t="s">
        <v>1714</v>
      </c>
      <c r="D4164" s="28" t="s">
        <v>54</v>
      </c>
      <c r="E4164" s="28" t="s">
        <v>14954</v>
      </c>
      <c r="F4164" s="28" t="s">
        <v>14955</v>
      </c>
      <c r="G4164" s="28" t="s">
        <v>9</v>
      </c>
      <c r="H4164" s="28" t="n">
        <v>60</v>
      </c>
    </row>
    <row r="4165" customFormat="false" ht="15" hidden="false" customHeight="true" outlineLevel="0" collapsed="false">
      <c r="A4165" s="28" t="s">
        <v>14956</v>
      </c>
      <c r="B4165" s="28" t="s">
        <v>8707</v>
      </c>
      <c r="C4165" s="28" t="s">
        <v>1714</v>
      </c>
      <c r="D4165" s="28" t="s">
        <v>54</v>
      </c>
      <c r="E4165" s="28" t="s">
        <v>14954</v>
      </c>
      <c r="F4165" s="28" t="s">
        <v>14957</v>
      </c>
      <c r="G4165" s="28" t="s">
        <v>9</v>
      </c>
      <c r="H4165" s="28" t="n">
        <v>60</v>
      </c>
    </row>
    <row r="4166" customFormat="false" ht="15" hidden="false" customHeight="true" outlineLevel="0" collapsed="false">
      <c r="A4166" s="28" t="s">
        <v>14958</v>
      </c>
      <c r="B4166" s="28" t="s">
        <v>8707</v>
      </c>
      <c r="C4166" s="28" t="s">
        <v>1714</v>
      </c>
      <c r="D4166" s="28" t="s">
        <v>54</v>
      </c>
      <c r="E4166" s="28" t="s">
        <v>14959</v>
      </c>
      <c r="F4166" s="28" t="s">
        <v>14960</v>
      </c>
      <c r="G4166" s="28" t="s">
        <v>9</v>
      </c>
      <c r="H4166" s="28" t="n">
        <v>60</v>
      </c>
    </row>
    <row r="4167" customFormat="false" ht="15" hidden="false" customHeight="true" outlineLevel="0" collapsed="false">
      <c r="A4167" s="28" t="s">
        <v>14961</v>
      </c>
      <c r="B4167" s="28" t="s">
        <v>8707</v>
      </c>
      <c r="C4167" s="28" t="s">
        <v>1714</v>
      </c>
      <c r="D4167" s="28" t="s">
        <v>54</v>
      </c>
      <c r="E4167" s="28" t="s">
        <v>14962</v>
      </c>
      <c r="F4167" s="28" t="s">
        <v>14963</v>
      </c>
      <c r="G4167" s="28" t="s">
        <v>9</v>
      </c>
      <c r="H4167" s="28" t="n">
        <v>60</v>
      </c>
    </row>
    <row r="4168" customFormat="false" ht="15" hidden="false" customHeight="true" outlineLevel="0" collapsed="false">
      <c r="A4168" s="28" t="s">
        <v>14964</v>
      </c>
      <c r="B4168" s="28" t="s">
        <v>8707</v>
      </c>
      <c r="C4168" s="28" t="s">
        <v>1714</v>
      </c>
      <c r="D4168" s="28" t="s">
        <v>54</v>
      </c>
      <c r="E4168" s="28" t="s">
        <v>14954</v>
      </c>
      <c r="F4168" s="28" t="s">
        <v>14965</v>
      </c>
      <c r="G4168" s="28" t="s">
        <v>9</v>
      </c>
      <c r="H4168" s="28" t="n">
        <v>60</v>
      </c>
    </row>
    <row r="4169" customFormat="false" ht="15" hidden="false" customHeight="true" outlineLevel="0" collapsed="false">
      <c r="A4169" s="28" t="s">
        <v>14966</v>
      </c>
      <c r="B4169" s="28" t="s">
        <v>8707</v>
      </c>
      <c r="C4169" s="28" t="s">
        <v>1714</v>
      </c>
      <c r="D4169" s="28" t="s">
        <v>54</v>
      </c>
      <c r="E4169" s="28" t="s">
        <v>14954</v>
      </c>
      <c r="F4169" s="28" t="s">
        <v>14967</v>
      </c>
      <c r="G4169" s="28" t="s">
        <v>9</v>
      </c>
      <c r="H4169" s="28" t="n">
        <v>60</v>
      </c>
    </row>
    <row r="4170" customFormat="false" ht="26.4" hidden="false" customHeight="true" outlineLevel="0" collapsed="false">
      <c r="A4170" s="28" t="s">
        <v>14968</v>
      </c>
      <c r="B4170" s="28" t="s">
        <v>8707</v>
      </c>
      <c r="C4170" s="28" t="s">
        <v>1714</v>
      </c>
      <c r="D4170" s="28" t="s">
        <v>54</v>
      </c>
      <c r="E4170" s="28" t="s">
        <v>14954</v>
      </c>
      <c r="F4170" s="28" t="s">
        <v>14969</v>
      </c>
      <c r="G4170" s="28" t="s">
        <v>9</v>
      </c>
      <c r="H4170" s="28" t="n">
        <v>60</v>
      </c>
    </row>
    <row r="4171" customFormat="false" ht="15" hidden="false" customHeight="true" outlineLevel="0" collapsed="false">
      <c r="A4171" s="28" t="s">
        <v>14970</v>
      </c>
      <c r="B4171" s="28" t="s">
        <v>8707</v>
      </c>
      <c r="C4171" s="28" t="s">
        <v>1714</v>
      </c>
      <c r="D4171" s="28" t="s">
        <v>54</v>
      </c>
      <c r="E4171" s="28" t="s">
        <v>14971</v>
      </c>
      <c r="F4171" s="28" t="s">
        <v>14972</v>
      </c>
      <c r="G4171" s="28" t="s">
        <v>9</v>
      </c>
      <c r="H4171" s="28" t="n">
        <v>60</v>
      </c>
    </row>
    <row r="4172" customFormat="false" ht="15" hidden="false" customHeight="true" outlineLevel="0" collapsed="false">
      <c r="A4172" s="28" t="s">
        <v>14973</v>
      </c>
      <c r="B4172" s="28" t="s">
        <v>8707</v>
      </c>
      <c r="C4172" s="28" t="s">
        <v>1714</v>
      </c>
      <c r="D4172" s="28" t="s">
        <v>54</v>
      </c>
      <c r="E4172" s="28" t="s">
        <v>14974</v>
      </c>
      <c r="F4172" s="28" t="s">
        <v>14975</v>
      </c>
      <c r="G4172" s="28" t="s">
        <v>9</v>
      </c>
      <c r="H4172" s="28" t="n">
        <v>60</v>
      </c>
    </row>
    <row r="4173" customFormat="false" ht="15" hidden="false" customHeight="true" outlineLevel="0" collapsed="false">
      <c r="A4173" s="28" t="s">
        <v>14976</v>
      </c>
      <c r="B4173" s="28" t="s">
        <v>8707</v>
      </c>
      <c r="C4173" s="28" t="s">
        <v>1714</v>
      </c>
      <c r="D4173" s="28" t="s">
        <v>54</v>
      </c>
      <c r="E4173" s="28" t="s">
        <v>14977</v>
      </c>
      <c r="F4173" s="28" t="s">
        <v>14978</v>
      </c>
      <c r="G4173" s="28" t="s">
        <v>9</v>
      </c>
      <c r="H4173" s="28" t="n">
        <v>60</v>
      </c>
    </row>
    <row r="4174" customFormat="false" ht="15" hidden="false" customHeight="true" outlineLevel="0" collapsed="false">
      <c r="A4174" s="28" t="s">
        <v>14979</v>
      </c>
      <c r="B4174" s="28" t="s">
        <v>8707</v>
      </c>
      <c r="C4174" s="28" t="s">
        <v>1714</v>
      </c>
      <c r="D4174" s="28" t="s">
        <v>54</v>
      </c>
      <c r="E4174" s="28" t="s">
        <v>14980</v>
      </c>
      <c r="F4174" s="28" t="s">
        <v>14981</v>
      </c>
      <c r="G4174" s="28" t="s">
        <v>9</v>
      </c>
      <c r="H4174" s="28" t="n">
        <v>60</v>
      </c>
    </row>
    <row r="4175" customFormat="false" ht="15" hidden="false" customHeight="true" outlineLevel="0" collapsed="false">
      <c r="A4175" s="28" t="s">
        <v>14982</v>
      </c>
      <c r="B4175" s="28" t="s">
        <v>8707</v>
      </c>
      <c r="C4175" s="28" t="s">
        <v>1714</v>
      </c>
      <c r="D4175" s="28" t="s">
        <v>54</v>
      </c>
      <c r="E4175" s="28" t="s">
        <v>14983</v>
      </c>
      <c r="F4175" s="28" t="s">
        <v>14984</v>
      </c>
      <c r="G4175" s="28" t="s">
        <v>9</v>
      </c>
      <c r="H4175" s="28" t="n">
        <v>60</v>
      </c>
    </row>
    <row r="4176" customFormat="false" ht="15" hidden="false" customHeight="true" outlineLevel="0" collapsed="false">
      <c r="A4176" s="28" t="s">
        <v>14985</v>
      </c>
      <c r="B4176" s="28" t="s">
        <v>8722</v>
      </c>
      <c r="C4176" s="28" t="s">
        <v>1407</v>
      </c>
      <c r="D4176" s="28" t="s">
        <v>50</v>
      </c>
      <c r="E4176" s="28" t="s">
        <v>14986</v>
      </c>
      <c r="F4176" s="28" t="s">
        <v>14987</v>
      </c>
      <c r="G4176" s="28" t="s">
        <v>9</v>
      </c>
      <c r="H4176" s="28" t="n">
        <v>60</v>
      </c>
    </row>
    <row r="4177" customFormat="false" ht="15" hidden="false" customHeight="true" outlineLevel="0" collapsed="false">
      <c r="A4177" s="28" t="s">
        <v>14988</v>
      </c>
      <c r="B4177" s="28" t="s">
        <v>8722</v>
      </c>
      <c r="C4177" s="28" t="s">
        <v>1407</v>
      </c>
      <c r="D4177" s="28" t="s">
        <v>50</v>
      </c>
      <c r="E4177" s="28" t="s">
        <v>14989</v>
      </c>
      <c r="F4177" s="28" t="s">
        <v>14990</v>
      </c>
      <c r="G4177" s="28" t="s">
        <v>9</v>
      </c>
      <c r="H4177" s="28" t="n">
        <v>60</v>
      </c>
    </row>
    <row r="4178" customFormat="false" ht="15" hidden="false" customHeight="true" outlineLevel="0" collapsed="false">
      <c r="A4178" s="28" t="s">
        <v>14991</v>
      </c>
      <c r="B4178" s="28" t="s">
        <v>8722</v>
      </c>
      <c r="C4178" s="28" t="s">
        <v>1407</v>
      </c>
      <c r="D4178" s="28" t="s">
        <v>50</v>
      </c>
      <c r="E4178" s="28" t="s">
        <v>14992</v>
      </c>
      <c r="F4178" s="28" t="s">
        <v>14993</v>
      </c>
      <c r="G4178" s="28" t="s">
        <v>9</v>
      </c>
      <c r="H4178" s="28" t="n">
        <v>60</v>
      </c>
    </row>
    <row r="4179" customFormat="false" ht="15" hidden="false" customHeight="true" outlineLevel="0" collapsed="false">
      <c r="A4179" s="28" t="s">
        <v>14994</v>
      </c>
      <c r="B4179" s="28" t="s">
        <v>8722</v>
      </c>
      <c r="C4179" s="28" t="s">
        <v>1407</v>
      </c>
      <c r="D4179" s="28" t="s">
        <v>50</v>
      </c>
      <c r="E4179" s="28" t="s">
        <v>14995</v>
      </c>
      <c r="F4179" s="28" t="s">
        <v>14996</v>
      </c>
      <c r="G4179" s="28" t="s">
        <v>9</v>
      </c>
      <c r="H4179" s="28" t="n">
        <v>60</v>
      </c>
    </row>
    <row r="4180" customFormat="false" ht="15" hidden="false" customHeight="true" outlineLevel="0" collapsed="false">
      <c r="A4180" s="28" t="s">
        <v>14997</v>
      </c>
      <c r="B4180" s="28" t="s">
        <v>8722</v>
      </c>
      <c r="C4180" s="28" t="s">
        <v>1407</v>
      </c>
      <c r="D4180" s="28" t="s">
        <v>50</v>
      </c>
      <c r="E4180" s="28" t="s">
        <v>14998</v>
      </c>
      <c r="F4180" s="28" t="s">
        <v>14999</v>
      </c>
      <c r="G4180" s="28" t="s">
        <v>9</v>
      </c>
      <c r="H4180" s="28" t="n">
        <v>60</v>
      </c>
    </row>
    <row r="4181" customFormat="false" ht="15" hidden="false" customHeight="true" outlineLevel="0" collapsed="false">
      <c r="A4181" s="28" t="s">
        <v>15000</v>
      </c>
      <c r="B4181" s="28" t="s">
        <v>8722</v>
      </c>
      <c r="C4181" s="28" t="s">
        <v>1407</v>
      </c>
      <c r="D4181" s="28" t="s">
        <v>50</v>
      </c>
      <c r="E4181" s="28" t="s">
        <v>15001</v>
      </c>
      <c r="F4181" s="28" t="s">
        <v>15002</v>
      </c>
      <c r="G4181" s="28" t="s">
        <v>9</v>
      </c>
      <c r="H4181" s="28" t="n">
        <v>60</v>
      </c>
    </row>
    <row r="4182" customFormat="false" ht="15" hidden="false" customHeight="true" outlineLevel="0" collapsed="false">
      <c r="A4182" s="28" t="s">
        <v>15003</v>
      </c>
      <c r="B4182" s="28" t="s">
        <v>8722</v>
      </c>
      <c r="C4182" s="28" t="s">
        <v>1407</v>
      </c>
      <c r="D4182" s="28" t="s">
        <v>50</v>
      </c>
      <c r="E4182" s="28" t="s">
        <v>15004</v>
      </c>
      <c r="F4182" s="28" t="s">
        <v>15005</v>
      </c>
      <c r="G4182" s="28" t="s">
        <v>9</v>
      </c>
      <c r="H4182" s="28" t="n">
        <v>60</v>
      </c>
    </row>
    <row r="4183" customFormat="false" ht="15" hidden="false" customHeight="true" outlineLevel="0" collapsed="false">
      <c r="A4183" s="28" t="s">
        <v>15006</v>
      </c>
      <c r="B4183" s="28" t="s">
        <v>8722</v>
      </c>
      <c r="C4183" s="28" t="s">
        <v>1407</v>
      </c>
      <c r="D4183" s="28" t="s">
        <v>50</v>
      </c>
      <c r="E4183" s="28" t="s">
        <v>15007</v>
      </c>
      <c r="F4183" s="28" t="s">
        <v>15008</v>
      </c>
      <c r="G4183" s="28" t="s">
        <v>9</v>
      </c>
      <c r="H4183" s="28" t="n">
        <v>60</v>
      </c>
    </row>
    <row r="4184" customFormat="false" ht="15" hidden="false" customHeight="true" outlineLevel="0" collapsed="false">
      <c r="A4184" s="28" t="s">
        <v>15009</v>
      </c>
      <c r="B4184" s="28" t="s">
        <v>8722</v>
      </c>
      <c r="C4184" s="28" t="s">
        <v>1407</v>
      </c>
      <c r="D4184" s="28" t="s">
        <v>50</v>
      </c>
      <c r="E4184" s="28" t="s">
        <v>15010</v>
      </c>
      <c r="F4184" s="28" t="s">
        <v>15011</v>
      </c>
      <c r="G4184" s="28" t="s">
        <v>9</v>
      </c>
      <c r="H4184" s="28" t="n">
        <v>60</v>
      </c>
    </row>
    <row r="4185" customFormat="false" ht="15" hidden="false" customHeight="true" outlineLevel="0" collapsed="false">
      <c r="A4185" s="28" t="s">
        <v>15012</v>
      </c>
      <c r="B4185" s="28" t="s">
        <v>8738</v>
      </c>
      <c r="C4185" s="28" t="s">
        <v>6636</v>
      </c>
      <c r="D4185" s="28" t="s">
        <v>52</v>
      </c>
      <c r="E4185" s="28" t="s">
        <v>15013</v>
      </c>
      <c r="F4185" s="28" t="s">
        <v>15014</v>
      </c>
      <c r="G4185" s="28" t="s">
        <v>9</v>
      </c>
      <c r="H4185" s="28" t="n">
        <v>60</v>
      </c>
    </row>
    <row r="4186" customFormat="false" ht="15" hidden="false" customHeight="true" outlineLevel="0" collapsed="false">
      <c r="A4186" s="28" t="s">
        <v>15015</v>
      </c>
      <c r="B4186" s="28" t="s">
        <v>8738</v>
      </c>
      <c r="C4186" s="28" t="s">
        <v>6636</v>
      </c>
      <c r="D4186" s="28" t="s">
        <v>52</v>
      </c>
      <c r="E4186" s="28" t="s">
        <v>15016</v>
      </c>
      <c r="F4186" s="28" t="s">
        <v>15017</v>
      </c>
      <c r="G4186" s="28" t="s">
        <v>9</v>
      </c>
      <c r="H4186" s="28" t="n">
        <v>60</v>
      </c>
    </row>
    <row r="4187" customFormat="false" ht="15" hidden="false" customHeight="true" outlineLevel="0" collapsed="false">
      <c r="A4187" s="28" t="s">
        <v>15018</v>
      </c>
      <c r="B4187" s="28" t="s">
        <v>8738</v>
      </c>
      <c r="C4187" s="28" t="s">
        <v>6636</v>
      </c>
      <c r="D4187" s="28" t="s">
        <v>52</v>
      </c>
      <c r="E4187" s="28" t="s">
        <v>15019</v>
      </c>
      <c r="F4187" s="28" t="s">
        <v>15020</v>
      </c>
      <c r="G4187" s="28" t="s">
        <v>9</v>
      </c>
      <c r="H4187" s="28" t="n">
        <v>60</v>
      </c>
    </row>
    <row r="4188" customFormat="false" ht="15" hidden="false" customHeight="true" outlineLevel="0" collapsed="false">
      <c r="A4188" s="28" t="s">
        <v>15021</v>
      </c>
      <c r="B4188" s="28" t="s">
        <v>8738</v>
      </c>
      <c r="C4188" s="28" t="s">
        <v>6636</v>
      </c>
      <c r="D4188" s="28" t="s">
        <v>52</v>
      </c>
      <c r="E4188" s="28" t="s">
        <v>15022</v>
      </c>
      <c r="F4188" s="28" t="s">
        <v>15023</v>
      </c>
      <c r="G4188" s="28" t="s">
        <v>9</v>
      </c>
      <c r="H4188" s="28" t="n">
        <v>60</v>
      </c>
    </row>
    <row r="4189" customFormat="false" ht="15" hidden="false" customHeight="true" outlineLevel="0" collapsed="false">
      <c r="A4189" s="28" t="s">
        <v>15024</v>
      </c>
      <c r="B4189" s="28" t="s">
        <v>8738</v>
      </c>
      <c r="C4189" s="28" t="s">
        <v>6636</v>
      </c>
      <c r="D4189" s="28" t="s">
        <v>52</v>
      </c>
      <c r="E4189" s="28" t="s">
        <v>15025</v>
      </c>
      <c r="F4189" s="28" t="s">
        <v>15026</v>
      </c>
      <c r="G4189" s="28" t="s">
        <v>9</v>
      </c>
      <c r="H4189" s="28" t="n">
        <v>60</v>
      </c>
    </row>
    <row r="4190" customFormat="false" ht="15" hidden="false" customHeight="true" outlineLevel="0" collapsed="false">
      <c r="A4190" s="28" t="s">
        <v>15027</v>
      </c>
      <c r="B4190" s="28" t="s">
        <v>8738</v>
      </c>
      <c r="C4190" s="28" t="s">
        <v>6636</v>
      </c>
      <c r="D4190" s="28" t="s">
        <v>52</v>
      </c>
      <c r="E4190" s="28" t="s">
        <v>15028</v>
      </c>
      <c r="F4190" s="28" t="s">
        <v>15029</v>
      </c>
      <c r="G4190" s="28" t="s">
        <v>9</v>
      </c>
      <c r="H4190" s="28" t="n">
        <v>60</v>
      </c>
    </row>
    <row r="4191" customFormat="false" ht="15" hidden="false" customHeight="true" outlineLevel="0" collapsed="false">
      <c r="A4191" s="28" t="s">
        <v>15030</v>
      </c>
      <c r="B4191" s="28" t="s">
        <v>8738</v>
      </c>
      <c r="C4191" s="28" t="s">
        <v>6636</v>
      </c>
      <c r="D4191" s="28" t="s">
        <v>52</v>
      </c>
      <c r="E4191" s="28" t="s">
        <v>15031</v>
      </c>
      <c r="F4191" s="28" t="s">
        <v>15032</v>
      </c>
      <c r="G4191" s="28" t="s">
        <v>9</v>
      </c>
      <c r="H4191" s="28" t="n">
        <v>60</v>
      </c>
    </row>
    <row r="4192" customFormat="false" ht="15" hidden="false" customHeight="true" outlineLevel="0" collapsed="false">
      <c r="A4192" s="28" t="s">
        <v>15033</v>
      </c>
      <c r="B4192" s="28" t="s">
        <v>8738</v>
      </c>
      <c r="C4192" s="28" t="s">
        <v>6636</v>
      </c>
      <c r="D4192" s="28" t="s">
        <v>52</v>
      </c>
      <c r="E4192" s="28" t="s">
        <v>15034</v>
      </c>
      <c r="F4192" s="28" t="s">
        <v>15035</v>
      </c>
      <c r="G4192" s="28" t="s">
        <v>9</v>
      </c>
      <c r="H4192" s="28" t="n">
        <v>60</v>
      </c>
    </row>
    <row r="4193" customFormat="false" ht="15" hidden="false" customHeight="true" outlineLevel="0" collapsed="false">
      <c r="A4193" s="28" t="s">
        <v>15036</v>
      </c>
      <c r="B4193" s="28" t="s">
        <v>4396</v>
      </c>
      <c r="C4193" s="28" t="s">
        <v>98</v>
      </c>
      <c r="D4193" s="28" t="s">
        <v>59</v>
      </c>
      <c r="E4193" s="28" t="s">
        <v>15037</v>
      </c>
      <c r="F4193" s="28" t="s">
        <v>15038</v>
      </c>
      <c r="G4193" s="28" t="s">
        <v>9</v>
      </c>
      <c r="H4193" s="28" t="n">
        <v>60</v>
      </c>
    </row>
    <row r="4194" customFormat="false" ht="15" hidden="false" customHeight="true" outlineLevel="0" collapsed="false">
      <c r="A4194" s="28" t="s">
        <v>15039</v>
      </c>
      <c r="B4194" s="28" t="s">
        <v>4409</v>
      </c>
      <c r="C4194" s="28" t="s">
        <v>98</v>
      </c>
      <c r="D4194" s="28" t="s">
        <v>59</v>
      </c>
      <c r="E4194" s="28" t="s">
        <v>15037</v>
      </c>
      <c r="F4194" s="28" t="s">
        <v>15040</v>
      </c>
      <c r="G4194" s="28" t="s">
        <v>9</v>
      </c>
      <c r="H4194" s="28" t="n">
        <v>60</v>
      </c>
    </row>
    <row r="4195" customFormat="false" ht="15" hidden="false" customHeight="true" outlineLevel="0" collapsed="false">
      <c r="A4195" s="28" t="s">
        <v>15041</v>
      </c>
      <c r="B4195" s="28" t="s">
        <v>4888</v>
      </c>
      <c r="C4195" s="28" t="s">
        <v>1396</v>
      </c>
      <c r="D4195" s="28" t="s">
        <v>59</v>
      </c>
      <c r="E4195" s="28" t="s">
        <v>15037</v>
      </c>
      <c r="F4195" s="28" t="s">
        <v>15042</v>
      </c>
      <c r="G4195" s="28" t="s">
        <v>9</v>
      </c>
      <c r="H4195" s="28" t="n">
        <v>60</v>
      </c>
    </row>
    <row r="4196" customFormat="false" ht="15" hidden="false" customHeight="true" outlineLevel="0" collapsed="false">
      <c r="A4196" s="28" t="s">
        <v>15043</v>
      </c>
      <c r="B4196" s="28" t="s">
        <v>4901</v>
      </c>
      <c r="C4196" s="28" t="s">
        <v>98</v>
      </c>
      <c r="D4196" s="28" t="s">
        <v>59</v>
      </c>
      <c r="E4196" s="28" t="s">
        <v>15037</v>
      </c>
      <c r="F4196" s="28" t="s">
        <v>15044</v>
      </c>
      <c r="G4196" s="28" t="s">
        <v>9</v>
      </c>
      <c r="H4196" s="28" t="n">
        <v>60</v>
      </c>
    </row>
    <row r="4197" customFormat="false" ht="15" hidden="false" customHeight="true" outlineLevel="0" collapsed="false">
      <c r="A4197" s="28" t="s">
        <v>15045</v>
      </c>
      <c r="B4197" s="28" t="s">
        <v>4430</v>
      </c>
      <c r="C4197" s="28" t="s">
        <v>98</v>
      </c>
      <c r="D4197" s="28" t="s">
        <v>59</v>
      </c>
      <c r="E4197" s="28" t="s">
        <v>15037</v>
      </c>
      <c r="F4197" s="28" t="s">
        <v>15046</v>
      </c>
      <c r="G4197" s="28" t="s">
        <v>9</v>
      </c>
      <c r="H4197" s="28" t="n">
        <v>60</v>
      </c>
    </row>
    <row r="4198" customFormat="false" ht="15" hidden="false" customHeight="true" outlineLevel="0" collapsed="false">
      <c r="A4198" s="28" t="s">
        <v>15047</v>
      </c>
      <c r="B4198" s="28" t="s">
        <v>1289</v>
      </c>
      <c r="C4198" s="28" t="s">
        <v>98</v>
      </c>
      <c r="D4198" s="28" t="s">
        <v>59</v>
      </c>
      <c r="E4198" s="28" t="s">
        <v>15037</v>
      </c>
      <c r="F4198" s="28" t="s">
        <v>15048</v>
      </c>
      <c r="G4198" s="28" t="s">
        <v>9</v>
      </c>
      <c r="H4198" s="28" t="n">
        <v>60</v>
      </c>
    </row>
    <row r="4199" customFormat="false" ht="15" hidden="false" customHeight="true" outlineLevel="0" collapsed="false">
      <c r="A4199" s="28" t="s">
        <v>15049</v>
      </c>
      <c r="B4199" s="28" t="s">
        <v>4630</v>
      </c>
      <c r="C4199" s="28" t="s">
        <v>98</v>
      </c>
      <c r="D4199" s="28" t="s">
        <v>54</v>
      </c>
      <c r="E4199" s="28" t="s">
        <v>15037</v>
      </c>
      <c r="F4199" s="28" t="s">
        <v>15050</v>
      </c>
      <c r="G4199" s="28" t="s">
        <v>9</v>
      </c>
      <c r="H4199" s="28" t="n">
        <v>60</v>
      </c>
    </row>
    <row r="4200" customFormat="false" ht="15" hidden="false" customHeight="true" outlineLevel="0" collapsed="false">
      <c r="A4200" s="28" t="s">
        <v>15051</v>
      </c>
      <c r="B4200" s="28" t="s">
        <v>4687</v>
      </c>
      <c r="C4200" s="28" t="s">
        <v>98</v>
      </c>
      <c r="D4200" s="28" t="s">
        <v>54</v>
      </c>
      <c r="E4200" s="28" t="s">
        <v>15037</v>
      </c>
      <c r="F4200" s="28" t="s">
        <v>15052</v>
      </c>
      <c r="G4200" s="28" t="s">
        <v>9</v>
      </c>
      <c r="H4200" s="28" t="n">
        <v>60</v>
      </c>
    </row>
    <row r="4201" customFormat="false" ht="15" hidden="false" customHeight="true" outlineLevel="0" collapsed="false">
      <c r="A4201" s="28" t="s">
        <v>15053</v>
      </c>
      <c r="B4201" s="28" t="s">
        <v>5440</v>
      </c>
      <c r="C4201" s="28" t="s">
        <v>98</v>
      </c>
      <c r="D4201" s="28" t="s">
        <v>52</v>
      </c>
      <c r="E4201" s="28" t="s">
        <v>15054</v>
      </c>
      <c r="F4201" s="28" t="s">
        <v>15055</v>
      </c>
      <c r="G4201" s="28" t="s">
        <v>9</v>
      </c>
      <c r="H4201" s="28" t="n">
        <v>60</v>
      </c>
    </row>
    <row r="4202" customFormat="false" ht="15" hidden="false" customHeight="true" outlineLevel="0" collapsed="false">
      <c r="A4202" s="28" t="s">
        <v>15056</v>
      </c>
      <c r="B4202" s="28" t="s">
        <v>5456</v>
      </c>
      <c r="C4202" s="28" t="s">
        <v>98</v>
      </c>
      <c r="D4202" s="28" t="s">
        <v>50</v>
      </c>
      <c r="E4202" s="28" t="s">
        <v>15054</v>
      </c>
      <c r="F4202" s="28" t="s">
        <v>15057</v>
      </c>
      <c r="G4202" s="28" t="s">
        <v>9</v>
      </c>
      <c r="H4202" s="28" t="n">
        <v>60</v>
      </c>
    </row>
    <row r="4203" customFormat="false" ht="15" hidden="false" customHeight="true" outlineLevel="0" collapsed="false">
      <c r="A4203" s="28" t="s">
        <v>15058</v>
      </c>
      <c r="B4203" s="28" t="s">
        <v>2710</v>
      </c>
      <c r="C4203" s="28" t="s">
        <v>98</v>
      </c>
      <c r="D4203" s="28" t="s">
        <v>50</v>
      </c>
      <c r="E4203" s="28" t="s">
        <v>15054</v>
      </c>
      <c r="F4203" s="28" t="s">
        <v>15059</v>
      </c>
      <c r="G4203" s="28" t="s">
        <v>9</v>
      </c>
      <c r="H4203" s="28" t="n">
        <v>60</v>
      </c>
    </row>
    <row r="4204" customFormat="false" ht="15" hidden="false" customHeight="true" outlineLevel="0" collapsed="false">
      <c r="A4204" s="28" t="s">
        <v>15060</v>
      </c>
      <c r="B4204" s="28" t="s">
        <v>970</v>
      </c>
      <c r="C4204" s="28" t="s">
        <v>98</v>
      </c>
      <c r="D4204" s="28" t="s">
        <v>50</v>
      </c>
      <c r="E4204" s="28" t="s">
        <v>15054</v>
      </c>
      <c r="F4204" s="28" t="s">
        <v>15061</v>
      </c>
      <c r="G4204" s="28" t="s">
        <v>9</v>
      </c>
      <c r="H4204" s="28" t="n">
        <v>60</v>
      </c>
    </row>
    <row r="4205" customFormat="false" ht="15" hidden="false" customHeight="true" outlineLevel="0" collapsed="false">
      <c r="A4205" s="28" t="s">
        <v>15062</v>
      </c>
      <c r="B4205" s="28" t="s">
        <v>986</v>
      </c>
      <c r="C4205" s="28" t="s">
        <v>98</v>
      </c>
      <c r="D4205" s="28" t="s">
        <v>50</v>
      </c>
      <c r="E4205" s="28" t="s">
        <v>15054</v>
      </c>
      <c r="F4205" s="28" t="s">
        <v>15063</v>
      </c>
      <c r="G4205" s="28" t="s">
        <v>9</v>
      </c>
      <c r="H4205" s="28" t="n">
        <v>60</v>
      </c>
    </row>
    <row r="4206" customFormat="false" ht="15" hidden="false" customHeight="true" outlineLevel="0" collapsed="false">
      <c r="A4206" s="28" t="s">
        <v>15064</v>
      </c>
      <c r="B4206" s="28" t="s">
        <v>6111</v>
      </c>
      <c r="C4206" s="28" t="s">
        <v>98</v>
      </c>
      <c r="D4206" s="28" t="s">
        <v>50</v>
      </c>
      <c r="E4206" s="28" t="s">
        <v>15054</v>
      </c>
      <c r="F4206" s="28" t="s">
        <v>15065</v>
      </c>
      <c r="G4206" s="28" t="s">
        <v>9</v>
      </c>
      <c r="H4206" s="28" t="n">
        <v>60</v>
      </c>
    </row>
    <row r="4207" customFormat="false" ht="15" hidden="false" customHeight="true" outlineLevel="0" collapsed="false">
      <c r="A4207" s="28" t="s">
        <v>15066</v>
      </c>
      <c r="B4207" s="28" t="s">
        <v>1051</v>
      </c>
      <c r="C4207" s="28" t="s">
        <v>98</v>
      </c>
      <c r="D4207" s="28" t="s">
        <v>50</v>
      </c>
      <c r="E4207" s="28" t="s">
        <v>15054</v>
      </c>
      <c r="F4207" s="28" t="s">
        <v>15067</v>
      </c>
      <c r="G4207" s="28" t="s">
        <v>9</v>
      </c>
      <c r="H4207" s="28" t="n">
        <v>60</v>
      </c>
    </row>
    <row r="4208" customFormat="false" ht="15" hidden="false" customHeight="true" outlineLevel="0" collapsed="false">
      <c r="A4208" s="28" t="s">
        <v>15068</v>
      </c>
      <c r="B4208" s="28" t="s">
        <v>1140</v>
      </c>
      <c r="C4208" s="28" t="s">
        <v>98</v>
      </c>
      <c r="D4208" s="28" t="s">
        <v>50</v>
      </c>
      <c r="E4208" s="28" t="s">
        <v>15054</v>
      </c>
      <c r="F4208" s="28" t="s">
        <v>15069</v>
      </c>
      <c r="G4208" s="28" t="s">
        <v>9</v>
      </c>
      <c r="H4208" s="28" t="n">
        <v>60</v>
      </c>
    </row>
    <row r="4209" customFormat="false" ht="15" hidden="false" customHeight="true" outlineLevel="0" collapsed="false">
      <c r="A4209" s="28" t="s">
        <v>15070</v>
      </c>
      <c r="B4209" s="28" t="s">
        <v>8519</v>
      </c>
      <c r="C4209" s="28" t="s">
        <v>98</v>
      </c>
      <c r="D4209" s="28" t="s">
        <v>54</v>
      </c>
      <c r="E4209" s="28" t="s">
        <v>15037</v>
      </c>
      <c r="F4209" s="28" t="s">
        <v>15071</v>
      </c>
      <c r="G4209" s="28" t="s">
        <v>9</v>
      </c>
      <c r="H4209" s="28" t="n">
        <v>60</v>
      </c>
    </row>
    <row r="4210" customFormat="false" ht="15" hidden="false" customHeight="true" outlineLevel="0" collapsed="false">
      <c r="A4210" s="28" t="s">
        <v>15072</v>
      </c>
      <c r="B4210" s="28" t="s">
        <v>8755</v>
      </c>
      <c r="C4210" s="28" t="s">
        <v>5159</v>
      </c>
      <c r="D4210" s="28" t="s">
        <v>53</v>
      </c>
      <c r="E4210" s="28" t="s">
        <v>15073</v>
      </c>
      <c r="F4210" s="28" t="s">
        <v>15074</v>
      </c>
      <c r="G4210" s="28" t="s">
        <v>9</v>
      </c>
      <c r="H4210" s="28" t="n">
        <v>70</v>
      </c>
    </row>
    <row r="4211" customFormat="false" ht="15" hidden="false" customHeight="true" outlineLevel="0" collapsed="false">
      <c r="A4211" s="28" t="s">
        <v>15075</v>
      </c>
      <c r="B4211" s="28" t="s">
        <v>8755</v>
      </c>
      <c r="C4211" s="28" t="s">
        <v>5159</v>
      </c>
      <c r="D4211" s="28" t="s">
        <v>53</v>
      </c>
      <c r="E4211" s="28" t="s">
        <v>15076</v>
      </c>
      <c r="F4211" s="28" t="s">
        <v>15077</v>
      </c>
      <c r="G4211" s="28" t="s">
        <v>9</v>
      </c>
      <c r="H4211" s="28" t="n">
        <v>70</v>
      </c>
    </row>
    <row r="4212" customFormat="false" ht="15" hidden="false" customHeight="true" outlineLevel="0" collapsed="false">
      <c r="A4212" s="28" t="s">
        <v>15078</v>
      </c>
      <c r="B4212" s="28" t="s">
        <v>8755</v>
      </c>
      <c r="C4212" s="28" t="s">
        <v>5159</v>
      </c>
      <c r="D4212" s="28" t="s">
        <v>53</v>
      </c>
      <c r="E4212" s="28" t="s">
        <v>15079</v>
      </c>
      <c r="F4212" s="28" t="s">
        <v>15080</v>
      </c>
      <c r="G4212" s="28" t="s">
        <v>9</v>
      </c>
      <c r="H4212" s="28" t="n">
        <v>70</v>
      </c>
    </row>
    <row r="4213" customFormat="false" ht="15" hidden="false" customHeight="true" outlineLevel="0" collapsed="false">
      <c r="A4213" s="28" t="s">
        <v>15081</v>
      </c>
      <c r="B4213" s="28" t="s">
        <v>8755</v>
      </c>
      <c r="C4213" s="28" t="s">
        <v>5159</v>
      </c>
      <c r="D4213" s="28" t="s">
        <v>53</v>
      </c>
      <c r="E4213" s="28" t="s">
        <v>15082</v>
      </c>
      <c r="F4213" s="28" t="s">
        <v>15083</v>
      </c>
      <c r="G4213" s="28" t="s">
        <v>9</v>
      </c>
      <c r="H4213" s="28" t="n">
        <v>70</v>
      </c>
    </row>
    <row r="4214" customFormat="false" ht="15" hidden="false" customHeight="true" outlineLevel="0" collapsed="false">
      <c r="A4214" s="28" t="s">
        <v>15084</v>
      </c>
      <c r="B4214" s="28" t="s">
        <v>8755</v>
      </c>
      <c r="C4214" s="28" t="s">
        <v>5159</v>
      </c>
      <c r="D4214" s="28" t="s">
        <v>53</v>
      </c>
      <c r="E4214" s="28" t="s">
        <v>15085</v>
      </c>
      <c r="F4214" s="28" t="s">
        <v>15086</v>
      </c>
      <c r="G4214" s="28" t="s">
        <v>9</v>
      </c>
      <c r="H4214" s="28" t="n">
        <v>70</v>
      </c>
    </row>
    <row r="4215" customFormat="false" ht="15" hidden="false" customHeight="true" outlineLevel="0" collapsed="false">
      <c r="A4215" s="28" t="s">
        <v>15087</v>
      </c>
      <c r="B4215" s="28" t="s">
        <v>8755</v>
      </c>
      <c r="C4215" s="28" t="s">
        <v>5159</v>
      </c>
      <c r="D4215" s="28" t="s">
        <v>53</v>
      </c>
      <c r="E4215" s="28" t="s">
        <v>15088</v>
      </c>
      <c r="F4215" s="28" t="s">
        <v>15089</v>
      </c>
      <c r="G4215" s="28" t="s">
        <v>9</v>
      </c>
      <c r="H4215" s="28" t="n">
        <v>70</v>
      </c>
    </row>
    <row r="4216" customFormat="false" ht="15" hidden="false" customHeight="true" outlineLevel="0" collapsed="false">
      <c r="A4216" s="28" t="s">
        <v>15090</v>
      </c>
      <c r="B4216" s="28" t="s">
        <v>8755</v>
      </c>
      <c r="C4216" s="28" t="s">
        <v>5159</v>
      </c>
      <c r="D4216" s="28" t="s">
        <v>53</v>
      </c>
      <c r="E4216" s="28" t="s">
        <v>15091</v>
      </c>
      <c r="F4216" s="28" t="s">
        <v>15092</v>
      </c>
      <c r="G4216" s="28" t="s">
        <v>9</v>
      </c>
      <c r="H4216" s="28" t="n">
        <v>70</v>
      </c>
    </row>
    <row r="4217" customFormat="false" ht="15" hidden="false" customHeight="true" outlineLevel="0" collapsed="false">
      <c r="A4217" s="28" t="s">
        <v>15093</v>
      </c>
      <c r="B4217" s="28" t="s">
        <v>8755</v>
      </c>
      <c r="C4217" s="28" t="s">
        <v>5159</v>
      </c>
      <c r="D4217" s="28" t="s">
        <v>53</v>
      </c>
      <c r="E4217" s="28" t="s">
        <v>15094</v>
      </c>
      <c r="F4217" s="28" t="s">
        <v>15095</v>
      </c>
      <c r="G4217" s="28" t="s">
        <v>9</v>
      </c>
      <c r="H4217" s="28" t="n">
        <v>70</v>
      </c>
    </row>
    <row r="4218" customFormat="false" ht="15" hidden="false" customHeight="true" outlineLevel="0" collapsed="false">
      <c r="A4218" s="28" t="s">
        <v>15096</v>
      </c>
      <c r="B4218" s="28" t="s">
        <v>4557</v>
      </c>
      <c r="C4218" s="28" t="s">
        <v>5159</v>
      </c>
      <c r="D4218" s="28" t="s">
        <v>53</v>
      </c>
      <c r="E4218" s="28" t="s">
        <v>14874</v>
      </c>
      <c r="F4218" s="28" t="s">
        <v>15097</v>
      </c>
      <c r="G4218" s="28" t="s">
        <v>9</v>
      </c>
      <c r="H4218" s="28" t="n">
        <v>70</v>
      </c>
    </row>
    <row r="4219" customFormat="false" ht="15" hidden="false" customHeight="true" outlineLevel="0" collapsed="false">
      <c r="A4219" s="28" t="s">
        <v>15098</v>
      </c>
      <c r="B4219" s="28" t="s">
        <v>4557</v>
      </c>
      <c r="C4219" s="28" t="s">
        <v>5159</v>
      </c>
      <c r="D4219" s="28" t="s">
        <v>53</v>
      </c>
      <c r="E4219" s="28" t="s">
        <v>15099</v>
      </c>
      <c r="F4219" s="28" t="s">
        <v>15100</v>
      </c>
      <c r="G4219" s="28" t="s">
        <v>9</v>
      </c>
      <c r="H4219" s="28" t="n">
        <v>70</v>
      </c>
    </row>
    <row r="4220" customFormat="false" ht="15" hidden="false" customHeight="true" outlineLevel="0" collapsed="false">
      <c r="A4220" s="28" t="s">
        <v>15101</v>
      </c>
      <c r="B4220" s="28" t="s">
        <v>4557</v>
      </c>
      <c r="C4220" s="28" t="s">
        <v>5159</v>
      </c>
      <c r="D4220" s="28" t="s">
        <v>53</v>
      </c>
      <c r="E4220" s="28" t="s">
        <v>15102</v>
      </c>
      <c r="F4220" s="28" t="s">
        <v>15103</v>
      </c>
      <c r="G4220" s="28" t="s">
        <v>9</v>
      </c>
      <c r="H4220" s="28" t="n">
        <v>70</v>
      </c>
    </row>
    <row r="4221" customFormat="false" ht="15" hidden="false" customHeight="true" outlineLevel="0" collapsed="false">
      <c r="A4221" s="28" t="s">
        <v>15104</v>
      </c>
      <c r="B4221" s="28" t="s">
        <v>4557</v>
      </c>
      <c r="C4221" s="28" t="s">
        <v>5159</v>
      </c>
      <c r="D4221" s="28" t="s">
        <v>53</v>
      </c>
      <c r="E4221" s="28" t="s">
        <v>15105</v>
      </c>
      <c r="F4221" s="28" t="s">
        <v>15106</v>
      </c>
      <c r="G4221" s="28" t="s">
        <v>9</v>
      </c>
      <c r="H4221" s="28" t="n">
        <v>70</v>
      </c>
    </row>
    <row r="4222" customFormat="false" ht="15" hidden="false" customHeight="true" outlineLevel="0" collapsed="false">
      <c r="A4222" s="28" t="s">
        <v>15107</v>
      </c>
      <c r="B4222" s="28" t="s">
        <v>4557</v>
      </c>
      <c r="C4222" s="28" t="s">
        <v>5159</v>
      </c>
      <c r="D4222" s="28" t="s">
        <v>53</v>
      </c>
      <c r="E4222" s="28" t="s">
        <v>15108</v>
      </c>
      <c r="F4222" s="28" t="s">
        <v>15109</v>
      </c>
      <c r="G4222" s="28" t="s">
        <v>9</v>
      </c>
      <c r="H4222" s="28" t="n">
        <v>70</v>
      </c>
    </row>
    <row r="4223" customFormat="false" ht="26.4" hidden="false" customHeight="true" outlineLevel="0" collapsed="false">
      <c r="A4223" s="28" t="s">
        <v>15110</v>
      </c>
      <c r="B4223" s="28" t="s">
        <v>4557</v>
      </c>
      <c r="C4223" s="28" t="s">
        <v>5159</v>
      </c>
      <c r="D4223" s="28" t="s">
        <v>53</v>
      </c>
      <c r="E4223" s="28" t="s">
        <v>14888</v>
      </c>
      <c r="F4223" s="28" t="s">
        <v>15111</v>
      </c>
      <c r="G4223" s="28" t="s">
        <v>9</v>
      </c>
      <c r="H4223" s="28" t="n">
        <v>70</v>
      </c>
    </row>
    <row r="4224" customFormat="false" ht="15" hidden="false" customHeight="true" outlineLevel="0" collapsed="false">
      <c r="A4224" s="28" t="s">
        <v>15112</v>
      </c>
      <c r="B4224" s="28" t="s">
        <v>8792</v>
      </c>
      <c r="C4224" s="28" t="s">
        <v>5159</v>
      </c>
      <c r="D4224" s="28" t="s">
        <v>53</v>
      </c>
      <c r="E4224" s="28" t="s">
        <v>15113</v>
      </c>
      <c r="F4224" s="28" t="s">
        <v>15114</v>
      </c>
      <c r="G4224" s="28" t="s">
        <v>9</v>
      </c>
      <c r="H4224" s="28" t="n">
        <v>70</v>
      </c>
    </row>
    <row r="4225" customFormat="false" ht="15" hidden="false" customHeight="true" outlineLevel="0" collapsed="false">
      <c r="A4225" s="28" t="s">
        <v>15115</v>
      </c>
      <c r="B4225" s="28" t="s">
        <v>8792</v>
      </c>
      <c r="C4225" s="28" t="s">
        <v>5159</v>
      </c>
      <c r="D4225" s="28" t="s">
        <v>53</v>
      </c>
      <c r="E4225" s="28" t="s">
        <v>15116</v>
      </c>
      <c r="F4225" s="28" t="s">
        <v>15117</v>
      </c>
      <c r="G4225" s="28" t="s">
        <v>9</v>
      </c>
      <c r="H4225" s="28" t="n">
        <v>70</v>
      </c>
    </row>
    <row r="4226" customFormat="false" ht="15" hidden="false" customHeight="true" outlineLevel="0" collapsed="false">
      <c r="A4226" s="28" t="s">
        <v>15118</v>
      </c>
      <c r="B4226" s="28" t="s">
        <v>8792</v>
      </c>
      <c r="C4226" s="28" t="s">
        <v>5159</v>
      </c>
      <c r="D4226" s="28" t="s">
        <v>53</v>
      </c>
      <c r="E4226" s="28" t="s">
        <v>15119</v>
      </c>
      <c r="F4226" s="28" t="s">
        <v>15120</v>
      </c>
      <c r="G4226" s="28" t="s">
        <v>9</v>
      </c>
      <c r="H4226" s="28" t="n">
        <v>70</v>
      </c>
    </row>
    <row r="4227" customFormat="false" ht="15" hidden="false" customHeight="true" outlineLevel="0" collapsed="false">
      <c r="A4227" s="28" t="s">
        <v>15121</v>
      </c>
      <c r="B4227" s="28" t="s">
        <v>8792</v>
      </c>
      <c r="C4227" s="28" t="s">
        <v>5159</v>
      </c>
      <c r="D4227" s="28" t="s">
        <v>53</v>
      </c>
      <c r="E4227" s="28" t="s">
        <v>15122</v>
      </c>
      <c r="F4227" s="28" t="s">
        <v>15123</v>
      </c>
      <c r="G4227" s="28" t="s">
        <v>9</v>
      </c>
      <c r="H4227" s="28" t="n">
        <v>70</v>
      </c>
    </row>
    <row r="4228" customFormat="false" ht="15" hidden="false" customHeight="true" outlineLevel="0" collapsed="false">
      <c r="A4228" s="28" t="s">
        <v>15124</v>
      </c>
      <c r="B4228" s="28" t="s">
        <v>8792</v>
      </c>
      <c r="C4228" s="28" t="s">
        <v>5159</v>
      </c>
      <c r="D4228" s="28" t="s">
        <v>53</v>
      </c>
      <c r="E4228" s="28" t="s">
        <v>15125</v>
      </c>
      <c r="F4228" s="28" t="s">
        <v>15126</v>
      </c>
      <c r="G4228" s="28" t="s">
        <v>9</v>
      </c>
      <c r="H4228" s="28" t="n">
        <v>70</v>
      </c>
    </row>
    <row r="4229" customFormat="false" ht="26.4" hidden="false" customHeight="true" outlineLevel="0" collapsed="false">
      <c r="A4229" s="28" t="s">
        <v>15127</v>
      </c>
      <c r="B4229" s="28" t="s">
        <v>8792</v>
      </c>
      <c r="C4229" s="28" t="s">
        <v>5159</v>
      </c>
      <c r="D4229" s="28" t="s">
        <v>53</v>
      </c>
      <c r="E4229" s="28" t="s">
        <v>14888</v>
      </c>
      <c r="F4229" s="28" t="s">
        <v>15128</v>
      </c>
      <c r="G4229" s="28" t="s">
        <v>9</v>
      </c>
      <c r="H4229" s="28" t="n">
        <v>70</v>
      </c>
    </row>
    <row r="4230" customFormat="false" ht="15" hidden="false" customHeight="true" outlineLevel="0" collapsed="false">
      <c r="A4230" s="28" t="s">
        <v>15129</v>
      </c>
      <c r="B4230" s="28" t="s">
        <v>8809</v>
      </c>
      <c r="C4230" s="28" t="s">
        <v>5159</v>
      </c>
      <c r="D4230" s="28" t="s">
        <v>53</v>
      </c>
      <c r="E4230" s="28" t="s">
        <v>15130</v>
      </c>
      <c r="F4230" s="28" t="s">
        <v>15131</v>
      </c>
      <c r="G4230" s="28" t="s">
        <v>9</v>
      </c>
      <c r="H4230" s="28" t="n">
        <v>70</v>
      </c>
    </row>
    <row r="4231" customFormat="false" ht="15" hidden="false" customHeight="true" outlineLevel="0" collapsed="false">
      <c r="A4231" s="28" t="s">
        <v>15132</v>
      </c>
      <c r="B4231" s="28" t="s">
        <v>8809</v>
      </c>
      <c r="C4231" s="28" t="s">
        <v>5159</v>
      </c>
      <c r="D4231" s="28" t="s">
        <v>53</v>
      </c>
      <c r="E4231" s="28" t="s">
        <v>15082</v>
      </c>
      <c r="F4231" s="28" t="s">
        <v>15133</v>
      </c>
      <c r="G4231" s="28" t="s">
        <v>9</v>
      </c>
      <c r="H4231" s="28" t="n">
        <v>70</v>
      </c>
    </row>
    <row r="4232" customFormat="false" ht="15" hidden="false" customHeight="true" outlineLevel="0" collapsed="false">
      <c r="A4232" s="28" t="s">
        <v>15134</v>
      </c>
      <c r="B4232" s="28" t="s">
        <v>8809</v>
      </c>
      <c r="C4232" s="28" t="s">
        <v>5159</v>
      </c>
      <c r="D4232" s="28" t="s">
        <v>53</v>
      </c>
      <c r="E4232" s="28" t="s">
        <v>15135</v>
      </c>
      <c r="F4232" s="28" t="s">
        <v>15136</v>
      </c>
      <c r="G4232" s="28" t="s">
        <v>9</v>
      </c>
      <c r="H4232" s="28" t="n">
        <v>70</v>
      </c>
    </row>
    <row r="4233" customFormat="false" ht="15" hidden="false" customHeight="true" outlineLevel="0" collapsed="false">
      <c r="A4233" s="28" t="s">
        <v>15137</v>
      </c>
      <c r="B4233" s="28" t="s">
        <v>8809</v>
      </c>
      <c r="C4233" s="28" t="s">
        <v>5159</v>
      </c>
      <c r="D4233" s="28" t="s">
        <v>53</v>
      </c>
      <c r="E4233" s="28" t="s">
        <v>15138</v>
      </c>
      <c r="F4233" s="28" t="s">
        <v>15139</v>
      </c>
      <c r="G4233" s="28" t="s">
        <v>9</v>
      </c>
      <c r="H4233" s="28" t="n">
        <v>70</v>
      </c>
    </row>
    <row r="4234" customFormat="false" ht="15" hidden="false" customHeight="true" outlineLevel="0" collapsed="false">
      <c r="A4234" s="28" t="s">
        <v>15140</v>
      </c>
      <c r="B4234" s="28" t="s">
        <v>8809</v>
      </c>
      <c r="C4234" s="28" t="s">
        <v>5159</v>
      </c>
      <c r="D4234" s="28" t="s">
        <v>53</v>
      </c>
      <c r="E4234" s="28" t="s">
        <v>15141</v>
      </c>
      <c r="F4234" s="28" t="s">
        <v>15142</v>
      </c>
      <c r="G4234" s="28" t="s">
        <v>9</v>
      </c>
      <c r="H4234" s="28" t="n">
        <v>70</v>
      </c>
    </row>
    <row r="4235" customFormat="false" ht="15" hidden="false" customHeight="true" outlineLevel="0" collapsed="false">
      <c r="A4235" s="28" t="s">
        <v>15143</v>
      </c>
      <c r="B4235" s="28" t="s">
        <v>8809</v>
      </c>
      <c r="C4235" s="28" t="s">
        <v>5159</v>
      </c>
      <c r="D4235" s="28" t="s">
        <v>53</v>
      </c>
      <c r="E4235" s="28" t="s">
        <v>15144</v>
      </c>
      <c r="F4235" s="28" t="s">
        <v>15145</v>
      </c>
      <c r="G4235" s="28" t="s">
        <v>9</v>
      </c>
      <c r="H4235" s="28" t="n">
        <v>70</v>
      </c>
    </row>
    <row r="4236" customFormat="false" ht="15" hidden="false" customHeight="true" outlineLevel="0" collapsed="false">
      <c r="A4236" s="28" t="s">
        <v>15146</v>
      </c>
      <c r="B4236" s="28" t="s">
        <v>8809</v>
      </c>
      <c r="C4236" s="28" t="s">
        <v>5159</v>
      </c>
      <c r="D4236" s="28" t="s">
        <v>53</v>
      </c>
      <c r="E4236" s="28" t="s">
        <v>15147</v>
      </c>
      <c r="F4236" s="28" t="s">
        <v>15148</v>
      </c>
      <c r="G4236" s="28" t="s">
        <v>9</v>
      </c>
      <c r="H4236" s="28" t="n">
        <v>70</v>
      </c>
    </row>
    <row r="4237" customFormat="false" ht="15" hidden="false" customHeight="true" outlineLevel="0" collapsed="false">
      <c r="A4237" s="28" t="s">
        <v>15149</v>
      </c>
      <c r="B4237" s="28" t="s">
        <v>8825</v>
      </c>
      <c r="C4237" s="28" t="s">
        <v>5159</v>
      </c>
      <c r="D4237" s="28" t="s">
        <v>53</v>
      </c>
      <c r="E4237" s="28" t="s">
        <v>14938</v>
      </c>
      <c r="F4237" s="28" t="s">
        <v>15150</v>
      </c>
      <c r="G4237" s="28" t="s">
        <v>9</v>
      </c>
      <c r="H4237" s="28" t="n">
        <v>70</v>
      </c>
    </row>
    <row r="4238" customFormat="false" ht="15" hidden="false" customHeight="true" outlineLevel="0" collapsed="false">
      <c r="A4238" s="28" t="s">
        <v>15151</v>
      </c>
      <c r="B4238" s="28" t="s">
        <v>8825</v>
      </c>
      <c r="C4238" s="28" t="s">
        <v>5159</v>
      </c>
      <c r="D4238" s="28" t="s">
        <v>53</v>
      </c>
      <c r="E4238" s="28" t="s">
        <v>15152</v>
      </c>
      <c r="F4238" s="28" t="s">
        <v>15153</v>
      </c>
      <c r="G4238" s="28" t="s">
        <v>9</v>
      </c>
      <c r="H4238" s="28" t="n">
        <v>70</v>
      </c>
    </row>
    <row r="4239" customFormat="false" ht="15" hidden="false" customHeight="true" outlineLevel="0" collapsed="false">
      <c r="A4239" s="28" t="s">
        <v>15154</v>
      </c>
      <c r="B4239" s="28" t="s">
        <v>8825</v>
      </c>
      <c r="C4239" s="28" t="s">
        <v>5159</v>
      </c>
      <c r="D4239" s="28" t="s">
        <v>53</v>
      </c>
      <c r="E4239" s="28" t="s">
        <v>15155</v>
      </c>
      <c r="F4239" s="28" t="s">
        <v>15156</v>
      </c>
      <c r="G4239" s="28" t="s">
        <v>9</v>
      </c>
      <c r="H4239" s="28" t="n">
        <v>70</v>
      </c>
    </row>
    <row r="4240" customFormat="false" ht="15" hidden="false" customHeight="true" outlineLevel="0" collapsed="false">
      <c r="A4240" s="28" t="s">
        <v>15157</v>
      </c>
      <c r="B4240" s="28" t="s">
        <v>8825</v>
      </c>
      <c r="C4240" s="28" t="s">
        <v>5159</v>
      </c>
      <c r="D4240" s="28" t="s">
        <v>53</v>
      </c>
      <c r="E4240" s="28" t="s">
        <v>15158</v>
      </c>
      <c r="F4240" s="28" t="s">
        <v>15159</v>
      </c>
      <c r="G4240" s="28" t="s">
        <v>9</v>
      </c>
      <c r="H4240" s="28" t="n">
        <v>70</v>
      </c>
    </row>
    <row r="4241" customFormat="false" ht="15" hidden="false" customHeight="true" outlineLevel="0" collapsed="false">
      <c r="A4241" s="28" t="s">
        <v>15160</v>
      </c>
      <c r="B4241" s="28" t="s">
        <v>8825</v>
      </c>
      <c r="C4241" s="28" t="s">
        <v>5159</v>
      </c>
      <c r="D4241" s="28" t="s">
        <v>53</v>
      </c>
      <c r="E4241" s="28" t="s">
        <v>15034</v>
      </c>
      <c r="F4241" s="28" t="s">
        <v>15161</v>
      </c>
      <c r="G4241" s="28" t="s">
        <v>9</v>
      </c>
      <c r="H4241" s="28" t="n">
        <v>70</v>
      </c>
    </row>
    <row r="4242" customFormat="false" ht="15" hidden="false" customHeight="true" outlineLevel="0" collapsed="false">
      <c r="A4242" s="28" t="s">
        <v>15162</v>
      </c>
      <c r="B4242" s="28" t="s">
        <v>8825</v>
      </c>
      <c r="C4242" s="28" t="s">
        <v>5159</v>
      </c>
      <c r="D4242" s="28" t="s">
        <v>53</v>
      </c>
      <c r="E4242" s="28" t="s">
        <v>15163</v>
      </c>
      <c r="F4242" s="28" t="s">
        <v>15164</v>
      </c>
      <c r="G4242" s="28" t="s">
        <v>9</v>
      </c>
      <c r="H4242" s="28" t="n">
        <v>70</v>
      </c>
    </row>
    <row r="4243" customFormat="false" ht="15" hidden="false" customHeight="true" outlineLevel="0" collapsed="false">
      <c r="A4243" s="28" t="s">
        <v>15165</v>
      </c>
      <c r="B4243" s="28" t="s">
        <v>8841</v>
      </c>
      <c r="C4243" s="28" t="s">
        <v>98</v>
      </c>
      <c r="D4243" s="28" t="s">
        <v>59</v>
      </c>
      <c r="E4243" s="28" t="s">
        <v>14938</v>
      </c>
      <c r="F4243" s="28" t="s">
        <v>15166</v>
      </c>
      <c r="G4243" s="28" t="s">
        <v>9</v>
      </c>
      <c r="H4243" s="28" t="n">
        <v>70</v>
      </c>
    </row>
    <row r="4244" customFormat="false" ht="15" hidden="false" customHeight="true" outlineLevel="0" collapsed="false">
      <c r="A4244" s="28" t="s">
        <v>15167</v>
      </c>
      <c r="B4244" s="28" t="s">
        <v>8841</v>
      </c>
      <c r="C4244" s="28" t="s">
        <v>98</v>
      </c>
      <c r="D4244" s="28" t="s">
        <v>59</v>
      </c>
      <c r="E4244" s="28" t="s">
        <v>15073</v>
      </c>
      <c r="F4244" s="28" t="s">
        <v>15168</v>
      </c>
      <c r="G4244" s="28" t="s">
        <v>9</v>
      </c>
      <c r="H4244" s="28" t="n">
        <v>70</v>
      </c>
    </row>
    <row r="4245" customFormat="false" ht="15" hidden="false" customHeight="true" outlineLevel="0" collapsed="false">
      <c r="A4245" s="28" t="s">
        <v>15169</v>
      </c>
      <c r="B4245" s="28" t="s">
        <v>8841</v>
      </c>
      <c r="C4245" s="28" t="s">
        <v>98</v>
      </c>
      <c r="D4245" s="28" t="s">
        <v>59</v>
      </c>
      <c r="E4245" s="28" t="s">
        <v>15170</v>
      </c>
      <c r="F4245" s="28" t="s">
        <v>15171</v>
      </c>
      <c r="G4245" s="28" t="s">
        <v>9</v>
      </c>
      <c r="H4245" s="28" t="n">
        <v>70</v>
      </c>
    </row>
    <row r="4246" customFormat="false" ht="15" hidden="false" customHeight="true" outlineLevel="0" collapsed="false">
      <c r="A4246" s="28" t="s">
        <v>15172</v>
      </c>
      <c r="B4246" s="28" t="s">
        <v>8841</v>
      </c>
      <c r="C4246" s="28" t="s">
        <v>98</v>
      </c>
      <c r="D4246" s="28" t="s">
        <v>59</v>
      </c>
      <c r="E4246" s="28" t="s">
        <v>15173</v>
      </c>
      <c r="F4246" s="28" t="s">
        <v>15174</v>
      </c>
      <c r="G4246" s="28" t="s">
        <v>9</v>
      </c>
      <c r="H4246" s="28" t="n">
        <v>70</v>
      </c>
    </row>
    <row r="4247" customFormat="false" ht="15" hidden="false" customHeight="true" outlineLevel="0" collapsed="false">
      <c r="A4247" s="28" t="s">
        <v>15175</v>
      </c>
      <c r="B4247" s="28" t="s">
        <v>8841</v>
      </c>
      <c r="C4247" s="28" t="s">
        <v>98</v>
      </c>
      <c r="D4247" s="28" t="s">
        <v>59</v>
      </c>
      <c r="E4247" s="28" t="s">
        <v>15176</v>
      </c>
      <c r="F4247" s="28" t="s">
        <v>15177</v>
      </c>
      <c r="G4247" s="28" t="s">
        <v>9</v>
      </c>
      <c r="H4247" s="28" t="n">
        <v>70</v>
      </c>
    </row>
    <row r="4248" customFormat="false" ht="15" hidden="false" customHeight="true" outlineLevel="0" collapsed="false">
      <c r="A4248" s="28" t="s">
        <v>15178</v>
      </c>
      <c r="B4248" s="28" t="s">
        <v>8841</v>
      </c>
      <c r="C4248" s="28" t="s">
        <v>98</v>
      </c>
      <c r="D4248" s="28" t="s">
        <v>59</v>
      </c>
      <c r="E4248" s="28" t="s">
        <v>15179</v>
      </c>
      <c r="F4248" s="28" t="s">
        <v>15180</v>
      </c>
      <c r="G4248" s="28" t="s">
        <v>9</v>
      </c>
      <c r="H4248" s="28" t="n">
        <v>70</v>
      </c>
    </row>
    <row r="4249" customFormat="false" ht="15" hidden="false" customHeight="true" outlineLevel="0" collapsed="false">
      <c r="A4249" s="28" t="s">
        <v>15181</v>
      </c>
      <c r="B4249" s="28" t="s">
        <v>8841</v>
      </c>
      <c r="C4249" s="28" t="s">
        <v>98</v>
      </c>
      <c r="D4249" s="28" t="s">
        <v>59</v>
      </c>
      <c r="E4249" s="28" t="s">
        <v>15182</v>
      </c>
      <c r="F4249" s="28" t="s">
        <v>15183</v>
      </c>
      <c r="G4249" s="28" t="s">
        <v>9</v>
      </c>
      <c r="H4249" s="28" t="n">
        <v>70</v>
      </c>
    </row>
    <row r="4250" customFormat="false" ht="15" hidden="false" customHeight="true" outlineLevel="0" collapsed="false">
      <c r="A4250" s="28" t="s">
        <v>15184</v>
      </c>
      <c r="B4250" s="28" t="s">
        <v>8859</v>
      </c>
      <c r="C4250" s="28" t="s">
        <v>98</v>
      </c>
      <c r="D4250" s="28" t="s">
        <v>59</v>
      </c>
      <c r="E4250" s="28" t="s">
        <v>15185</v>
      </c>
      <c r="F4250" s="28" t="s">
        <v>15186</v>
      </c>
      <c r="G4250" s="28" t="s">
        <v>9</v>
      </c>
      <c r="H4250" s="28" t="n">
        <v>70</v>
      </c>
    </row>
    <row r="4251" customFormat="false" ht="15" hidden="false" customHeight="true" outlineLevel="0" collapsed="false">
      <c r="A4251" s="28" t="s">
        <v>15187</v>
      </c>
      <c r="B4251" s="28" t="s">
        <v>8859</v>
      </c>
      <c r="C4251" s="28" t="s">
        <v>98</v>
      </c>
      <c r="D4251" s="28" t="s">
        <v>59</v>
      </c>
      <c r="E4251" s="28" t="s">
        <v>15188</v>
      </c>
      <c r="F4251" s="28" t="s">
        <v>15189</v>
      </c>
      <c r="G4251" s="28" t="s">
        <v>9</v>
      </c>
      <c r="H4251" s="28" t="n">
        <v>70</v>
      </c>
    </row>
    <row r="4252" customFormat="false" ht="15" hidden="false" customHeight="true" outlineLevel="0" collapsed="false">
      <c r="A4252" s="28" t="s">
        <v>15190</v>
      </c>
      <c r="B4252" s="28" t="s">
        <v>8859</v>
      </c>
      <c r="C4252" s="28" t="s">
        <v>98</v>
      </c>
      <c r="D4252" s="28" t="s">
        <v>59</v>
      </c>
      <c r="E4252" s="28" t="s">
        <v>15191</v>
      </c>
      <c r="F4252" s="28" t="s">
        <v>15192</v>
      </c>
      <c r="G4252" s="28" t="s">
        <v>9</v>
      </c>
      <c r="H4252" s="28" t="n">
        <v>70</v>
      </c>
    </row>
    <row r="4253" customFormat="false" ht="15" hidden="false" customHeight="true" outlineLevel="0" collapsed="false">
      <c r="A4253" s="28" t="s">
        <v>15193</v>
      </c>
      <c r="B4253" s="28" t="s">
        <v>8859</v>
      </c>
      <c r="C4253" s="28" t="s">
        <v>98</v>
      </c>
      <c r="D4253" s="28" t="s">
        <v>59</v>
      </c>
      <c r="E4253" s="28" t="s">
        <v>15194</v>
      </c>
      <c r="F4253" s="28" t="s">
        <v>15195</v>
      </c>
      <c r="G4253" s="28" t="s">
        <v>9</v>
      </c>
      <c r="H4253" s="28" t="n">
        <v>70</v>
      </c>
    </row>
    <row r="4254" customFormat="false" ht="15" hidden="false" customHeight="true" outlineLevel="0" collapsed="false">
      <c r="A4254" s="28" t="s">
        <v>15196</v>
      </c>
      <c r="B4254" s="28" t="s">
        <v>8859</v>
      </c>
      <c r="C4254" s="28" t="s">
        <v>98</v>
      </c>
      <c r="D4254" s="28" t="s">
        <v>59</v>
      </c>
      <c r="E4254" s="28" t="s">
        <v>15197</v>
      </c>
      <c r="F4254" s="28" t="s">
        <v>15198</v>
      </c>
      <c r="G4254" s="28" t="s">
        <v>9</v>
      </c>
      <c r="H4254" s="28" t="n">
        <v>70</v>
      </c>
    </row>
    <row r="4255" customFormat="false" ht="15" hidden="false" customHeight="true" outlineLevel="0" collapsed="false">
      <c r="A4255" s="28" t="s">
        <v>15199</v>
      </c>
      <c r="B4255" s="28" t="s">
        <v>8859</v>
      </c>
      <c r="C4255" s="28" t="s">
        <v>98</v>
      </c>
      <c r="D4255" s="28" t="s">
        <v>59</v>
      </c>
      <c r="E4255" s="28" t="s">
        <v>15200</v>
      </c>
      <c r="F4255" s="28" t="s">
        <v>15201</v>
      </c>
      <c r="G4255" s="28" t="s">
        <v>9</v>
      </c>
      <c r="H4255" s="28" t="n">
        <v>70</v>
      </c>
    </row>
    <row r="4256" customFormat="false" ht="15" hidden="false" customHeight="true" outlineLevel="0" collapsed="false">
      <c r="A4256" s="28" t="s">
        <v>15202</v>
      </c>
      <c r="B4256" s="28" t="s">
        <v>8859</v>
      </c>
      <c r="C4256" s="28" t="s">
        <v>98</v>
      </c>
      <c r="D4256" s="28" t="s">
        <v>59</v>
      </c>
      <c r="E4256" s="28" t="s">
        <v>15203</v>
      </c>
      <c r="F4256" s="28" t="s">
        <v>15204</v>
      </c>
      <c r="G4256" s="28" t="s">
        <v>9</v>
      </c>
      <c r="H4256" s="28" t="n">
        <v>70</v>
      </c>
    </row>
    <row r="4257" customFormat="false" ht="15" hidden="false" customHeight="true" outlineLevel="0" collapsed="false">
      <c r="A4257" s="28" t="s">
        <v>15205</v>
      </c>
      <c r="B4257" s="28" t="s">
        <v>8875</v>
      </c>
      <c r="C4257" s="28" t="s">
        <v>1714</v>
      </c>
      <c r="D4257" s="28" t="s">
        <v>54</v>
      </c>
      <c r="E4257" s="28" t="s">
        <v>15206</v>
      </c>
      <c r="F4257" s="28" t="s">
        <v>15207</v>
      </c>
      <c r="G4257" s="28" t="s">
        <v>9</v>
      </c>
      <c r="H4257" s="28" t="n">
        <v>70</v>
      </c>
    </row>
    <row r="4258" customFormat="false" ht="15" hidden="false" customHeight="true" outlineLevel="0" collapsed="false">
      <c r="A4258" s="28" t="s">
        <v>15208</v>
      </c>
      <c r="B4258" s="28" t="s">
        <v>8875</v>
      </c>
      <c r="C4258" s="28" t="s">
        <v>1714</v>
      </c>
      <c r="D4258" s="28" t="s">
        <v>54</v>
      </c>
      <c r="E4258" s="28" t="s">
        <v>15209</v>
      </c>
      <c r="F4258" s="28" t="s">
        <v>15210</v>
      </c>
      <c r="G4258" s="28" t="s">
        <v>9</v>
      </c>
      <c r="H4258" s="28" t="n">
        <v>70</v>
      </c>
    </row>
    <row r="4259" customFormat="false" ht="15" hidden="false" customHeight="true" outlineLevel="0" collapsed="false">
      <c r="A4259" s="28" t="s">
        <v>15211</v>
      </c>
      <c r="B4259" s="28" t="s">
        <v>8875</v>
      </c>
      <c r="C4259" s="28" t="s">
        <v>1714</v>
      </c>
      <c r="D4259" s="28" t="s">
        <v>54</v>
      </c>
      <c r="E4259" s="28" t="s">
        <v>15212</v>
      </c>
      <c r="F4259" s="28" t="s">
        <v>15213</v>
      </c>
      <c r="G4259" s="28" t="s">
        <v>9</v>
      </c>
      <c r="H4259" s="28" t="n">
        <v>70</v>
      </c>
    </row>
    <row r="4260" customFormat="false" ht="15" hidden="false" customHeight="true" outlineLevel="0" collapsed="false">
      <c r="A4260" s="28" t="s">
        <v>15214</v>
      </c>
      <c r="B4260" s="28" t="s">
        <v>8875</v>
      </c>
      <c r="C4260" s="28" t="s">
        <v>1714</v>
      </c>
      <c r="D4260" s="28" t="s">
        <v>54</v>
      </c>
      <c r="E4260" s="28" t="s">
        <v>15215</v>
      </c>
      <c r="F4260" s="28" t="s">
        <v>15216</v>
      </c>
      <c r="G4260" s="28" t="s">
        <v>9</v>
      </c>
      <c r="H4260" s="28" t="n">
        <v>70</v>
      </c>
    </row>
    <row r="4261" customFormat="false" ht="15" hidden="false" customHeight="true" outlineLevel="0" collapsed="false">
      <c r="A4261" s="28" t="s">
        <v>15217</v>
      </c>
      <c r="B4261" s="28" t="s">
        <v>8875</v>
      </c>
      <c r="C4261" s="28" t="s">
        <v>1714</v>
      </c>
      <c r="D4261" s="28" t="s">
        <v>54</v>
      </c>
      <c r="E4261" s="28" t="s">
        <v>15182</v>
      </c>
      <c r="F4261" s="28" t="s">
        <v>15218</v>
      </c>
      <c r="G4261" s="28" t="s">
        <v>9</v>
      </c>
      <c r="H4261" s="28" t="n">
        <v>70</v>
      </c>
    </row>
    <row r="4262" customFormat="false" ht="15" hidden="false" customHeight="true" outlineLevel="0" collapsed="false">
      <c r="A4262" s="28" t="s">
        <v>15219</v>
      </c>
      <c r="B4262" s="28" t="s">
        <v>8875</v>
      </c>
      <c r="C4262" s="28" t="s">
        <v>1714</v>
      </c>
      <c r="D4262" s="28" t="s">
        <v>54</v>
      </c>
      <c r="E4262" s="28" t="s">
        <v>15220</v>
      </c>
      <c r="F4262" s="28" t="s">
        <v>15221</v>
      </c>
      <c r="G4262" s="28" t="s">
        <v>9</v>
      </c>
      <c r="H4262" s="28" t="n">
        <v>70</v>
      </c>
    </row>
    <row r="4263" customFormat="false" ht="15" hidden="false" customHeight="true" outlineLevel="0" collapsed="false">
      <c r="A4263" s="28" t="s">
        <v>15222</v>
      </c>
      <c r="B4263" s="28" t="s">
        <v>8891</v>
      </c>
      <c r="C4263" s="28" t="s">
        <v>1714</v>
      </c>
      <c r="D4263" s="28" t="s">
        <v>54</v>
      </c>
      <c r="E4263" s="28" t="s">
        <v>14938</v>
      </c>
      <c r="F4263" s="28" t="s">
        <v>15223</v>
      </c>
      <c r="G4263" s="28" t="s">
        <v>9</v>
      </c>
      <c r="H4263" s="28" t="n">
        <v>70</v>
      </c>
    </row>
    <row r="4264" customFormat="false" ht="15" hidden="false" customHeight="true" outlineLevel="0" collapsed="false">
      <c r="A4264" s="28" t="s">
        <v>15224</v>
      </c>
      <c r="B4264" s="28" t="s">
        <v>8891</v>
      </c>
      <c r="C4264" s="28" t="s">
        <v>1714</v>
      </c>
      <c r="D4264" s="28" t="s">
        <v>54</v>
      </c>
      <c r="E4264" s="28" t="s">
        <v>15225</v>
      </c>
      <c r="F4264" s="28" t="s">
        <v>15226</v>
      </c>
      <c r="G4264" s="28" t="s">
        <v>9</v>
      </c>
      <c r="H4264" s="28" t="n">
        <v>70</v>
      </c>
    </row>
    <row r="4265" customFormat="false" ht="15" hidden="false" customHeight="true" outlineLevel="0" collapsed="false">
      <c r="A4265" s="28" t="s">
        <v>15227</v>
      </c>
      <c r="B4265" s="28" t="s">
        <v>8891</v>
      </c>
      <c r="C4265" s="28" t="s">
        <v>1714</v>
      </c>
      <c r="D4265" s="28" t="s">
        <v>54</v>
      </c>
      <c r="E4265" s="28" t="s">
        <v>15225</v>
      </c>
      <c r="F4265" s="28" t="s">
        <v>15228</v>
      </c>
      <c r="G4265" s="28" t="s">
        <v>9</v>
      </c>
      <c r="H4265" s="28" t="n">
        <v>70</v>
      </c>
    </row>
    <row r="4266" customFormat="false" ht="15" hidden="false" customHeight="true" outlineLevel="0" collapsed="false">
      <c r="A4266" s="28" t="s">
        <v>15229</v>
      </c>
      <c r="B4266" s="28" t="s">
        <v>8891</v>
      </c>
      <c r="C4266" s="28" t="s">
        <v>1714</v>
      </c>
      <c r="D4266" s="28" t="s">
        <v>54</v>
      </c>
      <c r="E4266" s="28" t="s">
        <v>15225</v>
      </c>
      <c r="F4266" s="28" t="s">
        <v>15230</v>
      </c>
      <c r="G4266" s="28" t="s">
        <v>9</v>
      </c>
      <c r="H4266" s="28" t="n">
        <v>70</v>
      </c>
    </row>
    <row r="4267" customFormat="false" ht="15" hidden="false" customHeight="true" outlineLevel="0" collapsed="false">
      <c r="A4267" s="28" t="s">
        <v>15231</v>
      </c>
      <c r="B4267" s="28" t="s">
        <v>8891</v>
      </c>
      <c r="C4267" s="28" t="s">
        <v>1714</v>
      </c>
      <c r="D4267" s="28" t="s">
        <v>54</v>
      </c>
      <c r="E4267" s="28" t="s">
        <v>15225</v>
      </c>
      <c r="F4267" s="28" t="s">
        <v>15232</v>
      </c>
      <c r="G4267" s="28" t="s">
        <v>9</v>
      </c>
      <c r="H4267" s="28" t="n">
        <v>70</v>
      </c>
    </row>
    <row r="4268" customFormat="false" ht="15" hidden="false" customHeight="true" outlineLevel="0" collapsed="false">
      <c r="A4268" s="28" t="s">
        <v>15233</v>
      </c>
      <c r="B4268" s="28" t="s">
        <v>8891</v>
      </c>
      <c r="C4268" s="28" t="s">
        <v>1714</v>
      </c>
      <c r="D4268" s="28" t="s">
        <v>54</v>
      </c>
      <c r="E4268" s="28" t="s">
        <v>15234</v>
      </c>
      <c r="F4268" s="28" t="s">
        <v>15235</v>
      </c>
      <c r="G4268" s="28" t="s">
        <v>9</v>
      </c>
      <c r="H4268" s="28" t="n">
        <v>70</v>
      </c>
    </row>
    <row r="4269" customFormat="false" ht="15" hidden="false" customHeight="true" outlineLevel="0" collapsed="false">
      <c r="A4269" s="28" t="s">
        <v>15236</v>
      </c>
      <c r="B4269" s="28" t="s">
        <v>8891</v>
      </c>
      <c r="C4269" s="28" t="s">
        <v>1714</v>
      </c>
      <c r="D4269" s="28" t="s">
        <v>54</v>
      </c>
      <c r="E4269" s="28" t="s">
        <v>14977</v>
      </c>
      <c r="F4269" s="28" t="s">
        <v>15237</v>
      </c>
      <c r="G4269" s="28" t="s">
        <v>9</v>
      </c>
      <c r="H4269" s="28" t="n">
        <v>70</v>
      </c>
    </row>
    <row r="4270" customFormat="false" ht="15" hidden="false" customHeight="true" outlineLevel="0" collapsed="false">
      <c r="A4270" s="28" t="s">
        <v>15238</v>
      </c>
      <c r="B4270" s="28" t="s">
        <v>8891</v>
      </c>
      <c r="C4270" s="28" t="s">
        <v>1714</v>
      </c>
      <c r="D4270" s="28" t="s">
        <v>54</v>
      </c>
      <c r="E4270" s="28" t="s">
        <v>15215</v>
      </c>
      <c r="F4270" s="28" t="s">
        <v>15239</v>
      </c>
      <c r="G4270" s="28" t="s">
        <v>9</v>
      </c>
      <c r="H4270" s="28" t="n">
        <v>70</v>
      </c>
    </row>
    <row r="4271" customFormat="false" ht="15" hidden="false" customHeight="true" outlineLevel="0" collapsed="false">
      <c r="A4271" s="28" t="s">
        <v>15240</v>
      </c>
      <c r="B4271" s="28" t="s">
        <v>8908</v>
      </c>
      <c r="C4271" s="28" t="s">
        <v>1714</v>
      </c>
      <c r="D4271" s="28" t="s">
        <v>54</v>
      </c>
      <c r="E4271" s="28" t="s">
        <v>15185</v>
      </c>
      <c r="F4271" s="28" t="s">
        <v>15186</v>
      </c>
      <c r="G4271" s="28" t="s">
        <v>9</v>
      </c>
      <c r="H4271" s="28" t="n">
        <v>70</v>
      </c>
    </row>
    <row r="4272" customFormat="false" ht="15" hidden="false" customHeight="true" outlineLevel="0" collapsed="false">
      <c r="A4272" s="28" t="s">
        <v>15241</v>
      </c>
      <c r="B4272" s="28" t="s">
        <v>8908</v>
      </c>
      <c r="C4272" s="28" t="s">
        <v>1714</v>
      </c>
      <c r="D4272" s="28" t="s">
        <v>54</v>
      </c>
      <c r="E4272" s="28" t="s">
        <v>15188</v>
      </c>
      <c r="F4272" s="28" t="s">
        <v>15242</v>
      </c>
      <c r="G4272" s="28" t="s">
        <v>9</v>
      </c>
      <c r="H4272" s="28" t="n">
        <v>70</v>
      </c>
    </row>
    <row r="4273" customFormat="false" ht="15" hidden="false" customHeight="true" outlineLevel="0" collapsed="false">
      <c r="A4273" s="28" t="s">
        <v>15243</v>
      </c>
      <c r="B4273" s="28" t="s">
        <v>8908</v>
      </c>
      <c r="C4273" s="28" t="s">
        <v>1714</v>
      </c>
      <c r="D4273" s="28" t="s">
        <v>54</v>
      </c>
      <c r="E4273" s="28" t="s">
        <v>15191</v>
      </c>
      <c r="F4273" s="28" t="s">
        <v>15192</v>
      </c>
      <c r="G4273" s="28" t="s">
        <v>9</v>
      </c>
      <c r="H4273" s="28" t="n">
        <v>70</v>
      </c>
    </row>
    <row r="4274" customFormat="false" ht="15" hidden="false" customHeight="true" outlineLevel="0" collapsed="false">
      <c r="A4274" s="28" t="s">
        <v>15244</v>
      </c>
      <c r="B4274" s="28" t="s">
        <v>8908</v>
      </c>
      <c r="C4274" s="28" t="s">
        <v>1714</v>
      </c>
      <c r="D4274" s="28" t="s">
        <v>54</v>
      </c>
      <c r="E4274" s="28" t="s">
        <v>15197</v>
      </c>
      <c r="F4274" s="28" t="s">
        <v>15198</v>
      </c>
      <c r="G4274" s="28" t="s">
        <v>9</v>
      </c>
      <c r="H4274" s="28" t="n">
        <v>70</v>
      </c>
    </row>
    <row r="4275" customFormat="false" ht="15" hidden="false" customHeight="true" outlineLevel="0" collapsed="false">
      <c r="A4275" s="28" t="s">
        <v>15245</v>
      </c>
      <c r="B4275" s="28" t="s">
        <v>8908</v>
      </c>
      <c r="C4275" s="28" t="s">
        <v>1714</v>
      </c>
      <c r="D4275" s="28" t="s">
        <v>54</v>
      </c>
      <c r="E4275" s="28" t="s">
        <v>15200</v>
      </c>
      <c r="F4275" s="28" t="s">
        <v>15246</v>
      </c>
      <c r="G4275" s="28" t="s">
        <v>9</v>
      </c>
      <c r="H4275" s="28" t="n">
        <v>70</v>
      </c>
    </row>
    <row r="4276" customFormat="false" ht="15" hidden="false" customHeight="true" outlineLevel="0" collapsed="false">
      <c r="A4276" s="28" t="s">
        <v>15247</v>
      </c>
      <c r="B4276" s="28" t="s">
        <v>8908</v>
      </c>
      <c r="C4276" s="28" t="s">
        <v>1714</v>
      </c>
      <c r="D4276" s="28" t="s">
        <v>54</v>
      </c>
      <c r="E4276" s="28" t="s">
        <v>15248</v>
      </c>
      <c r="F4276" s="28" t="s">
        <v>15249</v>
      </c>
      <c r="G4276" s="28" t="s">
        <v>9</v>
      </c>
      <c r="H4276" s="28" t="n">
        <v>70</v>
      </c>
    </row>
    <row r="4277" customFormat="false" ht="15" hidden="false" customHeight="true" outlineLevel="0" collapsed="false">
      <c r="A4277" s="28" t="s">
        <v>15250</v>
      </c>
      <c r="B4277" s="28" t="s">
        <v>8908</v>
      </c>
      <c r="C4277" s="28" t="s">
        <v>1714</v>
      </c>
      <c r="D4277" s="28" t="s">
        <v>54</v>
      </c>
      <c r="E4277" s="28" t="s">
        <v>15203</v>
      </c>
      <c r="F4277" s="28" t="s">
        <v>15251</v>
      </c>
      <c r="G4277" s="28" t="s">
        <v>9</v>
      </c>
      <c r="H4277" s="28" t="n">
        <v>70</v>
      </c>
    </row>
    <row r="4278" customFormat="false" ht="15" hidden="false" customHeight="true" outlineLevel="0" collapsed="false">
      <c r="A4278" s="28" t="s">
        <v>15252</v>
      </c>
      <c r="B4278" s="28" t="s">
        <v>4291</v>
      </c>
      <c r="C4278" s="28" t="s">
        <v>1714</v>
      </c>
      <c r="D4278" s="28" t="s">
        <v>54</v>
      </c>
      <c r="E4278" s="28" t="s">
        <v>15253</v>
      </c>
      <c r="F4278" s="28" t="s">
        <v>15254</v>
      </c>
      <c r="G4278" s="28" t="s">
        <v>9</v>
      </c>
      <c r="H4278" s="28" t="n">
        <v>70</v>
      </c>
    </row>
    <row r="4279" customFormat="false" ht="15" hidden="false" customHeight="true" outlineLevel="0" collapsed="false">
      <c r="A4279" s="28" t="s">
        <v>15255</v>
      </c>
      <c r="B4279" s="28" t="s">
        <v>4291</v>
      </c>
      <c r="C4279" s="28" t="s">
        <v>1714</v>
      </c>
      <c r="D4279" s="28" t="s">
        <v>54</v>
      </c>
      <c r="E4279" s="28" t="s">
        <v>14938</v>
      </c>
      <c r="F4279" s="28" t="s">
        <v>15256</v>
      </c>
      <c r="G4279" s="28" t="s">
        <v>9</v>
      </c>
      <c r="H4279" s="28" t="n">
        <v>70</v>
      </c>
    </row>
    <row r="4280" customFormat="false" ht="15" hidden="false" customHeight="true" outlineLevel="0" collapsed="false">
      <c r="A4280" s="28" t="s">
        <v>15257</v>
      </c>
      <c r="B4280" s="28" t="s">
        <v>4291</v>
      </c>
      <c r="C4280" s="28" t="s">
        <v>1714</v>
      </c>
      <c r="D4280" s="28" t="s">
        <v>54</v>
      </c>
      <c r="E4280" s="28" t="s">
        <v>15258</v>
      </c>
      <c r="F4280" s="28" t="s">
        <v>15259</v>
      </c>
      <c r="G4280" s="28" t="s">
        <v>9</v>
      </c>
      <c r="H4280" s="28" t="n">
        <v>70</v>
      </c>
    </row>
    <row r="4281" customFormat="false" ht="15" hidden="false" customHeight="true" outlineLevel="0" collapsed="false">
      <c r="A4281" s="28" t="s">
        <v>15260</v>
      </c>
      <c r="B4281" s="28" t="s">
        <v>4291</v>
      </c>
      <c r="C4281" s="28" t="s">
        <v>1714</v>
      </c>
      <c r="D4281" s="28" t="s">
        <v>54</v>
      </c>
      <c r="E4281" s="28" t="s">
        <v>15261</v>
      </c>
      <c r="F4281" s="28" t="s">
        <v>15262</v>
      </c>
      <c r="G4281" s="28" t="s">
        <v>9</v>
      </c>
      <c r="H4281" s="28" t="n">
        <v>70</v>
      </c>
    </row>
    <row r="4282" customFormat="false" ht="15" hidden="false" customHeight="true" outlineLevel="0" collapsed="false">
      <c r="A4282" s="28" t="s">
        <v>15263</v>
      </c>
      <c r="B4282" s="28" t="s">
        <v>4291</v>
      </c>
      <c r="C4282" s="28" t="s">
        <v>1714</v>
      </c>
      <c r="D4282" s="28" t="s">
        <v>54</v>
      </c>
      <c r="E4282" s="28" t="s">
        <v>15264</v>
      </c>
      <c r="F4282" s="28" t="s">
        <v>15251</v>
      </c>
      <c r="G4282" s="28" t="s">
        <v>9</v>
      </c>
      <c r="H4282" s="28" t="n">
        <v>70</v>
      </c>
    </row>
    <row r="4283" customFormat="false" ht="15" hidden="false" customHeight="true" outlineLevel="0" collapsed="false">
      <c r="A4283" s="28" t="s">
        <v>15265</v>
      </c>
      <c r="B4283" s="28" t="s">
        <v>4291</v>
      </c>
      <c r="C4283" s="28" t="s">
        <v>1714</v>
      </c>
      <c r="D4283" s="28" t="s">
        <v>54</v>
      </c>
      <c r="E4283" s="28" t="s">
        <v>15266</v>
      </c>
      <c r="F4283" s="28" t="s">
        <v>15267</v>
      </c>
      <c r="G4283" s="28" t="s">
        <v>9</v>
      </c>
      <c r="H4283" s="28" t="n">
        <v>70</v>
      </c>
    </row>
    <row r="4284" customFormat="false" ht="15" hidden="false" customHeight="true" outlineLevel="0" collapsed="false">
      <c r="A4284" s="28" t="s">
        <v>15268</v>
      </c>
      <c r="B4284" s="28" t="s">
        <v>4291</v>
      </c>
      <c r="C4284" s="28" t="s">
        <v>1714</v>
      </c>
      <c r="D4284" s="28" t="s">
        <v>54</v>
      </c>
      <c r="E4284" s="28" t="s">
        <v>15147</v>
      </c>
      <c r="F4284" s="28" t="s">
        <v>15269</v>
      </c>
      <c r="G4284" s="28" t="s">
        <v>9</v>
      </c>
      <c r="H4284" s="28" t="n">
        <v>70</v>
      </c>
    </row>
    <row r="4285" customFormat="false" ht="15" hidden="false" customHeight="true" outlineLevel="0" collapsed="false">
      <c r="A4285" s="28" t="s">
        <v>15270</v>
      </c>
      <c r="B4285" s="28" t="s">
        <v>4291</v>
      </c>
      <c r="C4285" s="28" t="s">
        <v>1714</v>
      </c>
      <c r="D4285" s="28" t="s">
        <v>54</v>
      </c>
      <c r="E4285" s="28" t="s">
        <v>15271</v>
      </c>
      <c r="F4285" s="28" t="s">
        <v>15272</v>
      </c>
      <c r="G4285" s="28" t="s">
        <v>9</v>
      </c>
      <c r="H4285" s="28" t="n">
        <v>70</v>
      </c>
    </row>
    <row r="4286" customFormat="false" ht="15" hidden="false" customHeight="true" outlineLevel="0" collapsed="false">
      <c r="A4286" s="28" t="s">
        <v>15273</v>
      </c>
      <c r="B4286" s="28" t="s">
        <v>8939</v>
      </c>
      <c r="C4286" s="28" t="s">
        <v>1714</v>
      </c>
      <c r="D4286" s="28" t="s">
        <v>54</v>
      </c>
      <c r="E4286" s="28" t="s">
        <v>15274</v>
      </c>
      <c r="F4286" s="28" t="s">
        <v>15275</v>
      </c>
      <c r="G4286" s="28" t="s">
        <v>9</v>
      </c>
      <c r="H4286" s="28" t="n">
        <v>70</v>
      </c>
    </row>
    <row r="4287" customFormat="false" ht="15" hidden="false" customHeight="true" outlineLevel="0" collapsed="false">
      <c r="A4287" s="28" t="s">
        <v>15276</v>
      </c>
      <c r="B4287" s="28" t="s">
        <v>8939</v>
      </c>
      <c r="C4287" s="28" t="s">
        <v>1714</v>
      </c>
      <c r="D4287" s="28" t="s">
        <v>54</v>
      </c>
      <c r="E4287" s="28" t="s">
        <v>15277</v>
      </c>
      <c r="F4287" s="28" t="s">
        <v>15278</v>
      </c>
      <c r="G4287" s="28" t="s">
        <v>9</v>
      </c>
      <c r="H4287" s="28" t="n">
        <v>70</v>
      </c>
    </row>
    <row r="4288" customFormat="false" ht="15" hidden="false" customHeight="true" outlineLevel="0" collapsed="false">
      <c r="A4288" s="28" t="s">
        <v>15279</v>
      </c>
      <c r="B4288" s="28" t="s">
        <v>8939</v>
      </c>
      <c r="C4288" s="28" t="s">
        <v>1714</v>
      </c>
      <c r="D4288" s="28" t="s">
        <v>54</v>
      </c>
      <c r="E4288" s="28" t="s">
        <v>15280</v>
      </c>
      <c r="F4288" s="28" t="s">
        <v>15281</v>
      </c>
      <c r="G4288" s="28" t="s">
        <v>9</v>
      </c>
      <c r="H4288" s="28" t="n">
        <v>70</v>
      </c>
    </row>
    <row r="4289" customFormat="false" ht="15" hidden="false" customHeight="true" outlineLevel="0" collapsed="false">
      <c r="A4289" s="28" t="s">
        <v>15282</v>
      </c>
      <c r="B4289" s="28" t="s">
        <v>8939</v>
      </c>
      <c r="C4289" s="28" t="s">
        <v>1714</v>
      </c>
      <c r="D4289" s="28" t="s">
        <v>54</v>
      </c>
      <c r="E4289" s="28" t="s">
        <v>15283</v>
      </c>
      <c r="F4289" s="28" t="s">
        <v>15284</v>
      </c>
      <c r="G4289" s="28" t="s">
        <v>9</v>
      </c>
      <c r="H4289" s="28" t="n">
        <v>70</v>
      </c>
    </row>
    <row r="4290" customFormat="false" ht="15" hidden="false" customHeight="true" outlineLevel="0" collapsed="false">
      <c r="A4290" s="28" t="s">
        <v>15285</v>
      </c>
      <c r="B4290" s="28" t="s">
        <v>8939</v>
      </c>
      <c r="C4290" s="28" t="s">
        <v>1714</v>
      </c>
      <c r="D4290" s="28" t="s">
        <v>54</v>
      </c>
      <c r="E4290" s="28" t="s">
        <v>15286</v>
      </c>
      <c r="F4290" s="28" t="s">
        <v>15287</v>
      </c>
      <c r="G4290" s="28" t="s">
        <v>9</v>
      </c>
      <c r="H4290" s="28" t="n">
        <v>70</v>
      </c>
    </row>
    <row r="4291" customFormat="false" ht="15" hidden="false" customHeight="true" outlineLevel="0" collapsed="false">
      <c r="A4291" s="28" t="s">
        <v>15288</v>
      </c>
      <c r="B4291" s="28" t="s">
        <v>8939</v>
      </c>
      <c r="C4291" s="28" t="s">
        <v>1714</v>
      </c>
      <c r="D4291" s="28" t="s">
        <v>54</v>
      </c>
      <c r="E4291" s="28" t="s">
        <v>15289</v>
      </c>
      <c r="F4291" s="28" t="s">
        <v>15290</v>
      </c>
      <c r="G4291" s="28" t="s">
        <v>9</v>
      </c>
      <c r="H4291" s="28" t="n">
        <v>70</v>
      </c>
    </row>
    <row r="4292" customFormat="false" ht="15" hidden="false" customHeight="true" outlineLevel="0" collapsed="false">
      <c r="A4292" s="28" t="s">
        <v>15291</v>
      </c>
      <c r="B4292" s="28" t="s">
        <v>8939</v>
      </c>
      <c r="C4292" s="28" t="s">
        <v>1714</v>
      </c>
      <c r="D4292" s="28" t="s">
        <v>54</v>
      </c>
      <c r="E4292" s="28" t="s">
        <v>15292</v>
      </c>
      <c r="F4292" s="28" t="s">
        <v>15293</v>
      </c>
      <c r="G4292" s="28" t="s">
        <v>9</v>
      </c>
      <c r="H4292" s="28" t="n">
        <v>70</v>
      </c>
    </row>
    <row r="4293" customFormat="false" ht="15" hidden="false" customHeight="true" outlineLevel="0" collapsed="false">
      <c r="A4293" s="28" t="s">
        <v>15294</v>
      </c>
      <c r="B4293" s="28" t="s">
        <v>1551</v>
      </c>
      <c r="C4293" s="28" t="s">
        <v>57</v>
      </c>
      <c r="D4293" s="28" t="s">
        <v>57</v>
      </c>
      <c r="E4293" s="28" t="s">
        <v>15295</v>
      </c>
      <c r="F4293" s="28" t="s">
        <v>15296</v>
      </c>
      <c r="G4293" s="28" t="s">
        <v>9</v>
      </c>
      <c r="H4293" s="28" t="n">
        <v>70</v>
      </c>
    </row>
    <row r="4294" customFormat="false" ht="15" hidden="false" customHeight="true" outlineLevel="0" collapsed="false">
      <c r="A4294" s="28" t="s">
        <v>15297</v>
      </c>
      <c r="B4294" s="28" t="s">
        <v>1551</v>
      </c>
      <c r="C4294" s="28" t="s">
        <v>57</v>
      </c>
      <c r="D4294" s="28" t="s">
        <v>57</v>
      </c>
      <c r="E4294" s="28" t="s">
        <v>15298</v>
      </c>
      <c r="F4294" s="28" t="s">
        <v>15299</v>
      </c>
      <c r="G4294" s="28" t="s">
        <v>9</v>
      </c>
      <c r="H4294" s="28" t="n">
        <v>70</v>
      </c>
    </row>
    <row r="4295" customFormat="false" ht="15" hidden="false" customHeight="true" outlineLevel="0" collapsed="false">
      <c r="A4295" s="28" t="s">
        <v>15300</v>
      </c>
      <c r="B4295" s="28" t="s">
        <v>1551</v>
      </c>
      <c r="C4295" s="28" t="s">
        <v>57</v>
      </c>
      <c r="D4295" s="28" t="s">
        <v>57</v>
      </c>
      <c r="E4295" s="28" t="s">
        <v>15301</v>
      </c>
      <c r="F4295" s="28" t="s">
        <v>15302</v>
      </c>
      <c r="G4295" s="28" t="s">
        <v>9</v>
      </c>
      <c r="H4295" s="28" t="n">
        <v>70</v>
      </c>
    </row>
    <row r="4296" customFormat="false" ht="15" hidden="false" customHeight="true" outlineLevel="0" collapsed="false">
      <c r="A4296" s="28" t="s">
        <v>15303</v>
      </c>
      <c r="B4296" s="28" t="s">
        <v>1551</v>
      </c>
      <c r="C4296" s="28" t="s">
        <v>57</v>
      </c>
      <c r="D4296" s="28" t="s">
        <v>57</v>
      </c>
      <c r="E4296" s="28" t="s">
        <v>15304</v>
      </c>
      <c r="F4296" s="28" t="s">
        <v>15305</v>
      </c>
      <c r="G4296" s="28" t="s">
        <v>9</v>
      </c>
      <c r="H4296" s="28" t="n">
        <v>70</v>
      </c>
    </row>
    <row r="4297" customFormat="false" ht="15" hidden="false" customHeight="true" outlineLevel="0" collapsed="false">
      <c r="A4297" s="28" t="s">
        <v>15306</v>
      </c>
      <c r="B4297" s="28" t="s">
        <v>1551</v>
      </c>
      <c r="C4297" s="28" t="s">
        <v>57</v>
      </c>
      <c r="D4297" s="28" t="s">
        <v>57</v>
      </c>
      <c r="E4297" s="28" t="s">
        <v>15307</v>
      </c>
      <c r="F4297" s="28" t="s">
        <v>15308</v>
      </c>
      <c r="G4297" s="28" t="s">
        <v>9</v>
      </c>
      <c r="H4297" s="28" t="n">
        <v>70</v>
      </c>
    </row>
    <row r="4298" customFormat="false" ht="15" hidden="false" customHeight="true" outlineLevel="0" collapsed="false">
      <c r="A4298" s="28" t="s">
        <v>15309</v>
      </c>
      <c r="B4298" s="28" t="s">
        <v>1551</v>
      </c>
      <c r="C4298" s="28" t="s">
        <v>57</v>
      </c>
      <c r="D4298" s="28" t="s">
        <v>57</v>
      </c>
      <c r="E4298" s="28" t="s">
        <v>15310</v>
      </c>
      <c r="F4298" s="28" t="s">
        <v>15311</v>
      </c>
      <c r="G4298" s="28" t="s">
        <v>9</v>
      </c>
      <c r="H4298" s="28" t="n">
        <v>70</v>
      </c>
    </row>
    <row r="4299" customFormat="false" ht="15" hidden="false" customHeight="true" outlineLevel="0" collapsed="false">
      <c r="A4299" s="28" t="s">
        <v>15312</v>
      </c>
      <c r="B4299" s="28" t="s">
        <v>1551</v>
      </c>
      <c r="C4299" s="28" t="s">
        <v>57</v>
      </c>
      <c r="D4299" s="28" t="s">
        <v>57</v>
      </c>
      <c r="E4299" s="28" t="s">
        <v>15313</v>
      </c>
      <c r="F4299" s="28" t="s">
        <v>15314</v>
      </c>
      <c r="G4299" s="28" t="s">
        <v>9</v>
      </c>
      <c r="H4299" s="28" t="n">
        <v>70</v>
      </c>
    </row>
    <row r="4300" customFormat="false" ht="15" hidden="false" customHeight="true" outlineLevel="0" collapsed="false">
      <c r="A4300" s="28" t="s">
        <v>15315</v>
      </c>
      <c r="B4300" s="28" t="s">
        <v>1551</v>
      </c>
      <c r="C4300" s="28" t="s">
        <v>57</v>
      </c>
      <c r="D4300" s="28" t="s">
        <v>57</v>
      </c>
      <c r="E4300" s="28" t="s">
        <v>15289</v>
      </c>
      <c r="F4300" s="28" t="s">
        <v>15316</v>
      </c>
      <c r="G4300" s="28" t="s">
        <v>9</v>
      </c>
      <c r="H4300" s="28" t="n">
        <v>70</v>
      </c>
    </row>
    <row r="4301" customFormat="false" ht="15" hidden="false" customHeight="true" outlineLevel="0" collapsed="false">
      <c r="A4301" s="28" t="s">
        <v>15317</v>
      </c>
      <c r="B4301" s="28" t="s">
        <v>8971</v>
      </c>
      <c r="C4301" s="28" t="s">
        <v>57</v>
      </c>
      <c r="D4301" s="28" t="s">
        <v>57</v>
      </c>
      <c r="E4301" s="28" t="s">
        <v>15318</v>
      </c>
      <c r="F4301" s="28" t="s">
        <v>15192</v>
      </c>
      <c r="G4301" s="28" t="s">
        <v>9</v>
      </c>
      <c r="H4301" s="28" t="n">
        <v>70</v>
      </c>
    </row>
    <row r="4302" customFormat="false" ht="15" hidden="false" customHeight="true" outlineLevel="0" collapsed="false">
      <c r="A4302" s="28" t="s">
        <v>15319</v>
      </c>
      <c r="B4302" s="28" t="s">
        <v>8971</v>
      </c>
      <c r="C4302" s="28" t="s">
        <v>57</v>
      </c>
      <c r="D4302" s="28" t="s">
        <v>57</v>
      </c>
      <c r="E4302" s="28" t="s">
        <v>15320</v>
      </c>
      <c r="F4302" s="28" t="s">
        <v>15192</v>
      </c>
      <c r="G4302" s="28" t="s">
        <v>9</v>
      </c>
      <c r="H4302" s="28" t="n">
        <v>70</v>
      </c>
    </row>
    <row r="4303" customFormat="false" ht="15" hidden="false" customHeight="true" outlineLevel="0" collapsed="false">
      <c r="A4303" s="28" t="s">
        <v>15321</v>
      </c>
      <c r="B4303" s="28" t="s">
        <v>8971</v>
      </c>
      <c r="C4303" s="28" t="s">
        <v>57</v>
      </c>
      <c r="D4303" s="28" t="s">
        <v>57</v>
      </c>
      <c r="E4303" s="28" t="s">
        <v>15322</v>
      </c>
      <c r="F4303" s="28" t="s">
        <v>15323</v>
      </c>
      <c r="G4303" s="28" t="s">
        <v>9</v>
      </c>
      <c r="H4303" s="28" t="n">
        <v>70</v>
      </c>
    </row>
    <row r="4304" customFormat="false" ht="15" hidden="false" customHeight="true" outlineLevel="0" collapsed="false">
      <c r="A4304" s="28" t="s">
        <v>15324</v>
      </c>
      <c r="B4304" s="28" t="s">
        <v>8971</v>
      </c>
      <c r="C4304" s="28" t="s">
        <v>57</v>
      </c>
      <c r="D4304" s="28" t="s">
        <v>57</v>
      </c>
      <c r="E4304" s="28" t="s">
        <v>15325</v>
      </c>
      <c r="F4304" s="28" t="s">
        <v>15326</v>
      </c>
      <c r="G4304" s="28" t="s">
        <v>9</v>
      </c>
      <c r="H4304" s="28" t="n">
        <v>70</v>
      </c>
    </row>
    <row r="4305" customFormat="false" ht="15" hidden="false" customHeight="true" outlineLevel="0" collapsed="false">
      <c r="A4305" s="28" t="s">
        <v>15327</v>
      </c>
      <c r="B4305" s="28" t="s">
        <v>8971</v>
      </c>
      <c r="C4305" s="28" t="s">
        <v>57</v>
      </c>
      <c r="D4305" s="28" t="s">
        <v>57</v>
      </c>
      <c r="E4305" s="28" t="s">
        <v>15328</v>
      </c>
      <c r="F4305" s="28" t="s">
        <v>15329</v>
      </c>
      <c r="G4305" s="28" t="s">
        <v>9</v>
      </c>
      <c r="H4305" s="28" t="n">
        <v>70</v>
      </c>
    </row>
    <row r="4306" customFormat="false" ht="15" hidden="false" customHeight="true" outlineLevel="0" collapsed="false">
      <c r="A4306" s="28" t="s">
        <v>15330</v>
      </c>
      <c r="B4306" s="28" t="s">
        <v>8971</v>
      </c>
      <c r="C4306" s="28" t="s">
        <v>57</v>
      </c>
      <c r="D4306" s="28" t="s">
        <v>57</v>
      </c>
      <c r="E4306" s="28" t="s">
        <v>15331</v>
      </c>
      <c r="F4306" s="28" t="s">
        <v>15332</v>
      </c>
      <c r="G4306" s="28" t="s">
        <v>9</v>
      </c>
      <c r="H4306" s="28" t="n">
        <v>70</v>
      </c>
    </row>
    <row r="4307" customFormat="false" ht="15" hidden="false" customHeight="true" outlineLevel="0" collapsed="false">
      <c r="A4307" s="28" t="s">
        <v>15333</v>
      </c>
      <c r="B4307" s="28" t="s">
        <v>8987</v>
      </c>
      <c r="C4307" s="28" t="s">
        <v>1714</v>
      </c>
      <c r="D4307" s="28" t="s">
        <v>54</v>
      </c>
      <c r="E4307" s="28" t="s">
        <v>15334</v>
      </c>
      <c r="F4307" s="28" t="s">
        <v>15335</v>
      </c>
      <c r="G4307" s="28" t="s">
        <v>9</v>
      </c>
      <c r="H4307" s="28" t="n">
        <v>70</v>
      </c>
    </row>
    <row r="4308" customFormat="false" ht="15" hidden="false" customHeight="true" outlineLevel="0" collapsed="false">
      <c r="A4308" s="28" t="s">
        <v>15336</v>
      </c>
      <c r="B4308" s="28" t="s">
        <v>8987</v>
      </c>
      <c r="C4308" s="28" t="s">
        <v>1714</v>
      </c>
      <c r="D4308" s="28" t="s">
        <v>54</v>
      </c>
      <c r="E4308" s="28" t="s">
        <v>15337</v>
      </c>
      <c r="F4308" s="28" t="s">
        <v>15338</v>
      </c>
      <c r="G4308" s="28" t="s">
        <v>9</v>
      </c>
      <c r="H4308" s="28" t="n">
        <v>70</v>
      </c>
    </row>
    <row r="4309" customFormat="false" ht="15" hidden="false" customHeight="true" outlineLevel="0" collapsed="false">
      <c r="A4309" s="28" t="s">
        <v>15339</v>
      </c>
      <c r="B4309" s="28" t="s">
        <v>8987</v>
      </c>
      <c r="C4309" s="28" t="s">
        <v>1714</v>
      </c>
      <c r="D4309" s="28" t="s">
        <v>54</v>
      </c>
      <c r="E4309" s="28" t="s">
        <v>14962</v>
      </c>
      <c r="F4309" s="28" t="s">
        <v>15340</v>
      </c>
      <c r="G4309" s="28" t="s">
        <v>9</v>
      </c>
      <c r="H4309" s="28" t="n">
        <v>70</v>
      </c>
    </row>
    <row r="4310" customFormat="false" ht="15" hidden="false" customHeight="true" outlineLevel="0" collapsed="false">
      <c r="A4310" s="28" t="s">
        <v>15341</v>
      </c>
      <c r="B4310" s="28" t="s">
        <v>8987</v>
      </c>
      <c r="C4310" s="28" t="s">
        <v>1714</v>
      </c>
      <c r="D4310" s="28" t="s">
        <v>54</v>
      </c>
      <c r="E4310" s="28" t="s">
        <v>15342</v>
      </c>
      <c r="F4310" s="28" t="s">
        <v>15343</v>
      </c>
      <c r="G4310" s="28" t="s">
        <v>9</v>
      </c>
      <c r="H4310" s="28" t="n">
        <v>70</v>
      </c>
    </row>
    <row r="4311" customFormat="false" ht="15" hidden="false" customHeight="true" outlineLevel="0" collapsed="false">
      <c r="A4311" s="28" t="s">
        <v>15344</v>
      </c>
      <c r="B4311" s="28" t="s">
        <v>8987</v>
      </c>
      <c r="C4311" s="28" t="s">
        <v>1714</v>
      </c>
      <c r="D4311" s="28" t="s">
        <v>54</v>
      </c>
      <c r="E4311" s="28" t="s">
        <v>15345</v>
      </c>
      <c r="F4311" s="28" t="s">
        <v>15346</v>
      </c>
      <c r="G4311" s="28" t="s">
        <v>9</v>
      </c>
      <c r="H4311" s="28" t="n">
        <v>70</v>
      </c>
    </row>
    <row r="4312" customFormat="false" ht="15" hidden="false" customHeight="true" outlineLevel="0" collapsed="false">
      <c r="A4312" s="28" t="s">
        <v>15347</v>
      </c>
      <c r="B4312" s="28" t="s">
        <v>8987</v>
      </c>
      <c r="C4312" s="28" t="s">
        <v>1714</v>
      </c>
      <c r="D4312" s="28" t="s">
        <v>54</v>
      </c>
      <c r="E4312" s="28" t="s">
        <v>15348</v>
      </c>
      <c r="F4312" s="28" t="s">
        <v>15349</v>
      </c>
      <c r="G4312" s="28" t="s">
        <v>9</v>
      </c>
      <c r="H4312" s="28" t="n">
        <v>70</v>
      </c>
    </row>
    <row r="4313" customFormat="false" ht="15" hidden="false" customHeight="true" outlineLevel="0" collapsed="false">
      <c r="A4313" s="28" t="s">
        <v>15350</v>
      </c>
      <c r="B4313" s="28" t="s">
        <v>8987</v>
      </c>
      <c r="C4313" s="28" t="s">
        <v>1714</v>
      </c>
      <c r="D4313" s="28" t="s">
        <v>54</v>
      </c>
      <c r="E4313" s="28" t="s">
        <v>15351</v>
      </c>
      <c r="F4313" s="28" t="s">
        <v>15352</v>
      </c>
      <c r="G4313" s="28" t="s">
        <v>9</v>
      </c>
      <c r="H4313" s="28" t="n">
        <v>70</v>
      </c>
    </row>
    <row r="4314" customFormat="false" ht="15" hidden="false" customHeight="true" outlineLevel="0" collapsed="false">
      <c r="A4314" s="28" t="s">
        <v>15353</v>
      </c>
      <c r="B4314" s="28" t="s">
        <v>9005</v>
      </c>
      <c r="C4314" s="28" t="s">
        <v>1407</v>
      </c>
      <c r="D4314" s="28" t="s">
        <v>50</v>
      </c>
      <c r="E4314" s="28" t="s">
        <v>15354</v>
      </c>
      <c r="F4314" s="28" t="s">
        <v>15355</v>
      </c>
      <c r="G4314" s="28" t="s">
        <v>9</v>
      </c>
      <c r="H4314" s="28" t="n">
        <v>70</v>
      </c>
    </row>
    <row r="4315" customFormat="false" ht="15" hidden="false" customHeight="true" outlineLevel="0" collapsed="false">
      <c r="A4315" s="28" t="s">
        <v>15356</v>
      </c>
      <c r="B4315" s="28" t="s">
        <v>9005</v>
      </c>
      <c r="C4315" s="28" t="s">
        <v>1407</v>
      </c>
      <c r="D4315" s="28" t="s">
        <v>50</v>
      </c>
      <c r="E4315" s="28" t="s">
        <v>15357</v>
      </c>
      <c r="F4315" s="28" t="s">
        <v>15355</v>
      </c>
      <c r="G4315" s="28" t="s">
        <v>9</v>
      </c>
      <c r="H4315" s="28" t="n">
        <v>70</v>
      </c>
    </row>
    <row r="4316" customFormat="false" ht="15" hidden="false" customHeight="true" outlineLevel="0" collapsed="false">
      <c r="A4316" s="28" t="s">
        <v>15358</v>
      </c>
      <c r="B4316" s="28" t="s">
        <v>9005</v>
      </c>
      <c r="C4316" s="28" t="s">
        <v>1407</v>
      </c>
      <c r="D4316" s="28" t="s">
        <v>50</v>
      </c>
      <c r="E4316" s="28" t="s">
        <v>15359</v>
      </c>
      <c r="F4316" s="28" t="s">
        <v>15360</v>
      </c>
      <c r="G4316" s="28" t="s">
        <v>9</v>
      </c>
      <c r="H4316" s="28" t="n">
        <v>70</v>
      </c>
    </row>
    <row r="4317" customFormat="false" ht="15" hidden="false" customHeight="true" outlineLevel="0" collapsed="false">
      <c r="A4317" s="28" t="s">
        <v>15361</v>
      </c>
      <c r="B4317" s="28" t="s">
        <v>9005</v>
      </c>
      <c r="C4317" s="28" t="s">
        <v>1407</v>
      </c>
      <c r="D4317" s="28" t="s">
        <v>50</v>
      </c>
      <c r="E4317" s="28" t="s">
        <v>15362</v>
      </c>
      <c r="F4317" s="28" t="s">
        <v>15363</v>
      </c>
      <c r="G4317" s="28" t="s">
        <v>9</v>
      </c>
      <c r="H4317" s="28" t="n">
        <v>70</v>
      </c>
    </row>
    <row r="4318" customFormat="false" ht="15" hidden="false" customHeight="true" outlineLevel="0" collapsed="false">
      <c r="A4318" s="28" t="s">
        <v>15364</v>
      </c>
      <c r="B4318" s="28" t="s">
        <v>9005</v>
      </c>
      <c r="C4318" s="28" t="s">
        <v>1407</v>
      </c>
      <c r="D4318" s="28" t="s">
        <v>50</v>
      </c>
      <c r="E4318" s="28" t="s">
        <v>15365</v>
      </c>
      <c r="F4318" s="28" t="s">
        <v>15366</v>
      </c>
      <c r="G4318" s="28" t="s">
        <v>9</v>
      </c>
      <c r="H4318" s="28" t="n">
        <v>70</v>
      </c>
    </row>
    <row r="4319" customFormat="false" ht="15" hidden="false" customHeight="true" outlineLevel="0" collapsed="false">
      <c r="A4319" s="28" t="s">
        <v>15367</v>
      </c>
      <c r="B4319" s="28" t="s">
        <v>9005</v>
      </c>
      <c r="C4319" s="28" t="s">
        <v>1407</v>
      </c>
      <c r="D4319" s="28" t="s">
        <v>50</v>
      </c>
      <c r="E4319" s="28" t="s">
        <v>15351</v>
      </c>
      <c r="F4319" s="28" t="s">
        <v>15368</v>
      </c>
      <c r="G4319" s="28" t="s">
        <v>9</v>
      </c>
      <c r="H4319" s="28" t="n">
        <v>70</v>
      </c>
    </row>
    <row r="4320" customFormat="false" ht="15" hidden="false" customHeight="true" outlineLevel="0" collapsed="false">
      <c r="A4320" s="28" t="s">
        <v>15369</v>
      </c>
      <c r="B4320" s="28" t="s">
        <v>9005</v>
      </c>
      <c r="C4320" s="28" t="s">
        <v>1407</v>
      </c>
      <c r="D4320" s="28" t="s">
        <v>50</v>
      </c>
      <c r="E4320" s="28" t="s">
        <v>15370</v>
      </c>
      <c r="F4320" s="28" t="s">
        <v>15371</v>
      </c>
      <c r="G4320" s="28" t="s">
        <v>9</v>
      </c>
      <c r="H4320" s="28" t="n">
        <v>70</v>
      </c>
    </row>
    <row r="4321" customFormat="false" ht="15" hidden="false" customHeight="true" outlineLevel="0" collapsed="false">
      <c r="A4321" s="28" t="s">
        <v>15372</v>
      </c>
      <c r="B4321" s="28" t="s">
        <v>9023</v>
      </c>
      <c r="C4321" s="28" t="s">
        <v>1714</v>
      </c>
      <c r="D4321" s="28" t="s">
        <v>54</v>
      </c>
      <c r="E4321" s="28" t="s">
        <v>15373</v>
      </c>
      <c r="F4321" s="28" t="s">
        <v>15374</v>
      </c>
      <c r="G4321" s="28" t="s">
        <v>9</v>
      </c>
      <c r="H4321" s="28" t="n">
        <v>70</v>
      </c>
    </row>
    <row r="4322" customFormat="false" ht="15" hidden="false" customHeight="true" outlineLevel="0" collapsed="false">
      <c r="A4322" s="28" t="s">
        <v>15375</v>
      </c>
      <c r="B4322" s="28" t="s">
        <v>9023</v>
      </c>
      <c r="C4322" s="28" t="s">
        <v>1714</v>
      </c>
      <c r="D4322" s="28" t="s">
        <v>54</v>
      </c>
      <c r="E4322" s="28" t="s">
        <v>15376</v>
      </c>
      <c r="F4322" s="28" t="s">
        <v>15377</v>
      </c>
      <c r="G4322" s="28" t="s">
        <v>9</v>
      </c>
      <c r="H4322" s="28" t="n">
        <v>70</v>
      </c>
    </row>
    <row r="4323" customFormat="false" ht="15" hidden="false" customHeight="true" outlineLevel="0" collapsed="false">
      <c r="A4323" s="28" t="s">
        <v>15378</v>
      </c>
      <c r="B4323" s="28" t="s">
        <v>9023</v>
      </c>
      <c r="C4323" s="28" t="s">
        <v>1714</v>
      </c>
      <c r="D4323" s="28" t="s">
        <v>54</v>
      </c>
      <c r="E4323" s="28" t="s">
        <v>15379</v>
      </c>
      <c r="F4323" s="28" t="s">
        <v>15380</v>
      </c>
      <c r="G4323" s="28" t="s">
        <v>9</v>
      </c>
      <c r="H4323" s="28" t="n">
        <v>70</v>
      </c>
    </row>
    <row r="4324" customFormat="false" ht="15" hidden="false" customHeight="true" outlineLevel="0" collapsed="false">
      <c r="A4324" s="28" t="s">
        <v>15381</v>
      </c>
      <c r="B4324" s="28" t="s">
        <v>9023</v>
      </c>
      <c r="C4324" s="28" t="s">
        <v>1714</v>
      </c>
      <c r="D4324" s="28" t="s">
        <v>54</v>
      </c>
      <c r="E4324" s="28" t="s">
        <v>15382</v>
      </c>
      <c r="F4324" s="28" t="s">
        <v>15383</v>
      </c>
      <c r="G4324" s="28" t="s">
        <v>9</v>
      </c>
      <c r="H4324" s="28" t="n">
        <v>70</v>
      </c>
    </row>
    <row r="4325" customFormat="false" ht="15" hidden="false" customHeight="true" outlineLevel="0" collapsed="false">
      <c r="A4325" s="28" t="s">
        <v>15384</v>
      </c>
      <c r="B4325" s="28" t="s">
        <v>9023</v>
      </c>
      <c r="C4325" s="28" t="s">
        <v>1714</v>
      </c>
      <c r="D4325" s="28" t="s">
        <v>54</v>
      </c>
      <c r="E4325" s="28" t="s">
        <v>14954</v>
      </c>
      <c r="F4325" s="28" t="s">
        <v>15385</v>
      </c>
      <c r="G4325" s="28" t="s">
        <v>9</v>
      </c>
      <c r="H4325" s="28" t="n">
        <v>70</v>
      </c>
    </row>
    <row r="4326" customFormat="false" ht="15" hidden="false" customHeight="true" outlineLevel="0" collapsed="false">
      <c r="A4326" s="28" t="s">
        <v>15386</v>
      </c>
      <c r="B4326" s="28" t="s">
        <v>9023</v>
      </c>
      <c r="C4326" s="28" t="s">
        <v>1714</v>
      </c>
      <c r="D4326" s="28" t="s">
        <v>54</v>
      </c>
      <c r="E4326" s="28" t="s">
        <v>14954</v>
      </c>
      <c r="F4326" s="28" t="s">
        <v>15387</v>
      </c>
      <c r="G4326" s="28" t="s">
        <v>9</v>
      </c>
      <c r="H4326" s="28" t="n">
        <v>70</v>
      </c>
    </row>
    <row r="4327" customFormat="false" ht="15" hidden="false" customHeight="true" outlineLevel="0" collapsed="false">
      <c r="A4327" s="28" t="s">
        <v>15388</v>
      </c>
      <c r="B4327" s="28" t="s">
        <v>9023</v>
      </c>
      <c r="C4327" s="28" t="s">
        <v>1714</v>
      </c>
      <c r="D4327" s="28" t="s">
        <v>54</v>
      </c>
      <c r="E4327" s="28" t="s">
        <v>14977</v>
      </c>
      <c r="F4327" s="28" t="s">
        <v>15389</v>
      </c>
      <c r="G4327" s="28" t="s">
        <v>9</v>
      </c>
      <c r="H4327" s="28" t="n">
        <v>70</v>
      </c>
    </row>
    <row r="4328" customFormat="false" ht="15" hidden="false" customHeight="true" outlineLevel="0" collapsed="false">
      <c r="A4328" s="28" t="s">
        <v>15390</v>
      </c>
      <c r="B4328" s="28" t="s">
        <v>9039</v>
      </c>
      <c r="C4328" s="28" t="s">
        <v>1407</v>
      </c>
      <c r="D4328" s="28" t="s">
        <v>50</v>
      </c>
      <c r="E4328" s="28" t="s">
        <v>15382</v>
      </c>
      <c r="F4328" s="28" t="s">
        <v>15383</v>
      </c>
      <c r="G4328" s="28" t="s">
        <v>9</v>
      </c>
      <c r="H4328" s="28" t="n">
        <v>70</v>
      </c>
    </row>
    <row r="4329" customFormat="false" ht="15" hidden="false" customHeight="true" outlineLevel="0" collapsed="false">
      <c r="A4329" s="28" t="s">
        <v>15391</v>
      </c>
      <c r="B4329" s="28" t="s">
        <v>9039</v>
      </c>
      <c r="C4329" s="28" t="s">
        <v>1407</v>
      </c>
      <c r="D4329" s="28" t="s">
        <v>50</v>
      </c>
      <c r="E4329" s="28" t="s">
        <v>15392</v>
      </c>
      <c r="F4329" s="28" t="s">
        <v>15393</v>
      </c>
      <c r="G4329" s="28" t="s">
        <v>9</v>
      </c>
      <c r="H4329" s="28" t="n">
        <v>70</v>
      </c>
    </row>
    <row r="4330" customFormat="false" ht="15" hidden="false" customHeight="true" outlineLevel="0" collapsed="false">
      <c r="A4330" s="28" t="s">
        <v>15394</v>
      </c>
      <c r="B4330" s="28" t="s">
        <v>9039</v>
      </c>
      <c r="C4330" s="28" t="s">
        <v>1407</v>
      </c>
      <c r="D4330" s="28" t="s">
        <v>50</v>
      </c>
      <c r="E4330" s="28" t="s">
        <v>15395</v>
      </c>
      <c r="F4330" s="28" t="s">
        <v>15396</v>
      </c>
      <c r="G4330" s="28" t="s">
        <v>9</v>
      </c>
      <c r="H4330" s="28" t="n">
        <v>70</v>
      </c>
    </row>
    <row r="4331" customFormat="false" ht="15" hidden="false" customHeight="true" outlineLevel="0" collapsed="false">
      <c r="A4331" s="28" t="s">
        <v>15397</v>
      </c>
      <c r="B4331" s="28" t="s">
        <v>9039</v>
      </c>
      <c r="C4331" s="28" t="s">
        <v>1407</v>
      </c>
      <c r="D4331" s="28" t="s">
        <v>50</v>
      </c>
      <c r="E4331" s="28" t="s">
        <v>15398</v>
      </c>
      <c r="F4331" s="28" t="s">
        <v>15399</v>
      </c>
      <c r="G4331" s="28" t="s">
        <v>9</v>
      </c>
      <c r="H4331" s="28" t="n">
        <v>70</v>
      </c>
    </row>
    <row r="4332" customFormat="false" ht="15" hidden="false" customHeight="true" outlineLevel="0" collapsed="false">
      <c r="A4332" s="28" t="s">
        <v>15400</v>
      </c>
      <c r="B4332" s="28" t="s">
        <v>9039</v>
      </c>
      <c r="C4332" s="28" t="s">
        <v>1407</v>
      </c>
      <c r="D4332" s="28" t="s">
        <v>50</v>
      </c>
      <c r="E4332" s="28" t="s">
        <v>15401</v>
      </c>
      <c r="F4332" s="28" t="s">
        <v>15402</v>
      </c>
      <c r="G4332" s="28" t="s">
        <v>9</v>
      </c>
      <c r="H4332" s="28" t="n">
        <v>70</v>
      </c>
    </row>
    <row r="4333" customFormat="false" ht="15" hidden="false" customHeight="true" outlineLevel="0" collapsed="false">
      <c r="A4333" s="28" t="s">
        <v>15403</v>
      </c>
      <c r="B4333" s="28" t="s">
        <v>9039</v>
      </c>
      <c r="C4333" s="28" t="s">
        <v>1407</v>
      </c>
      <c r="D4333" s="28" t="s">
        <v>50</v>
      </c>
      <c r="E4333" s="28" t="s">
        <v>15404</v>
      </c>
      <c r="F4333" s="28" t="s">
        <v>15405</v>
      </c>
      <c r="G4333" s="28" t="s">
        <v>9</v>
      </c>
      <c r="H4333" s="28" t="n">
        <v>70</v>
      </c>
    </row>
    <row r="4334" customFormat="false" ht="15" hidden="false" customHeight="true" outlineLevel="0" collapsed="false">
      <c r="A4334" s="28" t="s">
        <v>15406</v>
      </c>
      <c r="B4334" s="28" t="s">
        <v>9039</v>
      </c>
      <c r="C4334" s="28" t="s">
        <v>1407</v>
      </c>
      <c r="D4334" s="28" t="s">
        <v>50</v>
      </c>
      <c r="E4334" s="28" t="s">
        <v>15264</v>
      </c>
      <c r="F4334" s="28" t="s">
        <v>15407</v>
      </c>
      <c r="G4334" s="28" t="s">
        <v>9</v>
      </c>
      <c r="H4334" s="28" t="n">
        <v>70</v>
      </c>
    </row>
    <row r="4335" customFormat="false" ht="15" hidden="false" customHeight="true" outlineLevel="0" collapsed="false">
      <c r="A4335" s="28" t="s">
        <v>15408</v>
      </c>
      <c r="B4335" s="28" t="s">
        <v>1049</v>
      </c>
      <c r="C4335" s="28" t="s">
        <v>1407</v>
      </c>
      <c r="D4335" s="28" t="s">
        <v>50</v>
      </c>
      <c r="E4335" s="28" t="s">
        <v>15409</v>
      </c>
      <c r="F4335" s="28" t="s">
        <v>15410</v>
      </c>
      <c r="G4335" s="28" t="s">
        <v>9</v>
      </c>
      <c r="H4335" s="28" t="n">
        <v>70</v>
      </c>
    </row>
    <row r="4336" customFormat="false" ht="15" hidden="false" customHeight="true" outlineLevel="0" collapsed="false">
      <c r="A4336" s="28" t="s">
        <v>15411</v>
      </c>
      <c r="B4336" s="28" t="s">
        <v>1049</v>
      </c>
      <c r="C4336" s="28" t="s">
        <v>1407</v>
      </c>
      <c r="D4336" s="28" t="s">
        <v>50</v>
      </c>
      <c r="E4336" s="28" t="s">
        <v>15412</v>
      </c>
      <c r="F4336" s="28" t="s">
        <v>15413</v>
      </c>
      <c r="G4336" s="28" t="s">
        <v>9</v>
      </c>
      <c r="H4336" s="28" t="n">
        <v>70</v>
      </c>
    </row>
    <row r="4337" customFormat="false" ht="15" hidden="false" customHeight="true" outlineLevel="0" collapsed="false">
      <c r="A4337" s="28" t="s">
        <v>15414</v>
      </c>
      <c r="B4337" s="28" t="s">
        <v>1049</v>
      </c>
      <c r="C4337" s="28" t="s">
        <v>1407</v>
      </c>
      <c r="D4337" s="28" t="s">
        <v>50</v>
      </c>
      <c r="E4337" s="28" t="s">
        <v>15415</v>
      </c>
      <c r="F4337" s="28" t="s">
        <v>15416</v>
      </c>
      <c r="G4337" s="28" t="s">
        <v>9</v>
      </c>
      <c r="H4337" s="28" t="n">
        <v>70</v>
      </c>
    </row>
    <row r="4338" customFormat="false" ht="15" hidden="false" customHeight="true" outlineLevel="0" collapsed="false">
      <c r="A4338" s="28" t="s">
        <v>15417</v>
      </c>
      <c r="B4338" s="28" t="s">
        <v>1049</v>
      </c>
      <c r="C4338" s="28" t="s">
        <v>1407</v>
      </c>
      <c r="D4338" s="28" t="s">
        <v>50</v>
      </c>
      <c r="E4338" s="28" t="s">
        <v>15418</v>
      </c>
      <c r="F4338" s="28" t="s">
        <v>15419</v>
      </c>
      <c r="G4338" s="28" t="s">
        <v>9</v>
      </c>
      <c r="H4338" s="28" t="n">
        <v>70</v>
      </c>
    </row>
    <row r="4339" customFormat="false" ht="15" hidden="false" customHeight="true" outlineLevel="0" collapsed="false">
      <c r="A4339" s="28" t="s">
        <v>15420</v>
      </c>
      <c r="B4339" s="28" t="s">
        <v>1049</v>
      </c>
      <c r="C4339" s="28" t="s">
        <v>1407</v>
      </c>
      <c r="D4339" s="28" t="s">
        <v>50</v>
      </c>
      <c r="E4339" s="28" t="s">
        <v>15421</v>
      </c>
      <c r="F4339" s="28" t="s">
        <v>15422</v>
      </c>
      <c r="G4339" s="28" t="s">
        <v>9</v>
      </c>
      <c r="H4339" s="28" t="n">
        <v>70</v>
      </c>
    </row>
    <row r="4340" customFormat="false" ht="15" hidden="false" customHeight="true" outlineLevel="0" collapsed="false">
      <c r="A4340" s="28" t="s">
        <v>15423</v>
      </c>
      <c r="B4340" s="28" t="s">
        <v>1049</v>
      </c>
      <c r="C4340" s="28" t="s">
        <v>1407</v>
      </c>
      <c r="D4340" s="28" t="s">
        <v>50</v>
      </c>
      <c r="E4340" s="28" t="s">
        <v>15220</v>
      </c>
      <c r="F4340" s="28" t="s">
        <v>15424</v>
      </c>
      <c r="G4340" s="28" t="s">
        <v>9</v>
      </c>
      <c r="H4340" s="28" t="n">
        <v>70</v>
      </c>
    </row>
    <row r="4341" customFormat="false" ht="15" hidden="false" customHeight="true" outlineLevel="0" collapsed="false">
      <c r="A4341" s="28" t="s">
        <v>15425</v>
      </c>
      <c r="B4341" s="28" t="s">
        <v>9075</v>
      </c>
      <c r="C4341" s="28" t="s">
        <v>1407</v>
      </c>
      <c r="D4341" s="28" t="s">
        <v>50</v>
      </c>
      <c r="E4341" s="28" t="s">
        <v>15426</v>
      </c>
      <c r="F4341" s="28" t="s">
        <v>15427</v>
      </c>
      <c r="G4341" s="28" t="s">
        <v>9</v>
      </c>
      <c r="H4341" s="28" t="n">
        <v>70</v>
      </c>
    </row>
    <row r="4342" customFormat="false" ht="15" hidden="false" customHeight="true" outlineLevel="0" collapsed="false">
      <c r="A4342" s="28" t="s">
        <v>15428</v>
      </c>
      <c r="B4342" s="28" t="s">
        <v>9075</v>
      </c>
      <c r="C4342" s="28" t="s">
        <v>1407</v>
      </c>
      <c r="D4342" s="28" t="s">
        <v>50</v>
      </c>
      <c r="E4342" s="28" t="s">
        <v>15429</v>
      </c>
      <c r="F4342" s="28" t="s">
        <v>15430</v>
      </c>
      <c r="G4342" s="28" t="s">
        <v>9</v>
      </c>
      <c r="H4342" s="28" t="n">
        <v>70</v>
      </c>
    </row>
    <row r="4343" customFormat="false" ht="15" hidden="false" customHeight="true" outlineLevel="0" collapsed="false">
      <c r="A4343" s="28" t="s">
        <v>15431</v>
      </c>
      <c r="B4343" s="28" t="s">
        <v>9075</v>
      </c>
      <c r="C4343" s="28" t="s">
        <v>1407</v>
      </c>
      <c r="D4343" s="28" t="s">
        <v>50</v>
      </c>
      <c r="E4343" s="28" t="s">
        <v>14989</v>
      </c>
      <c r="F4343" s="28" t="s">
        <v>15360</v>
      </c>
      <c r="G4343" s="28" t="s">
        <v>9</v>
      </c>
      <c r="H4343" s="28" t="n">
        <v>70</v>
      </c>
    </row>
    <row r="4344" customFormat="false" ht="15" hidden="false" customHeight="true" outlineLevel="0" collapsed="false">
      <c r="A4344" s="28" t="s">
        <v>15432</v>
      </c>
      <c r="B4344" s="28" t="s">
        <v>9075</v>
      </c>
      <c r="C4344" s="28" t="s">
        <v>1407</v>
      </c>
      <c r="D4344" s="28" t="s">
        <v>50</v>
      </c>
      <c r="E4344" s="28" t="s">
        <v>15433</v>
      </c>
      <c r="F4344" s="28" t="s">
        <v>15434</v>
      </c>
      <c r="G4344" s="28" t="s">
        <v>9</v>
      </c>
      <c r="H4344" s="28" t="n">
        <v>70</v>
      </c>
    </row>
    <row r="4345" customFormat="false" ht="15" hidden="false" customHeight="true" outlineLevel="0" collapsed="false">
      <c r="A4345" s="28" t="s">
        <v>15435</v>
      </c>
      <c r="B4345" s="28" t="s">
        <v>9075</v>
      </c>
      <c r="C4345" s="28" t="s">
        <v>1407</v>
      </c>
      <c r="D4345" s="28" t="s">
        <v>50</v>
      </c>
      <c r="E4345" s="28" t="s">
        <v>15436</v>
      </c>
      <c r="F4345" s="28" t="s">
        <v>15437</v>
      </c>
      <c r="G4345" s="28" t="s">
        <v>9</v>
      </c>
      <c r="H4345" s="28" t="n">
        <v>70</v>
      </c>
    </row>
    <row r="4346" customFormat="false" ht="15" hidden="false" customHeight="true" outlineLevel="0" collapsed="false">
      <c r="A4346" s="28" t="s">
        <v>15438</v>
      </c>
      <c r="B4346" s="28" t="s">
        <v>9075</v>
      </c>
      <c r="C4346" s="28" t="s">
        <v>1407</v>
      </c>
      <c r="D4346" s="28" t="s">
        <v>50</v>
      </c>
      <c r="E4346" s="28" t="s">
        <v>15439</v>
      </c>
      <c r="F4346" s="28" t="s">
        <v>15440</v>
      </c>
      <c r="G4346" s="28" t="s">
        <v>9</v>
      </c>
      <c r="H4346" s="28" t="n">
        <v>70</v>
      </c>
    </row>
    <row r="4347" customFormat="false" ht="15" hidden="false" customHeight="true" outlineLevel="0" collapsed="false">
      <c r="A4347" s="28" t="s">
        <v>15441</v>
      </c>
      <c r="B4347" s="28" t="s">
        <v>9075</v>
      </c>
      <c r="C4347" s="28" t="s">
        <v>1407</v>
      </c>
      <c r="D4347" s="28" t="s">
        <v>50</v>
      </c>
      <c r="E4347" s="28" t="s">
        <v>15442</v>
      </c>
      <c r="F4347" s="28" t="s">
        <v>15443</v>
      </c>
      <c r="G4347" s="28" t="s">
        <v>9</v>
      </c>
      <c r="H4347" s="28" t="n">
        <v>70</v>
      </c>
    </row>
    <row r="4348" customFormat="false" ht="15" hidden="false" customHeight="true" outlineLevel="0" collapsed="false">
      <c r="A4348" s="28" t="s">
        <v>15444</v>
      </c>
      <c r="B4348" s="28" t="s">
        <v>9091</v>
      </c>
      <c r="C4348" s="28" t="s">
        <v>1407</v>
      </c>
      <c r="D4348" s="28" t="s">
        <v>50</v>
      </c>
      <c r="E4348" s="28" t="s">
        <v>15445</v>
      </c>
      <c r="F4348" s="28" t="s">
        <v>15239</v>
      </c>
      <c r="G4348" s="28" t="s">
        <v>9</v>
      </c>
      <c r="H4348" s="28" t="n">
        <v>70</v>
      </c>
    </row>
    <row r="4349" customFormat="false" ht="15" hidden="false" customHeight="true" outlineLevel="0" collapsed="false">
      <c r="A4349" s="28" t="s">
        <v>15446</v>
      </c>
      <c r="B4349" s="28" t="s">
        <v>9091</v>
      </c>
      <c r="C4349" s="28" t="s">
        <v>1407</v>
      </c>
      <c r="D4349" s="28" t="s">
        <v>50</v>
      </c>
      <c r="E4349" s="28" t="s">
        <v>15447</v>
      </c>
      <c r="F4349" s="28" t="s">
        <v>15448</v>
      </c>
      <c r="G4349" s="28" t="s">
        <v>9</v>
      </c>
      <c r="H4349" s="28" t="n">
        <v>70</v>
      </c>
    </row>
    <row r="4350" customFormat="false" ht="15" hidden="false" customHeight="true" outlineLevel="0" collapsed="false">
      <c r="A4350" s="28" t="s">
        <v>15449</v>
      </c>
      <c r="B4350" s="28" t="s">
        <v>9091</v>
      </c>
      <c r="C4350" s="28" t="s">
        <v>1407</v>
      </c>
      <c r="D4350" s="28" t="s">
        <v>50</v>
      </c>
      <c r="E4350" s="28" t="s">
        <v>15450</v>
      </c>
      <c r="F4350" s="28" t="s">
        <v>15451</v>
      </c>
      <c r="G4350" s="28" t="s">
        <v>9</v>
      </c>
      <c r="H4350" s="28" t="n">
        <v>70</v>
      </c>
    </row>
    <row r="4351" customFormat="false" ht="15" hidden="false" customHeight="true" outlineLevel="0" collapsed="false">
      <c r="A4351" s="28" t="s">
        <v>15452</v>
      </c>
      <c r="B4351" s="28" t="s">
        <v>9091</v>
      </c>
      <c r="C4351" s="28" t="s">
        <v>1407</v>
      </c>
      <c r="D4351" s="28" t="s">
        <v>50</v>
      </c>
      <c r="E4351" s="28" t="s">
        <v>15453</v>
      </c>
      <c r="F4351" s="28" t="s">
        <v>15454</v>
      </c>
      <c r="G4351" s="28" t="s">
        <v>9</v>
      </c>
      <c r="H4351" s="28" t="n">
        <v>70</v>
      </c>
    </row>
    <row r="4352" customFormat="false" ht="15" hidden="false" customHeight="true" outlineLevel="0" collapsed="false">
      <c r="A4352" s="28" t="s">
        <v>15455</v>
      </c>
      <c r="B4352" s="28" t="s">
        <v>9091</v>
      </c>
      <c r="C4352" s="28" t="s">
        <v>1407</v>
      </c>
      <c r="D4352" s="28" t="s">
        <v>50</v>
      </c>
      <c r="E4352" s="28" t="s">
        <v>15456</v>
      </c>
      <c r="F4352" s="28" t="s">
        <v>15457</v>
      </c>
      <c r="G4352" s="28" t="s">
        <v>9</v>
      </c>
      <c r="H4352" s="28" t="n">
        <v>70</v>
      </c>
    </row>
    <row r="4353" customFormat="false" ht="15" hidden="false" customHeight="true" outlineLevel="0" collapsed="false">
      <c r="A4353" s="28" t="s">
        <v>15458</v>
      </c>
      <c r="B4353" s="28" t="s">
        <v>9091</v>
      </c>
      <c r="C4353" s="28" t="s">
        <v>1407</v>
      </c>
      <c r="D4353" s="28" t="s">
        <v>50</v>
      </c>
      <c r="E4353" s="28" t="s">
        <v>15459</v>
      </c>
      <c r="F4353" s="28" t="s">
        <v>15460</v>
      </c>
      <c r="G4353" s="28" t="s">
        <v>9</v>
      </c>
      <c r="H4353" s="28" t="n">
        <v>70</v>
      </c>
    </row>
    <row r="4354" customFormat="false" ht="15" hidden="false" customHeight="true" outlineLevel="0" collapsed="false">
      <c r="A4354" s="28" t="s">
        <v>15461</v>
      </c>
      <c r="B4354" s="28" t="s">
        <v>9091</v>
      </c>
      <c r="C4354" s="28" t="s">
        <v>1407</v>
      </c>
      <c r="D4354" s="28" t="s">
        <v>50</v>
      </c>
      <c r="E4354" s="28" t="s">
        <v>15462</v>
      </c>
      <c r="F4354" s="28" t="s">
        <v>15463</v>
      </c>
      <c r="G4354" s="28" t="s">
        <v>9</v>
      </c>
      <c r="H4354" s="28" t="n">
        <v>70</v>
      </c>
    </row>
    <row r="4355" customFormat="false" ht="15" hidden="false" customHeight="true" outlineLevel="0" collapsed="false">
      <c r="A4355" s="28" t="s">
        <v>15464</v>
      </c>
      <c r="B4355" s="28" t="s">
        <v>9107</v>
      </c>
      <c r="C4355" s="28" t="s">
        <v>1407</v>
      </c>
      <c r="D4355" s="28" t="s">
        <v>50</v>
      </c>
      <c r="E4355" s="28" t="s">
        <v>15465</v>
      </c>
      <c r="F4355" s="28" t="s">
        <v>15466</v>
      </c>
      <c r="G4355" s="28" t="s">
        <v>9</v>
      </c>
      <c r="H4355" s="28" t="n">
        <v>70</v>
      </c>
    </row>
    <row r="4356" customFormat="false" ht="15" hidden="false" customHeight="true" outlineLevel="0" collapsed="false">
      <c r="A4356" s="28" t="s">
        <v>15467</v>
      </c>
      <c r="B4356" s="28" t="s">
        <v>9107</v>
      </c>
      <c r="C4356" s="28" t="s">
        <v>1407</v>
      </c>
      <c r="D4356" s="28" t="s">
        <v>50</v>
      </c>
      <c r="E4356" s="28" t="s">
        <v>15468</v>
      </c>
      <c r="F4356" s="28" t="s">
        <v>15469</v>
      </c>
      <c r="G4356" s="28" t="s">
        <v>9</v>
      </c>
      <c r="H4356" s="28" t="n">
        <v>70</v>
      </c>
    </row>
    <row r="4357" customFormat="false" ht="15" hidden="false" customHeight="true" outlineLevel="0" collapsed="false">
      <c r="A4357" s="28" t="s">
        <v>15470</v>
      </c>
      <c r="B4357" s="28" t="s">
        <v>9107</v>
      </c>
      <c r="C4357" s="28" t="s">
        <v>1407</v>
      </c>
      <c r="D4357" s="28" t="s">
        <v>50</v>
      </c>
      <c r="E4357" s="28" t="s">
        <v>15471</v>
      </c>
      <c r="F4357" s="28" t="s">
        <v>15472</v>
      </c>
      <c r="G4357" s="28" t="s">
        <v>9</v>
      </c>
      <c r="H4357" s="28" t="n">
        <v>70</v>
      </c>
    </row>
    <row r="4358" customFormat="false" ht="15" hidden="false" customHeight="true" outlineLevel="0" collapsed="false">
      <c r="A4358" s="28" t="s">
        <v>15473</v>
      </c>
      <c r="B4358" s="28" t="s">
        <v>9107</v>
      </c>
      <c r="C4358" s="28" t="s">
        <v>1407</v>
      </c>
      <c r="D4358" s="28" t="s">
        <v>50</v>
      </c>
      <c r="E4358" s="28" t="s">
        <v>15474</v>
      </c>
      <c r="F4358" s="28" t="s">
        <v>3442</v>
      </c>
      <c r="G4358" s="28" t="s">
        <v>9</v>
      </c>
      <c r="H4358" s="28" t="n">
        <v>70</v>
      </c>
    </row>
    <row r="4359" customFormat="false" ht="15" hidden="false" customHeight="true" outlineLevel="0" collapsed="false">
      <c r="A4359" s="28" t="s">
        <v>15475</v>
      </c>
      <c r="B4359" s="28" t="s">
        <v>9107</v>
      </c>
      <c r="C4359" s="28" t="s">
        <v>1407</v>
      </c>
      <c r="D4359" s="28" t="s">
        <v>50</v>
      </c>
      <c r="E4359" s="28" t="s">
        <v>15395</v>
      </c>
      <c r="F4359" s="28" t="s">
        <v>3442</v>
      </c>
      <c r="G4359" s="28" t="s">
        <v>9</v>
      </c>
      <c r="H4359" s="28" t="n">
        <v>70</v>
      </c>
    </row>
    <row r="4360" customFormat="false" ht="15" hidden="false" customHeight="true" outlineLevel="0" collapsed="false">
      <c r="A4360" s="28" t="s">
        <v>15476</v>
      </c>
      <c r="B4360" s="28" t="s">
        <v>9107</v>
      </c>
      <c r="C4360" s="28" t="s">
        <v>1407</v>
      </c>
      <c r="D4360" s="28" t="s">
        <v>50</v>
      </c>
      <c r="E4360" s="28" t="s">
        <v>15477</v>
      </c>
      <c r="F4360" s="28" t="s">
        <v>15478</v>
      </c>
      <c r="G4360" s="28" t="s">
        <v>9</v>
      </c>
      <c r="H4360" s="28" t="n">
        <v>70</v>
      </c>
    </row>
    <row r="4361" customFormat="false" ht="15" hidden="false" customHeight="true" outlineLevel="0" collapsed="false">
      <c r="A4361" s="28" t="s">
        <v>15479</v>
      </c>
      <c r="B4361" s="28" t="s">
        <v>9107</v>
      </c>
      <c r="C4361" s="28" t="s">
        <v>1407</v>
      </c>
      <c r="D4361" s="28" t="s">
        <v>50</v>
      </c>
      <c r="E4361" s="28" t="s">
        <v>15480</v>
      </c>
      <c r="F4361" s="28" t="s">
        <v>15481</v>
      </c>
      <c r="G4361" s="28" t="s">
        <v>9</v>
      </c>
      <c r="H4361" s="28" t="n">
        <v>70</v>
      </c>
    </row>
    <row r="4362" customFormat="false" ht="15" hidden="false" customHeight="true" outlineLevel="0" collapsed="false">
      <c r="A4362" s="28" t="s">
        <v>15482</v>
      </c>
      <c r="B4362" s="28" t="s">
        <v>9107</v>
      </c>
      <c r="C4362" s="28" t="s">
        <v>1407</v>
      </c>
      <c r="D4362" s="28" t="s">
        <v>50</v>
      </c>
      <c r="E4362" s="28" t="s">
        <v>15483</v>
      </c>
      <c r="F4362" s="28" t="s">
        <v>15484</v>
      </c>
      <c r="G4362" s="28" t="s">
        <v>9</v>
      </c>
      <c r="H4362" s="28" t="n">
        <v>70</v>
      </c>
    </row>
    <row r="4363" customFormat="false" ht="15" hidden="false" customHeight="true" outlineLevel="0" collapsed="false">
      <c r="A4363" s="28" t="s">
        <v>15485</v>
      </c>
      <c r="B4363" s="28" t="s">
        <v>9124</v>
      </c>
      <c r="C4363" s="28" t="s">
        <v>1714</v>
      </c>
      <c r="D4363" s="28" t="s">
        <v>54</v>
      </c>
      <c r="E4363" s="28" t="s">
        <v>15486</v>
      </c>
      <c r="F4363" s="28" t="s">
        <v>15487</v>
      </c>
      <c r="G4363" s="28" t="s">
        <v>9</v>
      </c>
      <c r="H4363" s="28" t="n">
        <v>70</v>
      </c>
    </row>
    <row r="4364" customFormat="false" ht="15" hidden="false" customHeight="true" outlineLevel="0" collapsed="false">
      <c r="A4364" s="28" t="s">
        <v>15488</v>
      </c>
      <c r="B4364" s="28" t="s">
        <v>9124</v>
      </c>
      <c r="C4364" s="28" t="s">
        <v>1714</v>
      </c>
      <c r="D4364" s="28" t="s">
        <v>54</v>
      </c>
      <c r="E4364" s="28" t="s">
        <v>14938</v>
      </c>
      <c r="F4364" s="28" t="s">
        <v>9307</v>
      </c>
      <c r="G4364" s="28" t="s">
        <v>9</v>
      </c>
      <c r="H4364" s="28" t="n">
        <v>70</v>
      </c>
    </row>
    <row r="4365" customFormat="false" ht="15" hidden="false" customHeight="true" outlineLevel="0" collapsed="false">
      <c r="A4365" s="28" t="s">
        <v>15489</v>
      </c>
      <c r="B4365" s="28" t="s">
        <v>9124</v>
      </c>
      <c r="C4365" s="28" t="s">
        <v>1714</v>
      </c>
      <c r="D4365" s="28" t="s">
        <v>54</v>
      </c>
      <c r="E4365" s="28" t="s">
        <v>15490</v>
      </c>
      <c r="F4365" s="28" t="s">
        <v>15077</v>
      </c>
      <c r="G4365" s="28" t="s">
        <v>9</v>
      </c>
      <c r="H4365" s="28" t="n">
        <v>70</v>
      </c>
    </row>
    <row r="4366" customFormat="false" ht="15" hidden="false" customHeight="true" outlineLevel="0" collapsed="false">
      <c r="A4366" s="28" t="s">
        <v>15491</v>
      </c>
      <c r="B4366" s="28" t="s">
        <v>9124</v>
      </c>
      <c r="C4366" s="28" t="s">
        <v>1714</v>
      </c>
      <c r="D4366" s="28" t="s">
        <v>54</v>
      </c>
      <c r="E4366" s="28" t="s">
        <v>15492</v>
      </c>
      <c r="F4366" s="28" t="s">
        <v>15493</v>
      </c>
      <c r="G4366" s="28" t="s">
        <v>9</v>
      </c>
      <c r="H4366" s="28" t="n">
        <v>70</v>
      </c>
    </row>
    <row r="4367" customFormat="false" ht="15" hidden="false" customHeight="true" outlineLevel="0" collapsed="false">
      <c r="A4367" s="28" t="s">
        <v>15494</v>
      </c>
      <c r="B4367" s="28" t="s">
        <v>9124</v>
      </c>
      <c r="C4367" s="28" t="s">
        <v>1714</v>
      </c>
      <c r="D4367" s="28" t="s">
        <v>54</v>
      </c>
      <c r="E4367" s="28" t="s">
        <v>15495</v>
      </c>
      <c r="F4367" s="28" t="s">
        <v>15496</v>
      </c>
      <c r="G4367" s="28" t="s">
        <v>9</v>
      </c>
      <c r="H4367" s="28" t="n">
        <v>70</v>
      </c>
    </row>
    <row r="4368" customFormat="false" ht="15" hidden="false" customHeight="true" outlineLevel="0" collapsed="false">
      <c r="A4368" s="28" t="s">
        <v>15497</v>
      </c>
      <c r="B4368" s="28" t="s">
        <v>9124</v>
      </c>
      <c r="C4368" s="28" t="s">
        <v>1714</v>
      </c>
      <c r="D4368" s="28" t="s">
        <v>54</v>
      </c>
      <c r="E4368" s="28" t="s">
        <v>15498</v>
      </c>
      <c r="F4368" s="28" t="s">
        <v>15499</v>
      </c>
      <c r="G4368" s="28" t="s">
        <v>9</v>
      </c>
      <c r="H4368" s="28" t="n">
        <v>70</v>
      </c>
    </row>
    <row r="4369" customFormat="false" ht="15" hidden="false" customHeight="true" outlineLevel="0" collapsed="false">
      <c r="A4369" s="28" t="s">
        <v>15500</v>
      </c>
      <c r="B4369" s="28" t="s">
        <v>9124</v>
      </c>
      <c r="C4369" s="28" t="s">
        <v>1714</v>
      </c>
      <c r="D4369" s="28" t="s">
        <v>54</v>
      </c>
      <c r="E4369" s="28" t="s">
        <v>15501</v>
      </c>
      <c r="F4369" s="28" t="s">
        <v>15502</v>
      </c>
      <c r="G4369" s="28" t="s">
        <v>9</v>
      </c>
      <c r="H4369" s="28" t="n">
        <v>70</v>
      </c>
    </row>
    <row r="4370" customFormat="false" ht="15" hidden="false" customHeight="true" outlineLevel="0" collapsed="false">
      <c r="A4370" s="28" t="s">
        <v>15503</v>
      </c>
      <c r="B4370" s="28" t="s">
        <v>9124</v>
      </c>
      <c r="C4370" s="28" t="s">
        <v>1714</v>
      </c>
      <c r="D4370" s="28" t="s">
        <v>54</v>
      </c>
      <c r="E4370" s="28" t="s">
        <v>15504</v>
      </c>
      <c r="F4370" s="28" t="s">
        <v>15505</v>
      </c>
      <c r="G4370" s="28" t="s">
        <v>9</v>
      </c>
      <c r="H4370" s="28" t="n">
        <v>70</v>
      </c>
    </row>
    <row r="4371" customFormat="false" ht="15" hidden="false" customHeight="true" outlineLevel="0" collapsed="false">
      <c r="A4371" s="28" t="s">
        <v>15506</v>
      </c>
      <c r="B4371" s="28" t="s">
        <v>9124</v>
      </c>
      <c r="C4371" s="28" t="s">
        <v>1714</v>
      </c>
      <c r="D4371" s="28" t="s">
        <v>54</v>
      </c>
      <c r="E4371" s="28" t="s">
        <v>15507</v>
      </c>
      <c r="F4371" s="28" t="s">
        <v>15508</v>
      </c>
      <c r="G4371" s="28" t="s">
        <v>9</v>
      </c>
      <c r="H4371" s="28" t="n">
        <v>70</v>
      </c>
    </row>
    <row r="4372" customFormat="false" ht="15" hidden="false" customHeight="true" outlineLevel="0" collapsed="false">
      <c r="A4372" s="28" t="s">
        <v>15509</v>
      </c>
      <c r="B4372" s="28" t="s">
        <v>9124</v>
      </c>
      <c r="C4372" s="28" t="s">
        <v>1714</v>
      </c>
      <c r="D4372" s="28" t="s">
        <v>54</v>
      </c>
      <c r="E4372" s="28" t="s">
        <v>15220</v>
      </c>
      <c r="F4372" s="28" t="s">
        <v>15510</v>
      </c>
      <c r="G4372" s="28" t="s">
        <v>9</v>
      </c>
      <c r="H4372" s="28" t="n">
        <v>70</v>
      </c>
    </row>
    <row r="4373" customFormat="false" ht="15" hidden="false" customHeight="true" outlineLevel="0" collapsed="false">
      <c r="A4373" s="28" t="s">
        <v>15511</v>
      </c>
      <c r="B4373" s="28" t="s">
        <v>9140</v>
      </c>
      <c r="C4373" s="28" t="s">
        <v>5159</v>
      </c>
      <c r="D4373" s="28" t="s">
        <v>53</v>
      </c>
      <c r="E4373" s="28" t="s">
        <v>15512</v>
      </c>
      <c r="F4373" s="28" t="s">
        <v>15513</v>
      </c>
      <c r="G4373" s="28" t="s">
        <v>9</v>
      </c>
      <c r="H4373" s="28" t="n">
        <v>70</v>
      </c>
    </row>
    <row r="4374" customFormat="false" ht="15" hidden="false" customHeight="true" outlineLevel="0" collapsed="false">
      <c r="A4374" s="28" t="s">
        <v>15514</v>
      </c>
      <c r="B4374" s="28" t="s">
        <v>9140</v>
      </c>
      <c r="C4374" s="28" t="s">
        <v>5159</v>
      </c>
      <c r="D4374" s="28" t="s">
        <v>53</v>
      </c>
      <c r="E4374" s="28" t="s">
        <v>15147</v>
      </c>
      <c r="F4374" s="28" t="s">
        <v>15515</v>
      </c>
      <c r="G4374" s="28" t="s">
        <v>9</v>
      </c>
      <c r="H4374" s="28" t="n">
        <v>70</v>
      </c>
    </row>
    <row r="4375" customFormat="false" ht="15" hidden="false" customHeight="true" outlineLevel="0" collapsed="false">
      <c r="A4375" s="28" t="s">
        <v>15516</v>
      </c>
      <c r="B4375" s="28" t="s">
        <v>9140</v>
      </c>
      <c r="C4375" s="28" t="s">
        <v>5159</v>
      </c>
      <c r="D4375" s="28" t="s">
        <v>53</v>
      </c>
      <c r="E4375" s="28" t="s">
        <v>15517</v>
      </c>
      <c r="F4375" s="28" t="s">
        <v>15518</v>
      </c>
      <c r="G4375" s="28" t="s">
        <v>9</v>
      </c>
      <c r="H4375" s="28" t="n">
        <v>70</v>
      </c>
    </row>
    <row r="4376" customFormat="false" ht="15" hidden="false" customHeight="true" outlineLevel="0" collapsed="false">
      <c r="A4376" s="28" t="s">
        <v>15519</v>
      </c>
      <c r="B4376" s="28" t="s">
        <v>9140</v>
      </c>
      <c r="C4376" s="28" t="s">
        <v>5159</v>
      </c>
      <c r="D4376" s="28" t="s">
        <v>53</v>
      </c>
      <c r="E4376" s="28" t="s">
        <v>15520</v>
      </c>
      <c r="F4376" s="28" t="s">
        <v>15521</v>
      </c>
      <c r="G4376" s="28" t="s">
        <v>9</v>
      </c>
      <c r="H4376" s="28" t="n">
        <v>70</v>
      </c>
    </row>
    <row r="4377" customFormat="false" ht="15" hidden="false" customHeight="true" outlineLevel="0" collapsed="false">
      <c r="A4377" s="28" t="s">
        <v>15522</v>
      </c>
      <c r="B4377" s="28" t="s">
        <v>9140</v>
      </c>
      <c r="C4377" s="28" t="s">
        <v>5159</v>
      </c>
      <c r="D4377" s="28" t="s">
        <v>53</v>
      </c>
      <c r="E4377" s="28" t="s">
        <v>15523</v>
      </c>
      <c r="F4377" s="28" t="s">
        <v>15524</v>
      </c>
      <c r="G4377" s="28" t="s">
        <v>9</v>
      </c>
      <c r="H4377" s="28" t="n">
        <v>70</v>
      </c>
    </row>
    <row r="4378" customFormat="false" ht="15" hidden="false" customHeight="true" outlineLevel="0" collapsed="false">
      <c r="A4378" s="28" t="s">
        <v>15525</v>
      </c>
      <c r="B4378" s="28" t="s">
        <v>9140</v>
      </c>
      <c r="C4378" s="28" t="s">
        <v>5159</v>
      </c>
      <c r="D4378" s="28" t="s">
        <v>53</v>
      </c>
      <c r="E4378" s="28" t="s">
        <v>15526</v>
      </c>
      <c r="F4378" s="28" t="s">
        <v>15527</v>
      </c>
      <c r="G4378" s="28" t="s">
        <v>9</v>
      </c>
      <c r="H4378" s="28" t="n">
        <v>70</v>
      </c>
    </row>
    <row r="4379" customFormat="false" ht="15" hidden="false" customHeight="true" outlineLevel="0" collapsed="false">
      <c r="A4379" s="28" t="s">
        <v>15528</v>
      </c>
      <c r="B4379" s="28" t="s">
        <v>9140</v>
      </c>
      <c r="C4379" s="28" t="s">
        <v>5159</v>
      </c>
      <c r="D4379" s="28" t="s">
        <v>53</v>
      </c>
      <c r="E4379" s="28" t="s">
        <v>15529</v>
      </c>
      <c r="F4379" s="28" t="s">
        <v>15530</v>
      </c>
      <c r="G4379" s="28" t="s">
        <v>9</v>
      </c>
      <c r="H4379" s="28" t="n">
        <v>70</v>
      </c>
    </row>
    <row r="4380" customFormat="false" ht="15" hidden="false" customHeight="true" outlineLevel="0" collapsed="false">
      <c r="A4380" s="28" t="s">
        <v>15531</v>
      </c>
      <c r="B4380" s="28" t="s">
        <v>9140</v>
      </c>
      <c r="C4380" s="28" t="s">
        <v>5159</v>
      </c>
      <c r="D4380" s="28" t="s">
        <v>53</v>
      </c>
      <c r="E4380" s="28" t="s">
        <v>15144</v>
      </c>
      <c r="F4380" s="28" t="s">
        <v>15532</v>
      </c>
      <c r="G4380" s="28" t="s">
        <v>9</v>
      </c>
      <c r="H4380" s="28" t="n">
        <v>70</v>
      </c>
    </row>
    <row r="4381" customFormat="false" ht="15" hidden="false" customHeight="true" outlineLevel="0" collapsed="false">
      <c r="A4381" s="28" t="s">
        <v>15533</v>
      </c>
      <c r="B4381" s="28" t="s">
        <v>9156</v>
      </c>
      <c r="C4381" s="28" t="s">
        <v>5159</v>
      </c>
      <c r="D4381" s="28" t="s">
        <v>53</v>
      </c>
      <c r="E4381" s="28" t="s">
        <v>15534</v>
      </c>
      <c r="F4381" s="28" t="s">
        <v>15535</v>
      </c>
      <c r="G4381" s="28" t="s">
        <v>9</v>
      </c>
      <c r="H4381" s="28" t="n">
        <v>110</v>
      </c>
    </row>
    <row r="4382" customFormat="false" ht="15" hidden="false" customHeight="true" outlineLevel="0" collapsed="false">
      <c r="A4382" s="28" t="s">
        <v>15536</v>
      </c>
      <c r="B4382" s="28" t="s">
        <v>9156</v>
      </c>
      <c r="C4382" s="28" t="s">
        <v>5159</v>
      </c>
      <c r="D4382" s="28" t="s">
        <v>53</v>
      </c>
      <c r="E4382" s="28" t="s">
        <v>15537</v>
      </c>
      <c r="F4382" s="28" t="s">
        <v>15538</v>
      </c>
      <c r="G4382" s="28" t="s">
        <v>9</v>
      </c>
      <c r="H4382" s="28" t="n">
        <v>70</v>
      </c>
    </row>
    <row r="4383" customFormat="false" ht="15" hidden="false" customHeight="true" outlineLevel="0" collapsed="false">
      <c r="A4383" s="28" t="s">
        <v>15539</v>
      </c>
      <c r="B4383" s="28" t="s">
        <v>9156</v>
      </c>
      <c r="C4383" s="28" t="s">
        <v>5159</v>
      </c>
      <c r="D4383" s="28" t="s">
        <v>53</v>
      </c>
      <c r="E4383" s="28" t="s">
        <v>15537</v>
      </c>
      <c r="F4383" s="28" t="s">
        <v>15540</v>
      </c>
      <c r="G4383" s="28" t="s">
        <v>9</v>
      </c>
      <c r="H4383" s="28" t="n">
        <v>70</v>
      </c>
    </row>
    <row r="4384" customFormat="false" ht="15" hidden="false" customHeight="true" outlineLevel="0" collapsed="false">
      <c r="A4384" s="28" t="s">
        <v>15541</v>
      </c>
      <c r="B4384" s="28" t="s">
        <v>9156</v>
      </c>
      <c r="C4384" s="28" t="s">
        <v>5159</v>
      </c>
      <c r="D4384" s="28" t="s">
        <v>53</v>
      </c>
      <c r="E4384" s="28" t="s">
        <v>15542</v>
      </c>
      <c r="F4384" s="28" t="s">
        <v>15543</v>
      </c>
      <c r="G4384" s="28" t="s">
        <v>9</v>
      </c>
      <c r="H4384" s="28" t="n">
        <v>70</v>
      </c>
    </row>
    <row r="4385" customFormat="false" ht="15" hidden="false" customHeight="true" outlineLevel="0" collapsed="false">
      <c r="A4385" s="28" t="s">
        <v>15544</v>
      </c>
      <c r="B4385" s="28" t="s">
        <v>9156</v>
      </c>
      <c r="C4385" s="28" t="s">
        <v>5159</v>
      </c>
      <c r="D4385" s="28" t="s">
        <v>53</v>
      </c>
      <c r="E4385" s="28" t="s">
        <v>15348</v>
      </c>
      <c r="F4385" s="28" t="s">
        <v>15545</v>
      </c>
      <c r="G4385" s="28" t="s">
        <v>9</v>
      </c>
      <c r="H4385" s="28" t="n">
        <v>70</v>
      </c>
    </row>
    <row r="4386" customFormat="false" ht="15" hidden="false" customHeight="true" outlineLevel="0" collapsed="false">
      <c r="A4386" s="28" t="s">
        <v>15546</v>
      </c>
      <c r="B4386" s="28" t="s">
        <v>9156</v>
      </c>
      <c r="C4386" s="28" t="s">
        <v>5159</v>
      </c>
      <c r="D4386" s="28" t="s">
        <v>53</v>
      </c>
      <c r="E4386" s="28" t="s">
        <v>15547</v>
      </c>
      <c r="F4386" s="28" t="s">
        <v>15548</v>
      </c>
      <c r="G4386" s="28" t="s">
        <v>9</v>
      </c>
      <c r="H4386" s="28" t="n">
        <v>70</v>
      </c>
    </row>
    <row r="4387" customFormat="false" ht="15" hidden="false" customHeight="true" outlineLevel="0" collapsed="false">
      <c r="A4387" s="28" t="s">
        <v>15549</v>
      </c>
      <c r="B4387" s="28" t="s">
        <v>9156</v>
      </c>
      <c r="C4387" s="28" t="s">
        <v>5159</v>
      </c>
      <c r="D4387" s="28" t="s">
        <v>53</v>
      </c>
      <c r="E4387" s="28" t="s">
        <v>15550</v>
      </c>
      <c r="F4387" s="28" t="s">
        <v>15551</v>
      </c>
      <c r="G4387" s="28" t="s">
        <v>9</v>
      </c>
      <c r="H4387" s="28" t="n">
        <v>70</v>
      </c>
    </row>
    <row r="4388" customFormat="false" ht="39.6" hidden="false" customHeight="true" outlineLevel="0" collapsed="false">
      <c r="A4388" s="28" t="s">
        <v>15552</v>
      </c>
      <c r="B4388" s="28" t="s">
        <v>4243</v>
      </c>
      <c r="C4388" s="28" t="s">
        <v>98</v>
      </c>
      <c r="D4388" s="28" t="s">
        <v>59</v>
      </c>
      <c r="E4388" s="28" t="s">
        <v>15553</v>
      </c>
      <c r="F4388" s="28" t="s">
        <v>15554</v>
      </c>
      <c r="G4388" s="28" t="s">
        <v>9</v>
      </c>
      <c r="H4388" s="28" t="n">
        <v>70</v>
      </c>
    </row>
    <row r="4389" customFormat="false" ht="26.4" hidden="false" customHeight="true" outlineLevel="0" collapsed="false">
      <c r="A4389" s="28" t="s">
        <v>15555</v>
      </c>
      <c r="B4389" s="28" t="s">
        <v>4260</v>
      </c>
      <c r="C4389" s="28" t="s">
        <v>98</v>
      </c>
      <c r="D4389" s="28" t="s">
        <v>59</v>
      </c>
      <c r="E4389" s="28" t="s">
        <v>15553</v>
      </c>
      <c r="F4389" s="28" t="s">
        <v>15556</v>
      </c>
      <c r="G4389" s="28" t="s">
        <v>9</v>
      </c>
      <c r="H4389" s="28" t="n">
        <v>70</v>
      </c>
    </row>
    <row r="4390" customFormat="false" ht="26.4" hidden="false" customHeight="true" outlineLevel="0" collapsed="false">
      <c r="A4390" s="28" t="s">
        <v>15557</v>
      </c>
      <c r="B4390" s="28" t="s">
        <v>4276</v>
      </c>
      <c r="C4390" s="28" t="s">
        <v>98</v>
      </c>
      <c r="D4390" s="28" t="s">
        <v>59</v>
      </c>
      <c r="E4390" s="28" t="s">
        <v>15553</v>
      </c>
      <c r="F4390" s="28" t="s">
        <v>15558</v>
      </c>
      <c r="G4390" s="28" t="s">
        <v>9</v>
      </c>
      <c r="H4390" s="28" t="n">
        <v>70</v>
      </c>
    </row>
    <row r="4391" customFormat="false" ht="26.4" hidden="false" customHeight="true" outlineLevel="0" collapsed="false">
      <c r="A4391" s="28" t="s">
        <v>15559</v>
      </c>
      <c r="B4391" s="28" t="s">
        <v>4306</v>
      </c>
      <c r="C4391" s="28" t="s">
        <v>98</v>
      </c>
      <c r="D4391" s="28" t="s">
        <v>59</v>
      </c>
      <c r="E4391" s="28" t="s">
        <v>15553</v>
      </c>
      <c r="F4391" s="28" t="s">
        <v>15560</v>
      </c>
      <c r="G4391" s="28" t="s">
        <v>9</v>
      </c>
      <c r="H4391" s="28" t="n">
        <v>70</v>
      </c>
    </row>
    <row r="4392" customFormat="false" ht="26.4" hidden="false" customHeight="true" outlineLevel="0" collapsed="false">
      <c r="A4392" s="28" t="s">
        <v>15561</v>
      </c>
      <c r="B4392" s="28" t="s">
        <v>4353</v>
      </c>
      <c r="C4392" s="28" t="s">
        <v>98</v>
      </c>
      <c r="D4392" s="28" t="s">
        <v>59</v>
      </c>
      <c r="E4392" s="28" t="s">
        <v>15553</v>
      </c>
      <c r="F4392" s="28" t="s">
        <v>15562</v>
      </c>
      <c r="G4392" s="28" t="s">
        <v>9</v>
      </c>
      <c r="H4392" s="28" t="n">
        <v>70</v>
      </c>
    </row>
    <row r="4393" customFormat="false" ht="26.4" hidden="false" customHeight="true" outlineLevel="0" collapsed="false">
      <c r="A4393" s="28" t="s">
        <v>15563</v>
      </c>
      <c r="B4393" s="28" t="s">
        <v>4368</v>
      </c>
      <c r="C4393" s="28" t="s">
        <v>98</v>
      </c>
      <c r="D4393" s="28" t="s">
        <v>59</v>
      </c>
      <c r="E4393" s="28" t="s">
        <v>15553</v>
      </c>
      <c r="F4393" s="28" t="s">
        <v>15564</v>
      </c>
      <c r="G4393" s="28" t="s">
        <v>9</v>
      </c>
      <c r="H4393" s="28" t="n">
        <v>70</v>
      </c>
    </row>
    <row r="4394" customFormat="false" ht="39.6" hidden="false" customHeight="true" outlineLevel="0" collapsed="false">
      <c r="A4394" s="28" t="s">
        <v>15565</v>
      </c>
      <c r="B4394" s="28" t="s">
        <v>4383</v>
      </c>
      <c r="C4394" s="28" t="s">
        <v>98</v>
      </c>
      <c r="D4394" s="28" t="s">
        <v>59</v>
      </c>
      <c r="E4394" s="28" t="s">
        <v>15553</v>
      </c>
      <c r="F4394" s="28" t="s">
        <v>15566</v>
      </c>
      <c r="G4394" s="28" t="s">
        <v>9</v>
      </c>
      <c r="H4394" s="28" t="n">
        <v>70</v>
      </c>
    </row>
    <row r="4395" customFormat="false" ht="26.4" hidden="false" customHeight="true" outlineLevel="0" collapsed="false">
      <c r="A4395" s="28" t="s">
        <v>15567</v>
      </c>
      <c r="B4395" s="28" t="s">
        <v>4446</v>
      </c>
      <c r="C4395" s="28" t="s">
        <v>98</v>
      </c>
      <c r="D4395" s="28" t="s">
        <v>59</v>
      </c>
      <c r="E4395" s="28" t="s">
        <v>15553</v>
      </c>
      <c r="F4395" s="28" t="s">
        <v>15568</v>
      </c>
      <c r="G4395" s="28" t="s">
        <v>9</v>
      </c>
      <c r="H4395" s="28" t="n">
        <v>70</v>
      </c>
    </row>
    <row r="4396" customFormat="false" ht="26.4" hidden="false" customHeight="true" outlineLevel="0" collapsed="false">
      <c r="A4396" s="28" t="s">
        <v>15569</v>
      </c>
      <c r="B4396" s="28" t="s">
        <v>4461</v>
      </c>
      <c r="C4396" s="28" t="s">
        <v>98</v>
      </c>
      <c r="D4396" s="28" t="s">
        <v>59</v>
      </c>
      <c r="E4396" s="28" t="s">
        <v>15553</v>
      </c>
      <c r="F4396" s="28" t="s">
        <v>15570</v>
      </c>
      <c r="G4396" s="28" t="s">
        <v>9</v>
      </c>
      <c r="H4396" s="28" t="n">
        <v>70</v>
      </c>
    </row>
    <row r="4397" customFormat="false" ht="26.4" hidden="false" customHeight="true" outlineLevel="0" collapsed="false">
      <c r="A4397" s="28" t="s">
        <v>15571</v>
      </c>
      <c r="B4397" s="28" t="s">
        <v>4488</v>
      </c>
      <c r="C4397" s="28" t="s">
        <v>98</v>
      </c>
      <c r="D4397" s="28" t="s">
        <v>59</v>
      </c>
      <c r="E4397" s="28" t="s">
        <v>15553</v>
      </c>
      <c r="F4397" s="28" t="s">
        <v>15572</v>
      </c>
      <c r="G4397" s="28" t="s">
        <v>9</v>
      </c>
      <c r="H4397" s="28" t="n">
        <v>70</v>
      </c>
    </row>
    <row r="4398" customFormat="false" ht="26.4" hidden="false" customHeight="true" outlineLevel="0" collapsed="false">
      <c r="A4398" s="28" t="s">
        <v>15573</v>
      </c>
      <c r="B4398" s="28" t="s">
        <v>4542</v>
      </c>
      <c r="C4398" s="28" t="s">
        <v>98</v>
      </c>
      <c r="D4398" s="28" t="s">
        <v>59</v>
      </c>
      <c r="E4398" s="28" t="s">
        <v>15553</v>
      </c>
      <c r="F4398" s="28" t="s">
        <v>15574</v>
      </c>
      <c r="G4398" s="28" t="s">
        <v>9</v>
      </c>
      <c r="H4398" s="28" t="n">
        <v>70</v>
      </c>
    </row>
    <row r="4399" customFormat="false" ht="39.6" hidden="false" customHeight="true" outlineLevel="0" collapsed="false">
      <c r="A4399" s="28" t="s">
        <v>15575</v>
      </c>
      <c r="B4399" s="28" t="s">
        <v>4630</v>
      </c>
      <c r="C4399" s="28" t="s">
        <v>98</v>
      </c>
      <c r="D4399" s="28" t="s">
        <v>59</v>
      </c>
      <c r="E4399" s="28" t="s">
        <v>15553</v>
      </c>
      <c r="F4399" s="28" t="s">
        <v>15576</v>
      </c>
      <c r="G4399" s="28" t="s">
        <v>9</v>
      </c>
      <c r="H4399" s="28" t="n">
        <v>70</v>
      </c>
    </row>
    <row r="4400" customFormat="false" ht="26.4" hidden="false" customHeight="true" outlineLevel="0" collapsed="false">
      <c r="A4400" s="28" t="s">
        <v>15577</v>
      </c>
      <c r="B4400" s="28" t="s">
        <v>4687</v>
      </c>
      <c r="C4400" s="28" t="s">
        <v>98</v>
      </c>
      <c r="D4400" s="28" t="s">
        <v>59</v>
      </c>
      <c r="E4400" s="28" t="s">
        <v>15553</v>
      </c>
      <c r="F4400" s="28" t="s">
        <v>15578</v>
      </c>
      <c r="G4400" s="28" t="s">
        <v>9</v>
      </c>
      <c r="H4400" s="28" t="n">
        <v>70</v>
      </c>
    </row>
    <row r="4401" customFormat="false" ht="26.4" hidden="false" customHeight="true" outlineLevel="0" collapsed="false">
      <c r="A4401" s="28" t="s">
        <v>15579</v>
      </c>
      <c r="B4401" s="28" t="s">
        <v>4703</v>
      </c>
      <c r="C4401" s="28" t="s">
        <v>98</v>
      </c>
      <c r="D4401" s="28" t="s">
        <v>59</v>
      </c>
      <c r="E4401" s="28" t="s">
        <v>15553</v>
      </c>
      <c r="F4401" s="28" t="s">
        <v>15580</v>
      </c>
      <c r="G4401" s="28" t="s">
        <v>9</v>
      </c>
      <c r="H4401" s="28" t="n">
        <v>70</v>
      </c>
    </row>
    <row r="4402" customFormat="false" ht="26.4" hidden="false" customHeight="true" outlineLevel="0" collapsed="false">
      <c r="A4402" s="28" t="s">
        <v>15581</v>
      </c>
      <c r="B4402" s="28" t="s">
        <v>4717</v>
      </c>
      <c r="C4402" s="28" t="s">
        <v>98</v>
      </c>
      <c r="D4402" s="28" t="s">
        <v>59</v>
      </c>
      <c r="E4402" s="28" t="s">
        <v>15553</v>
      </c>
      <c r="F4402" s="28" t="s">
        <v>15582</v>
      </c>
      <c r="G4402" s="28" t="s">
        <v>9</v>
      </c>
      <c r="H4402" s="28" t="n">
        <v>70</v>
      </c>
    </row>
    <row r="4403" customFormat="false" ht="39.6" hidden="false" customHeight="true" outlineLevel="0" collapsed="false">
      <c r="A4403" s="28" t="s">
        <v>15583</v>
      </c>
      <c r="B4403" s="28" t="s">
        <v>4732</v>
      </c>
      <c r="C4403" s="28" t="s">
        <v>98</v>
      </c>
      <c r="D4403" s="28" t="s">
        <v>59</v>
      </c>
      <c r="E4403" s="28" t="s">
        <v>15553</v>
      </c>
      <c r="F4403" s="28" t="s">
        <v>15584</v>
      </c>
      <c r="G4403" s="28" t="s">
        <v>9</v>
      </c>
      <c r="H4403" s="28" t="n">
        <v>70</v>
      </c>
    </row>
    <row r="4404" customFormat="false" ht="26.4" hidden="false" customHeight="true" outlineLevel="0" collapsed="false">
      <c r="A4404" s="28" t="s">
        <v>15585</v>
      </c>
      <c r="B4404" s="28" t="s">
        <v>4745</v>
      </c>
      <c r="C4404" s="28" t="s">
        <v>98</v>
      </c>
      <c r="D4404" s="28" t="s">
        <v>59</v>
      </c>
      <c r="E4404" s="28" t="s">
        <v>15553</v>
      </c>
      <c r="F4404" s="28" t="s">
        <v>15586</v>
      </c>
      <c r="G4404" s="28" t="s">
        <v>9</v>
      </c>
      <c r="H4404" s="28" t="n">
        <v>70</v>
      </c>
    </row>
    <row r="4405" customFormat="false" ht="26.4" hidden="false" customHeight="true" outlineLevel="0" collapsed="false">
      <c r="A4405" s="28" t="s">
        <v>15587</v>
      </c>
      <c r="B4405" s="28" t="s">
        <v>4799</v>
      </c>
      <c r="C4405" s="28" t="s">
        <v>98</v>
      </c>
      <c r="D4405" s="28" t="s">
        <v>59</v>
      </c>
      <c r="E4405" s="28" t="s">
        <v>15553</v>
      </c>
      <c r="F4405" s="28" t="s">
        <v>15588</v>
      </c>
      <c r="G4405" s="28" t="s">
        <v>9</v>
      </c>
      <c r="H4405" s="28" t="n">
        <v>70</v>
      </c>
    </row>
    <row r="4406" customFormat="false" ht="26.4" hidden="false" customHeight="true" outlineLevel="0" collapsed="false">
      <c r="A4406" s="28" t="s">
        <v>15589</v>
      </c>
      <c r="B4406" s="28" t="s">
        <v>4844</v>
      </c>
      <c r="C4406" s="28" t="s">
        <v>98</v>
      </c>
      <c r="D4406" s="28" t="s">
        <v>59</v>
      </c>
      <c r="E4406" s="28" t="s">
        <v>15553</v>
      </c>
      <c r="F4406" s="28" t="s">
        <v>15590</v>
      </c>
      <c r="G4406" s="28" t="s">
        <v>9</v>
      </c>
      <c r="H4406" s="28" t="n">
        <v>70</v>
      </c>
    </row>
    <row r="4407" customFormat="false" ht="52.8" hidden="false" customHeight="true" outlineLevel="0" collapsed="false">
      <c r="A4407" s="28" t="s">
        <v>15591</v>
      </c>
      <c r="B4407" s="28" t="s">
        <v>8519</v>
      </c>
      <c r="C4407" s="28" t="s">
        <v>1714</v>
      </c>
      <c r="D4407" s="28" t="s">
        <v>54</v>
      </c>
      <c r="E4407" s="28" t="s">
        <v>15553</v>
      </c>
      <c r="F4407" s="28" t="s">
        <v>15592</v>
      </c>
      <c r="G4407" s="28" t="s">
        <v>9</v>
      </c>
      <c r="H4407" s="28" t="n">
        <v>110</v>
      </c>
    </row>
    <row r="4408" customFormat="false" ht="26.4" hidden="false" customHeight="true" outlineLevel="0" collapsed="false">
      <c r="A4408" s="28" t="s">
        <v>15593</v>
      </c>
      <c r="B4408" s="28" t="s">
        <v>5033</v>
      </c>
      <c r="C4408" s="28" t="s">
        <v>98</v>
      </c>
      <c r="D4408" s="28" t="s">
        <v>59</v>
      </c>
      <c r="E4408" s="28" t="s">
        <v>15553</v>
      </c>
      <c r="F4408" s="28" t="s">
        <v>15594</v>
      </c>
      <c r="G4408" s="28" t="s">
        <v>9</v>
      </c>
      <c r="H4408" s="28" t="n">
        <v>70</v>
      </c>
    </row>
    <row r="4409" customFormat="false" ht="15" hidden="false" customHeight="true" outlineLevel="0" collapsed="false">
      <c r="A4409" s="28" t="s">
        <v>15595</v>
      </c>
      <c r="B4409" s="28" t="s">
        <v>5062</v>
      </c>
      <c r="C4409" s="28" t="s">
        <v>1396</v>
      </c>
      <c r="D4409" s="28" t="s">
        <v>55</v>
      </c>
      <c r="E4409" s="28" t="s">
        <v>15553</v>
      </c>
      <c r="F4409" s="28" t="s">
        <v>15596</v>
      </c>
      <c r="G4409" s="28" t="s">
        <v>9</v>
      </c>
      <c r="H4409" s="28" t="n">
        <v>70</v>
      </c>
    </row>
    <row r="4410" customFormat="false" ht="26.4" hidden="false" customHeight="true" outlineLevel="0" collapsed="false">
      <c r="A4410" s="28" t="s">
        <v>15597</v>
      </c>
      <c r="B4410" s="28" t="s">
        <v>5089</v>
      </c>
      <c r="C4410" s="28" t="s">
        <v>1396</v>
      </c>
      <c r="D4410" s="28" t="s">
        <v>55</v>
      </c>
      <c r="E4410" s="28" t="s">
        <v>15553</v>
      </c>
      <c r="F4410" s="28" t="s">
        <v>15598</v>
      </c>
      <c r="G4410" s="28" t="s">
        <v>9</v>
      </c>
      <c r="H4410" s="28" t="n">
        <v>70</v>
      </c>
    </row>
    <row r="4411" customFormat="false" ht="26.4" hidden="false" customHeight="true" outlineLevel="0" collapsed="false">
      <c r="A4411" s="28" t="s">
        <v>15599</v>
      </c>
      <c r="B4411" s="28" t="s">
        <v>624</v>
      </c>
      <c r="C4411" s="28" t="s">
        <v>98</v>
      </c>
      <c r="D4411" s="28" t="s">
        <v>59</v>
      </c>
      <c r="E4411" s="28" t="s">
        <v>15553</v>
      </c>
      <c r="F4411" s="28" t="s">
        <v>15600</v>
      </c>
      <c r="G4411" s="28" t="s">
        <v>9</v>
      </c>
      <c r="H4411" s="28" t="n">
        <v>70</v>
      </c>
    </row>
    <row r="4412" customFormat="false" ht="26.4" hidden="false" customHeight="true" outlineLevel="0" collapsed="false">
      <c r="A4412" s="28" t="s">
        <v>15601</v>
      </c>
      <c r="B4412" s="28" t="s">
        <v>864</v>
      </c>
      <c r="C4412" s="28" t="s">
        <v>98</v>
      </c>
      <c r="D4412" s="28" t="s">
        <v>59</v>
      </c>
      <c r="E4412" s="28" t="s">
        <v>15553</v>
      </c>
      <c r="F4412" s="28" t="s">
        <v>15602</v>
      </c>
      <c r="G4412" s="28" t="s">
        <v>9</v>
      </c>
      <c r="H4412" s="28" t="n">
        <v>70</v>
      </c>
    </row>
    <row r="4413" customFormat="false" ht="39.6" hidden="false" customHeight="true" outlineLevel="0" collapsed="false">
      <c r="A4413" s="28" t="s">
        <v>15603</v>
      </c>
      <c r="B4413" s="28" t="s">
        <v>970</v>
      </c>
      <c r="C4413" s="28" t="s">
        <v>98</v>
      </c>
      <c r="D4413" s="28" t="s">
        <v>59</v>
      </c>
      <c r="E4413" s="28" t="s">
        <v>15553</v>
      </c>
      <c r="F4413" s="28" t="s">
        <v>15604</v>
      </c>
      <c r="G4413" s="28" t="s">
        <v>9</v>
      </c>
      <c r="H4413" s="28" t="n">
        <v>70</v>
      </c>
    </row>
    <row r="4414" customFormat="false" ht="26.4" hidden="false" customHeight="true" outlineLevel="0" collapsed="false">
      <c r="A4414" s="28" t="s">
        <v>15605</v>
      </c>
      <c r="B4414" s="28" t="s">
        <v>986</v>
      </c>
      <c r="C4414" s="28" t="s">
        <v>98</v>
      </c>
      <c r="D4414" s="28" t="s">
        <v>59</v>
      </c>
      <c r="E4414" s="28" t="s">
        <v>15553</v>
      </c>
      <c r="F4414" s="28" t="s">
        <v>15606</v>
      </c>
      <c r="G4414" s="28" t="s">
        <v>9</v>
      </c>
      <c r="H4414" s="28" t="n">
        <v>70</v>
      </c>
    </row>
    <row r="4415" customFormat="false" ht="26.4" hidden="false" customHeight="true" outlineLevel="0" collapsed="false">
      <c r="A4415" s="28" t="s">
        <v>15607</v>
      </c>
      <c r="B4415" s="28" t="s">
        <v>1012</v>
      </c>
      <c r="C4415" s="28" t="s">
        <v>98</v>
      </c>
      <c r="D4415" s="28" t="s">
        <v>59</v>
      </c>
      <c r="E4415" s="28" t="s">
        <v>15553</v>
      </c>
      <c r="F4415" s="28" t="s">
        <v>15608</v>
      </c>
      <c r="G4415" s="28" t="s">
        <v>9</v>
      </c>
      <c r="H4415" s="28" t="n">
        <v>70</v>
      </c>
    </row>
    <row r="4416" customFormat="false" ht="26.4" hidden="false" customHeight="true" outlineLevel="0" collapsed="false">
      <c r="A4416" s="28" t="s">
        <v>15609</v>
      </c>
      <c r="B4416" s="28" t="s">
        <v>1036</v>
      </c>
      <c r="C4416" s="28" t="s">
        <v>98</v>
      </c>
      <c r="D4416" s="28" t="s">
        <v>59</v>
      </c>
      <c r="E4416" s="28" t="s">
        <v>15553</v>
      </c>
      <c r="F4416" s="28" t="s">
        <v>15610</v>
      </c>
      <c r="G4416" s="28" t="s">
        <v>9</v>
      </c>
      <c r="H4416" s="28" t="n">
        <v>70</v>
      </c>
    </row>
    <row r="4417" customFormat="false" ht="26.4" hidden="false" customHeight="true" outlineLevel="0" collapsed="false">
      <c r="A4417" s="28" t="s">
        <v>15611</v>
      </c>
      <c r="B4417" s="28" t="s">
        <v>1051</v>
      </c>
      <c r="C4417" s="28" t="s">
        <v>98</v>
      </c>
      <c r="D4417" s="28" t="s">
        <v>59</v>
      </c>
      <c r="E4417" s="28" t="s">
        <v>15553</v>
      </c>
      <c r="F4417" s="28" t="s">
        <v>15612</v>
      </c>
      <c r="G4417" s="28" t="s">
        <v>9</v>
      </c>
      <c r="H4417" s="28" t="n">
        <v>70</v>
      </c>
    </row>
    <row r="4418" customFormat="false" ht="26.4" hidden="false" customHeight="true" outlineLevel="0" collapsed="false">
      <c r="A4418" s="28" t="s">
        <v>15613</v>
      </c>
      <c r="B4418" s="28" t="s">
        <v>1065</v>
      </c>
      <c r="C4418" s="28" t="s">
        <v>98</v>
      </c>
      <c r="D4418" s="28" t="s">
        <v>59</v>
      </c>
      <c r="E4418" s="28" t="s">
        <v>15553</v>
      </c>
      <c r="F4418" s="28" t="s">
        <v>15614</v>
      </c>
      <c r="G4418" s="28" t="s">
        <v>9</v>
      </c>
      <c r="H4418" s="28" t="n">
        <v>70</v>
      </c>
    </row>
    <row r="4419" customFormat="false" ht="39.6" hidden="false" customHeight="true" outlineLevel="0" collapsed="false">
      <c r="A4419" s="28" t="s">
        <v>15615</v>
      </c>
      <c r="B4419" s="28" t="s">
        <v>1140</v>
      </c>
      <c r="C4419" s="28" t="s">
        <v>98</v>
      </c>
      <c r="D4419" s="28" t="s">
        <v>59</v>
      </c>
      <c r="E4419" s="28" t="s">
        <v>15553</v>
      </c>
      <c r="F4419" s="28" t="s">
        <v>15616</v>
      </c>
      <c r="G4419" s="28" t="s">
        <v>9</v>
      </c>
      <c r="H4419" s="28" t="n">
        <v>70</v>
      </c>
    </row>
    <row r="4420" customFormat="false" ht="26.4" hidden="false" customHeight="true" outlineLevel="0" collapsed="false">
      <c r="A4420" s="28" t="s">
        <v>15617</v>
      </c>
      <c r="B4420" s="28" t="s">
        <v>6244</v>
      </c>
      <c r="C4420" s="28" t="s">
        <v>98</v>
      </c>
      <c r="D4420" s="28" t="s">
        <v>59</v>
      </c>
      <c r="E4420" s="28" t="s">
        <v>15553</v>
      </c>
      <c r="F4420" s="28" t="s">
        <v>15618</v>
      </c>
      <c r="G4420" s="28" t="s">
        <v>9</v>
      </c>
      <c r="H4420" s="28" t="n">
        <v>70</v>
      </c>
    </row>
    <row r="4421" customFormat="false" ht="26.4" hidden="false" customHeight="true" outlineLevel="0" collapsed="false">
      <c r="A4421" s="28" t="s">
        <v>15619</v>
      </c>
      <c r="B4421" s="28" t="s">
        <v>6292</v>
      </c>
      <c r="C4421" s="28" t="s">
        <v>98</v>
      </c>
      <c r="D4421" s="28" t="s">
        <v>59</v>
      </c>
      <c r="E4421" s="28" t="s">
        <v>15553</v>
      </c>
      <c r="F4421" s="28" t="s">
        <v>15620</v>
      </c>
      <c r="G4421" s="28" t="s">
        <v>9</v>
      </c>
      <c r="H4421" s="28" t="n">
        <v>70</v>
      </c>
    </row>
    <row r="4422" customFormat="false" ht="26.4" hidden="false" customHeight="true" outlineLevel="0" collapsed="false">
      <c r="A4422" s="28" t="s">
        <v>15621</v>
      </c>
      <c r="B4422" s="28" t="s">
        <v>6340</v>
      </c>
      <c r="C4422" s="28" t="s">
        <v>98</v>
      </c>
      <c r="D4422" s="28" t="s">
        <v>59</v>
      </c>
      <c r="E4422" s="28" t="s">
        <v>15553</v>
      </c>
      <c r="F4422" s="28" t="s">
        <v>15622</v>
      </c>
      <c r="G4422" s="28" t="s">
        <v>9</v>
      </c>
      <c r="H4422" s="28" t="n">
        <v>70</v>
      </c>
    </row>
    <row r="4423" customFormat="false" ht="26.4" hidden="false" customHeight="true" outlineLevel="0" collapsed="false">
      <c r="A4423" s="28" t="s">
        <v>15623</v>
      </c>
      <c r="B4423" s="28" t="s">
        <v>114</v>
      </c>
      <c r="C4423" s="28" t="s">
        <v>98</v>
      </c>
      <c r="D4423" s="28" t="s">
        <v>59</v>
      </c>
      <c r="E4423" s="28" t="s">
        <v>15553</v>
      </c>
      <c r="F4423" s="28" t="s">
        <v>15624</v>
      </c>
      <c r="G4423" s="28" t="s">
        <v>9</v>
      </c>
      <c r="H4423" s="28" t="n">
        <v>70</v>
      </c>
    </row>
    <row r="4424" customFormat="false" ht="26.4" hidden="false" customHeight="true" outlineLevel="0" collapsed="false">
      <c r="A4424" s="28" t="s">
        <v>15625</v>
      </c>
      <c r="B4424" s="28" t="s">
        <v>2983</v>
      </c>
      <c r="C4424" s="28" t="s">
        <v>98</v>
      </c>
      <c r="D4424" s="28" t="s">
        <v>59</v>
      </c>
      <c r="E4424" s="28" t="s">
        <v>15553</v>
      </c>
      <c r="F4424" s="28" t="s">
        <v>15626</v>
      </c>
      <c r="G4424" s="28" t="s">
        <v>9</v>
      </c>
      <c r="H4424" s="28" t="n">
        <v>70</v>
      </c>
    </row>
    <row r="4425" customFormat="false" ht="39.6" hidden="false" customHeight="true" outlineLevel="0" collapsed="false">
      <c r="A4425" s="28" t="s">
        <v>15627</v>
      </c>
      <c r="B4425" s="28" t="s">
        <v>2872</v>
      </c>
      <c r="C4425" s="28" t="s">
        <v>1407</v>
      </c>
      <c r="D4425" s="28" t="s">
        <v>50</v>
      </c>
      <c r="E4425" s="28" t="s">
        <v>15553</v>
      </c>
      <c r="F4425" s="28" t="s">
        <v>15628</v>
      </c>
      <c r="G4425" s="28" t="s">
        <v>9</v>
      </c>
      <c r="H4425" s="28" t="n">
        <v>70</v>
      </c>
    </row>
    <row r="4426" customFormat="false" ht="26.4" hidden="false" customHeight="true" outlineLevel="0" collapsed="false">
      <c r="A4426" s="28" t="s">
        <v>15629</v>
      </c>
      <c r="B4426" s="28" t="s">
        <v>2889</v>
      </c>
      <c r="C4426" s="28" t="s">
        <v>1407</v>
      </c>
      <c r="D4426" s="28" t="s">
        <v>50</v>
      </c>
      <c r="E4426" s="28" t="s">
        <v>15553</v>
      </c>
      <c r="F4426" s="28" t="s">
        <v>15630</v>
      </c>
      <c r="G4426" s="28" t="s">
        <v>9</v>
      </c>
      <c r="H4426" s="28" t="n">
        <v>70</v>
      </c>
    </row>
    <row r="4427" customFormat="false" ht="39.6" hidden="false" customHeight="true" outlineLevel="0" collapsed="false">
      <c r="A4427" s="28" t="s">
        <v>15631</v>
      </c>
      <c r="B4427" s="28" t="s">
        <v>2903</v>
      </c>
      <c r="C4427" s="28" t="s">
        <v>1407</v>
      </c>
      <c r="D4427" s="28" t="s">
        <v>50</v>
      </c>
      <c r="E4427" s="28" t="s">
        <v>15553</v>
      </c>
      <c r="F4427" s="28" t="s">
        <v>2910</v>
      </c>
      <c r="G4427" s="28" t="s">
        <v>9</v>
      </c>
      <c r="H4427" s="28" t="n">
        <v>70</v>
      </c>
    </row>
    <row r="4428" customFormat="false" ht="26.4" hidden="false" customHeight="true" outlineLevel="0" collapsed="false">
      <c r="A4428" s="28" t="s">
        <v>15632</v>
      </c>
      <c r="B4428" s="28" t="s">
        <v>2916</v>
      </c>
      <c r="C4428" s="28" t="s">
        <v>98</v>
      </c>
      <c r="D4428" s="28" t="s">
        <v>59</v>
      </c>
      <c r="E4428" s="28" t="s">
        <v>15553</v>
      </c>
      <c r="F4428" s="28" t="s">
        <v>15633</v>
      </c>
      <c r="G4428" s="28" t="s">
        <v>9</v>
      </c>
      <c r="H4428" s="28" t="n">
        <v>70</v>
      </c>
    </row>
    <row r="4429" customFormat="false" ht="26.4" hidden="false" customHeight="true" outlineLevel="0" collapsed="false">
      <c r="A4429" s="28" t="s">
        <v>15634</v>
      </c>
      <c r="B4429" s="28" t="s">
        <v>2952</v>
      </c>
      <c r="C4429" s="28" t="s">
        <v>1407</v>
      </c>
      <c r="D4429" s="28" t="s">
        <v>50</v>
      </c>
      <c r="E4429" s="28" t="s">
        <v>15553</v>
      </c>
      <c r="F4429" s="28" t="s">
        <v>15635</v>
      </c>
      <c r="G4429" s="28" t="s">
        <v>9</v>
      </c>
      <c r="H4429" s="28" t="n">
        <v>70</v>
      </c>
    </row>
    <row r="4430" customFormat="false" ht="15" hidden="false" customHeight="true" outlineLevel="0" collapsed="false">
      <c r="A4430" s="28" t="s">
        <v>15636</v>
      </c>
      <c r="B4430" s="28" t="s">
        <v>1930</v>
      </c>
      <c r="C4430" s="28" t="s">
        <v>1407</v>
      </c>
      <c r="D4430" s="28" t="s">
        <v>50</v>
      </c>
      <c r="E4430" s="28" t="s">
        <v>15553</v>
      </c>
      <c r="F4430" s="28" t="s">
        <v>15637</v>
      </c>
      <c r="G4430" s="28" t="s">
        <v>9</v>
      </c>
      <c r="H4430" s="28" t="n">
        <v>70</v>
      </c>
    </row>
    <row r="4431" customFormat="false" ht="26.4" hidden="false" customHeight="true" outlineLevel="0" collapsed="false">
      <c r="A4431" s="28" t="s">
        <v>15638</v>
      </c>
      <c r="B4431" s="28" t="s">
        <v>1484</v>
      </c>
      <c r="C4431" s="28" t="s">
        <v>57</v>
      </c>
      <c r="D4431" s="28" t="s">
        <v>57</v>
      </c>
      <c r="E4431" s="28" t="s">
        <v>15553</v>
      </c>
      <c r="F4431" s="28" t="s">
        <v>15639</v>
      </c>
      <c r="G4431" s="28" t="s">
        <v>9</v>
      </c>
      <c r="H4431" s="28" t="n">
        <v>70</v>
      </c>
    </row>
    <row r="4432" customFormat="false" ht="26.4" hidden="false" customHeight="true" outlineLevel="0" collapsed="false">
      <c r="A4432" s="28" t="s">
        <v>15640</v>
      </c>
      <c r="B4432" s="28" t="s">
        <v>1539</v>
      </c>
      <c r="C4432" s="28" t="s">
        <v>57</v>
      </c>
      <c r="D4432" s="28" t="s">
        <v>57</v>
      </c>
      <c r="E4432" s="28" t="s">
        <v>15553</v>
      </c>
      <c r="F4432" s="28" t="s">
        <v>15641</v>
      </c>
      <c r="G4432" s="28" t="s">
        <v>9</v>
      </c>
      <c r="H4432" s="28" t="n">
        <v>70</v>
      </c>
    </row>
    <row r="4433" customFormat="false" ht="26.4" hidden="false" customHeight="true" outlineLevel="0" collapsed="false">
      <c r="A4433" s="28" t="s">
        <v>15642</v>
      </c>
      <c r="B4433" s="28" t="s">
        <v>8608</v>
      </c>
      <c r="C4433" s="28" t="s">
        <v>8593</v>
      </c>
      <c r="D4433" s="28" t="s">
        <v>58</v>
      </c>
      <c r="E4433" s="28" t="s">
        <v>15553</v>
      </c>
      <c r="F4433" s="28" t="s">
        <v>15643</v>
      </c>
      <c r="G4433" s="28" t="s">
        <v>9</v>
      </c>
      <c r="H4433" s="28" t="n">
        <v>70</v>
      </c>
    </row>
    <row r="4434" customFormat="false" ht="15" hidden="false" customHeight="true" outlineLevel="0" collapsed="false">
      <c r="A4434" s="28" t="s">
        <v>15644</v>
      </c>
      <c r="B4434" s="28" t="s">
        <v>9175</v>
      </c>
      <c r="C4434" s="28" t="s">
        <v>9176</v>
      </c>
      <c r="D4434" s="28" t="s">
        <v>59</v>
      </c>
      <c r="E4434" s="28" t="s">
        <v>15645</v>
      </c>
      <c r="F4434" s="28" t="s">
        <v>15646</v>
      </c>
      <c r="G4434" s="28" t="s">
        <v>9</v>
      </c>
      <c r="H4434" s="28" t="n">
        <v>80</v>
      </c>
    </row>
    <row r="4435" customFormat="false" ht="15" hidden="false" customHeight="true" outlineLevel="0" collapsed="false">
      <c r="A4435" s="28" t="s">
        <v>15647</v>
      </c>
      <c r="B4435" s="28" t="s">
        <v>9175</v>
      </c>
      <c r="C4435" s="28" t="s">
        <v>9176</v>
      </c>
      <c r="D4435" s="28" t="s">
        <v>59</v>
      </c>
      <c r="E4435" s="28" t="s">
        <v>15648</v>
      </c>
      <c r="F4435" s="28" t="s">
        <v>15649</v>
      </c>
      <c r="G4435" s="28" t="s">
        <v>9</v>
      </c>
      <c r="H4435" s="28" t="n">
        <v>80</v>
      </c>
    </row>
    <row r="4436" customFormat="false" ht="15" hidden="false" customHeight="true" outlineLevel="0" collapsed="false">
      <c r="A4436" s="28" t="s">
        <v>15650</v>
      </c>
      <c r="B4436" s="28" t="s">
        <v>9175</v>
      </c>
      <c r="C4436" s="28" t="s">
        <v>9176</v>
      </c>
      <c r="D4436" s="28" t="s">
        <v>59</v>
      </c>
      <c r="E4436" s="28" t="s">
        <v>15651</v>
      </c>
      <c r="F4436" s="28" t="s">
        <v>15652</v>
      </c>
      <c r="G4436" s="28" t="s">
        <v>9</v>
      </c>
      <c r="H4436" s="28" t="n">
        <v>80</v>
      </c>
    </row>
    <row r="4437" customFormat="false" ht="15" hidden="false" customHeight="true" outlineLevel="0" collapsed="false">
      <c r="A4437" s="28" t="s">
        <v>15653</v>
      </c>
      <c r="B4437" s="28" t="s">
        <v>9175</v>
      </c>
      <c r="C4437" s="28" t="s">
        <v>9176</v>
      </c>
      <c r="D4437" s="28" t="s">
        <v>59</v>
      </c>
      <c r="E4437" s="28" t="s">
        <v>15654</v>
      </c>
      <c r="F4437" s="28" t="s">
        <v>15655</v>
      </c>
      <c r="G4437" s="28" t="s">
        <v>9</v>
      </c>
      <c r="H4437" s="28" t="n">
        <v>80</v>
      </c>
    </row>
    <row r="4438" customFormat="false" ht="15" hidden="false" customHeight="true" outlineLevel="0" collapsed="false">
      <c r="A4438" s="28" t="s">
        <v>15656</v>
      </c>
      <c r="B4438" s="28" t="s">
        <v>9175</v>
      </c>
      <c r="C4438" s="28" t="s">
        <v>9176</v>
      </c>
      <c r="D4438" s="28" t="s">
        <v>59</v>
      </c>
      <c r="E4438" s="28" t="s">
        <v>15289</v>
      </c>
      <c r="F4438" s="28" t="s">
        <v>15657</v>
      </c>
      <c r="G4438" s="28" t="s">
        <v>9</v>
      </c>
      <c r="H4438" s="28" t="n">
        <v>80</v>
      </c>
    </row>
    <row r="4439" customFormat="false" ht="15" hidden="false" customHeight="true" outlineLevel="0" collapsed="false">
      <c r="A4439" s="28" t="s">
        <v>15658</v>
      </c>
      <c r="B4439" s="28" t="s">
        <v>9175</v>
      </c>
      <c r="C4439" s="28" t="s">
        <v>9176</v>
      </c>
      <c r="D4439" s="28" t="s">
        <v>59</v>
      </c>
      <c r="E4439" s="28" t="s">
        <v>15659</v>
      </c>
      <c r="F4439" s="28" t="s">
        <v>15660</v>
      </c>
      <c r="G4439" s="28" t="s">
        <v>9</v>
      </c>
      <c r="H4439" s="28" t="n">
        <v>80</v>
      </c>
    </row>
    <row r="4440" customFormat="false" ht="15" hidden="false" customHeight="true" outlineLevel="0" collapsed="false">
      <c r="A4440" s="28" t="s">
        <v>15661</v>
      </c>
      <c r="B4440" s="28" t="s">
        <v>9198</v>
      </c>
      <c r="C4440" s="28" t="s">
        <v>1407</v>
      </c>
      <c r="D4440" s="28" t="s">
        <v>50</v>
      </c>
      <c r="E4440" s="28" t="s">
        <v>15662</v>
      </c>
      <c r="F4440" s="28" t="s">
        <v>15663</v>
      </c>
      <c r="G4440" s="28" t="s">
        <v>9</v>
      </c>
      <c r="H4440" s="28" t="n">
        <v>80</v>
      </c>
    </row>
    <row r="4441" customFormat="false" ht="15" hidden="false" customHeight="true" outlineLevel="0" collapsed="false">
      <c r="A4441" s="28" t="s">
        <v>15664</v>
      </c>
      <c r="B4441" s="28" t="s">
        <v>9198</v>
      </c>
      <c r="C4441" s="28" t="s">
        <v>1407</v>
      </c>
      <c r="D4441" s="28" t="s">
        <v>50</v>
      </c>
      <c r="E4441" s="28" t="s">
        <v>15665</v>
      </c>
      <c r="F4441" s="28" t="s">
        <v>15666</v>
      </c>
      <c r="G4441" s="28" t="s">
        <v>9</v>
      </c>
      <c r="H4441" s="28" t="n">
        <v>80</v>
      </c>
    </row>
    <row r="4442" customFormat="false" ht="15" hidden="false" customHeight="true" outlineLevel="0" collapsed="false">
      <c r="A4442" s="28" t="s">
        <v>15667</v>
      </c>
      <c r="B4442" s="28" t="s">
        <v>9198</v>
      </c>
      <c r="C4442" s="28" t="s">
        <v>1407</v>
      </c>
      <c r="D4442" s="28" t="s">
        <v>50</v>
      </c>
      <c r="E4442" s="28" t="s">
        <v>15668</v>
      </c>
      <c r="F4442" s="28" t="s">
        <v>15669</v>
      </c>
      <c r="G4442" s="28" t="s">
        <v>9</v>
      </c>
      <c r="H4442" s="28" t="n">
        <v>80</v>
      </c>
    </row>
    <row r="4443" customFormat="false" ht="15" hidden="false" customHeight="true" outlineLevel="0" collapsed="false">
      <c r="A4443" s="28" t="s">
        <v>15670</v>
      </c>
      <c r="B4443" s="28" t="s">
        <v>9198</v>
      </c>
      <c r="C4443" s="28" t="s">
        <v>1407</v>
      </c>
      <c r="D4443" s="28" t="s">
        <v>50</v>
      </c>
      <c r="E4443" s="28" t="s">
        <v>15671</v>
      </c>
      <c r="F4443" s="28" t="s">
        <v>15672</v>
      </c>
      <c r="G4443" s="28" t="s">
        <v>9</v>
      </c>
      <c r="H4443" s="28" t="n">
        <v>80</v>
      </c>
    </row>
    <row r="4444" customFormat="false" ht="15" hidden="false" customHeight="true" outlineLevel="0" collapsed="false">
      <c r="A4444" s="28" t="s">
        <v>15673</v>
      </c>
      <c r="B4444" s="28" t="s">
        <v>9198</v>
      </c>
      <c r="C4444" s="28" t="s">
        <v>1407</v>
      </c>
      <c r="D4444" s="28" t="s">
        <v>50</v>
      </c>
      <c r="E4444" s="28" t="s">
        <v>15674</v>
      </c>
      <c r="F4444" s="28" t="s">
        <v>15675</v>
      </c>
      <c r="G4444" s="28" t="s">
        <v>9</v>
      </c>
      <c r="H4444" s="28" t="n">
        <v>80</v>
      </c>
    </row>
    <row r="4445" customFormat="false" ht="15" hidden="false" customHeight="true" outlineLevel="0" collapsed="false">
      <c r="A4445" s="28" t="s">
        <v>15676</v>
      </c>
      <c r="B4445" s="28" t="s">
        <v>2247</v>
      </c>
      <c r="C4445" s="28" t="s">
        <v>57</v>
      </c>
      <c r="D4445" s="28" t="s">
        <v>50</v>
      </c>
      <c r="E4445" s="28" t="s">
        <v>15677</v>
      </c>
      <c r="F4445" s="28" t="s">
        <v>15678</v>
      </c>
      <c r="G4445" s="28" t="s">
        <v>9</v>
      </c>
      <c r="H4445" s="28" t="n">
        <v>80</v>
      </c>
    </row>
    <row r="4446" customFormat="false" ht="15" hidden="false" customHeight="true" outlineLevel="0" collapsed="false">
      <c r="A4446" s="28" t="s">
        <v>15679</v>
      </c>
      <c r="B4446" s="28" t="s">
        <v>2247</v>
      </c>
      <c r="C4446" s="28" t="s">
        <v>57</v>
      </c>
      <c r="D4446" s="28" t="s">
        <v>50</v>
      </c>
      <c r="E4446" s="28" t="s">
        <v>15447</v>
      </c>
      <c r="F4446" s="28" t="s">
        <v>15680</v>
      </c>
      <c r="G4446" s="28" t="s">
        <v>9</v>
      </c>
      <c r="H4446" s="28" t="n">
        <v>80</v>
      </c>
    </row>
    <row r="4447" customFormat="false" ht="15" hidden="false" customHeight="true" outlineLevel="0" collapsed="false">
      <c r="A4447" s="28" t="s">
        <v>15681</v>
      </c>
      <c r="B4447" s="28" t="s">
        <v>2247</v>
      </c>
      <c r="C4447" s="28" t="s">
        <v>57</v>
      </c>
      <c r="D4447" s="28" t="s">
        <v>50</v>
      </c>
      <c r="E4447" s="28" t="s">
        <v>15682</v>
      </c>
      <c r="F4447" s="28" t="s">
        <v>15683</v>
      </c>
      <c r="G4447" s="28" t="s">
        <v>9</v>
      </c>
      <c r="H4447" s="28" t="n">
        <v>80</v>
      </c>
    </row>
    <row r="4448" customFormat="false" ht="15" hidden="false" customHeight="true" outlineLevel="0" collapsed="false">
      <c r="A4448" s="28" t="s">
        <v>15684</v>
      </c>
      <c r="B4448" s="28" t="s">
        <v>2247</v>
      </c>
      <c r="C4448" s="28" t="s">
        <v>57</v>
      </c>
      <c r="D4448" s="28" t="s">
        <v>50</v>
      </c>
      <c r="E4448" s="28" t="s">
        <v>15212</v>
      </c>
      <c r="F4448" s="28" t="s">
        <v>15685</v>
      </c>
      <c r="G4448" s="28" t="s">
        <v>9</v>
      </c>
      <c r="H4448" s="28" t="n">
        <v>80</v>
      </c>
    </row>
    <row r="4449" customFormat="false" ht="15" hidden="false" customHeight="true" outlineLevel="0" collapsed="false">
      <c r="A4449" s="28" t="s">
        <v>15686</v>
      </c>
      <c r="B4449" s="28" t="s">
        <v>2247</v>
      </c>
      <c r="C4449" s="28" t="s">
        <v>57</v>
      </c>
      <c r="D4449" s="28" t="s">
        <v>50</v>
      </c>
      <c r="E4449" s="28" t="s">
        <v>15687</v>
      </c>
      <c r="F4449" s="28" t="s">
        <v>15688</v>
      </c>
      <c r="G4449" s="28" t="s">
        <v>9</v>
      </c>
      <c r="H4449" s="28" t="n">
        <v>80</v>
      </c>
    </row>
    <row r="4450" customFormat="false" ht="15" hidden="false" customHeight="true" outlineLevel="0" collapsed="false">
      <c r="A4450" s="28" t="s">
        <v>15689</v>
      </c>
      <c r="B4450" s="28" t="s">
        <v>2247</v>
      </c>
      <c r="C4450" s="28" t="s">
        <v>57</v>
      </c>
      <c r="D4450" s="28" t="s">
        <v>50</v>
      </c>
      <c r="E4450" s="28" t="s">
        <v>15690</v>
      </c>
      <c r="F4450" s="28" t="s">
        <v>15691</v>
      </c>
      <c r="G4450" s="28" t="s">
        <v>9</v>
      </c>
      <c r="H4450" s="28" t="n">
        <v>80</v>
      </c>
    </row>
    <row r="4451" customFormat="false" ht="15" hidden="false" customHeight="true" outlineLevel="0" collapsed="false">
      <c r="A4451" s="28" t="s">
        <v>15692</v>
      </c>
      <c r="B4451" s="28" t="s">
        <v>2292</v>
      </c>
      <c r="C4451" s="28" t="s">
        <v>57</v>
      </c>
      <c r="D4451" s="28" t="s">
        <v>50</v>
      </c>
      <c r="E4451" s="28" t="s">
        <v>15677</v>
      </c>
      <c r="F4451" s="28" t="s">
        <v>15693</v>
      </c>
      <c r="G4451" s="28" t="s">
        <v>9</v>
      </c>
      <c r="H4451" s="28" t="n">
        <v>80</v>
      </c>
    </row>
    <row r="4452" customFormat="false" ht="15" hidden="false" customHeight="true" outlineLevel="0" collapsed="false">
      <c r="A4452" s="28" t="s">
        <v>15694</v>
      </c>
      <c r="B4452" s="28" t="s">
        <v>2292</v>
      </c>
      <c r="C4452" s="28" t="s">
        <v>57</v>
      </c>
      <c r="D4452" s="28" t="s">
        <v>50</v>
      </c>
      <c r="E4452" s="28" t="s">
        <v>15695</v>
      </c>
      <c r="F4452" s="28" t="s">
        <v>15696</v>
      </c>
      <c r="G4452" s="28" t="s">
        <v>9</v>
      </c>
      <c r="H4452" s="28" t="n">
        <v>80</v>
      </c>
    </row>
    <row r="4453" customFormat="false" ht="15" hidden="false" customHeight="true" outlineLevel="0" collapsed="false">
      <c r="A4453" s="28" t="s">
        <v>15697</v>
      </c>
      <c r="B4453" s="28" t="s">
        <v>2292</v>
      </c>
      <c r="C4453" s="28" t="s">
        <v>57</v>
      </c>
      <c r="D4453" s="28" t="s">
        <v>50</v>
      </c>
      <c r="E4453" s="28" t="s">
        <v>15698</v>
      </c>
      <c r="F4453" s="28" t="s">
        <v>15699</v>
      </c>
      <c r="G4453" s="28" t="s">
        <v>9</v>
      </c>
      <c r="H4453" s="28" t="n">
        <v>80</v>
      </c>
    </row>
    <row r="4454" customFormat="false" ht="15" hidden="false" customHeight="true" outlineLevel="0" collapsed="false">
      <c r="A4454" s="28" t="s">
        <v>15700</v>
      </c>
      <c r="B4454" s="28" t="s">
        <v>2292</v>
      </c>
      <c r="C4454" s="28" t="s">
        <v>57</v>
      </c>
      <c r="D4454" s="28" t="s">
        <v>50</v>
      </c>
      <c r="E4454" s="28" t="s">
        <v>15701</v>
      </c>
      <c r="F4454" s="28" t="s">
        <v>15702</v>
      </c>
      <c r="G4454" s="28" t="s">
        <v>9</v>
      </c>
      <c r="H4454" s="28" t="n">
        <v>80</v>
      </c>
    </row>
    <row r="4455" customFormat="false" ht="15" hidden="false" customHeight="true" outlineLevel="0" collapsed="false">
      <c r="A4455" s="28" t="s">
        <v>15703</v>
      </c>
      <c r="B4455" s="28" t="s">
        <v>2292</v>
      </c>
      <c r="C4455" s="28" t="s">
        <v>57</v>
      </c>
      <c r="D4455" s="28" t="s">
        <v>50</v>
      </c>
      <c r="E4455" s="28" t="s">
        <v>15704</v>
      </c>
      <c r="F4455" s="28" t="s">
        <v>15705</v>
      </c>
      <c r="G4455" s="28" t="s">
        <v>9</v>
      </c>
      <c r="H4455" s="28" t="n">
        <v>80</v>
      </c>
    </row>
    <row r="4456" customFormat="false" ht="15" hidden="false" customHeight="true" outlineLevel="0" collapsed="false">
      <c r="A4456" s="28" t="s">
        <v>15706</v>
      </c>
      <c r="B4456" s="28" t="s">
        <v>2292</v>
      </c>
      <c r="C4456" s="28" t="s">
        <v>57</v>
      </c>
      <c r="D4456" s="28" t="s">
        <v>50</v>
      </c>
      <c r="E4456" s="28" t="s">
        <v>15707</v>
      </c>
      <c r="F4456" s="28" t="s">
        <v>15708</v>
      </c>
      <c r="G4456" s="28" t="s">
        <v>9</v>
      </c>
      <c r="H4456" s="28" t="n">
        <v>80</v>
      </c>
    </row>
    <row r="4457" customFormat="false" ht="15" hidden="false" customHeight="true" outlineLevel="0" collapsed="false">
      <c r="A4457" s="28" t="s">
        <v>15709</v>
      </c>
      <c r="B4457" s="28" t="s">
        <v>3173</v>
      </c>
      <c r="C4457" s="28" t="s">
        <v>1407</v>
      </c>
      <c r="D4457" s="28" t="s">
        <v>50</v>
      </c>
      <c r="E4457" s="28" t="s">
        <v>15710</v>
      </c>
      <c r="F4457" s="28" t="s">
        <v>15711</v>
      </c>
      <c r="G4457" s="28" t="s">
        <v>9</v>
      </c>
      <c r="H4457" s="28" t="n">
        <v>80</v>
      </c>
    </row>
    <row r="4458" customFormat="false" ht="15" hidden="false" customHeight="true" outlineLevel="0" collapsed="false">
      <c r="A4458" s="28" t="s">
        <v>15712</v>
      </c>
      <c r="B4458" s="28" t="s">
        <v>3173</v>
      </c>
      <c r="C4458" s="28" t="s">
        <v>1407</v>
      </c>
      <c r="D4458" s="28" t="s">
        <v>50</v>
      </c>
      <c r="E4458" s="28" t="s">
        <v>15713</v>
      </c>
      <c r="F4458" s="28" t="s">
        <v>15714</v>
      </c>
      <c r="G4458" s="28" t="s">
        <v>9</v>
      </c>
      <c r="H4458" s="28" t="n">
        <v>80</v>
      </c>
    </row>
    <row r="4459" customFormat="false" ht="15" hidden="false" customHeight="true" outlineLevel="0" collapsed="false">
      <c r="A4459" s="28" t="s">
        <v>15715</v>
      </c>
      <c r="B4459" s="28" t="s">
        <v>3173</v>
      </c>
      <c r="C4459" s="28" t="s">
        <v>1407</v>
      </c>
      <c r="D4459" s="28" t="s">
        <v>50</v>
      </c>
      <c r="E4459" s="28" t="s">
        <v>15716</v>
      </c>
      <c r="F4459" s="28" t="s">
        <v>15717</v>
      </c>
      <c r="G4459" s="28" t="s">
        <v>9</v>
      </c>
      <c r="H4459" s="28" t="n">
        <v>80</v>
      </c>
    </row>
    <row r="4460" customFormat="false" ht="15" hidden="false" customHeight="true" outlineLevel="0" collapsed="false">
      <c r="A4460" s="28" t="s">
        <v>15718</v>
      </c>
      <c r="B4460" s="28" t="s">
        <v>3173</v>
      </c>
      <c r="C4460" s="28" t="s">
        <v>1407</v>
      </c>
      <c r="D4460" s="28" t="s">
        <v>50</v>
      </c>
      <c r="E4460" s="28" t="s">
        <v>15719</v>
      </c>
      <c r="F4460" s="28" t="s">
        <v>15720</v>
      </c>
      <c r="G4460" s="28" t="s">
        <v>9</v>
      </c>
      <c r="H4460" s="28" t="n">
        <v>80</v>
      </c>
    </row>
    <row r="4461" customFormat="false" ht="15" hidden="false" customHeight="true" outlineLevel="0" collapsed="false">
      <c r="A4461" s="28" t="s">
        <v>15721</v>
      </c>
      <c r="B4461" s="28" t="s">
        <v>3173</v>
      </c>
      <c r="C4461" s="28" t="s">
        <v>1407</v>
      </c>
      <c r="D4461" s="28" t="s">
        <v>50</v>
      </c>
      <c r="E4461" s="28" t="s">
        <v>15722</v>
      </c>
      <c r="F4461" s="28" t="s">
        <v>15723</v>
      </c>
      <c r="G4461" s="28" t="s">
        <v>9</v>
      </c>
      <c r="H4461" s="28" t="n">
        <v>80</v>
      </c>
    </row>
    <row r="4462" customFormat="false" ht="15" hidden="false" customHeight="true" outlineLevel="0" collapsed="false">
      <c r="A4462" s="28" t="s">
        <v>15724</v>
      </c>
      <c r="B4462" s="28" t="s">
        <v>7840</v>
      </c>
      <c r="C4462" s="28" t="s">
        <v>1407</v>
      </c>
      <c r="D4462" s="28" t="s">
        <v>50</v>
      </c>
      <c r="E4462" s="28" t="s">
        <v>15085</v>
      </c>
      <c r="F4462" s="28" t="s">
        <v>15725</v>
      </c>
      <c r="G4462" s="28" t="s">
        <v>9</v>
      </c>
      <c r="H4462" s="28" t="n">
        <v>80</v>
      </c>
    </row>
    <row r="4463" customFormat="false" ht="15" hidden="false" customHeight="true" outlineLevel="0" collapsed="false">
      <c r="A4463" s="28" t="s">
        <v>15726</v>
      </c>
      <c r="B4463" s="28" t="s">
        <v>7840</v>
      </c>
      <c r="C4463" s="28" t="s">
        <v>1407</v>
      </c>
      <c r="D4463" s="28" t="s">
        <v>50</v>
      </c>
      <c r="E4463" s="28" t="s">
        <v>15727</v>
      </c>
      <c r="F4463" s="28" t="s">
        <v>15728</v>
      </c>
      <c r="G4463" s="28" t="s">
        <v>9</v>
      </c>
      <c r="H4463" s="28" t="n">
        <v>80</v>
      </c>
    </row>
    <row r="4464" customFormat="false" ht="15" hidden="false" customHeight="true" outlineLevel="0" collapsed="false">
      <c r="A4464" s="28" t="s">
        <v>15729</v>
      </c>
      <c r="B4464" s="28" t="s">
        <v>7840</v>
      </c>
      <c r="C4464" s="28" t="s">
        <v>1407</v>
      </c>
      <c r="D4464" s="28" t="s">
        <v>50</v>
      </c>
      <c r="E4464" s="28" t="s">
        <v>15730</v>
      </c>
      <c r="F4464" s="28" t="s">
        <v>15731</v>
      </c>
      <c r="G4464" s="28" t="s">
        <v>9</v>
      </c>
      <c r="H4464" s="28" t="n">
        <v>80</v>
      </c>
    </row>
    <row r="4465" customFormat="false" ht="15" hidden="false" customHeight="true" outlineLevel="0" collapsed="false">
      <c r="A4465" s="28" t="s">
        <v>15732</v>
      </c>
      <c r="B4465" s="28" t="s">
        <v>7840</v>
      </c>
      <c r="C4465" s="28" t="s">
        <v>1407</v>
      </c>
      <c r="D4465" s="28" t="s">
        <v>50</v>
      </c>
      <c r="E4465" s="28" t="s">
        <v>15733</v>
      </c>
      <c r="F4465" s="28" t="s">
        <v>15734</v>
      </c>
      <c r="G4465" s="28" t="s">
        <v>9</v>
      </c>
      <c r="H4465" s="28" t="n">
        <v>80</v>
      </c>
    </row>
    <row r="4466" customFormat="false" ht="15" hidden="false" customHeight="true" outlineLevel="0" collapsed="false">
      <c r="A4466" s="28" t="s">
        <v>15735</v>
      </c>
      <c r="B4466" s="28" t="s">
        <v>7840</v>
      </c>
      <c r="C4466" s="28" t="s">
        <v>1407</v>
      </c>
      <c r="D4466" s="28" t="s">
        <v>50</v>
      </c>
      <c r="E4466" s="28" t="s">
        <v>15736</v>
      </c>
      <c r="F4466" s="28" t="s">
        <v>15737</v>
      </c>
      <c r="G4466" s="28" t="s">
        <v>9</v>
      </c>
      <c r="H4466" s="28" t="n">
        <v>80</v>
      </c>
    </row>
    <row r="4467" customFormat="false" ht="15" hidden="false" customHeight="true" outlineLevel="0" collapsed="false">
      <c r="A4467" s="28" t="s">
        <v>15738</v>
      </c>
      <c r="B4467" s="28" t="s">
        <v>6279</v>
      </c>
      <c r="C4467" s="28" t="s">
        <v>1407</v>
      </c>
      <c r="D4467" s="28" t="s">
        <v>58</v>
      </c>
      <c r="E4467" s="28" t="s">
        <v>15739</v>
      </c>
      <c r="F4467" s="28" t="s">
        <v>15740</v>
      </c>
      <c r="G4467" s="28" t="s">
        <v>9</v>
      </c>
      <c r="H4467" s="28" t="n">
        <v>80</v>
      </c>
    </row>
    <row r="4468" customFormat="false" ht="15" hidden="false" customHeight="true" outlineLevel="0" collapsed="false">
      <c r="A4468" s="28" t="s">
        <v>15741</v>
      </c>
      <c r="B4468" s="28" t="s">
        <v>6279</v>
      </c>
      <c r="C4468" s="28" t="s">
        <v>1407</v>
      </c>
      <c r="D4468" s="28" t="s">
        <v>58</v>
      </c>
      <c r="E4468" s="28" t="s">
        <v>15742</v>
      </c>
      <c r="F4468" s="28" t="s">
        <v>15743</v>
      </c>
      <c r="G4468" s="28" t="s">
        <v>9</v>
      </c>
      <c r="H4468" s="28" t="n">
        <v>80</v>
      </c>
    </row>
    <row r="4469" customFormat="false" ht="15" hidden="false" customHeight="true" outlineLevel="0" collapsed="false">
      <c r="A4469" s="28" t="s">
        <v>15744</v>
      </c>
      <c r="B4469" s="28" t="s">
        <v>6279</v>
      </c>
      <c r="C4469" s="28" t="s">
        <v>1407</v>
      </c>
      <c r="D4469" s="28" t="s">
        <v>58</v>
      </c>
      <c r="E4469" s="28" t="s">
        <v>15745</v>
      </c>
      <c r="F4469" s="28" t="s">
        <v>15746</v>
      </c>
      <c r="G4469" s="28" t="s">
        <v>9</v>
      </c>
      <c r="H4469" s="28" t="n">
        <v>80</v>
      </c>
    </row>
    <row r="4470" customFormat="false" ht="15" hidden="false" customHeight="true" outlineLevel="0" collapsed="false">
      <c r="A4470" s="28" t="s">
        <v>15747</v>
      </c>
      <c r="B4470" s="28" t="s">
        <v>6279</v>
      </c>
      <c r="C4470" s="28" t="s">
        <v>1407</v>
      </c>
      <c r="D4470" s="28" t="s">
        <v>58</v>
      </c>
      <c r="E4470" s="28" t="s">
        <v>15748</v>
      </c>
      <c r="F4470" s="28" t="s">
        <v>15749</v>
      </c>
      <c r="G4470" s="28" t="s">
        <v>9</v>
      </c>
      <c r="H4470" s="28" t="n">
        <v>80</v>
      </c>
    </row>
    <row r="4471" customFormat="false" ht="15" hidden="false" customHeight="true" outlineLevel="0" collapsed="false">
      <c r="A4471" s="28" t="s">
        <v>15750</v>
      </c>
      <c r="B4471" s="28" t="s">
        <v>3477</v>
      </c>
      <c r="C4471" s="28" t="s">
        <v>8593</v>
      </c>
      <c r="D4471" s="28" t="s">
        <v>58</v>
      </c>
      <c r="E4471" s="28" t="s">
        <v>15751</v>
      </c>
      <c r="F4471" s="28" t="s">
        <v>15752</v>
      </c>
      <c r="G4471" s="28" t="s">
        <v>9</v>
      </c>
      <c r="H4471" s="28" t="n">
        <v>80</v>
      </c>
    </row>
    <row r="4472" customFormat="false" ht="15" hidden="false" customHeight="true" outlineLevel="0" collapsed="false">
      <c r="A4472" s="28" t="s">
        <v>15753</v>
      </c>
      <c r="B4472" s="28" t="s">
        <v>3477</v>
      </c>
      <c r="C4472" s="28" t="s">
        <v>8593</v>
      </c>
      <c r="D4472" s="28" t="s">
        <v>58</v>
      </c>
      <c r="E4472" s="28" t="s">
        <v>15754</v>
      </c>
      <c r="F4472" s="28" t="s">
        <v>15752</v>
      </c>
      <c r="G4472" s="28" t="s">
        <v>9</v>
      </c>
      <c r="H4472" s="28" t="n">
        <v>80</v>
      </c>
    </row>
    <row r="4473" customFormat="false" ht="15" hidden="false" customHeight="true" outlineLevel="0" collapsed="false">
      <c r="A4473" s="28" t="s">
        <v>15755</v>
      </c>
      <c r="B4473" s="28" t="s">
        <v>3477</v>
      </c>
      <c r="C4473" s="28" t="s">
        <v>8593</v>
      </c>
      <c r="D4473" s="28" t="s">
        <v>58</v>
      </c>
      <c r="E4473" s="28" t="s">
        <v>15459</v>
      </c>
      <c r="F4473" s="28" t="s">
        <v>15756</v>
      </c>
      <c r="G4473" s="28" t="s">
        <v>9</v>
      </c>
      <c r="H4473" s="28" t="n">
        <v>80</v>
      </c>
    </row>
    <row r="4474" customFormat="false" ht="15" hidden="false" customHeight="true" outlineLevel="0" collapsed="false">
      <c r="A4474" s="28" t="s">
        <v>15757</v>
      </c>
      <c r="B4474" s="28" t="s">
        <v>3477</v>
      </c>
      <c r="C4474" s="28" t="s">
        <v>8593</v>
      </c>
      <c r="D4474" s="28" t="s">
        <v>58</v>
      </c>
      <c r="E4474" s="28" t="s">
        <v>15758</v>
      </c>
      <c r="F4474" s="28" t="s">
        <v>15759</v>
      </c>
      <c r="G4474" s="28" t="s">
        <v>9</v>
      </c>
      <c r="H4474" s="28" t="n">
        <v>80</v>
      </c>
    </row>
    <row r="4475" customFormat="false" ht="15" hidden="false" customHeight="true" outlineLevel="0" collapsed="false">
      <c r="A4475" s="28" t="s">
        <v>15760</v>
      </c>
      <c r="B4475" s="28" t="s">
        <v>3477</v>
      </c>
      <c r="C4475" s="28" t="s">
        <v>8593</v>
      </c>
      <c r="D4475" s="28" t="s">
        <v>58</v>
      </c>
      <c r="E4475" s="28" t="s">
        <v>15761</v>
      </c>
      <c r="F4475" s="28" t="s">
        <v>15762</v>
      </c>
      <c r="G4475" s="28" t="s">
        <v>9</v>
      </c>
      <c r="H4475" s="28" t="n">
        <v>80</v>
      </c>
    </row>
    <row r="4476" customFormat="false" ht="15" hidden="false" customHeight="true" outlineLevel="0" collapsed="false">
      <c r="A4476" s="28" t="s">
        <v>15763</v>
      </c>
      <c r="B4476" s="28" t="s">
        <v>7179</v>
      </c>
      <c r="C4476" s="28" t="s">
        <v>57</v>
      </c>
      <c r="D4476" s="28" t="s">
        <v>57</v>
      </c>
      <c r="E4476" s="28" t="s">
        <v>15764</v>
      </c>
      <c r="F4476" s="28" t="s">
        <v>15765</v>
      </c>
      <c r="G4476" s="28" t="s">
        <v>9</v>
      </c>
      <c r="H4476" s="28" t="n">
        <v>80</v>
      </c>
    </row>
    <row r="4477" customFormat="false" ht="15" hidden="false" customHeight="true" outlineLevel="0" collapsed="false">
      <c r="A4477" s="28" t="s">
        <v>15766</v>
      </c>
      <c r="B4477" s="28" t="s">
        <v>7179</v>
      </c>
      <c r="C4477" s="28" t="s">
        <v>57</v>
      </c>
      <c r="D4477" s="28" t="s">
        <v>57</v>
      </c>
      <c r="E4477" s="28" t="s">
        <v>15767</v>
      </c>
      <c r="F4477" s="28" t="s">
        <v>15768</v>
      </c>
      <c r="G4477" s="28" t="s">
        <v>9</v>
      </c>
      <c r="H4477" s="28" t="n">
        <v>80</v>
      </c>
    </row>
    <row r="4478" customFormat="false" ht="15" hidden="false" customHeight="true" outlineLevel="0" collapsed="false">
      <c r="A4478" s="28" t="s">
        <v>15769</v>
      </c>
      <c r="B4478" s="28" t="s">
        <v>7179</v>
      </c>
      <c r="C4478" s="28" t="s">
        <v>57</v>
      </c>
      <c r="D4478" s="28" t="s">
        <v>57</v>
      </c>
      <c r="E4478" s="28" t="s">
        <v>15770</v>
      </c>
      <c r="F4478" s="28" t="s">
        <v>15771</v>
      </c>
      <c r="G4478" s="28" t="s">
        <v>9</v>
      </c>
      <c r="H4478" s="28" t="n">
        <v>80</v>
      </c>
    </row>
    <row r="4479" customFormat="false" ht="15" hidden="false" customHeight="true" outlineLevel="0" collapsed="false">
      <c r="A4479" s="28" t="s">
        <v>15772</v>
      </c>
      <c r="B4479" s="28" t="s">
        <v>7179</v>
      </c>
      <c r="C4479" s="28" t="s">
        <v>57</v>
      </c>
      <c r="D4479" s="28" t="s">
        <v>57</v>
      </c>
      <c r="E4479" s="28" t="s">
        <v>15773</v>
      </c>
      <c r="F4479" s="28" t="s">
        <v>15774</v>
      </c>
      <c r="G4479" s="28" t="s">
        <v>9</v>
      </c>
      <c r="H4479" s="28" t="n">
        <v>80</v>
      </c>
    </row>
    <row r="4480" customFormat="false" ht="15" hidden="false" customHeight="true" outlineLevel="0" collapsed="false">
      <c r="A4480" s="28" t="s">
        <v>15775</v>
      </c>
      <c r="B4480" s="28" t="s">
        <v>7179</v>
      </c>
      <c r="C4480" s="28" t="s">
        <v>57</v>
      </c>
      <c r="D4480" s="28" t="s">
        <v>57</v>
      </c>
      <c r="E4480" s="28" t="s">
        <v>15776</v>
      </c>
      <c r="F4480" s="28" t="s">
        <v>15777</v>
      </c>
      <c r="G4480" s="28" t="s">
        <v>9</v>
      </c>
      <c r="H4480" s="28" t="n">
        <v>80</v>
      </c>
    </row>
    <row r="4481" customFormat="false" ht="15" hidden="false" customHeight="true" outlineLevel="0" collapsed="false">
      <c r="A4481" s="28" t="s">
        <v>15778</v>
      </c>
      <c r="B4481" s="28" t="s">
        <v>9302</v>
      </c>
      <c r="C4481" s="28" t="s">
        <v>9176</v>
      </c>
      <c r="D4481" s="28" t="s">
        <v>54</v>
      </c>
      <c r="E4481" s="28" t="s">
        <v>15779</v>
      </c>
      <c r="F4481" s="28" t="s">
        <v>15780</v>
      </c>
      <c r="G4481" s="28" t="s">
        <v>9</v>
      </c>
      <c r="H4481" s="28" t="n">
        <v>80</v>
      </c>
    </row>
    <row r="4482" customFormat="false" ht="15" hidden="false" customHeight="true" outlineLevel="0" collapsed="false">
      <c r="A4482" s="28" t="s">
        <v>15781</v>
      </c>
      <c r="B4482" s="28" t="s">
        <v>9302</v>
      </c>
      <c r="C4482" s="28" t="s">
        <v>9176</v>
      </c>
      <c r="D4482" s="28" t="s">
        <v>54</v>
      </c>
      <c r="E4482" s="28" t="s">
        <v>15782</v>
      </c>
      <c r="F4482" s="28" t="s">
        <v>15783</v>
      </c>
      <c r="G4482" s="28" t="s">
        <v>9</v>
      </c>
      <c r="H4482" s="28" t="n">
        <v>80</v>
      </c>
    </row>
    <row r="4483" customFormat="false" ht="15" hidden="false" customHeight="true" outlineLevel="0" collapsed="false">
      <c r="A4483" s="28" t="s">
        <v>15784</v>
      </c>
      <c r="B4483" s="28" t="s">
        <v>9302</v>
      </c>
      <c r="C4483" s="28" t="s">
        <v>9176</v>
      </c>
      <c r="D4483" s="28" t="s">
        <v>54</v>
      </c>
      <c r="E4483" s="28" t="s">
        <v>15785</v>
      </c>
      <c r="F4483" s="28" t="s">
        <v>15786</v>
      </c>
      <c r="G4483" s="28" t="s">
        <v>9</v>
      </c>
      <c r="H4483" s="28" t="n">
        <v>80</v>
      </c>
    </row>
    <row r="4484" customFormat="false" ht="15" hidden="false" customHeight="true" outlineLevel="0" collapsed="false">
      <c r="A4484" s="28" t="s">
        <v>15787</v>
      </c>
      <c r="B4484" s="28" t="s">
        <v>9302</v>
      </c>
      <c r="C4484" s="28" t="s">
        <v>9176</v>
      </c>
      <c r="D4484" s="28" t="s">
        <v>54</v>
      </c>
      <c r="E4484" s="28" t="s">
        <v>15788</v>
      </c>
      <c r="F4484" s="28" t="s">
        <v>15789</v>
      </c>
      <c r="G4484" s="28" t="s">
        <v>9</v>
      </c>
      <c r="H4484" s="28" t="n">
        <v>80</v>
      </c>
    </row>
    <row r="4485" customFormat="false" ht="15" hidden="false" customHeight="true" outlineLevel="0" collapsed="false">
      <c r="A4485" s="28" t="s">
        <v>15790</v>
      </c>
      <c r="B4485" s="28" t="s">
        <v>9302</v>
      </c>
      <c r="C4485" s="28" t="s">
        <v>9176</v>
      </c>
      <c r="D4485" s="28" t="s">
        <v>54</v>
      </c>
      <c r="E4485" s="28" t="s">
        <v>15791</v>
      </c>
      <c r="F4485" s="28" t="s">
        <v>15663</v>
      </c>
      <c r="G4485" s="28" t="s">
        <v>9</v>
      </c>
      <c r="H4485" s="28" t="n">
        <v>80</v>
      </c>
    </row>
    <row r="4486" customFormat="false" ht="15" hidden="false" customHeight="true" outlineLevel="0" collapsed="false">
      <c r="A4486" s="28" t="s">
        <v>15792</v>
      </c>
      <c r="B4486" s="28" t="s">
        <v>9316</v>
      </c>
      <c r="C4486" s="28" t="s">
        <v>1407</v>
      </c>
      <c r="D4486" s="28" t="s">
        <v>50</v>
      </c>
      <c r="E4486" s="28" t="s">
        <v>15793</v>
      </c>
      <c r="F4486" s="28" t="s">
        <v>15794</v>
      </c>
      <c r="G4486" s="28" t="s">
        <v>9</v>
      </c>
      <c r="H4486" s="28" t="n">
        <v>80</v>
      </c>
    </row>
    <row r="4487" customFormat="false" ht="15" hidden="false" customHeight="true" outlineLevel="0" collapsed="false">
      <c r="A4487" s="28" t="s">
        <v>15795</v>
      </c>
      <c r="B4487" s="28" t="s">
        <v>9316</v>
      </c>
      <c r="C4487" s="28" t="s">
        <v>1407</v>
      </c>
      <c r="D4487" s="28" t="s">
        <v>50</v>
      </c>
      <c r="E4487" s="28" t="s">
        <v>15796</v>
      </c>
      <c r="F4487" s="28" t="s">
        <v>15797</v>
      </c>
      <c r="G4487" s="28" t="s">
        <v>9</v>
      </c>
      <c r="H4487" s="28" t="n">
        <v>80</v>
      </c>
    </row>
    <row r="4488" customFormat="false" ht="15" hidden="false" customHeight="true" outlineLevel="0" collapsed="false">
      <c r="A4488" s="28" t="s">
        <v>15798</v>
      </c>
      <c r="B4488" s="28" t="s">
        <v>9316</v>
      </c>
      <c r="C4488" s="28" t="s">
        <v>1407</v>
      </c>
      <c r="D4488" s="28" t="s">
        <v>50</v>
      </c>
      <c r="E4488" s="28" t="s">
        <v>15799</v>
      </c>
      <c r="F4488" s="28" t="s">
        <v>15800</v>
      </c>
      <c r="G4488" s="28" t="s">
        <v>9</v>
      </c>
      <c r="H4488" s="28" t="n">
        <v>80</v>
      </c>
    </row>
    <row r="4489" customFormat="false" ht="15" hidden="false" customHeight="true" outlineLevel="0" collapsed="false">
      <c r="A4489" s="28" t="s">
        <v>15801</v>
      </c>
      <c r="B4489" s="28" t="s">
        <v>9316</v>
      </c>
      <c r="C4489" s="28" t="s">
        <v>1407</v>
      </c>
      <c r="D4489" s="28" t="s">
        <v>50</v>
      </c>
      <c r="E4489" s="28" t="s">
        <v>15802</v>
      </c>
      <c r="F4489" s="28" t="s">
        <v>15803</v>
      </c>
      <c r="G4489" s="28" t="s">
        <v>9</v>
      </c>
      <c r="H4489" s="28" t="n">
        <v>80</v>
      </c>
    </row>
    <row r="4490" customFormat="false" ht="15" hidden="false" customHeight="true" outlineLevel="0" collapsed="false">
      <c r="A4490" s="28" t="s">
        <v>15804</v>
      </c>
      <c r="B4490" s="28" t="s">
        <v>9329</v>
      </c>
      <c r="C4490" s="28" t="s">
        <v>9176</v>
      </c>
      <c r="D4490" s="28" t="s">
        <v>53</v>
      </c>
      <c r="E4490" s="28" t="s">
        <v>15465</v>
      </c>
      <c r="F4490" s="28" t="s">
        <v>15805</v>
      </c>
      <c r="G4490" s="28" t="s">
        <v>9</v>
      </c>
      <c r="H4490" s="28" t="n">
        <v>80</v>
      </c>
    </row>
    <row r="4491" customFormat="false" ht="15" hidden="false" customHeight="true" outlineLevel="0" collapsed="false">
      <c r="A4491" s="28" t="s">
        <v>15806</v>
      </c>
      <c r="B4491" s="28" t="s">
        <v>9329</v>
      </c>
      <c r="C4491" s="28" t="s">
        <v>9176</v>
      </c>
      <c r="D4491" s="28" t="s">
        <v>53</v>
      </c>
      <c r="E4491" s="28" t="s">
        <v>15807</v>
      </c>
      <c r="F4491" s="28" t="s">
        <v>15808</v>
      </c>
      <c r="G4491" s="28" t="s">
        <v>9</v>
      </c>
      <c r="H4491" s="28" t="n">
        <v>80</v>
      </c>
    </row>
    <row r="4492" customFormat="false" ht="15" hidden="false" customHeight="true" outlineLevel="0" collapsed="false">
      <c r="A4492" s="28" t="s">
        <v>15809</v>
      </c>
      <c r="B4492" s="28" t="s">
        <v>9329</v>
      </c>
      <c r="C4492" s="28" t="s">
        <v>9176</v>
      </c>
      <c r="D4492" s="28" t="s">
        <v>53</v>
      </c>
      <c r="E4492" s="28" t="s">
        <v>15810</v>
      </c>
      <c r="F4492" s="28" t="s">
        <v>15811</v>
      </c>
      <c r="G4492" s="28" t="s">
        <v>9</v>
      </c>
      <c r="H4492" s="28" t="n">
        <v>80</v>
      </c>
    </row>
    <row r="4493" customFormat="false" ht="15" hidden="false" customHeight="true" outlineLevel="0" collapsed="false">
      <c r="A4493" s="28" t="s">
        <v>15812</v>
      </c>
      <c r="B4493" s="28" t="s">
        <v>9329</v>
      </c>
      <c r="C4493" s="28" t="s">
        <v>9176</v>
      </c>
      <c r="D4493" s="28" t="s">
        <v>53</v>
      </c>
      <c r="E4493" s="28" t="s">
        <v>15813</v>
      </c>
      <c r="F4493" s="28" t="s">
        <v>15814</v>
      </c>
      <c r="G4493" s="28" t="s">
        <v>9</v>
      </c>
      <c r="H4493" s="28" t="n">
        <v>80</v>
      </c>
    </row>
    <row r="4494" customFormat="false" ht="15" hidden="false" customHeight="true" outlineLevel="0" collapsed="false">
      <c r="A4494" s="28" t="s">
        <v>15815</v>
      </c>
      <c r="B4494" s="28" t="s">
        <v>9329</v>
      </c>
      <c r="C4494" s="28" t="s">
        <v>9176</v>
      </c>
      <c r="D4494" s="28" t="s">
        <v>53</v>
      </c>
      <c r="E4494" s="28" t="s">
        <v>15492</v>
      </c>
      <c r="F4494" s="28" t="s">
        <v>15816</v>
      </c>
      <c r="G4494" s="28" t="s">
        <v>9</v>
      </c>
      <c r="H4494" s="28" t="n">
        <v>80</v>
      </c>
    </row>
    <row r="4495" customFormat="false" ht="15" hidden="false" customHeight="true" outlineLevel="0" collapsed="false">
      <c r="A4495" s="28" t="s">
        <v>15817</v>
      </c>
      <c r="B4495" s="28" t="s">
        <v>9329</v>
      </c>
      <c r="C4495" s="28" t="s">
        <v>9176</v>
      </c>
      <c r="D4495" s="28" t="s">
        <v>53</v>
      </c>
      <c r="E4495" s="28" t="s">
        <v>15818</v>
      </c>
      <c r="F4495" s="28" t="s">
        <v>15819</v>
      </c>
      <c r="G4495" s="28" t="s">
        <v>9</v>
      </c>
      <c r="H4495" s="28" t="n">
        <v>80</v>
      </c>
    </row>
    <row r="4496" customFormat="false" ht="15" hidden="false" customHeight="true" outlineLevel="0" collapsed="false">
      <c r="A4496" s="28" t="s">
        <v>15820</v>
      </c>
      <c r="B4496" s="28" t="s">
        <v>3006</v>
      </c>
      <c r="C4496" s="28" t="s">
        <v>1407</v>
      </c>
      <c r="D4496" s="28" t="s">
        <v>51</v>
      </c>
      <c r="E4496" s="28" t="s">
        <v>15821</v>
      </c>
      <c r="F4496" s="28" t="s">
        <v>15822</v>
      </c>
      <c r="G4496" s="28" t="s">
        <v>9</v>
      </c>
      <c r="H4496" s="28" t="n">
        <v>80</v>
      </c>
    </row>
    <row r="4497" customFormat="false" ht="15" hidden="false" customHeight="true" outlineLevel="0" collapsed="false">
      <c r="A4497" s="28" t="s">
        <v>15823</v>
      </c>
      <c r="B4497" s="28" t="s">
        <v>3006</v>
      </c>
      <c r="C4497" s="28" t="s">
        <v>1407</v>
      </c>
      <c r="D4497" s="28" t="s">
        <v>51</v>
      </c>
      <c r="E4497" s="28" t="s">
        <v>15824</v>
      </c>
      <c r="F4497" s="28" t="s">
        <v>15825</v>
      </c>
      <c r="G4497" s="28" t="s">
        <v>9</v>
      </c>
      <c r="H4497" s="28" t="n">
        <v>80</v>
      </c>
    </row>
    <row r="4498" customFormat="false" ht="15" hidden="false" customHeight="true" outlineLevel="0" collapsed="false">
      <c r="A4498" s="28" t="s">
        <v>15826</v>
      </c>
      <c r="B4498" s="28" t="s">
        <v>3006</v>
      </c>
      <c r="C4498" s="28" t="s">
        <v>1407</v>
      </c>
      <c r="D4498" s="28" t="s">
        <v>51</v>
      </c>
      <c r="E4498" s="28" t="s">
        <v>15827</v>
      </c>
      <c r="F4498" s="28" t="s">
        <v>15828</v>
      </c>
      <c r="G4498" s="28" t="s">
        <v>9</v>
      </c>
      <c r="H4498" s="28" t="n">
        <v>80</v>
      </c>
    </row>
    <row r="4499" customFormat="false" ht="15" hidden="false" customHeight="true" outlineLevel="0" collapsed="false">
      <c r="A4499" s="28" t="s">
        <v>15829</v>
      </c>
      <c r="B4499" s="28" t="s">
        <v>3006</v>
      </c>
      <c r="C4499" s="28" t="s">
        <v>1407</v>
      </c>
      <c r="D4499" s="28" t="s">
        <v>51</v>
      </c>
      <c r="E4499" s="28" t="s">
        <v>15830</v>
      </c>
      <c r="F4499" s="28" t="s">
        <v>15831</v>
      </c>
      <c r="G4499" s="28" t="s">
        <v>9</v>
      </c>
      <c r="H4499" s="28" t="n">
        <v>80</v>
      </c>
    </row>
    <row r="4500" customFormat="false" ht="15" hidden="false" customHeight="true" outlineLevel="0" collapsed="false">
      <c r="A4500" s="28" t="s">
        <v>15832</v>
      </c>
      <c r="B4500" s="28" t="s">
        <v>3006</v>
      </c>
      <c r="C4500" s="28" t="s">
        <v>1407</v>
      </c>
      <c r="D4500" s="28" t="s">
        <v>51</v>
      </c>
      <c r="E4500" s="28" t="s">
        <v>15833</v>
      </c>
      <c r="F4500" s="28" t="s">
        <v>15834</v>
      </c>
      <c r="G4500" s="28" t="s">
        <v>9</v>
      </c>
      <c r="H4500" s="28" t="n">
        <v>80</v>
      </c>
    </row>
    <row r="4501" customFormat="false" ht="26.4" hidden="false" customHeight="true" outlineLevel="0" collapsed="false">
      <c r="A4501" s="28" t="s">
        <v>15835</v>
      </c>
      <c r="B4501" s="28" t="s">
        <v>9353</v>
      </c>
      <c r="C4501" s="28" t="s">
        <v>1407</v>
      </c>
      <c r="D4501" s="28" t="s">
        <v>50</v>
      </c>
      <c r="E4501" s="28" t="s">
        <v>15836</v>
      </c>
      <c r="F4501" s="28" t="s">
        <v>15837</v>
      </c>
      <c r="G4501" s="28" t="s">
        <v>9</v>
      </c>
      <c r="H4501" s="28" t="n">
        <v>80</v>
      </c>
    </row>
    <row r="4502" customFormat="false" ht="15" hidden="false" customHeight="true" outlineLevel="0" collapsed="false">
      <c r="A4502" s="28" t="s">
        <v>15838</v>
      </c>
      <c r="B4502" s="28" t="s">
        <v>9353</v>
      </c>
      <c r="C4502" s="28" t="s">
        <v>1407</v>
      </c>
      <c r="D4502" s="28" t="s">
        <v>50</v>
      </c>
      <c r="E4502" s="28" t="s">
        <v>15839</v>
      </c>
      <c r="F4502" s="28" t="s">
        <v>15840</v>
      </c>
      <c r="G4502" s="28" t="s">
        <v>9</v>
      </c>
      <c r="H4502" s="28" t="n">
        <v>80</v>
      </c>
    </row>
    <row r="4503" customFormat="false" ht="15" hidden="false" customHeight="true" outlineLevel="0" collapsed="false">
      <c r="A4503" s="28" t="s">
        <v>15841</v>
      </c>
      <c r="B4503" s="28" t="s">
        <v>9353</v>
      </c>
      <c r="C4503" s="28" t="s">
        <v>1407</v>
      </c>
      <c r="D4503" s="28" t="s">
        <v>50</v>
      </c>
      <c r="E4503" s="28" t="s">
        <v>15842</v>
      </c>
      <c r="F4503" s="28" t="s">
        <v>15843</v>
      </c>
      <c r="G4503" s="28" t="s">
        <v>9</v>
      </c>
      <c r="H4503" s="28" t="n">
        <v>80</v>
      </c>
    </row>
    <row r="4504" customFormat="false" ht="15" hidden="false" customHeight="true" outlineLevel="0" collapsed="false">
      <c r="A4504" s="28" t="s">
        <v>15844</v>
      </c>
      <c r="B4504" s="28" t="s">
        <v>9353</v>
      </c>
      <c r="C4504" s="28" t="s">
        <v>1407</v>
      </c>
      <c r="D4504" s="28" t="s">
        <v>50</v>
      </c>
      <c r="E4504" s="28" t="s">
        <v>15845</v>
      </c>
      <c r="F4504" s="28" t="s">
        <v>15846</v>
      </c>
      <c r="G4504" s="28" t="s">
        <v>9</v>
      </c>
      <c r="H4504" s="28" t="n">
        <v>80</v>
      </c>
    </row>
    <row r="4505" customFormat="false" ht="15" hidden="false" customHeight="true" outlineLevel="0" collapsed="false">
      <c r="A4505" s="28" t="s">
        <v>15847</v>
      </c>
      <c r="B4505" s="28" t="s">
        <v>9353</v>
      </c>
      <c r="C4505" s="28" t="s">
        <v>1407</v>
      </c>
      <c r="D4505" s="28" t="s">
        <v>50</v>
      </c>
      <c r="E4505" s="28" t="s">
        <v>15848</v>
      </c>
      <c r="F4505" s="28" t="s">
        <v>15849</v>
      </c>
      <c r="G4505" s="28" t="s">
        <v>9</v>
      </c>
      <c r="H4505" s="28" t="n">
        <v>80</v>
      </c>
    </row>
    <row r="4506" customFormat="false" ht="26.4" hidden="false" customHeight="true" outlineLevel="0" collapsed="false">
      <c r="A4506" s="28" t="s">
        <v>15850</v>
      </c>
      <c r="B4506" s="28" t="s">
        <v>9353</v>
      </c>
      <c r="C4506" s="28" t="s">
        <v>1407</v>
      </c>
      <c r="D4506" s="28" t="s">
        <v>50</v>
      </c>
      <c r="E4506" s="28" t="s">
        <v>15851</v>
      </c>
      <c r="F4506" s="28" t="s">
        <v>15852</v>
      </c>
      <c r="G4506" s="28" t="s">
        <v>9</v>
      </c>
      <c r="H4506" s="28" t="n">
        <v>80</v>
      </c>
    </row>
    <row r="4507" customFormat="false" ht="15" hidden="false" customHeight="true" outlineLevel="0" collapsed="false">
      <c r="A4507" s="28" t="s">
        <v>15853</v>
      </c>
      <c r="B4507" s="28" t="s">
        <v>9353</v>
      </c>
      <c r="C4507" s="28" t="s">
        <v>1407</v>
      </c>
      <c r="D4507" s="28" t="s">
        <v>50</v>
      </c>
      <c r="E4507" s="28" t="s">
        <v>15854</v>
      </c>
      <c r="F4507" s="28" t="s">
        <v>15855</v>
      </c>
      <c r="G4507" s="28" t="s">
        <v>9</v>
      </c>
      <c r="H4507" s="28" t="n">
        <v>80</v>
      </c>
    </row>
    <row r="4508" customFormat="false" ht="26.4" hidden="false" customHeight="true" outlineLevel="0" collapsed="false">
      <c r="A4508" s="28" t="s">
        <v>15856</v>
      </c>
      <c r="B4508" s="28" t="s">
        <v>9353</v>
      </c>
      <c r="C4508" s="28" t="s">
        <v>1407</v>
      </c>
      <c r="D4508" s="28" t="s">
        <v>50</v>
      </c>
      <c r="E4508" s="28" t="s">
        <v>15857</v>
      </c>
      <c r="F4508" s="28" t="s">
        <v>15858</v>
      </c>
      <c r="G4508" s="28" t="s">
        <v>9</v>
      </c>
      <c r="H4508" s="28" t="n">
        <v>80</v>
      </c>
    </row>
    <row r="4509" customFormat="false" ht="15" hidden="false" customHeight="true" outlineLevel="0" collapsed="false">
      <c r="A4509" s="28" t="s">
        <v>15859</v>
      </c>
      <c r="B4509" s="28" t="s">
        <v>9353</v>
      </c>
      <c r="C4509" s="28" t="s">
        <v>1407</v>
      </c>
      <c r="D4509" s="28" t="s">
        <v>50</v>
      </c>
      <c r="E4509" s="28" t="s">
        <v>15860</v>
      </c>
      <c r="F4509" s="28" t="s">
        <v>15861</v>
      </c>
      <c r="G4509" s="28" t="s">
        <v>9</v>
      </c>
      <c r="H4509" s="28" t="n">
        <v>80</v>
      </c>
    </row>
    <row r="4510" customFormat="false" ht="26.4" hidden="false" customHeight="true" outlineLevel="0" collapsed="false">
      <c r="A4510" s="28" t="s">
        <v>15862</v>
      </c>
      <c r="B4510" s="28" t="s">
        <v>9353</v>
      </c>
      <c r="C4510" s="28" t="s">
        <v>1407</v>
      </c>
      <c r="D4510" s="28" t="s">
        <v>50</v>
      </c>
      <c r="E4510" s="28" t="s">
        <v>15863</v>
      </c>
      <c r="F4510" s="28" t="s">
        <v>15864</v>
      </c>
      <c r="G4510" s="28" t="s">
        <v>9</v>
      </c>
      <c r="H4510" s="28" t="n">
        <v>80</v>
      </c>
    </row>
    <row r="4511" customFormat="false" ht="26.4" hidden="false" customHeight="true" outlineLevel="0" collapsed="false">
      <c r="A4511" s="28" t="s">
        <v>15865</v>
      </c>
      <c r="B4511" s="28" t="s">
        <v>9353</v>
      </c>
      <c r="C4511" s="28" t="s">
        <v>1407</v>
      </c>
      <c r="D4511" s="28" t="s">
        <v>50</v>
      </c>
      <c r="E4511" s="28" t="s">
        <v>15866</v>
      </c>
      <c r="F4511" s="28" t="s">
        <v>15867</v>
      </c>
      <c r="G4511" s="28" t="s">
        <v>9</v>
      </c>
      <c r="H4511" s="28" t="n">
        <v>80</v>
      </c>
    </row>
    <row r="4512" customFormat="false" ht="26.4" hidden="false" customHeight="true" outlineLevel="0" collapsed="false">
      <c r="A4512" s="28" t="s">
        <v>15868</v>
      </c>
      <c r="B4512" s="28" t="s">
        <v>9353</v>
      </c>
      <c r="C4512" s="28" t="s">
        <v>1407</v>
      </c>
      <c r="D4512" s="28" t="s">
        <v>50</v>
      </c>
      <c r="E4512" s="28" t="s">
        <v>15869</v>
      </c>
      <c r="F4512" s="28" t="s">
        <v>15870</v>
      </c>
      <c r="G4512" s="28" t="s">
        <v>9</v>
      </c>
      <c r="H4512" s="28" t="n">
        <v>80</v>
      </c>
    </row>
    <row r="4513" customFormat="false" ht="15" hidden="false" customHeight="true" outlineLevel="0" collapsed="false">
      <c r="A4513" s="28" t="s">
        <v>15871</v>
      </c>
      <c r="B4513" s="28" t="s">
        <v>9353</v>
      </c>
      <c r="C4513" s="28" t="s">
        <v>1407</v>
      </c>
      <c r="D4513" s="28" t="s">
        <v>50</v>
      </c>
      <c r="E4513" s="28" t="s">
        <v>15872</v>
      </c>
      <c r="F4513" s="28" t="s">
        <v>15873</v>
      </c>
      <c r="G4513" s="28" t="s">
        <v>9</v>
      </c>
      <c r="H4513" s="28" t="n">
        <v>80</v>
      </c>
    </row>
    <row r="4514" customFormat="false" ht="26.4" hidden="false" customHeight="true" outlineLevel="0" collapsed="false">
      <c r="A4514" s="28" t="s">
        <v>15874</v>
      </c>
      <c r="B4514" s="28" t="s">
        <v>9353</v>
      </c>
      <c r="C4514" s="28" t="s">
        <v>1407</v>
      </c>
      <c r="D4514" s="28" t="s">
        <v>50</v>
      </c>
      <c r="E4514" s="28" t="s">
        <v>15875</v>
      </c>
      <c r="F4514" s="28" t="s">
        <v>15876</v>
      </c>
      <c r="G4514" s="28" t="s">
        <v>9</v>
      </c>
      <c r="H4514" s="28" t="n">
        <v>80</v>
      </c>
    </row>
    <row r="4515" customFormat="false" ht="15" hidden="false" customHeight="true" outlineLevel="0" collapsed="false">
      <c r="A4515" s="28" t="s">
        <v>15877</v>
      </c>
      <c r="B4515" s="28" t="s">
        <v>9353</v>
      </c>
      <c r="C4515" s="28" t="s">
        <v>1407</v>
      </c>
      <c r="D4515" s="28" t="s">
        <v>50</v>
      </c>
      <c r="E4515" s="28" t="s">
        <v>15878</v>
      </c>
      <c r="F4515" s="28" t="s">
        <v>15879</v>
      </c>
      <c r="G4515" s="28" t="s">
        <v>9</v>
      </c>
      <c r="H4515" s="28" t="n">
        <v>80</v>
      </c>
    </row>
    <row r="4516" customFormat="false" ht="26.4" hidden="false" customHeight="true" outlineLevel="0" collapsed="false">
      <c r="A4516" s="28" t="s">
        <v>15880</v>
      </c>
      <c r="B4516" s="28" t="s">
        <v>9353</v>
      </c>
      <c r="C4516" s="28" t="s">
        <v>1407</v>
      </c>
      <c r="D4516" s="28" t="s">
        <v>50</v>
      </c>
      <c r="E4516" s="28" t="s">
        <v>15881</v>
      </c>
      <c r="F4516" s="28" t="s">
        <v>15882</v>
      </c>
      <c r="G4516" s="28" t="s">
        <v>9</v>
      </c>
      <c r="H4516" s="28" t="n">
        <v>80</v>
      </c>
    </row>
    <row r="4517" customFormat="false" ht="15" hidden="false" customHeight="true" outlineLevel="0" collapsed="false">
      <c r="A4517" s="28" t="s">
        <v>15883</v>
      </c>
      <c r="B4517" s="28" t="s">
        <v>527</v>
      </c>
      <c r="C4517" s="28" t="s">
        <v>98</v>
      </c>
      <c r="D4517" s="28" t="s">
        <v>50</v>
      </c>
      <c r="E4517" s="28" t="s">
        <v>15884</v>
      </c>
      <c r="F4517" s="28" t="s">
        <v>15885</v>
      </c>
      <c r="G4517" s="28" t="s">
        <v>9</v>
      </c>
      <c r="H4517" s="28" t="n">
        <v>80</v>
      </c>
    </row>
    <row r="4518" customFormat="false" ht="15" hidden="false" customHeight="true" outlineLevel="0" collapsed="false">
      <c r="A4518" s="28" t="s">
        <v>15886</v>
      </c>
      <c r="B4518" s="28" t="s">
        <v>563</v>
      </c>
      <c r="C4518" s="28" t="s">
        <v>98</v>
      </c>
      <c r="D4518" s="28" t="s">
        <v>50</v>
      </c>
      <c r="E4518" s="28" t="s">
        <v>15887</v>
      </c>
      <c r="F4518" s="28" t="s">
        <v>15888</v>
      </c>
      <c r="G4518" s="28" t="s">
        <v>9</v>
      </c>
      <c r="H4518" s="28" t="n">
        <v>80</v>
      </c>
    </row>
    <row r="4519" customFormat="false" ht="15" hidden="false" customHeight="true" outlineLevel="0" collapsed="false">
      <c r="A4519" s="28" t="s">
        <v>15889</v>
      </c>
      <c r="B4519" s="28" t="s">
        <v>624</v>
      </c>
      <c r="C4519" s="28" t="s">
        <v>98</v>
      </c>
      <c r="D4519" s="28" t="s">
        <v>50</v>
      </c>
      <c r="E4519" s="28" t="s">
        <v>15839</v>
      </c>
      <c r="F4519" s="28" t="s">
        <v>15890</v>
      </c>
      <c r="G4519" s="28" t="s">
        <v>9</v>
      </c>
      <c r="H4519" s="28" t="n">
        <v>80</v>
      </c>
    </row>
    <row r="4520" customFormat="false" ht="15" hidden="false" customHeight="true" outlineLevel="0" collapsed="false">
      <c r="A4520" s="28" t="s">
        <v>15891</v>
      </c>
      <c r="B4520" s="28" t="s">
        <v>641</v>
      </c>
      <c r="C4520" s="28" t="s">
        <v>98</v>
      </c>
      <c r="D4520" s="28" t="s">
        <v>50</v>
      </c>
      <c r="E4520" s="28" t="s">
        <v>15845</v>
      </c>
      <c r="F4520" s="28" t="s">
        <v>15892</v>
      </c>
      <c r="G4520" s="28" t="s">
        <v>9</v>
      </c>
      <c r="H4520" s="28" t="n">
        <v>80</v>
      </c>
    </row>
    <row r="4521" customFormat="false" ht="15" hidden="false" customHeight="true" outlineLevel="0" collapsed="false">
      <c r="A4521" s="28" t="s">
        <v>15893</v>
      </c>
      <c r="B4521" s="28" t="s">
        <v>656</v>
      </c>
      <c r="C4521" s="28" t="s">
        <v>98</v>
      </c>
      <c r="D4521" s="28" t="s">
        <v>50</v>
      </c>
      <c r="E4521" s="28" t="s">
        <v>15854</v>
      </c>
      <c r="F4521" s="28" t="s">
        <v>15894</v>
      </c>
      <c r="G4521" s="28" t="s">
        <v>9</v>
      </c>
      <c r="H4521" s="28" t="n">
        <v>80</v>
      </c>
    </row>
    <row r="4522" customFormat="false" ht="15" hidden="false" customHeight="true" outlineLevel="0" collapsed="false">
      <c r="A4522" s="28" t="s">
        <v>15895</v>
      </c>
      <c r="B4522" s="28" t="s">
        <v>5841</v>
      </c>
      <c r="C4522" s="28" t="s">
        <v>98</v>
      </c>
      <c r="D4522" s="28" t="s">
        <v>50</v>
      </c>
      <c r="E4522" s="28" t="s">
        <v>15869</v>
      </c>
      <c r="F4522" s="28" t="s">
        <v>15896</v>
      </c>
      <c r="G4522" s="28" t="s">
        <v>9</v>
      </c>
      <c r="H4522" s="28" t="n">
        <v>80</v>
      </c>
    </row>
    <row r="4523" customFormat="false" ht="15" hidden="false" customHeight="true" outlineLevel="0" collapsed="false">
      <c r="A4523" s="28" t="s">
        <v>15897</v>
      </c>
      <c r="B4523" s="28" t="s">
        <v>1498</v>
      </c>
      <c r="C4523" s="28" t="s">
        <v>1714</v>
      </c>
      <c r="D4523" s="28" t="s">
        <v>50</v>
      </c>
      <c r="E4523" s="28" t="s">
        <v>15872</v>
      </c>
      <c r="F4523" s="28" t="s">
        <v>15898</v>
      </c>
      <c r="G4523" s="28" t="s">
        <v>9</v>
      </c>
      <c r="H4523" s="28" t="n">
        <v>80</v>
      </c>
    </row>
    <row r="4524" customFormat="false" ht="15" hidden="false" customHeight="true" outlineLevel="0" collapsed="false">
      <c r="A4524" s="28" t="s">
        <v>15899</v>
      </c>
      <c r="B4524" s="28" t="s">
        <v>1863</v>
      </c>
      <c r="C4524" s="28" t="s">
        <v>57</v>
      </c>
      <c r="D4524" s="28" t="s">
        <v>50</v>
      </c>
      <c r="E4524" s="28" t="s">
        <v>15875</v>
      </c>
      <c r="F4524" s="28" t="s">
        <v>15900</v>
      </c>
      <c r="G4524" s="28" t="s">
        <v>9</v>
      </c>
      <c r="H4524" s="28" t="n">
        <v>80</v>
      </c>
    </row>
    <row r="4525" customFormat="false" ht="15" hidden="false" customHeight="true" outlineLevel="0" collapsed="false">
      <c r="A4525" s="28" t="s">
        <v>15901</v>
      </c>
      <c r="B4525" s="28" t="s">
        <v>970</v>
      </c>
      <c r="C4525" s="28" t="s">
        <v>1407</v>
      </c>
      <c r="D4525" s="28" t="s">
        <v>50</v>
      </c>
      <c r="E4525" s="28" t="s">
        <v>15863</v>
      </c>
      <c r="F4525" s="28" t="s">
        <v>15902</v>
      </c>
      <c r="G4525" s="28" t="s">
        <v>9</v>
      </c>
      <c r="H4525" s="28" t="n">
        <v>80</v>
      </c>
    </row>
    <row r="4526" customFormat="false" ht="15" hidden="false" customHeight="true" outlineLevel="0" collapsed="false">
      <c r="A4526" s="28" t="s">
        <v>15903</v>
      </c>
      <c r="B4526" s="28" t="s">
        <v>1100</v>
      </c>
      <c r="C4526" s="28" t="s">
        <v>1407</v>
      </c>
      <c r="D4526" s="28" t="s">
        <v>50</v>
      </c>
      <c r="E4526" s="28" t="s">
        <v>15904</v>
      </c>
      <c r="F4526" s="28" t="s">
        <v>15905</v>
      </c>
      <c r="G4526" s="28" t="s">
        <v>9</v>
      </c>
      <c r="H4526" s="28" t="n">
        <v>80</v>
      </c>
    </row>
    <row r="4527" customFormat="false" ht="15" hidden="false" customHeight="true" outlineLevel="0" collapsed="false">
      <c r="A4527" s="28" t="s">
        <v>15906</v>
      </c>
      <c r="B4527" s="28" t="s">
        <v>1114</v>
      </c>
      <c r="C4527" s="28" t="s">
        <v>1407</v>
      </c>
      <c r="D4527" s="28" t="s">
        <v>50</v>
      </c>
      <c r="E4527" s="28" t="s">
        <v>15904</v>
      </c>
      <c r="F4527" s="28" t="s">
        <v>15907</v>
      </c>
      <c r="G4527" s="28" t="s">
        <v>9</v>
      </c>
      <c r="H4527" s="28" t="n">
        <v>80</v>
      </c>
    </row>
    <row r="4528" customFormat="false" ht="15" hidden="false" customHeight="true" outlineLevel="0" collapsed="false">
      <c r="A4528" s="28" t="s">
        <v>15908</v>
      </c>
      <c r="B4528" s="28" t="s">
        <v>1128</v>
      </c>
      <c r="C4528" s="28" t="s">
        <v>1407</v>
      </c>
      <c r="D4528" s="28" t="s">
        <v>50</v>
      </c>
      <c r="E4528" s="28" t="s">
        <v>15904</v>
      </c>
      <c r="F4528" s="28" t="s">
        <v>15909</v>
      </c>
      <c r="G4528" s="28" t="s">
        <v>9</v>
      </c>
      <c r="H4528" s="28" t="n">
        <v>80</v>
      </c>
    </row>
    <row r="4529" customFormat="false" ht="15" hidden="false" customHeight="true" outlineLevel="0" collapsed="false">
      <c r="A4529" s="28" t="s">
        <v>15910</v>
      </c>
      <c r="B4529" s="28" t="s">
        <v>9039</v>
      </c>
      <c r="C4529" s="28" t="s">
        <v>1407</v>
      </c>
      <c r="D4529" s="28" t="s">
        <v>50</v>
      </c>
      <c r="E4529" s="28" t="s">
        <v>15911</v>
      </c>
      <c r="F4529" s="28" t="s">
        <v>15912</v>
      </c>
      <c r="G4529" s="28" t="s">
        <v>9</v>
      </c>
      <c r="H4529" s="28" t="n">
        <v>80</v>
      </c>
    </row>
    <row r="4530" customFormat="false" ht="15" hidden="false" customHeight="true" outlineLevel="0" collapsed="false">
      <c r="A4530" s="28" t="s">
        <v>15913</v>
      </c>
      <c r="B4530" s="28" t="s">
        <v>9198</v>
      </c>
      <c r="C4530" s="28" t="s">
        <v>1407</v>
      </c>
      <c r="D4530" s="28" t="s">
        <v>50</v>
      </c>
      <c r="E4530" s="28" t="s">
        <v>15860</v>
      </c>
      <c r="F4530" s="28" t="s">
        <v>15914</v>
      </c>
      <c r="G4530" s="28" t="s">
        <v>9</v>
      </c>
      <c r="H4530" s="28" t="n">
        <v>80</v>
      </c>
    </row>
    <row r="4531" customFormat="false" ht="15" hidden="false" customHeight="false" outlineLevel="0" collapsed="false">
      <c r="A4531" s="1" t="s">
        <v>15915</v>
      </c>
      <c r="B4531" s="1" t="s">
        <v>8260</v>
      </c>
      <c r="C4531" s="1" t="s">
        <v>1407</v>
      </c>
      <c r="D4531" s="1" t="s">
        <v>50</v>
      </c>
      <c r="E4531" s="1" t="s">
        <v>15916</v>
      </c>
      <c r="F4531" s="1" t="s">
        <v>15917</v>
      </c>
      <c r="G4531" s="1" t="s">
        <v>9</v>
      </c>
      <c r="H4531" s="1" t="n">
        <v>90</v>
      </c>
    </row>
    <row r="4532" customFormat="false" ht="15" hidden="false" customHeight="false" outlineLevel="0" collapsed="false">
      <c r="A4532" s="28" t="s">
        <v>15918</v>
      </c>
      <c r="B4532" s="28" t="s">
        <v>154</v>
      </c>
      <c r="C4532" s="28" t="s">
        <v>57</v>
      </c>
      <c r="D4532" s="28" t="s">
        <v>57</v>
      </c>
      <c r="E4532" s="28" t="s">
        <v>15919</v>
      </c>
      <c r="F4532" s="28" t="s">
        <v>15920</v>
      </c>
      <c r="G4532" s="28" t="s">
        <v>9</v>
      </c>
      <c r="H4532" s="28" t="n">
        <v>100</v>
      </c>
    </row>
    <row r="4533" customFormat="false" ht="15" hidden="false" customHeight="false" outlineLevel="0" collapsed="false">
      <c r="A4533" s="28" t="s">
        <v>15921</v>
      </c>
      <c r="B4533" s="28" t="s">
        <v>527</v>
      </c>
      <c r="C4533" s="28" t="s">
        <v>1407</v>
      </c>
      <c r="D4533" s="28" t="s">
        <v>50</v>
      </c>
      <c r="E4533" s="28" t="s">
        <v>15922</v>
      </c>
      <c r="F4533" s="28" t="s">
        <v>15923</v>
      </c>
      <c r="G4533" s="28" t="s">
        <v>9</v>
      </c>
      <c r="H4533" s="28" t="n">
        <v>100</v>
      </c>
    </row>
    <row r="4534" customFormat="false" ht="15" hidden="false" customHeight="false" outlineLevel="0" collapsed="false">
      <c r="A4534" s="28" t="s">
        <v>15924</v>
      </c>
      <c r="B4534" s="28" t="s">
        <v>563</v>
      </c>
      <c r="C4534" s="28" t="s">
        <v>1407</v>
      </c>
      <c r="D4534" s="28" t="s">
        <v>50</v>
      </c>
      <c r="E4534" s="28" t="s">
        <v>15925</v>
      </c>
      <c r="F4534" s="28" t="s">
        <v>15926</v>
      </c>
      <c r="G4534" s="28" t="s">
        <v>9</v>
      </c>
      <c r="H4534" s="28" t="n">
        <v>100</v>
      </c>
    </row>
    <row r="4535" customFormat="false" ht="15" hidden="false" customHeight="false" outlineLevel="0" collapsed="false">
      <c r="A4535" s="28" t="s">
        <v>15927</v>
      </c>
      <c r="B4535" s="28" t="s">
        <v>624</v>
      </c>
      <c r="C4535" s="28" t="s">
        <v>1407</v>
      </c>
      <c r="D4535" s="28" t="s">
        <v>50</v>
      </c>
      <c r="E4535" s="28" t="s">
        <v>15928</v>
      </c>
      <c r="F4535" s="28" t="s">
        <v>15929</v>
      </c>
      <c r="G4535" s="28" t="s">
        <v>9</v>
      </c>
      <c r="H4535" s="28" t="n">
        <v>100</v>
      </c>
    </row>
    <row r="4536" customFormat="false" ht="15" hidden="false" customHeight="false" outlineLevel="0" collapsed="false">
      <c r="A4536" s="28" t="s">
        <v>15930</v>
      </c>
      <c r="B4536" s="28" t="s">
        <v>641</v>
      </c>
      <c r="C4536" s="28" t="s">
        <v>1407</v>
      </c>
      <c r="D4536" s="28" t="s">
        <v>50</v>
      </c>
      <c r="E4536" s="28" t="s">
        <v>15931</v>
      </c>
      <c r="F4536" s="28" t="s">
        <v>15932</v>
      </c>
      <c r="G4536" s="28" t="s">
        <v>9</v>
      </c>
      <c r="H4536" s="28" t="n">
        <v>100</v>
      </c>
    </row>
    <row r="4537" customFormat="false" ht="15" hidden="false" customHeight="false" outlineLevel="0" collapsed="false">
      <c r="A4537" s="28" t="s">
        <v>15933</v>
      </c>
      <c r="B4537" s="28" t="s">
        <v>656</v>
      </c>
      <c r="C4537" s="28" t="s">
        <v>1407</v>
      </c>
      <c r="D4537" s="28" t="s">
        <v>50</v>
      </c>
      <c r="E4537" s="28" t="s">
        <v>15934</v>
      </c>
      <c r="F4537" s="28" t="s">
        <v>15932</v>
      </c>
      <c r="G4537" s="28" t="s">
        <v>9</v>
      </c>
      <c r="H4537" s="28" t="n">
        <v>100</v>
      </c>
    </row>
    <row r="4538" customFormat="false" ht="15" hidden="false" customHeight="false" outlineLevel="0" collapsed="false">
      <c r="A4538" s="28" t="s">
        <v>15935</v>
      </c>
      <c r="B4538" s="28" t="s">
        <v>5841</v>
      </c>
      <c r="C4538" s="28" t="s">
        <v>9376</v>
      </c>
      <c r="D4538" s="28" t="s">
        <v>59</v>
      </c>
      <c r="E4538" s="28" t="s">
        <v>15936</v>
      </c>
      <c r="F4538" s="28" t="s">
        <v>15937</v>
      </c>
      <c r="G4538" s="28" t="s">
        <v>9</v>
      </c>
      <c r="H4538" s="28" t="n">
        <v>100</v>
      </c>
    </row>
    <row r="4539" customFormat="false" ht="15" hidden="false" customHeight="false" outlineLevel="0" collapsed="false">
      <c r="A4539" s="28" t="s">
        <v>15938</v>
      </c>
      <c r="B4539" s="28" t="s">
        <v>683</v>
      </c>
      <c r="C4539" s="28" t="s">
        <v>1407</v>
      </c>
      <c r="D4539" s="28" t="s">
        <v>50</v>
      </c>
      <c r="E4539" s="28" t="s">
        <v>15939</v>
      </c>
      <c r="F4539" s="28" t="s">
        <v>15940</v>
      </c>
      <c r="G4539" s="28" t="s">
        <v>9</v>
      </c>
      <c r="H4539" s="28" t="n">
        <v>100</v>
      </c>
    </row>
    <row r="4540" customFormat="false" ht="15" hidden="false" customHeight="false" outlineLevel="0" collapsed="false">
      <c r="A4540" s="28" t="s">
        <v>15941</v>
      </c>
      <c r="B4540" s="28" t="s">
        <v>712</v>
      </c>
      <c r="C4540" s="28" t="s">
        <v>9376</v>
      </c>
      <c r="D4540" s="28" t="s">
        <v>55</v>
      </c>
      <c r="E4540" s="28" t="s">
        <v>15942</v>
      </c>
      <c r="F4540" s="28" t="s">
        <v>15943</v>
      </c>
      <c r="G4540" s="28" t="s">
        <v>9</v>
      </c>
      <c r="H4540" s="28" t="n">
        <v>100</v>
      </c>
    </row>
    <row r="4541" customFormat="false" ht="15" hidden="false" customHeight="false" outlineLevel="0" collapsed="false">
      <c r="A4541" s="28" t="s">
        <v>15944</v>
      </c>
      <c r="B4541" s="28" t="s">
        <v>839</v>
      </c>
      <c r="C4541" s="28" t="s">
        <v>57</v>
      </c>
      <c r="D4541" s="28" t="s">
        <v>57</v>
      </c>
      <c r="E4541" s="28" t="s">
        <v>15945</v>
      </c>
      <c r="F4541" s="28" t="s">
        <v>15946</v>
      </c>
      <c r="G4541" s="28" t="s">
        <v>9</v>
      </c>
      <c r="H4541" s="28" t="n">
        <v>100</v>
      </c>
    </row>
    <row r="4542" customFormat="false" ht="15" hidden="false" customHeight="false" outlineLevel="0" collapsed="false">
      <c r="A4542" s="28" t="s">
        <v>15947</v>
      </c>
      <c r="B4542" s="28" t="s">
        <v>970</v>
      </c>
      <c r="C4542" s="28" t="s">
        <v>1407</v>
      </c>
      <c r="D4542" s="28" t="s">
        <v>50</v>
      </c>
      <c r="E4542" s="28" t="s">
        <v>15948</v>
      </c>
      <c r="F4542" s="28" t="s">
        <v>15949</v>
      </c>
      <c r="G4542" s="28" t="s">
        <v>9</v>
      </c>
      <c r="H4542" s="28" t="n">
        <v>100</v>
      </c>
    </row>
    <row r="4543" customFormat="false" ht="15" hidden="false" customHeight="false" outlineLevel="0" collapsed="false">
      <c r="A4543" s="28" t="s">
        <v>15950</v>
      </c>
      <c r="B4543" s="28" t="s">
        <v>1100</v>
      </c>
      <c r="C4543" s="28" t="s">
        <v>1407</v>
      </c>
      <c r="D4543" s="28" t="s">
        <v>50</v>
      </c>
      <c r="E4543" s="28" t="s">
        <v>15951</v>
      </c>
      <c r="F4543" s="28" t="s">
        <v>15952</v>
      </c>
      <c r="G4543" s="28" t="s">
        <v>9</v>
      </c>
      <c r="H4543" s="28" t="n">
        <v>100</v>
      </c>
    </row>
    <row r="4544" customFormat="false" ht="15" hidden="false" customHeight="false" outlineLevel="0" collapsed="false">
      <c r="A4544" s="28" t="s">
        <v>15953</v>
      </c>
      <c r="B4544" s="28" t="s">
        <v>1114</v>
      </c>
      <c r="C4544" s="28" t="s">
        <v>1407</v>
      </c>
      <c r="D4544" s="28" t="s">
        <v>50</v>
      </c>
      <c r="E4544" s="28" t="s">
        <v>15954</v>
      </c>
      <c r="F4544" s="28" t="s">
        <v>15955</v>
      </c>
      <c r="G4544" s="28" t="s">
        <v>9</v>
      </c>
      <c r="H4544" s="28" t="n">
        <v>100</v>
      </c>
    </row>
    <row r="4545" customFormat="false" ht="15" hidden="false" customHeight="false" outlineLevel="0" collapsed="false">
      <c r="A4545" s="28" t="s">
        <v>15956</v>
      </c>
      <c r="B4545" s="28" t="s">
        <v>1128</v>
      </c>
      <c r="C4545" s="28" t="s">
        <v>1407</v>
      </c>
      <c r="D4545" s="28" t="s">
        <v>50</v>
      </c>
      <c r="E4545" s="28" t="s">
        <v>15957</v>
      </c>
      <c r="F4545" s="28" t="s">
        <v>15958</v>
      </c>
      <c r="G4545" s="28" t="s">
        <v>9</v>
      </c>
      <c r="H4545" s="28" t="n">
        <v>100</v>
      </c>
    </row>
    <row r="4546" customFormat="false" ht="23.85" hidden="false" customHeight="false" outlineLevel="0" collapsed="false">
      <c r="A4546" s="28" t="s">
        <v>15959</v>
      </c>
      <c r="B4546" s="28" t="s">
        <v>1140</v>
      </c>
      <c r="C4546" s="28" t="s">
        <v>1407</v>
      </c>
      <c r="D4546" s="28" t="s">
        <v>50</v>
      </c>
      <c r="E4546" s="28" t="s">
        <v>15960</v>
      </c>
      <c r="F4546" s="28" t="s">
        <v>15961</v>
      </c>
      <c r="G4546" s="28" t="s">
        <v>9</v>
      </c>
      <c r="H4546" s="28" t="n">
        <v>100</v>
      </c>
    </row>
    <row r="4547" customFormat="false" ht="15" hidden="false" customHeight="false" outlineLevel="0" collapsed="false">
      <c r="A4547" s="28" t="s">
        <v>15962</v>
      </c>
      <c r="B4547" s="28" t="s">
        <v>6340</v>
      </c>
      <c r="C4547" s="28" t="s">
        <v>59</v>
      </c>
      <c r="D4547" s="28" t="s">
        <v>59</v>
      </c>
      <c r="E4547" s="28" t="s">
        <v>15963</v>
      </c>
      <c r="F4547" s="28" t="s">
        <v>15964</v>
      </c>
      <c r="G4547" s="28" t="s">
        <v>9</v>
      </c>
      <c r="H4547" s="28" t="n">
        <v>100</v>
      </c>
    </row>
    <row r="4548" customFormat="false" ht="15" hidden="false" customHeight="false" outlineLevel="0" collapsed="false">
      <c r="A4548" s="28" t="s">
        <v>15965</v>
      </c>
      <c r="B4548" s="28" t="s">
        <v>4430</v>
      </c>
      <c r="C4548" s="28" t="s">
        <v>59</v>
      </c>
      <c r="D4548" s="28" t="s">
        <v>59</v>
      </c>
      <c r="E4548" s="28" t="s">
        <v>15966</v>
      </c>
      <c r="F4548" s="28" t="s">
        <v>15967</v>
      </c>
      <c r="G4548" s="28" t="s">
        <v>9</v>
      </c>
      <c r="H4548" s="28" t="n">
        <v>100</v>
      </c>
    </row>
    <row r="4549" customFormat="false" ht="15" hidden="false" customHeight="false" outlineLevel="0" collapsed="false">
      <c r="A4549" s="28" t="s">
        <v>15968</v>
      </c>
      <c r="B4549" s="28" t="s">
        <v>8841</v>
      </c>
      <c r="C4549" s="28" t="s">
        <v>9376</v>
      </c>
      <c r="D4549" s="28" t="s">
        <v>54</v>
      </c>
      <c r="E4549" s="28" t="s">
        <v>15969</v>
      </c>
      <c r="F4549" s="28" t="s">
        <v>15970</v>
      </c>
      <c r="G4549" s="28" t="s">
        <v>9</v>
      </c>
      <c r="H4549" s="28" t="n">
        <v>100</v>
      </c>
    </row>
    <row r="4550" customFormat="false" ht="15" hidden="false" customHeight="false" outlineLevel="0" collapsed="false">
      <c r="A4550" s="28" t="s">
        <v>15971</v>
      </c>
      <c r="B4550" s="28" t="s">
        <v>8875</v>
      </c>
      <c r="C4550" s="28" t="s">
        <v>9376</v>
      </c>
      <c r="D4550" s="28" t="s">
        <v>54</v>
      </c>
      <c r="E4550" s="28" t="s">
        <v>15969</v>
      </c>
      <c r="F4550" s="28" t="s">
        <v>15970</v>
      </c>
      <c r="G4550" s="28" t="s">
        <v>9</v>
      </c>
      <c r="H4550" s="28" t="n">
        <v>100</v>
      </c>
    </row>
    <row r="4551" customFormat="false" ht="15" hidden="false" customHeight="false" outlineLevel="0" collapsed="false">
      <c r="A4551" s="28" t="s">
        <v>15972</v>
      </c>
      <c r="B4551" s="28" t="s">
        <v>1551</v>
      </c>
      <c r="C4551" s="28" t="s">
        <v>9376</v>
      </c>
      <c r="D4551" s="28" t="s">
        <v>54</v>
      </c>
      <c r="E4551" s="28" t="s">
        <v>15969</v>
      </c>
      <c r="F4551" s="28" t="s">
        <v>15970</v>
      </c>
      <c r="G4551" s="28" t="s">
        <v>9</v>
      </c>
      <c r="H4551" s="28" t="n">
        <v>100</v>
      </c>
    </row>
    <row r="4552" customFormat="false" ht="15" hidden="false" customHeight="false" outlineLevel="0" collapsed="false">
      <c r="A4552" s="28" t="s">
        <v>15973</v>
      </c>
      <c r="B4552" s="28" t="s">
        <v>9005</v>
      </c>
      <c r="C4552" s="28" t="s">
        <v>9376</v>
      </c>
      <c r="D4552" s="28" t="s">
        <v>54</v>
      </c>
      <c r="E4552" s="28" t="s">
        <v>15969</v>
      </c>
      <c r="F4552" s="28" t="s">
        <v>15970</v>
      </c>
      <c r="G4552" s="28" t="s">
        <v>9</v>
      </c>
      <c r="H4552" s="28" t="n">
        <v>100</v>
      </c>
    </row>
    <row r="4553" customFormat="false" ht="15" hidden="false" customHeight="false" outlineLevel="0" collapsed="false">
      <c r="A4553" s="28" t="s">
        <v>15974</v>
      </c>
      <c r="B4553" s="28" t="s">
        <v>9039</v>
      </c>
      <c r="C4553" s="28" t="s">
        <v>9376</v>
      </c>
      <c r="D4553" s="28" t="s">
        <v>54</v>
      </c>
      <c r="E4553" s="28" t="s">
        <v>15969</v>
      </c>
      <c r="F4553" s="28" t="s">
        <v>15970</v>
      </c>
      <c r="G4553" s="28" t="s">
        <v>9</v>
      </c>
      <c r="H4553" s="28" t="n">
        <v>100</v>
      </c>
    </row>
    <row r="4554" customFormat="false" ht="15" hidden="false" customHeight="false" outlineLevel="0" collapsed="false">
      <c r="A4554" s="28" t="s">
        <v>15975</v>
      </c>
      <c r="B4554" s="28" t="s">
        <v>9075</v>
      </c>
      <c r="C4554" s="28" t="s">
        <v>9376</v>
      </c>
      <c r="D4554" s="28" t="s">
        <v>54</v>
      </c>
      <c r="E4554" s="28" t="s">
        <v>15969</v>
      </c>
      <c r="F4554" s="28" t="s">
        <v>15970</v>
      </c>
      <c r="G4554" s="28" t="s">
        <v>9</v>
      </c>
      <c r="H4554" s="28" t="n">
        <v>100</v>
      </c>
    </row>
    <row r="4555" customFormat="false" ht="15" hidden="false" customHeight="false" outlineLevel="0" collapsed="false">
      <c r="A4555" s="28" t="s">
        <v>15976</v>
      </c>
      <c r="B4555" s="28" t="s">
        <v>9107</v>
      </c>
      <c r="C4555" s="28" t="s">
        <v>9376</v>
      </c>
      <c r="D4555" s="28" t="s">
        <v>54</v>
      </c>
      <c r="E4555" s="28" t="s">
        <v>15969</v>
      </c>
      <c r="F4555" s="28" t="s">
        <v>15970</v>
      </c>
      <c r="G4555" s="28" t="s">
        <v>9</v>
      </c>
      <c r="H4555" s="28" t="n">
        <v>100</v>
      </c>
    </row>
    <row r="4556" customFormat="false" ht="15" hidden="false" customHeight="false" outlineLevel="0" collapsed="false">
      <c r="A4556" s="28" t="s">
        <v>15977</v>
      </c>
      <c r="B4556" s="28" t="s">
        <v>9175</v>
      </c>
      <c r="C4556" s="28" t="s">
        <v>9376</v>
      </c>
      <c r="D4556" s="28" t="s">
        <v>54</v>
      </c>
      <c r="E4556" s="28" t="s">
        <v>15969</v>
      </c>
      <c r="F4556" s="28" t="s">
        <v>15970</v>
      </c>
      <c r="G4556" s="28" t="s">
        <v>9</v>
      </c>
      <c r="H4556" s="28" t="n">
        <v>100</v>
      </c>
    </row>
    <row r="4557" customFormat="false" ht="15" hidden="false" customHeight="false" outlineLevel="0" collapsed="false">
      <c r="A4557" s="28" t="s">
        <v>15978</v>
      </c>
      <c r="B4557" s="28" t="s">
        <v>9353</v>
      </c>
      <c r="C4557" s="28" t="s">
        <v>1407</v>
      </c>
      <c r="D4557" s="28" t="s">
        <v>50</v>
      </c>
      <c r="E4557" s="28" t="s">
        <v>15979</v>
      </c>
      <c r="F4557" s="28" t="s">
        <v>15980</v>
      </c>
      <c r="G4557" s="28" t="s">
        <v>9</v>
      </c>
      <c r="H4557" s="28" t="n">
        <v>100</v>
      </c>
    </row>
    <row r="4558" customFormat="false" ht="15" hidden="false" customHeight="false" outlineLevel="0" collapsed="false">
      <c r="A4558" s="28" t="s">
        <v>15981</v>
      </c>
      <c r="B4558" s="28" t="s">
        <v>1420</v>
      </c>
      <c r="C4558" s="28" t="s">
        <v>57</v>
      </c>
      <c r="D4558" s="28" t="s">
        <v>57</v>
      </c>
      <c r="E4558" s="28" t="s">
        <v>15982</v>
      </c>
      <c r="F4558" s="28" t="s">
        <v>15983</v>
      </c>
      <c r="G4558" s="28" t="s">
        <v>9</v>
      </c>
      <c r="H4558" s="28" t="n">
        <v>100</v>
      </c>
    </row>
    <row r="4559" customFormat="false" ht="15" hidden="false" customHeight="false" outlineLevel="0" collapsed="false">
      <c r="A4559" s="28" t="s">
        <v>15984</v>
      </c>
      <c r="B4559" s="28" t="s">
        <v>1472</v>
      </c>
      <c r="C4559" s="28" t="s">
        <v>57</v>
      </c>
      <c r="D4559" s="28" t="s">
        <v>57</v>
      </c>
      <c r="E4559" s="28" t="s">
        <v>15985</v>
      </c>
      <c r="F4559" s="28" t="s">
        <v>15986</v>
      </c>
      <c r="G4559" s="28" t="s">
        <v>9</v>
      </c>
      <c r="H4559" s="28" t="n">
        <v>100</v>
      </c>
    </row>
    <row r="4560" customFormat="false" ht="15" hidden="false" customHeight="false" outlineLevel="0" collapsed="false">
      <c r="A4560" s="28" t="s">
        <v>15987</v>
      </c>
      <c r="B4560" s="28" t="s">
        <v>1498</v>
      </c>
      <c r="C4560" s="28" t="s">
        <v>57</v>
      </c>
      <c r="D4560" s="28" t="s">
        <v>57</v>
      </c>
      <c r="E4560" s="28" t="s">
        <v>15988</v>
      </c>
      <c r="F4560" s="28" t="s">
        <v>15989</v>
      </c>
      <c r="G4560" s="28" t="s">
        <v>9</v>
      </c>
      <c r="H4560" s="28" t="n">
        <v>100</v>
      </c>
    </row>
    <row r="4561" customFormat="false" ht="15" hidden="false" customHeight="false" outlineLevel="0" collapsed="false">
      <c r="A4561" s="28" t="s">
        <v>15990</v>
      </c>
      <c r="B4561" s="28" t="s">
        <v>1514</v>
      </c>
      <c r="C4561" s="28" t="s">
        <v>57</v>
      </c>
      <c r="D4561" s="28" t="s">
        <v>57</v>
      </c>
      <c r="E4561" s="28" t="s">
        <v>15991</v>
      </c>
      <c r="F4561" s="28" t="s">
        <v>15992</v>
      </c>
      <c r="G4561" s="28" t="s">
        <v>9</v>
      </c>
      <c r="H4561" s="28" t="n">
        <v>100</v>
      </c>
    </row>
    <row r="4562" customFormat="false" ht="15" hidden="false" customHeight="false" outlineLevel="0" collapsed="false">
      <c r="A4562" s="28" t="s">
        <v>15993</v>
      </c>
      <c r="B4562" s="28" t="s">
        <v>1641</v>
      </c>
      <c r="C4562" s="28" t="s">
        <v>57</v>
      </c>
      <c r="D4562" s="28" t="s">
        <v>57</v>
      </c>
      <c r="E4562" s="28" t="s">
        <v>15994</v>
      </c>
      <c r="F4562" s="28" t="s">
        <v>15995</v>
      </c>
      <c r="G4562" s="28" t="s">
        <v>9</v>
      </c>
      <c r="H4562" s="28" t="n">
        <v>100</v>
      </c>
    </row>
    <row r="4563" customFormat="false" ht="15" hidden="false" customHeight="false" outlineLevel="0" collapsed="false">
      <c r="A4563" s="28" t="s">
        <v>15996</v>
      </c>
      <c r="B4563" s="28" t="s">
        <v>1713</v>
      </c>
      <c r="C4563" s="28" t="s">
        <v>57</v>
      </c>
      <c r="D4563" s="28" t="s">
        <v>57</v>
      </c>
      <c r="E4563" s="28" t="s">
        <v>15997</v>
      </c>
      <c r="F4563" s="28" t="s">
        <v>15998</v>
      </c>
      <c r="G4563" s="28" t="s">
        <v>9</v>
      </c>
      <c r="H4563" s="28" t="n">
        <v>100</v>
      </c>
    </row>
    <row r="4564" customFormat="false" ht="15" hidden="false" customHeight="false" outlineLevel="0" collapsed="false">
      <c r="A4564" s="28" t="s">
        <v>15999</v>
      </c>
      <c r="B4564" s="28" t="s">
        <v>1938</v>
      </c>
      <c r="C4564" s="28" t="s">
        <v>57</v>
      </c>
      <c r="D4564" s="28" t="s">
        <v>57</v>
      </c>
      <c r="E4564" s="28" t="s">
        <v>16000</v>
      </c>
      <c r="F4564" s="28" t="s">
        <v>16001</v>
      </c>
      <c r="G4564" s="28" t="s">
        <v>9</v>
      </c>
      <c r="H4564" s="28" t="n">
        <v>100</v>
      </c>
    </row>
    <row r="4565" customFormat="false" ht="15" hidden="false" customHeight="false" outlineLevel="0" collapsed="false">
      <c r="A4565" s="28" t="s">
        <v>16002</v>
      </c>
      <c r="B4565" s="28" t="s">
        <v>1863</v>
      </c>
      <c r="C4565" s="28" t="s">
        <v>57</v>
      </c>
      <c r="D4565" s="28" t="s">
        <v>57</v>
      </c>
      <c r="E4565" s="28" t="s">
        <v>16003</v>
      </c>
      <c r="F4565" s="28" t="s">
        <v>16004</v>
      </c>
      <c r="G4565" s="28" t="s">
        <v>9</v>
      </c>
      <c r="H4565" s="28" t="n">
        <v>100</v>
      </c>
    </row>
    <row r="4566" customFormat="false" ht="15" hidden="false" customHeight="false" outlineLevel="0" collapsed="false">
      <c r="A4566" s="28" t="s">
        <v>16005</v>
      </c>
      <c r="B4566" s="28" t="s">
        <v>2104</v>
      </c>
      <c r="C4566" s="28" t="s">
        <v>57</v>
      </c>
      <c r="D4566" s="28" t="s">
        <v>57</v>
      </c>
      <c r="E4566" s="28" t="s">
        <v>16006</v>
      </c>
      <c r="F4566" s="28" t="s">
        <v>16007</v>
      </c>
      <c r="G4566" s="28" t="s">
        <v>9</v>
      </c>
      <c r="H4566" s="28" t="n">
        <v>100</v>
      </c>
    </row>
    <row r="4567" customFormat="false" ht="15" hidden="false" customHeight="false" outlineLevel="0" collapsed="false">
      <c r="A4567" s="28" t="s">
        <v>16008</v>
      </c>
      <c r="B4567" s="28" t="s">
        <v>4615</v>
      </c>
      <c r="C4567" s="28" t="s">
        <v>9376</v>
      </c>
      <c r="D4567" s="28" t="s">
        <v>53</v>
      </c>
      <c r="E4567" s="28" t="s">
        <v>16009</v>
      </c>
      <c r="F4567" s="28" t="s">
        <v>16010</v>
      </c>
      <c r="G4567" s="28" t="s">
        <v>9</v>
      </c>
      <c r="H4567" s="28" t="n">
        <v>100</v>
      </c>
    </row>
    <row r="4568" customFormat="false" ht="15" hidden="false" customHeight="false" outlineLevel="0" collapsed="false">
      <c r="A4568" s="28" t="s">
        <v>16011</v>
      </c>
      <c r="B4568" s="28" t="s">
        <v>4786</v>
      </c>
      <c r="C4568" s="28" t="s">
        <v>9376</v>
      </c>
      <c r="D4568" s="28" t="s">
        <v>53</v>
      </c>
      <c r="E4568" s="28" t="s">
        <v>16012</v>
      </c>
      <c r="F4568" s="28" t="s">
        <v>16013</v>
      </c>
      <c r="G4568" s="28" t="s">
        <v>9</v>
      </c>
      <c r="H4568" s="28" t="n">
        <v>100</v>
      </c>
    </row>
    <row r="4569" customFormat="false" ht="15" hidden="false" customHeight="false" outlineLevel="0" collapsed="false">
      <c r="A4569" s="28" t="s">
        <v>16014</v>
      </c>
      <c r="B4569" s="28" t="s">
        <v>562</v>
      </c>
      <c r="C4569" s="28" t="s">
        <v>57</v>
      </c>
      <c r="D4569" s="28" t="s">
        <v>57</v>
      </c>
      <c r="E4569" s="28" t="s">
        <v>16015</v>
      </c>
      <c r="F4569" s="28" t="s">
        <v>16016</v>
      </c>
      <c r="G4569" s="28" t="s">
        <v>9</v>
      </c>
      <c r="H4569" s="28" t="n">
        <v>100</v>
      </c>
    </row>
    <row r="4570" customFormat="false" ht="15" hidden="false" customHeight="false" outlineLevel="0" collapsed="false">
      <c r="A4570" s="28" t="s">
        <v>16017</v>
      </c>
      <c r="B4570" s="28" t="s">
        <v>562</v>
      </c>
      <c r="C4570" s="28" t="s">
        <v>57</v>
      </c>
      <c r="D4570" s="28" t="s">
        <v>57</v>
      </c>
      <c r="E4570" s="28" t="s">
        <v>16015</v>
      </c>
      <c r="F4570" s="28" t="s">
        <v>16018</v>
      </c>
      <c r="G4570" s="28" t="s">
        <v>9</v>
      </c>
      <c r="H4570" s="28" t="n">
        <v>100</v>
      </c>
    </row>
    <row r="4571" customFormat="false" ht="15" hidden="false" customHeight="false" outlineLevel="0" collapsed="false">
      <c r="A4571" s="28" t="s">
        <v>16019</v>
      </c>
      <c r="B4571" s="28" t="s">
        <v>562</v>
      </c>
      <c r="C4571" s="28" t="s">
        <v>57</v>
      </c>
      <c r="D4571" s="28" t="s">
        <v>57</v>
      </c>
      <c r="E4571" s="28" t="s">
        <v>16015</v>
      </c>
      <c r="F4571" s="28" t="s">
        <v>16020</v>
      </c>
      <c r="G4571" s="28" t="s">
        <v>9</v>
      </c>
      <c r="H4571" s="28" t="n">
        <v>100</v>
      </c>
    </row>
    <row r="4572" customFormat="false" ht="15" hidden="false" customHeight="false" outlineLevel="0" collapsed="false">
      <c r="A4572" s="28" t="s">
        <v>16021</v>
      </c>
      <c r="B4572" s="28" t="s">
        <v>562</v>
      </c>
      <c r="C4572" s="28" t="s">
        <v>57</v>
      </c>
      <c r="D4572" s="28" t="s">
        <v>57</v>
      </c>
      <c r="E4572" s="28" t="s">
        <v>16015</v>
      </c>
      <c r="F4572" s="28" t="s">
        <v>16022</v>
      </c>
      <c r="G4572" s="28" t="s">
        <v>9</v>
      </c>
      <c r="H4572" s="28" t="n">
        <v>100</v>
      </c>
    </row>
    <row r="4573" customFormat="false" ht="15" hidden="false" customHeight="false" outlineLevel="0" collapsed="false">
      <c r="A4573" s="28" t="s">
        <v>16023</v>
      </c>
      <c r="B4573" s="28" t="s">
        <v>562</v>
      </c>
      <c r="C4573" s="28" t="s">
        <v>57</v>
      </c>
      <c r="D4573" s="28" t="s">
        <v>57</v>
      </c>
      <c r="E4573" s="28" t="s">
        <v>16015</v>
      </c>
      <c r="F4573" s="28" t="s">
        <v>16024</v>
      </c>
      <c r="G4573" s="28" t="s">
        <v>9</v>
      </c>
      <c r="H4573" s="28" t="n">
        <v>100</v>
      </c>
    </row>
    <row r="4574" customFormat="false" ht="15" hidden="false" customHeight="false" outlineLevel="0" collapsed="false">
      <c r="A4574" s="28" t="s">
        <v>16025</v>
      </c>
      <c r="B4574" s="28" t="s">
        <v>562</v>
      </c>
      <c r="C4574" s="28" t="s">
        <v>57</v>
      </c>
      <c r="D4574" s="28" t="s">
        <v>57</v>
      </c>
      <c r="E4574" s="28" t="s">
        <v>16015</v>
      </c>
      <c r="F4574" s="28" t="s">
        <v>16026</v>
      </c>
      <c r="G4574" s="28" t="s">
        <v>9</v>
      </c>
      <c r="H4574" s="28" t="n">
        <v>100</v>
      </c>
    </row>
    <row r="4575" customFormat="false" ht="15" hidden="false" customHeight="false" outlineLevel="0" collapsed="false">
      <c r="A4575" s="28" t="s">
        <v>16027</v>
      </c>
      <c r="B4575" s="28" t="s">
        <v>562</v>
      </c>
      <c r="C4575" s="28" t="s">
        <v>57</v>
      </c>
      <c r="D4575" s="28" t="s">
        <v>57</v>
      </c>
      <c r="E4575" s="28" t="s">
        <v>16015</v>
      </c>
      <c r="F4575" s="28" t="s">
        <v>16028</v>
      </c>
      <c r="G4575" s="28" t="s">
        <v>9</v>
      </c>
      <c r="H4575" s="28" t="n">
        <v>100</v>
      </c>
    </row>
    <row r="4576" customFormat="false" ht="15" hidden="false" customHeight="false" outlineLevel="0" collapsed="false">
      <c r="A4576" s="28" t="s">
        <v>16029</v>
      </c>
      <c r="B4576" s="28" t="s">
        <v>562</v>
      </c>
      <c r="C4576" s="28" t="s">
        <v>57</v>
      </c>
      <c r="D4576" s="28" t="s">
        <v>57</v>
      </c>
      <c r="E4576" s="28" t="s">
        <v>16015</v>
      </c>
      <c r="F4576" s="28" t="s">
        <v>16030</v>
      </c>
      <c r="G4576" s="28" t="s">
        <v>9</v>
      </c>
      <c r="H4576" s="28" t="n">
        <v>100</v>
      </c>
    </row>
    <row r="4577" customFormat="false" ht="15" hidden="false" customHeight="false" outlineLevel="0" collapsed="false">
      <c r="A4577" s="28" t="s">
        <v>16031</v>
      </c>
      <c r="B4577" s="28" t="s">
        <v>562</v>
      </c>
      <c r="C4577" s="28" t="s">
        <v>57</v>
      </c>
      <c r="D4577" s="28" t="s">
        <v>57</v>
      </c>
      <c r="E4577" s="28" t="s">
        <v>16015</v>
      </c>
      <c r="F4577" s="28" t="s">
        <v>16032</v>
      </c>
      <c r="G4577" s="28" t="s">
        <v>9</v>
      </c>
      <c r="H4577" s="28" t="n">
        <v>100</v>
      </c>
    </row>
    <row r="4578" customFormat="false" ht="15" hidden="false" customHeight="false" outlineLevel="0" collapsed="false">
      <c r="A4578" s="28" t="s">
        <v>16033</v>
      </c>
      <c r="B4578" s="28" t="s">
        <v>562</v>
      </c>
      <c r="C4578" s="28" t="s">
        <v>57</v>
      </c>
      <c r="D4578" s="28" t="s">
        <v>57</v>
      </c>
      <c r="E4578" s="28" t="s">
        <v>16015</v>
      </c>
      <c r="F4578" s="28" t="s">
        <v>16034</v>
      </c>
      <c r="G4578" s="28" t="s">
        <v>9</v>
      </c>
      <c r="H4578" s="28" t="n">
        <v>100</v>
      </c>
    </row>
    <row r="4579" customFormat="false" ht="15" hidden="false" customHeight="false" outlineLevel="0" collapsed="false">
      <c r="A4579" s="28" t="s">
        <v>16035</v>
      </c>
      <c r="B4579" s="28" t="s">
        <v>562</v>
      </c>
      <c r="C4579" s="28" t="s">
        <v>57</v>
      </c>
      <c r="D4579" s="28" t="s">
        <v>57</v>
      </c>
      <c r="E4579" s="28" t="s">
        <v>16015</v>
      </c>
      <c r="F4579" s="28" t="s">
        <v>16036</v>
      </c>
      <c r="G4579" s="28" t="s">
        <v>9</v>
      </c>
      <c r="H4579" s="28" t="n">
        <v>100</v>
      </c>
    </row>
    <row r="4580" customFormat="false" ht="15" hidden="false" customHeight="false" outlineLevel="0" collapsed="false">
      <c r="A4580" s="28" t="s">
        <v>16037</v>
      </c>
      <c r="B4580" s="28" t="s">
        <v>562</v>
      </c>
      <c r="C4580" s="28" t="s">
        <v>57</v>
      </c>
      <c r="D4580" s="28" t="s">
        <v>57</v>
      </c>
      <c r="E4580" s="28" t="s">
        <v>16015</v>
      </c>
      <c r="F4580" s="28" t="s">
        <v>16038</v>
      </c>
      <c r="G4580" s="28" t="s">
        <v>9</v>
      </c>
      <c r="H4580" s="28" t="n">
        <v>100</v>
      </c>
    </row>
    <row r="4581" customFormat="false" ht="15" hidden="false" customHeight="false" outlineLevel="0" collapsed="false">
      <c r="A4581" s="28" t="s">
        <v>16039</v>
      </c>
      <c r="B4581" s="28" t="s">
        <v>562</v>
      </c>
      <c r="C4581" s="28" t="s">
        <v>57</v>
      </c>
      <c r="D4581" s="28" t="s">
        <v>57</v>
      </c>
      <c r="E4581" s="28" t="s">
        <v>16015</v>
      </c>
      <c r="F4581" s="28" t="s">
        <v>16040</v>
      </c>
      <c r="G4581" s="28" t="s">
        <v>9</v>
      </c>
      <c r="H4581" s="28" t="n">
        <v>100</v>
      </c>
    </row>
    <row r="4582" customFormat="false" ht="15" hidden="false" customHeight="false" outlineLevel="0" collapsed="false">
      <c r="A4582" s="28" t="s">
        <v>16041</v>
      </c>
      <c r="B4582" s="28" t="s">
        <v>562</v>
      </c>
      <c r="C4582" s="28" t="s">
        <v>57</v>
      </c>
      <c r="D4582" s="28" t="s">
        <v>57</v>
      </c>
      <c r="E4582" s="28" t="s">
        <v>16015</v>
      </c>
      <c r="F4582" s="28" t="s">
        <v>16042</v>
      </c>
      <c r="G4582" s="28" t="s">
        <v>9</v>
      </c>
      <c r="H4582" s="28" t="n">
        <v>100</v>
      </c>
    </row>
    <row r="4583" customFormat="false" ht="15" hidden="false" customHeight="false" outlineLevel="0" collapsed="false">
      <c r="A4583" s="28" t="s">
        <v>16043</v>
      </c>
      <c r="B4583" s="28" t="s">
        <v>562</v>
      </c>
      <c r="C4583" s="28" t="s">
        <v>57</v>
      </c>
      <c r="D4583" s="28" t="s">
        <v>57</v>
      </c>
      <c r="E4583" s="28" t="s">
        <v>16015</v>
      </c>
      <c r="F4583" s="28" t="s">
        <v>16044</v>
      </c>
      <c r="G4583" s="28" t="s">
        <v>9</v>
      </c>
      <c r="H4583" s="28" t="n">
        <v>100</v>
      </c>
    </row>
    <row r="4584" customFormat="false" ht="15" hidden="false" customHeight="false" outlineLevel="0" collapsed="false">
      <c r="A4584" s="28" t="s">
        <v>16045</v>
      </c>
      <c r="B4584" s="28" t="s">
        <v>562</v>
      </c>
      <c r="C4584" s="28" t="s">
        <v>57</v>
      </c>
      <c r="D4584" s="28" t="s">
        <v>57</v>
      </c>
      <c r="E4584" s="28" t="s">
        <v>16015</v>
      </c>
      <c r="F4584" s="28" t="s">
        <v>16046</v>
      </c>
      <c r="G4584" s="28" t="s">
        <v>9</v>
      </c>
      <c r="H4584" s="28" t="n">
        <v>100</v>
      </c>
    </row>
    <row r="4585" customFormat="false" ht="15" hidden="false" customHeight="false" outlineLevel="0" collapsed="false">
      <c r="A4585" s="28" t="s">
        <v>16047</v>
      </c>
      <c r="B4585" s="28" t="s">
        <v>562</v>
      </c>
      <c r="C4585" s="28" t="s">
        <v>57</v>
      </c>
      <c r="D4585" s="28" t="s">
        <v>57</v>
      </c>
      <c r="E4585" s="28" t="s">
        <v>16015</v>
      </c>
      <c r="F4585" s="28" t="s">
        <v>16048</v>
      </c>
      <c r="G4585" s="28" t="s">
        <v>9</v>
      </c>
      <c r="H4585" s="28" t="n">
        <v>100</v>
      </c>
    </row>
    <row r="4586" customFormat="false" ht="23.85" hidden="false" customHeight="false" outlineLevel="0" collapsed="false">
      <c r="A4586" s="28" t="s">
        <v>16049</v>
      </c>
      <c r="B4586" s="28" t="s">
        <v>562</v>
      </c>
      <c r="C4586" s="28" t="s">
        <v>57</v>
      </c>
      <c r="D4586" s="28" t="s">
        <v>57</v>
      </c>
      <c r="E4586" s="28" t="s">
        <v>16015</v>
      </c>
      <c r="F4586" s="28" t="s">
        <v>16050</v>
      </c>
      <c r="G4586" s="28" t="s">
        <v>9</v>
      </c>
      <c r="H4586" s="28" t="n">
        <v>100</v>
      </c>
    </row>
    <row r="4587" customFormat="false" ht="15" hidden="false" customHeight="false" outlineLevel="0" collapsed="false">
      <c r="A4587" s="28" t="s">
        <v>16051</v>
      </c>
      <c r="B4587" s="28" t="s">
        <v>562</v>
      </c>
      <c r="C4587" s="28" t="s">
        <v>57</v>
      </c>
      <c r="D4587" s="28" t="s">
        <v>57</v>
      </c>
      <c r="E4587" s="28" t="s">
        <v>16015</v>
      </c>
      <c r="F4587" s="28" t="s">
        <v>16052</v>
      </c>
      <c r="G4587" s="28" t="s">
        <v>9</v>
      </c>
      <c r="H4587" s="28" t="n">
        <v>100</v>
      </c>
    </row>
    <row r="4588" customFormat="false" ht="15" hidden="false" customHeight="false" outlineLevel="0" collapsed="false">
      <c r="A4588" s="28" t="s">
        <v>16053</v>
      </c>
      <c r="B4588" s="28" t="s">
        <v>562</v>
      </c>
      <c r="C4588" s="28" t="s">
        <v>57</v>
      </c>
      <c r="D4588" s="28" t="s">
        <v>57</v>
      </c>
      <c r="E4588" s="28" t="s">
        <v>16054</v>
      </c>
      <c r="F4588" s="28" t="s">
        <v>16055</v>
      </c>
      <c r="G4588" s="28" t="s">
        <v>9</v>
      </c>
      <c r="H4588" s="28" t="n">
        <v>100</v>
      </c>
    </row>
    <row r="4589" customFormat="false" ht="15" hidden="false" customHeight="false" outlineLevel="0" collapsed="false">
      <c r="A4589" s="28" t="s">
        <v>16056</v>
      </c>
      <c r="B4589" s="28" t="s">
        <v>562</v>
      </c>
      <c r="C4589" s="28" t="s">
        <v>57</v>
      </c>
      <c r="D4589" s="28" t="s">
        <v>57</v>
      </c>
      <c r="E4589" s="28" t="s">
        <v>16057</v>
      </c>
      <c r="F4589" s="28" t="s">
        <v>16058</v>
      </c>
      <c r="G4589" s="28" t="s">
        <v>9</v>
      </c>
      <c r="H4589" s="28" t="n">
        <v>100</v>
      </c>
    </row>
    <row r="4590" customFormat="false" ht="23.85" hidden="false" customHeight="false" outlineLevel="0" collapsed="false">
      <c r="A4590" s="28" t="s">
        <v>16059</v>
      </c>
      <c r="B4590" s="28" t="s">
        <v>562</v>
      </c>
      <c r="C4590" s="28" t="s">
        <v>57</v>
      </c>
      <c r="D4590" s="28" t="s">
        <v>57</v>
      </c>
      <c r="E4590" s="28" t="s">
        <v>16060</v>
      </c>
      <c r="F4590" s="28" t="s">
        <v>16061</v>
      </c>
      <c r="G4590" s="28" t="s">
        <v>9</v>
      </c>
      <c r="H4590" s="28" t="n">
        <v>100</v>
      </c>
    </row>
    <row r="4591" customFormat="false" ht="15" hidden="false" customHeight="false" outlineLevel="0" collapsed="false">
      <c r="A4591" s="28" t="s">
        <v>16062</v>
      </c>
      <c r="B4591" s="28" t="s">
        <v>562</v>
      </c>
      <c r="C4591" s="28" t="s">
        <v>57</v>
      </c>
      <c r="D4591" s="28" t="s">
        <v>57</v>
      </c>
      <c r="E4591" s="28" t="s">
        <v>16063</v>
      </c>
      <c r="F4591" s="28" t="s">
        <v>16064</v>
      </c>
      <c r="G4591" s="28" t="s">
        <v>9</v>
      </c>
      <c r="H4591" s="28" t="n">
        <v>100</v>
      </c>
    </row>
    <row r="4592" customFormat="false" ht="23.85" hidden="false" customHeight="false" outlineLevel="0" collapsed="false">
      <c r="A4592" s="28" t="s">
        <v>16065</v>
      </c>
      <c r="B4592" s="28" t="s">
        <v>562</v>
      </c>
      <c r="C4592" s="28" t="s">
        <v>57</v>
      </c>
      <c r="D4592" s="28" t="s">
        <v>57</v>
      </c>
      <c r="E4592" s="28" t="s">
        <v>16066</v>
      </c>
      <c r="F4592" s="28" t="s">
        <v>16067</v>
      </c>
      <c r="G4592" s="28" t="s">
        <v>9</v>
      </c>
      <c r="H4592" s="28" t="n">
        <v>100</v>
      </c>
    </row>
    <row r="4593" customFormat="false" ht="23.85" hidden="false" customHeight="false" outlineLevel="0" collapsed="false">
      <c r="A4593" s="28" t="s">
        <v>16068</v>
      </c>
      <c r="B4593" s="28" t="s">
        <v>562</v>
      </c>
      <c r="C4593" s="28" t="s">
        <v>57</v>
      </c>
      <c r="D4593" s="28" t="s">
        <v>57</v>
      </c>
      <c r="E4593" s="28" t="s">
        <v>16069</v>
      </c>
      <c r="F4593" s="28" t="s">
        <v>16070</v>
      </c>
      <c r="G4593" s="28" t="s">
        <v>9</v>
      </c>
      <c r="H4593" s="28" t="n">
        <v>100</v>
      </c>
    </row>
    <row r="4594" customFormat="false" ht="15" hidden="false" customHeight="false" outlineLevel="0" collapsed="false">
      <c r="A4594" s="28" t="s">
        <v>16071</v>
      </c>
      <c r="B4594" s="28" t="s">
        <v>562</v>
      </c>
      <c r="C4594" s="28" t="s">
        <v>57</v>
      </c>
      <c r="D4594" s="28" t="s">
        <v>57</v>
      </c>
      <c r="E4594" s="28" t="s">
        <v>16072</v>
      </c>
      <c r="F4594" s="28" t="s">
        <v>16073</v>
      </c>
      <c r="G4594" s="28" t="s">
        <v>9</v>
      </c>
      <c r="H4594" s="28" t="n">
        <v>100</v>
      </c>
    </row>
    <row r="4595" customFormat="false" ht="15" hidden="false" customHeight="false" outlineLevel="0" collapsed="false">
      <c r="A4595" s="28" t="s">
        <v>16074</v>
      </c>
      <c r="B4595" s="28" t="s">
        <v>562</v>
      </c>
      <c r="C4595" s="28" t="s">
        <v>57</v>
      </c>
      <c r="D4595" s="28" t="s">
        <v>57</v>
      </c>
      <c r="E4595" s="28" t="s">
        <v>16075</v>
      </c>
      <c r="F4595" s="28" t="s">
        <v>16076</v>
      </c>
      <c r="G4595" s="28" t="s">
        <v>9</v>
      </c>
      <c r="H4595" s="28" t="n">
        <v>100</v>
      </c>
    </row>
    <row r="4596" customFormat="false" ht="23.85" hidden="false" customHeight="false" outlineLevel="0" collapsed="false">
      <c r="A4596" s="28" t="s">
        <v>16077</v>
      </c>
      <c r="B4596" s="28" t="s">
        <v>562</v>
      </c>
      <c r="C4596" s="28" t="s">
        <v>57</v>
      </c>
      <c r="D4596" s="28" t="s">
        <v>57</v>
      </c>
      <c r="E4596" s="28" t="s">
        <v>16078</v>
      </c>
      <c r="F4596" s="28" t="s">
        <v>16079</v>
      </c>
      <c r="G4596" s="28" t="s">
        <v>9</v>
      </c>
      <c r="H4596" s="28" t="n">
        <v>100</v>
      </c>
    </row>
    <row r="4597" customFormat="false" ht="15" hidden="false" customHeight="false" outlineLevel="0" collapsed="false">
      <c r="A4597" s="28" t="s">
        <v>16080</v>
      </c>
      <c r="B4597" s="28" t="s">
        <v>9395</v>
      </c>
      <c r="C4597" s="28" t="s">
        <v>57</v>
      </c>
      <c r="D4597" s="28" t="s">
        <v>57</v>
      </c>
      <c r="E4597" s="28" t="s">
        <v>16081</v>
      </c>
      <c r="F4597" s="28" t="s">
        <v>16082</v>
      </c>
      <c r="G4597" s="28" t="s">
        <v>9</v>
      </c>
      <c r="H4597" s="28" t="n">
        <v>100</v>
      </c>
    </row>
    <row r="4598" customFormat="false" ht="15" hidden="false" customHeight="false" outlineLevel="0" collapsed="false">
      <c r="A4598" s="28" t="s">
        <v>16083</v>
      </c>
      <c r="B4598" s="28" t="s">
        <v>9395</v>
      </c>
      <c r="C4598" s="28" t="s">
        <v>57</v>
      </c>
      <c r="D4598" s="28" t="s">
        <v>57</v>
      </c>
      <c r="E4598" s="28" t="s">
        <v>16081</v>
      </c>
      <c r="F4598" s="28" t="s">
        <v>16084</v>
      </c>
      <c r="G4598" s="28" t="s">
        <v>9</v>
      </c>
      <c r="H4598" s="28" t="n">
        <v>100</v>
      </c>
    </row>
    <row r="4599" customFormat="false" ht="15" hidden="false" customHeight="false" outlineLevel="0" collapsed="false">
      <c r="A4599" s="28" t="s">
        <v>16085</v>
      </c>
      <c r="B4599" s="28" t="s">
        <v>9395</v>
      </c>
      <c r="C4599" s="28" t="s">
        <v>57</v>
      </c>
      <c r="D4599" s="28" t="s">
        <v>57</v>
      </c>
      <c r="E4599" s="28" t="s">
        <v>16086</v>
      </c>
      <c r="F4599" s="28" t="s">
        <v>16087</v>
      </c>
      <c r="G4599" s="28" t="s">
        <v>9</v>
      </c>
      <c r="H4599" s="28" t="n">
        <v>100</v>
      </c>
    </row>
    <row r="4600" customFormat="false" ht="15" hidden="false" customHeight="false" outlineLevel="0" collapsed="false">
      <c r="A4600" s="28" t="s">
        <v>16088</v>
      </c>
      <c r="B4600" s="28" t="s">
        <v>9395</v>
      </c>
      <c r="C4600" s="28" t="s">
        <v>57</v>
      </c>
      <c r="D4600" s="28" t="s">
        <v>57</v>
      </c>
      <c r="E4600" s="28" t="s">
        <v>15130</v>
      </c>
      <c r="F4600" s="28" t="s">
        <v>16089</v>
      </c>
      <c r="G4600" s="28" t="s">
        <v>9</v>
      </c>
      <c r="H4600" s="28" t="n">
        <v>100</v>
      </c>
    </row>
    <row r="4601" customFormat="false" ht="15" hidden="false" customHeight="false" outlineLevel="0" collapsed="false">
      <c r="A4601" s="28" t="s">
        <v>16090</v>
      </c>
      <c r="B4601" s="28" t="s">
        <v>9412</v>
      </c>
      <c r="C4601" s="28" t="s">
        <v>57</v>
      </c>
      <c r="D4601" s="28" t="s">
        <v>57</v>
      </c>
      <c r="E4601" s="28" t="s">
        <v>14938</v>
      </c>
      <c r="F4601" s="28" t="s">
        <v>16091</v>
      </c>
      <c r="G4601" s="28" t="s">
        <v>9</v>
      </c>
      <c r="H4601" s="28" t="n">
        <v>100</v>
      </c>
    </row>
    <row r="4602" customFormat="false" ht="15" hidden="false" customHeight="false" outlineLevel="0" collapsed="false">
      <c r="A4602" s="28" t="s">
        <v>16092</v>
      </c>
      <c r="B4602" s="28" t="s">
        <v>9412</v>
      </c>
      <c r="C4602" s="28" t="s">
        <v>57</v>
      </c>
      <c r="D4602" s="28" t="s">
        <v>57</v>
      </c>
      <c r="E4602" s="28" t="s">
        <v>16093</v>
      </c>
      <c r="F4602" s="28" t="s">
        <v>16094</v>
      </c>
      <c r="G4602" s="28" t="s">
        <v>9</v>
      </c>
      <c r="H4602" s="28" t="n">
        <v>100</v>
      </c>
    </row>
    <row r="4603" customFormat="false" ht="15" hidden="false" customHeight="false" outlineLevel="0" collapsed="false">
      <c r="A4603" s="28" t="s">
        <v>16095</v>
      </c>
      <c r="B4603" s="28" t="s">
        <v>9412</v>
      </c>
      <c r="C4603" s="28" t="s">
        <v>57</v>
      </c>
      <c r="D4603" s="28" t="s">
        <v>57</v>
      </c>
      <c r="E4603" s="28" t="s">
        <v>16096</v>
      </c>
      <c r="F4603" s="28" t="s">
        <v>16097</v>
      </c>
      <c r="G4603" s="28" t="s">
        <v>9</v>
      </c>
      <c r="H4603" s="28" t="n">
        <v>100</v>
      </c>
    </row>
    <row r="4604" customFormat="false" ht="15" hidden="false" customHeight="false" outlineLevel="0" collapsed="false">
      <c r="A4604" s="28" t="s">
        <v>16098</v>
      </c>
      <c r="B4604" s="28" t="s">
        <v>9431</v>
      </c>
      <c r="C4604" s="28" t="s">
        <v>57</v>
      </c>
      <c r="D4604" s="28" t="s">
        <v>57</v>
      </c>
      <c r="E4604" s="28" t="s">
        <v>16099</v>
      </c>
      <c r="F4604" s="28" t="s">
        <v>16100</v>
      </c>
      <c r="G4604" s="28" t="s">
        <v>9</v>
      </c>
      <c r="H4604" s="28" t="n">
        <v>100</v>
      </c>
    </row>
    <row r="4605" customFormat="false" ht="15" hidden="false" customHeight="false" outlineLevel="0" collapsed="false">
      <c r="A4605" s="28" t="s">
        <v>16101</v>
      </c>
      <c r="B4605" s="28" t="s">
        <v>9431</v>
      </c>
      <c r="C4605" s="28" t="s">
        <v>57</v>
      </c>
      <c r="D4605" s="28" t="s">
        <v>57</v>
      </c>
      <c r="E4605" s="28" t="s">
        <v>16102</v>
      </c>
      <c r="F4605" s="28" t="s">
        <v>16103</v>
      </c>
      <c r="G4605" s="28" t="s">
        <v>9</v>
      </c>
      <c r="H4605" s="28" t="n">
        <v>100</v>
      </c>
    </row>
    <row r="4606" customFormat="false" ht="15" hidden="false" customHeight="false" outlineLevel="0" collapsed="false">
      <c r="A4606" s="28" t="s">
        <v>16104</v>
      </c>
      <c r="B4606" s="28" t="s">
        <v>9431</v>
      </c>
      <c r="C4606" s="28" t="s">
        <v>57</v>
      </c>
      <c r="D4606" s="28" t="s">
        <v>57</v>
      </c>
      <c r="E4606" s="28" t="s">
        <v>16105</v>
      </c>
      <c r="F4606" s="28" t="s">
        <v>16106</v>
      </c>
      <c r="G4606" s="28" t="s">
        <v>9</v>
      </c>
      <c r="H4606" s="28" t="n">
        <v>100</v>
      </c>
    </row>
    <row r="4607" customFormat="false" ht="15" hidden="false" customHeight="false" outlineLevel="0" collapsed="false">
      <c r="A4607" s="1" t="s">
        <v>16107</v>
      </c>
      <c r="B4607" s="1" t="s">
        <v>9447</v>
      </c>
      <c r="C4607" s="1" t="s">
        <v>57</v>
      </c>
      <c r="D4607" s="1" t="s">
        <v>54</v>
      </c>
      <c r="E4607" s="1" t="s">
        <v>16108</v>
      </c>
      <c r="F4607" s="1" t="s">
        <v>16109</v>
      </c>
      <c r="G4607" s="1" t="s">
        <v>9</v>
      </c>
      <c r="H4607" s="1" t="n">
        <v>110</v>
      </c>
    </row>
    <row r="4608" customFormat="false" ht="15" hidden="false" customHeight="false" outlineLevel="0" collapsed="false">
      <c r="A4608" s="1" t="s">
        <v>16110</v>
      </c>
      <c r="B4608" s="1" t="s">
        <v>9447</v>
      </c>
      <c r="C4608" s="1" t="s">
        <v>57</v>
      </c>
      <c r="D4608" s="1" t="s">
        <v>54</v>
      </c>
      <c r="E4608" s="1" t="s">
        <v>16111</v>
      </c>
      <c r="F4608" s="1" t="s">
        <v>16112</v>
      </c>
      <c r="G4608" s="1" t="s">
        <v>9</v>
      </c>
      <c r="H4608" s="1" t="n">
        <v>110</v>
      </c>
    </row>
    <row r="4609" customFormat="false" ht="15" hidden="false" customHeight="false" outlineLevel="0" collapsed="false">
      <c r="A4609" s="1" t="s">
        <v>16113</v>
      </c>
      <c r="B4609" s="1" t="s">
        <v>9447</v>
      </c>
      <c r="C4609" s="1" t="s">
        <v>57</v>
      </c>
      <c r="D4609" s="1" t="s">
        <v>54</v>
      </c>
      <c r="E4609" s="1" t="s">
        <v>16114</v>
      </c>
      <c r="F4609" s="1" t="s">
        <v>16115</v>
      </c>
      <c r="G4609" s="1" t="s">
        <v>9</v>
      </c>
      <c r="H4609" s="1" t="n">
        <v>110</v>
      </c>
    </row>
    <row r="4610" customFormat="false" ht="15" hidden="false" customHeight="false" outlineLevel="0" collapsed="false">
      <c r="A4610" s="1" t="s">
        <v>16116</v>
      </c>
      <c r="B4610" s="1" t="s">
        <v>9447</v>
      </c>
      <c r="C4610" s="1" t="s">
        <v>57</v>
      </c>
      <c r="D4610" s="1" t="s">
        <v>54</v>
      </c>
      <c r="E4610" s="1" t="s">
        <v>16117</v>
      </c>
      <c r="F4610" s="1" t="s">
        <v>16118</v>
      </c>
      <c r="G4610" s="1" t="s">
        <v>9</v>
      </c>
      <c r="H4610" s="1" t="n">
        <v>110</v>
      </c>
    </row>
    <row r="4611" customFormat="false" ht="15" hidden="false" customHeight="false" outlineLevel="0" collapsed="false">
      <c r="A4611" s="1" t="s">
        <v>16119</v>
      </c>
      <c r="B4611" s="1" t="s">
        <v>9447</v>
      </c>
      <c r="C4611" s="1" t="s">
        <v>57</v>
      </c>
      <c r="D4611" s="1" t="s">
        <v>54</v>
      </c>
      <c r="E4611" s="1" t="s">
        <v>16120</v>
      </c>
      <c r="F4611" s="1" t="s">
        <v>16121</v>
      </c>
      <c r="G4611" s="1" t="s">
        <v>9</v>
      </c>
      <c r="H4611" s="1" t="n">
        <v>110</v>
      </c>
    </row>
    <row r="4612" customFormat="false" ht="15" hidden="false" customHeight="false" outlineLevel="0" collapsed="false">
      <c r="A4612" s="1" t="s">
        <v>16122</v>
      </c>
      <c r="B4612" s="1" t="s">
        <v>9447</v>
      </c>
      <c r="C4612" s="1" t="s">
        <v>57</v>
      </c>
      <c r="D4612" s="1" t="s">
        <v>54</v>
      </c>
      <c r="E4612" s="1" t="s">
        <v>16123</v>
      </c>
      <c r="F4612" s="1" t="s">
        <v>16124</v>
      </c>
      <c r="G4612" s="1" t="s">
        <v>9</v>
      </c>
      <c r="H4612" s="1" t="n">
        <v>110</v>
      </c>
    </row>
    <row r="4613" customFormat="false" ht="15" hidden="false" customHeight="false" outlineLevel="0" collapsed="false">
      <c r="A4613" s="1" t="s">
        <v>16125</v>
      </c>
      <c r="B4613" s="1" t="s">
        <v>9447</v>
      </c>
      <c r="C4613" s="1" t="s">
        <v>57</v>
      </c>
      <c r="D4613" s="1" t="s">
        <v>54</v>
      </c>
      <c r="E4613" s="1" t="s">
        <v>16126</v>
      </c>
      <c r="F4613" s="1" t="s">
        <v>16127</v>
      </c>
      <c r="G4613" s="1" t="s">
        <v>9</v>
      </c>
      <c r="H4613" s="1" t="n">
        <v>110</v>
      </c>
    </row>
    <row r="4614" customFormat="false" ht="15" hidden="false" customHeight="false" outlineLevel="0" collapsed="false">
      <c r="A4614" s="1" t="s">
        <v>16128</v>
      </c>
      <c r="B4614" s="1" t="s">
        <v>9447</v>
      </c>
      <c r="C4614" s="1" t="s">
        <v>57</v>
      </c>
      <c r="D4614" s="1" t="s">
        <v>54</v>
      </c>
      <c r="E4614" s="1" t="s">
        <v>16129</v>
      </c>
      <c r="F4614" s="1" t="s">
        <v>16130</v>
      </c>
      <c r="G4614" s="1" t="s">
        <v>9</v>
      </c>
      <c r="H4614" s="1" t="n">
        <v>110</v>
      </c>
    </row>
    <row r="4615" customFormat="false" ht="15" hidden="false" customHeight="false" outlineLevel="0" collapsed="false">
      <c r="A4615" s="1" t="s">
        <v>16131</v>
      </c>
      <c r="B4615" s="1" t="s">
        <v>9447</v>
      </c>
      <c r="C4615" s="1" t="s">
        <v>57</v>
      </c>
      <c r="D4615" s="1" t="s">
        <v>54</v>
      </c>
      <c r="E4615" s="1" t="s">
        <v>16132</v>
      </c>
      <c r="F4615" s="1" t="s">
        <v>16133</v>
      </c>
      <c r="G4615" s="1" t="s">
        <v>9</v>
      </c>
      <c r="H4615" s="1" t="n">
        <v>110</v>
      </c>
    </row>
    <row r="4616" customFormat="false" ht="15" hidden="false" customHeight="false" outlineLevel="0" collapsed="false">
      <c r="A4616" s="1" t="s">
        <v>16134</v>
      </c>
      <c r="B4616" s="1" t="s">
        <v>8519</v>
      </c>
      <c r="C4616" s="1" t="s">
        <v>1714</v>
      </c>
      <c r="D4616" s="1" t="s">
        <v>54</v>
      </c>
      <c r="E4616" s="1" t="s">
        <v>16135</v>
      </c>
      <c r="F4616" s="1" t="s">
        <v>16136</v>
      </c>
      <c r="G4616" s="1" t="s">
        <v>9</v>
      </c>
      <c r="H4616" s="1" t="n">
        <v>110</v>
      </c>
    </row>
    <row r="4617" customFormat="false" ht="15" hidden="false" customHeight="false" outlineLevel="0" collapsed="false">
      <c r="A4617" s="1" t="s">
        <v>16137</v>
      </c>
      <c r="B4617" s="1" t="s">
        <v>8519</v>
      </c>
      <c r="C4617" s="1" t="s">
        <v>1714</v>
      </c>
      <c r="D4617" s="1" t="s">
        <v>54</v>
      </c>
      <c r="E4617" s="1" t="s">
        <v>16138</v>
      </c>
      <c r="F4617" s="1" t="s">
        <v>16139</v>
      </c>
      <c r="G4617" s="1" t="s">
        <v>9</v>
      </c>
      <c r="H4617" s="1" t="n">
        <v>110</v>
      </c>
    </row>
    <row r="4618" customFormat="false" ht="15" hidden="false" customHeight="false" outlineLevel="0" collapsed="false">
      <c r="A4618" s="1" t="s">
        <v>16140</v>
      </c>
      <c r="B4618" s="1" t="s">
        <v>8519</v>
      </c>
      <c r="C4618" s="1" t="s">
        <v>1714</v>
      </c>
      <c r="D4618" s="1" t="s">
        <v>54</v>
      </c>
      <c r="E4618" s="1" t="s">
        <v>16141</v>
      </c>
      <c r="F4618" s="1" t="s">
        <v>16142</v>
      </c>
      <c r="G4618" s="1" t="s">
        <v>9</v>
      </c>
      <c r="H4618" s="1" t="n">
        <v>110</v>
      </c>
    </row>
    <row r="4619" customFormat="false" ht="15" hidden="false" customHeight="false" outlineLevel="0" collapsed="false">
      <c r="A4619" s="1" t="s">
        <v>16143</v>
      </c>
      <c r="B4619" s="1" t="s">
        <v>8519</v>
      </c>
      <c r="C4619" s="1" t="s">
        <v>1714</v>
      </c>
      <c r="D4619" s="1" t="s">
        <v>54</v>
      </c>
      <c r="E4619" s="1" t="s">
        <v>16144</v>
      </c>
      <c r="F4619" s="1" t="s">
        <v>16145</v>
      </c>
      <c r="G4619" s="1" t="s">
        <v>9</v>
      </c>
      <c r="H4619" s="1" t="n">
        <v>110</v>
      </c>
    </row>
    <row r="4620" customFormat="false" ht="15" hidden="false" customHeight="false" outlineLevel="0" collapsed="false">
      <c r="A4620" s="1" t="s">
        <v>16146</v>
      </c>
      <c r="B4620" s="1" t="s">
        <v>8519</v>
      </c>
      <c r="C4620" s="1" t="s">
        <v>1714</v>
      </c>
      <c r="D4620" s="1" t="s">
        <v>54</v>
      </c>
      <c r="E4620" s="1" t="s">
        <v>16147</v>
      </c>
      <c r="F4620" s="1" t="s">
        <v>16148</v>
      </c>
      <c r="G4620" s="1" t="s">
        <v>9</v>
      </c>
      <c r="H4620" s="1" t="n">
        <v>110</v>
      </c>
    </row>
    <row r="4621" customFormat="false" ht="15" hidden="false" customHeight="false" outlineLevel="0" collapsed="false">
      <c r="A4621" s="1" t="s">
        <v>16149</v>
      </c>
      <c r="B4621" s="1" t="s">
        <v>8519</v>
      </c>
      <c r="C4621" s="1" t="s">
        <v>1714</v>
      </c>
      <c r="D4621" s="1" t="s">
        <v>54</v>
      </c>
      <c r="E4621" s="1" t="s">
        <v>16150</v>
      </c>
      <c r="F4621" s="1" t="s">
        <v>16151</v>
      </c>
      <c r="G4621" s="1" t="s">
        <v>9</v>
      </c>
      <c r="H4621" s="1" t="n">
        <v>110</v>
      </c>
    </row>
    <row r="4622" customFormat="false" ht="15" hidden="false" customHeight="false" outlineLevel="0" collapsed="false">
      <c r="A4622" s="1" t="s">
        <v>16152</v>
      </c>
      <c r="B4622" s="1" t="s">
        <v>9156</v>
      </c>
      <c r="C4622" s="1" t="s">
        <v>5159</v>
      </c>
      <c r="D4622" s="1" t="s">
        <v>53</v>
      </c>
      <c r="E4622" s="1" t="s">
        <v>16153</v>
      </c>
      <c r="F4622" s="1" t="s">
        <v>16154</v>
      </c>
      <c r="G4622" s="1" t="s">
        <v>9</v>
      </c>
      <c r="H4622" s="1" t="n">
        <v>110</v>
      </c>
    </row>
  </sheetData>
  <conditionalFormatting sqref="G2:G4100">
    <cfRule type="containsText" priority="2" operator="containsText" aboveAverage="0" equalAverage="0" bottom="0" percent="0" rank="0" text="Активно" dxfId="24">
      <formula>NOT(ISERROR(SEARCH("Активно",G2)))</formula>
    </cfRule>
    <cfRule type="containsText" priority="3" operator="containsText" aboveAverage="0" equalAverage="0" bottom="0" percent="0" rank="0" text="Не автоматизируется" dxfId="25">
      <formula>NOT(ISERROR(SEARCH("Не автоматизируется",G2)))</formula>
    </cfRule>
  </conditionalFormatting>
  <conditionalFormatting sqref="G4101:G4433">
    <cfRule type="containsText" priority="4" operator="containsText" aboveAverage="0" equalAverage="0" bottom="0" percent="0" rank="0" text="Активно" dxfId="26">
      <formula>NOT(ISERROR(SEARCH("Активно",G4101)))</formula>
    </cfRule>
    <cfRule type="containsText" priority="5" operator="containsText" aboveAverage="0" equalAverage="0" bottom="0" percent="0" rank="0" text="Не автоматизируется" dxfId="27">
      <formula>NOT(ISERROR(SEARCH("Не автоматизируется",G4101)))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1"/>
    <col collapsed="false" customWidth="true" hidden="false" outlineLevel="0" max="3" min="3" style="1" width="18"/>
    <col collapsed="false" customWidth="true" hidden="false" outlineLevel="0" max="4" min="4" style="1" width="30"/>
    <col collapsed="false" customWidth="true" hidden="false" outlineLevel="0" max="5" min="5" style="1" width="68"/>
  </cols>
  <sheetData>
    <row r="1" customFormat="false" ht="15" hidden="false" customHeight="true" outlineLevel="0" collapsed="false">
      <c r="A1" s="34" t="s">
        <v>16155</v>
      </c>
      <c r="B1" s="35" t="s">
        <v>16156</v>
      </c>
      <c r="C1" s="35" t="s">
        <v>16157</v>
      </c>
      <c r="D1" s="35" t="s">
        <v>16158</v>
      </c>
      <c r="E1" s="36" t="s">
        <v>16159</v>
      </c>
    </row>
    <row r="2" customFormat="false" ht="15" hidden="false" customHeight="true" outlineLevel="0" collapsed="false">
      <c r="A2" s="31" t="s">
        <v>2656</v>
      </c>
      <c r="B2" s="31" t="s">
        <v>16160</v>
      </c>
      <c r="C2" s="31" t="s">
        <v>2644</v>
      </c>
      <c r="D2" s="31" t="s">
        <v>59</v>
      </c>
      <c r="E2" s="31"/>
    </row>
    <row r="3" customFormat="false" ht="15" hidden="false" customHeight="true" outlineLevel="0" collapsed="false">
      <c r="A3" s="33" t="s">
        <v>2656</v>
      </c>
      <c r="B3" s="33" t="s">
        <v>16160</v>
      </c>
      <c r="C3" s="33" t="s">
        <v>2689</v>
      </c>
      <c r="D3" s="33" t="s">
        <v>59</v>
      </c>
      <c r="E3" s="33"/>
    </row>
    <row r="4" customFormat="false" ht="15" hidden="false" customHeight="true" outlineLevel="0" collapsed="false">
      <c r="A4" s="33" t="s">
        <v>2656</v>
      </c>
      <c r="B4" s="33" t="s">
        <v>16160</v>
      </c>
      <c r="C4" s="33" t="s">
        <v>2846</v>
      </c>
      <c r="D4" s="33" t="s">
        <v>59</v>
      </c>
      <c r="E4" s="33"/>
    </row>
    <row r="5" customFormat="false" ht="15" hidden="false" customHeight="true" outlineLevel="0" collapsed="false">
      <c r="A5" s="33" t="s">
        <v>2656</v>
      </c>
      <c r="B5" s="33" t="s">
        <v>16160</v>
      </c>
      <c r="C5" s="33" t="s">
        <v>2851</v>
      </c>
      <c r="D5" s="33" t="s">
        <v>59</v>
      </c>
      <c r="E5" s="33"/>
    </row>
    <row r="6" customFormat="false" ht="15" hidden="false" customHeight="true" outlineLevel="0" collapsed="false">
      <c r="A6" s="33" t="s">
        <v>4901</v>
      </c>
      <c r="B6" s="33" t="s">
        <v>16160</v>
      </c>
      <c r="C6" s="33" t="s">
        <v>409</v>
      </c>
      <c r="D6" s="33" t="s">
        <v>59</v>
      </c>
      <c r="E6" s="33"/>
    </row>
    <row r="7" customFormat="false" ht="15" hidden="false" customHeight="true" outlineLevel="0" collapsed="false">
      <c r="A7" s="33" t="s">
        <v>4901</v>
      </c>
      <c r="B7" s="33" t="s">
        <v>16160</v>
      </c>
      <c r="C7" s="33" t="s">
        <v>4430</v>
      </c>
      <c r="D7" s="33" t="s">
        <v>59</v>
      </c>
      <c r="E7" s="33"/>
    </row>
    <row r="8" customFormat="false" ht="15" hidden="false" customHeight="true" outlineLevel="0" collapsed="false">
      <c r="A8" s="33" t="s">
        <v>5006</v>
      </c>
      <c r="B8" s="33" t="s">
        <v>16160</v>
      </c>
      <c r="C8" s="33" t="s">
        <v>2403</v>
      </c>
      <c r="D8" s="33" t="s">
        <v>55</v>
      </c>
      <c r="E8" s="33"/>
    </row>
    <row r="9" customFormat="false" ht="15" hidden="false" customHeight="true" outlineLevel="0" collapsed="false">
      <c r="A9" s="33" t="s">
        <v>5006</v>
      </c>
      <c r="B9" s="33" t="s">
        <v>16160</v>
      </c>
      <c r="C9" s="33" t="s">
        <v>7663</v>
      </c>
      <c r="D9" s="33" t="s">
        <v>55</v>
      </c>
      <c r="E9" s="33"/>
    </row>
    <row r="10" customFormat="false" ht="15" hidden="false" customHeight="true" outlineLevel="0" collapsed="false">
      <c r="A10" s="33" t="s">
        <v>5006</v>
      </c>
      <c r="B10" s="33" t="s">
        <v>16160</v>
      </c>
      <c r="C10" s="33" t="s">
        <v>7763</v>
      </c>
      <c r="D10" s="33" t="s">
        <v>55</v>
      </c>
      <c r="E10" s="33"/>
    </row>
    <row r="11" customFormat="false" ht="15" hidden="false" customHeight="true" outlineLevel="0" collapsed="false">
      <c r="A11" s="33" t="s">
        <v>5006</v>
      </c>
      <c r="B11" s="33" t="s">
        <v>16160</v>
      </c>
      <c r="C11" s="33" t="s">
        <v>7908</v>
      </c>
      <c r="D11" s="33" t="s">
        <v>55</v>
      </c>
      <c r="E11" s="33"/>
    </row>
    <row r="12" customFormat="false" ht="15" hidden="false" customHeight="true" outlineLevel="0" collapsed="false">
      <c r="A12" s="33" t="s">
        <v>5006</v>
      </c>
      <c r="B12" s="33" t="s">
        <v>16160</v>
      </c>
      <c r="C12" s="33" t="s">
        <v>7920</v>
      </c>
      <c r="D12" s="33" t="s">
        <v>55</v>
      </c>
      <c r="E12" s="33"/>
    </row>
    <row r="13" customFormat="false" ht="15" hidden="false" customHeight="true" outlineLevel="0" collapsed="false">
      <c r="A13" s="33" t="s">
        <v>5006</v>
      </c>
      <c r="B13" s="33" t="s">
        <v>16160</v>
      </c>
      <c r="C13" s="33" t="s">
        <v>7931</v>
      </c>
      <c r="D13" s="33" t="s">
        <v>55</v>
      </c>
      <c r="E13" s="33"/>
    </row>
    <row r="14" customFormat="false" ht="15" hidden="false" customHeight="true" outlineLevel="0" collapsed="false">
      <c r="A14" s="33" t="s">
        <v>5006</v>
      </c>
      <c r="B14" s="33" t="s">
        <v>16160</v>
      </c>
      <c r="C14" s="33" t="s">
        <v>2680</v>
      </c>
      <c r="D14" s="33" t="s">
        <v>55</v>
      </c>
      <c r="E14" s="33"/>
    </row>
    <row r="15" customFormat="false" ht="15" hidden="false" customHeight="true" outlineLevel="0" collapsed="false">
      <c r="A15" s="33" t="s">
        <v>5006</v>
      </c>
      <c r="B15" s="33" t="s">
        <v>16160</v>
      </c>
      <c r="C15" s="33" t="s">
        <v>7944</v>
      </c>
      <c r="D15" s="33" t="s">
        <v>55</v>
      </c>
      <c r="E15" s="33"/>
    </row>
    <row r="16" customFormat="false" ht="15" hidden="false" customHeight="true" outlineLevel="0" collapsed="false">
      <c r="A16" s="33" t="s">
        <v>5006</v>
      </c>
      <c r="B16" s="33" t="s">
        <v>16160</v>
      </c>
      <c r="C16" s="33" t="s">
        <v>1590</v>
      </c>
      <c r="D16" s="33" t="s">
        <v>55</v>
      </c>
      <c r="E16" s="33"/>
    </row>
    <row r="17" customFormat="false" ht="15" hidden="false" customHeight="true" outlineLevel="0" collapsed="false">
      <c r="A17" s="33" t="s">
        <v>5006</v>
      </c>
      <c r="B17" s="33" t="s">
        <v>16160</v>
      </c>
      <c r="C17" s="33" t="s">
        <v>6668</v>
      </c>
      <c r="D17" s="33" t="s">
        <v>55</v>
      </c>
      <c r="E17" s="33"/>
    </row>
    <row r="18" customFormat="false" ht="15" hidden="false" customHeight="true" outlineLevel="0" collapsed="false">
      <c r="A18" s="33" t="s">
        <v>5006</v>
      </c>
      <c r="B18" s="33" t="s">
        <v>16160</v>
      </c>
      <c r="C18" s="33" t="s">
        <v>6758</v>
      </c>
      <c r="D18" s="33" t="s">
        <v>55</v>
      </c>
      <c r="E18" s="33"/>
    </row>
    <row r="19" customFormat="false" ht="15" hidden="false" customHeight="true" outlineLevel="0" collapsed="false">
      <c r="A19" s="33" t="s">
        <v>5006</v>
      </c>
      <c r="B19" s="33" t="s">
        <v>16160</v>
      </c>
      <c r="C19" s="33" t="s">
        <v>1731</v>
      </c>
      <c r="D19" s="33" t="s">
        <v>55</v>
      </c>
      <c r="E19" s="33"/>
    </row>
    <row r="20" customFormat="false" ht="15" hidden="false" customHeight="true" outlineLevel="0" collapsed="false">
      <c r="A20" s="33" t="s">
        <v>5006</v>
      </c>
      <c r="B20" s="33" t="s">
        <v>16160</v>
      </c>
      <c r="C20" s="33" t="s">
        <v>6819</v>
      </c>
      <c r="D20" s="33" t="s">
        <v>55</v>
      </c>
      <c r="E20" s="33"/>
    </row>
    <row r="21" customFormat="false" ht="15" hidden="false" customHeight="true" outlineLevel="0" collapsed="false">
      <c r="A21" s="33" t="s">
        <v>5006</v>
      </c>
      <c r="B21" s="33" t="s">
        <v>16160</v>
      </c>
      <c r="C21" s="33" t="s">
        <v>6950</v>
      </c>
      <c r="D21" s="33" t="s">
        <v>55</v>
      </c>
      <c r="E21" s="33"/>
    </row>
    <row r="22" customFormat="false" ht="15" hidden="false" customHeight="true" outlineLevel="0" collapsed="false">
      <c r="A22" s="33" t="s">
        <v>5006</v>
      </c>
      <c r="B22" s="33" t="s">
        <v>16160</v>
      </c>
      <c r="C22" s="33" t="s">
        <v>3663</v>
      </c>
      <c r="D22" s="33" t="s">
        <v>55</v>
      </c>
      <c r="E22" s="33"/>
    </row>
    <row r="23" customFormat="false" ht="15" hidden="false" customHeight="true" outlineLevel="0" collapsed="false">
      <c r="A23" s="33" t="s">
        <v>5006</v>
      </c>
      <c r="B23" s="33" t="s">
        <v>16160</v>
      </c>
      <c r="C23" s="33" t="s">
        <v>7055</v>
      </c>
      <c r="D23" s="33" t="s">
        <v>55</v>
      </c>
      <c r="E23" s="33"/>
    </row>
    <row r="24" customFormat="false" ht="15" hidden="false" customHeight="true" outlineLevel="0" collapsed="false">
      <c r="A24" s="33" t="s">
        <v>5006</v>
      </c>
      <c r="B24" s="33" t="s">
        <v>16160</v>
      </c>
      <c r="C24" s="33" t="s">
        <v>7096</v>
      </c>
      <c r="D24" s="33" t="s">
        <v>55</v>
      </c>
      <c r="E24" s="33"/>
    </row>
    <row r="25" customFormat="false" ht="15" hidden="false" customHeight="true" outlineLevel="0" collapsed="false">
      <c r="A25" s="33" t="s">
        <v>5006</v>
      </c>
      <c r="B25" s="33" t="s">
        <v>16160</v>
      </c>
      <c r="C25" s="33" t="s">
        <v>2065</v>
      </c>
      <c r="D25" s="33" t="s">
        <v>55</v>
      </c>
      <c r="E25" s="33"/>
    </row>
    <row r="26" customFormat="false" ht="15" hidden="false" customHeight="true" outlineLevel="0" collapsed="false">
      <c r="A26" s="33" t="s">
        <v>5006</v>
      </c>
      <c r="B26" s="33" t="s">
        <v>16160</v>
      </c>
      <c r="C26" s="33" t="s">
        <v>7180</v>
      </c>
      <c r="D26" s="33" t="s">
        <v>55</v>
      </c>
      <c r="E26" s="33"/>
    </row>
    <row r="27" customFormat="false" ht="15" hidden="false" customHeight="true" outlineLevel="0" collapsed="false">
      <c r="A27" s="33" t="s">
        <v>5006</v>
      </c>
      <c r="B27" s="33" t="s">
        <v>16160</v>
      </c>
      <c r="C27" s="33" t="s">
        <v>7267</v>
      </c>
      <c r="D27" s="33" t="s">
        <v>55</v>
      </c>
      <c r="E27" s="33"/>
    </row>
    <row r="28" customFormat="false" ht="15" hidden="false" customHeight="true" outlineLevel="0" collapsed="false">
      <c r="A28" s="33" t="s">
        <v>5006</v>
      </c>
      <c r="B28" s="33" t="s">
        <v>16160</v>
      </c>
      <c r="C28" s="33" t="s">
        <v>7403</v>
      </c>
      <c r="D28" s="33" t="s">
        <v>55</v>
      </c>
      <c r="E28" s="33"/>
    </row>
    <row r="29" customFormat="false" ht="15" hidden="false" customHeight="true" outlineLevel="0" collapsed="false">
      <c r="A29" s="33" t="s">
        <v>5006</v>
      </c>
      <c r="B29" s="33" t="s">
        <v>16160</v>
      </c>
      <c r="C29" s="33" t="s">
        <v>7472</v>
      </c>
      <c r="D29" s="33" t="s">
        <v>55</v>
      </c>
      <c r="E29" s="33"/>
    </row>
    <row r="30" customFormat="false" ht="15" hidden="false" customHeight="true" outlineLevel="0" collapsed="false">
      <c r="A30" s="33" t="s">
        <v>5006</v>
      </c>
      <c r="B30" s="33" t="s">
        <v>16160</v>
      </c>
      <c r="C30" s="33" t="s">
        <v>7488</v>
      </c>
      <c r="D30" s="33" t="s">
        <v>55</v>
      </c>
      <c r="E30" s="33"/>
    </row>
    <row r="31" customFormat="false" ht="15" hidden="false" customHeight="true" outlineLevel="0" collapsed="false">
      <c r="A31" s="33" t="s">
        <v>5006</v>
      </c>
      <c r="B31" s="33" t="s">
        <v>16160</v>
      </c>
      <c r="C31" s="33" t="s">
        <v>6622</v>
      </c>
      <c r="D31" s="33" t="s">
        <v>55</v>
      </c>
      <c r="E31" s="33"/>
    </row>
    <row r="32" customFormat="false" ht="15" hidden="false" customHeight="true" outlineLevel="0" collapsed="false">
      <c r="A32" s="33" t="s">
        <v>5006</v>
      </c>
      <c r="B32" s="33" t="s">
        <v>16160</v>
      </c>
      <c r="C32" s="33" t="s">
        <v>6635</v>
      </c>
      <c r="D32" s="33" t="s">
        <v>55</v>
      </c>
      <c r="E32" s="33"/>
    </row>
    <row r="33" customFormat="false" ht="15" hidden="false" customHeight="true" outlineLevel="0" collapsed="false">
      <c r="A33" s="33" t="s">
        <v>5019</v>
      </c>
      <c r="B33" s="33" t="s">
        <v>16160</v>
      </c>
      <c r="C33" s="33" t="s">
        <v>1343</v>
      </c>
      <c r="D33" s="33" t="s">
        <v>55</v>
      </c>
      <c r="E33" s="33"/>
    </row>
    <row r="34" customFormat="false" ht="15" hidden="false" customHeight="true" outlineLevel="0" collapsed="false">
      <c r="A34" s="33" t="s">
        <v>5033</v>
      </c>
      <c r="B34" s="33" t="s">
        <v>16160</v>
      </c>
      <c r="C34" s="33" t="s">
        <v>1357</v>
      </c>
      <c r="D34" s="33" t="s">
        <v>59</v>
      </c>
      <c r="E34" s="33"/>
    </row>
    <row r="35" customFormat="false" ht="15" hidden="false" customHeight="true" outlineLevel="0" collapsed="false">
      <c r="A35" s="33" t="s">
        <v>5047</v>
      </c>
      <c r="B35" s="33" t="s">
        <v>16160</v>
      </c>
      <c r="C35" s="33" t="s">
        <v>1369</v>
      </c>
      <c r="D35" s="33" t="s">
        <v>55</v>
      </c>
      <c r="E35" s="33"/>
    </row>
    <row r="36" customFormat="false" ht="15" hidden="false" customHeight="true" outlineLevel="0" collapsed="false">
      <c r="A36" s="33" t="s">
        <v>5062</v>
      </c>
      <c r="B36" s="33" t="s">
        <v>16160</v>
      </c>
      <c r="C36" s="33" t="s">
        <v>6409</v>
      </c>
      <c r="D36" s="33" t="s">
        <v>55</v>
      </c>
      <c r="E36" s="33"/>
    </row>
    <row r="37" customFormat="false" ht="15" hidden="false" customHeight="true" outlineLevel="0" collapsed="false">
      <c r="A37" s="33" t="s">
        <v>5075</v>
      </c>
      <c r="B37" s="33" t="s">
        <v>16160</v>
      </c>
      <c r="C37" s="33" t="s">
        <v>1343</v>
      </c>
      <c r="D37" s="33" t="s">
        <v>55</v>
      </c>
      <c r="E37" s="33"/>
    </row>
    <row r="38" customFormat="false" ht="15" hidden="false" customHeight="true" outlineLevel="0" collapsed="false">
      <c r="A38" s="33" t="s">
        <v>5075</v>
      </c>
      <c r="B38" s="33" t="s">
        <v>16160</v>
      </c>
      <c r="C38" s="33" t="s">
        <v>1357</v>
      </c>
      <c r="D38" s="33" t="s">
        <v>55</v>
      </c>
      <c r="E38" s="33"/>
    </row>
    <row r="39" customFormat="false" ht="15" hidden="false" customHeight="true" outlineLevel="0" collapsed="false">
      <c r="A39" s="33" t="s">
        <v>5075</v>
      </c>
      <c r="B39" s="33" t="s">
        <v>16160</v>
      </c>
      <c r="C39" s="33" t="s">
        <v>6425</v>
      </c>
      <c r="D39" s="33" t="s">
        <v>55</v>
      </c>
      <c r="E39" s="33"/>
    </row>
    <row r="40" customFormat="false" ht="15" hidden="false" customHeight="true" outlineLevel="0" collapsed="false">
      <c r="A40" s="33" t="s">
        <v>5075</v>
      </c>
      <c r="B40" s="33" t="s">
        <v>16160</v>
      </c>
      <c r="C40" s="33" t="s">
        <v>1641</v>
      </c>
      <c r="D40" s="33" t="s">
        <v>55</v>
      </c>
      <c r="E40" s="33"/>
    </row>
    <row r="41" customFormat="false" ht="15" hidden="false" customHeight="true" outlineLevel="0" collapsed="false">
      <c r="A41" s="33" t="s">
        <v>5075</v>
      </c>
      <c r="B41" s="33" t="s">
        <v>16160</v>
      </c>
      <c r="C41" s="33" t="s">
        <v>1938</v>
      </c>
      <c r="D41" s="33" t="s">
        <v>55</v>
      </c>
      <c r="E41" s="33"/>
    </row>
    <row r="42" customFormat="false" ht="15" hidden="false" customHeight="true" outlineLevel="0" collapsed="false">
      <c r="A42" s="33" t="s">
        <v>5089</v>
      </c>
      <c r="B42" s="33" t="s">
        <v>16160</v>
      </c>
      <c r="C42" s="33" t="s">
        <v>1383</v>
      </c>
      <c r="D42" s="33" t="s">
        <v>55</v>
      </c>
      <c r="E42" s="33"/>
    </row>
    <row r="43" customFormat="false" ht="15" hidden="false" customHeight="true" outlineLevel="0" collapsed="false">
      <c r="A43" s="33" t="s">
        <v>5089</v>
      </c>
      <c r="B43" s="33" t="s">
        <v>16160</v>
      </c>
      <c r="C43" s="33" t="s">
        <v>1484</v>
      </c>
      <c r="D43" s="33" t="s">
        <v>55</v>
      </c>
      <c r="E43" s="33"/>
    </row>
    <row r="44" customFormat="false" ht="15" hidden="false" customHeight="true" outlineLevel="0" collapsed="false">
      <c r="A44" s="33" t="s">
        <v>5104</v>
      </c>
      <c r="B44" s="33" t="s">
        <v>16160</v>
      </c>
      <c r="C44" s="33" t="s">
        <v>1383</v>
      </c>
      <c r="D44" s="33" t="s">
        <v>55</v>
      </c>
      <c r="E44" s="33"/>
    </row>
    <row r="45" customFormat="false" ht="15" hidden="false" customHeight="true" outlineLevel="0" collapsed="false">
      <c r="A45" s="33" t="s">
        <v>5104</v>
      </c>
      <c r="B45" s="33" t="s">
        <v>16160</v>
      </c>
      <c r="C45" s="33" t="s">
        <v>2192</v>
      </c>
      <c r="D45" s="33" t="s">
        <v>55</v>
      </c>
      <c r="E45" s="33"/>
    </row>
    <row r="46" customFormat="false" ht="15" hidden="false" customHeight="true" outlineLevel="0" collapsed="false">
      <c r="A46" s="33" t="s">
        <v>5104</v>
      </c>
      <c r="B46" s="33" t="s">
        <v>16160</v>
      </c>
      <c r="C46" s="33" t="s">
        <v>1552</v>
      </c>
      <c r="D46" s="33" t="s">
        <v>55</v>
      </c>
      <c r="E46" s="33"/>
    </row>
    <row r="47" customFormat="false" ht="15" hidden="false" customHeight="true" outlineLevel="0" collapsed="false">
      <c r="A47" s="33" t="s">
        <v>5118</v>
      </c>
      <c r="B47" s="33" t="s">
        <v>16160</v>
      </c>
      <c r="C47" s="33" t="s">
        <v>1395</v>
      </c>
      <c r="D47" s="33" t="s">
        <v>59</v>
      </c>
      <c r="E47" s="33"/>
    </row>
    <row r="48" customFormat="false" ht="15" hidden="false" customHeight="true" outlineLevel="0" collapsed="false">
      <c r="A48" s="33" t="s">
        <v>5118</v>
      </c>
      <c r="B48" s="33" t="s">
        <v>16160</v>
      </c>
      <c r="C48" s="33" t="s">
        <v>1552</v>
      </c>
      <c r="D48" s="33" t="s">
        <v>59</v>
      </c>
      <c r="E48" s="33"/>
    </row>
    <row r="49" customFormat="false" ht="15" hidden="false" customHeight="true" outlineLevel="0" collapsed="false">
      <c r="A49" s="33" t="s">
        <v>5131</v>
      </c>
      <c r="B49" s="33" t="s">
        <v>16160</v>
      </c>
      <c r="C49" s="33" t="s">
        <v>5440</v>
      </c>
      <c r="D49" s="33" t="s">
        <v>55</v>
      </c>
      <c r="E49" s="33"/>
    </row>
    <row r="50" customFormat="false" ht="15" hidden="false" customHeight="true" outlineLevel="0" collapsed="false">
      <c r="A50" s="33" t="s">
        <v>5131</v>
      </c>
      <c r="B50" s="33" t="s">
        <v>16160</v>
      </c>
      <c r="C50" s="33" t="s">
        <v>5661</v>
      </c>
      <c r="D50" s="33" t="s">
        <v>55</v>
      </c>
      <c r="E50" s="33"/>
    </row>
    <row r="51" customFormat="false" ht="15" hidden="false" customHeight="true" outlineLevel="0" collapsed="false">
      <c r="A51" s="33" t="s">
        <v>5131</v>
      </c>
      <c r="B51" s="33" t="s">
        <v>16160</v>
      </c>
      <c r="C51" s="33" t="s">
        <v>1930</v>
      </c>
      <c r="D51" s="33" t="s">
        <v>55</v>
      </c>
      <c r="E51" s="33"/>
    </row>
    <row r="52" customFormat="false" ht="15" hidden="false" customHeight="true" outlineLevel="0" collapsed="false">
      <c r="A52" s="33" t="s">
        <v>5131</v>
      </c>
      <c r="B52" s="33" t="s">
        <v>16160</v>
      </c>
      <c r="C52" s="33" t="s">
        <v>1552</v>
      </c>
      <c r="D52" s="33" t="s">
        <v>55</v>
      </c>
      <c r="E52" s="33"/>
    </row>
    <row r="53" customFormat="false" ht="15" hidden="false" customHeight="true" outlineLevel="0" collapsed="false">
      <c r="A53" s="33" t="s">
        <v>5144</v>
      </c>
      <c r="B53" s="33" t="s">
        <v>16160</v>
      </c>
      <c r="C53" s="33" t="s">
        <v>5157</v>
      </c>
      <c r="D53" s="33" t="s">
        <v>55</v>
      </c>
      <c r="E53" s="33"/>
    </row>
    <row r="54" customFormat="false" ht="15" hidden="false" customHeight="true" outlineLevel="0" collapsed="false">
      <c r="A54" s="33" t="s">
        <v>5158</v>
      </c>
      <c r="B54" s="33" t="s">
        <v>16160</v>
      </c>
      <c r="C54" s="33" t="s">
        <v>1406</v>
      </c>
      <c r="D54" s="33" t="s">
        <v>53</v>
      </c>
      <c r="E54" s="33"/>
    </row>
    <row r="55" customFormat="false" ht="15" hidden="false" customHeight="true" outlineLevel="0" collapsed="false">
      <c r="A55" s="33" t="s">
        <v>5175</v>
      </c>
      <c r="B55" s="33" t="s">
        <v>16160</v>
      </c>
      <c r="C55" s="33" t="s">
        <v>1420</v>
      </c>
      <c r="D55" s="33" t="s">
        <v>55</v>
      </c>
      <c r="E55" s="33"/>
    </row>
    <row r="56" customFormat="false" ht="15" hidden="false" customHeight="true" outlineLevel="0" collapsed="false">
      <c r="A56" s="33" t="s">
        <v>5187</v>
      </c>
      <c r="B56" s="33" t="s">
        <v>16160</v>
      </c>
      <c r="C56" s="33" t="s">
        <v>1432</v>
      </c>
      <c r="D56" s="33" t="s">
        <v>55</v>
      </c>
      <c r="E56" s="33"/>
    </row>
    <row r="57" customFormat="false" ht="15" hidden="false" customHeight="true" outlineLevel="0" collapsed="false">
      <c r="A57" s="33" t="s">
        <v>5271</v>
      </c>
      <c r="B57" s="33" t="s">
        <v>16160</v>
      </c>
      <c r="C57" s="33" t="s">
        <v>2192</v>
      </c>
      <c r="D57" s="33" t="s">
        <v>55</v>
      </c>
      <c r="E57" s="33"/>
    </row>
    <row r="58" customFormat="false" ht="15" hidden="false" customHeight="true" outlineLevel="0" collapsed="false">
      <c r="A58" s="33" t="s">
        <v>5314</v>
      </c>
      <c r="B58" s="33" t="s">
        <v>16160</v>
      </c>
      <c r="C58" s="33" t="s">
        <v>1795</v>
      </c>
      <c r="D58" s="33" t="s">
        <v>55</v>
      </c>
      <c r="E58" s="33"/>
    </row>
    <row r="59" customFormat="false" ht="15" hidden="false" customHeight="true" outlineLevel="0" collapsed="false">
      <c r="A59" s="33" t="s">
        <v>5314</v>
      </c>
      <c r="B59" s="33" t="s">
        <v>16160</v>
      </c>
      <c r="C59" s="33" t="s">
        <v>2015</v>
      </c>
      <c r="D59" s="33" t="s">
        <v>55</v>
      </c>
      <c r="E59" s="33"/>
    </row>
    <row r="60" customFormat="false" ht="15" hidden="false" customHeight="true" outlineLevel="0" collapsed="false">
      <c r="A60" s="33" t="s">
        <v>5314</v>
      </c>
      <c r="B60" s="33" t="s">
        <v>16160</v>
      </c>
      <c r="C60" s="33" t="s">
        <v>7472</v>
      </c>
      <c r="D60" s="33" t="s">
        <v>55</v>
      </c>
      <c r="E60" s="33"/>
    </row>
    <row r="61" customFormat="false" ht="15" hidden="false" customHeight="true" outlineLevel="0" collapsed="false">
      <c r="A61" s="33" t="s">
        <v>5330</v>
      </c>
      <c r="B61" s="33" t="s">
        <v>16160</v>
      </c>
      <c r="C61" s="33" t="s">
        <v>5759</v>
      </c>
      <c r="D61" s="33" t="s">
        <v>55</v>
      </c>
      <c r="E61" s="33"/>
    </row>
    <row r="62" customFormat="false" ht="15" hidden="false" customHeight="true" outlineLevel="0" collapsed="false">
      <c r="A62" s="33" t="s">
        <v>5330</v>
      </c>
      <c r="B62" s="33" t="s">
        <v>16160</v>
      </c>
      <c r="C62" s="33" t="s">
        <v>6549</v>
      </c>
      <c r="D62" s="33" t="s">
        <v>55</v>
      </c>
      <c r="E62" s="33"/>
    </row>
    <row r="63" customFormat="false" ht="15" hidden="false" customHeight="true" outlineLevel="0" collapsed="false">
      <c r="A63" s="33" t="s">
        <v>5330</v>
      </c>
      <c r="B63" s="33" t="s">
        <v>16160</v>
      </c>
      <c r="C63" s="33" t="s">
        <v>6939</v>
      </c>
      <c r="D63" s="33" t="s">
        <v>55</v>
      </c>
      <c r="E63" s="33"/>
    </row>
    <row r="64" customFormat="false" ht="15" hidden="false" customHeight="true" outlineLevel="0" collapsed="false">
      <c r="A64" s="33" t="s">
        <v>4306</v>
      </c>
      <c r="B64" s="33" t="s">
        <v>16160</v>
      </c>
      <c r="C64" s="33" t="s">
        <v>613</v>
      </c>
      <c r="D64" s="33" t="s">
        <v>59</v>
      </c>
      <c r="E64" s="33"/>
    </row>
    <row r="65" customFormat="false" ht="15" hidden="false" customHeight="true" outlineLevel="0" collapsed="false">
      <c r="A65" s="33" t="s">
        <v>4306</v>
      </c>
      <c r="B65" s="33" t="s">
        <v>16160</v>
      </c>
      <c r="C65" s="33" t="s">
        <v>114</v>
      </c>
      <c r="D65" s="33" t="s">
        <v>59</v>
      </c>
      <c r="E65" s="33"/>
    </row>
    <row r="66" customFormat="false" ht="15" hidden="false" customHeight="true" outlineLevel="0" collapsed="false">
      <c r="A66" s="33" t="s">
        <v>4306</v>
      </c>
      <c r="B66" s="33" t="s">
        <v>16160</v>
      </c>
      <c r="C66" s="33" t="s">
        <v>1938</v>
      </c>
      <c r="D66" s="33" t="s">
        <v>59</v>
      </c>
      <c r="E66" s="33"/>
    </row>
    <row r="67" customFormat="false" ht="15" hidden="false" customHeight="true" outlineLevel="0" collapsed="false">
      <c r="A67" s="33" t="s">
        <v>4323</v>
      </c>
      <c r="B67" s="33" t="s">
        <v>16160</v>
      </c>
      <c r="C67" s="33" t="s">
        <v>6425</v>
      </c>
      <c r="D67" s="33" t="s">
        <v>59</v>
      </c>
      <c r="E67" s="33"/>
    </row>
    <row r="68" customFormat="false" ht="15" hidden="false" customHeight="true" outlineLevel="0" collapsed="false">
      <c r="A68" s="33" t="s">
        <v>4323</v>
      </c>
      <c r="B68" s="33" t="s">
        <v>16160</v>
      </c>
      <c r="C68" s="33" t="s">
        <v>1938</v>
      </c>
      <c r="D68" s="33" t="s">
        <v>59</v>
      </c>
      <c r="E68" s="33"/>
    </row>
    <row r="69" customFormat="false" ht="15" hidden="false" customHeight="true" outlineLevel="0" collapsed="false">
      <c r="A69" s="33" t="s">
        <v>4323</v>
      </c>
      <c r="B69" s="33" t="s">
        <v>16160</v>
      </c>
      <c r="C69" s="33" t="s">
        <v>7042</v>
      </c>
      <c r="D69" s="33" t="s">
        <v>59</v>
      </c>
      <c r="E69" s="33"/>
    </row>
    <row r="70" customFormat="false" ht="15" hidden="false" customHeight="true" outlineLevel="0" collapsed="false">
      <c r="A70" s="33" t="s">
        <v>4339</v>
      </c>
      <c r="B70" s="33" t="s">
        <v>16160</v>
      </c>
      <c r="C70" s="33" t="s">
        <v>1242</v>
      </c>
      <c r="D70" s="33" t="s">
        <v>59</v>
      </c>
      <c r="E70" s="33"/>
    </row>
    <row r="71" customFormat="false" ht="15" hidden="false" customHeight="true" outlineLevel="0" collapsed="false">
      <c r="A71" s="33" t="s">
        <v>4339</v>
      </c>
      <c r="B71" s="33" t="s">
        <v>16160</v>
      </c>
      <c r="C71" s="33" t="s">
        <v>1938</v>
      </c>
      <c r="D71" s="33" t="s">
        <v>59</v>
      </c>
      <c r="E71" s="33"/>
    </row>
    <row r="72" customFormat="false" ht="15" hidden="false" customHeight="true" outlineLevel="0" collapsed="false">
      <c r="A72" s="33" t="s">
        <v>4353</v>
      </c>
      <c r="B72" s="33" t="s">
        <v>16160</v>
      </c>
      <c r="C72" s="33" t="s">
        <v>1930</v>
      </c>
      <c r="D72" s="33" t="s">
        <v>59</v>
      </c>
      <c r="E72" s="33"/>
    </row>
    <row r="73" customFormat="false" ht="15" hidden="false" customHeight="true" outlineLevel="0" collapsed="false">
      <c r="A73" s="33" t="s">
        <v>4353</v>
      </c>
      <c r="B73" s="33" t="s">
        <v>16160</v>
      </c>
      <c r="C73" s="33" t="s">
        <v>1484</v>
      </c>
      <c r="D73" s="33" t="s">
        <v>59</v>
      </c>
      <c r="E73" s="33"/>
    </row>
    <row r="74" customFormat="false" ht="15" hidden="false" customHeight="true" outlineLevel="0" collapsed="false">
      <c r="A74" s="33" t="s">
        <v>4353</v>
      </c>
      <c r="B74" s="33" t="s">
        <v>16160</v>
      </c>
      <c r="C74" s="33" t="s">
        <v>1539</v>
      </c>
      <c r="D74" s="33" t="s">
        <v>59</v>
      </c>
      <c r="E74" s="33"/>
    </row>
    <row r="75" customFormat="false" ht="15" hidden="false" customHeight="true" outlineLevel="0" collapsed="false">
      <c r="A75" s="33" t="s">
        <v>4353</v>
      </c>
      <c r="B75" s="33" t="s">
        <v>16160</v>
      </c>
      <c r="C75" s="33" t="s">
        <v>1938</v>
      </c>
      <c r="D75" s="33" t="s">
        <v>59</v>
      </c>
      <c r="E75" s="33"/>
    </row>
    <row r="76" customFormat="false" ht="15" hidden="false" customHeight="true" outlineLevel="0" collapsed="false">
      <c r="A76" s="33" t="s">
        <v>4409</v>
      </c>
      <c r="B76" s="33" t="s">
        <v>16160</v>
      </c>
      <c r="C76" s="33" t="s">
        <v>1289</v>
      </c>
      <c r="D76" s="33" t="s">
        <v>59</v>
      </c>
      <c r="E76" s="33"/>
    </row>
    <row r="77" customFormat="false" ht="15" hidden="false" customHeight="true" outlineLevel="0" collapsed="false">
      <c r="A77" s="33" t="s">
        <v>4422</v>
      </c>
      <c r="B77" s="33" t="s">
        <v>16160</v>
      </c>
      <c r="C77" s="33" t="s">
        <v>4430</v>
      </c>
      <c r="D77" s="33" t="s">
        <v>59</v>
      </c>
      <c r="E77" s="33"/>
    </row>
    <row r="78" customFormat="false" ht="15" hidden="false" customHeight="true" outlineLevel="0" collapsed="false">
      <c r="A78" s="33" t="s">
        <v>4431</v>
      </c>
      <c r="B78" s="33" t="s">
        <v>16160</v>
      </c>
      <c r="C78" s="33" t="s">
        <v>5440</v>
      </c>
      <c r="D78" s="33" t="s">
        <v>59</v>
      </c>
      <c r="E78" s="33"/>
    </row>
    <row r="79" customFormat="false" ht="15" hidden="false" customHeight="true" outlineLevel="0" collapsed="false">
      <c r="A79" s="33" t="s">
        <v>4431</v>
      </c>
      <c r="B79" s="33" t="s">
        <v>16160</v>
      </c>
      <c r="C79" s="33" t="s">
        <v>4430</v>
      </c>
      <c r="D79" s="33" t="s">
        <v>59</v>
      </c>
      <c r="E79" s="33"/>
    </row>
    <row r="80" customFormat="false" ht="15" hidden="false" customHeight="true" outlineLevel="0" collapsed="false">
      <c r="A80" s="33" t="s">
        <v>4516</v>
      </c>
      <c r="B80" s="33" t="s">
        <v>16160</v>
      </c>
      <c r="C80" s="33" t="s">
        <v>492</v>
      </c>
      <c r="D80" s="33" t="s">
        <v>59</v>
      </c>
      <c r="E80" s="33"/>
    </row>
    <row r="81" customFormat="false" ht="15" hidden="false" customHeight="true" outlineLevel="0" collapsed="false">
      <c r="A81" s="33" t="s">
        <v>4530</v>
      </c>
      <c r="B81" s="33" t="s">
        <v>16160</v>
      </c>
      <c r="C81" s="33" t="s">
        <v>468</v>
      </c>
      <c r="D81" s="33" t="s">
        <v>59</v>
      </c>
      <c r="E81" s="33"/>
    </row>
    <row r="82" customFormat="false" ht="15" hidden="false" customHeight="true" outlineLevel="0" collapsed="false">
      <c r="A82" s="33" t="s">
        <v>4572</v>
      </c>
      <c r="B82" s="33" t="s">
        <v>16160</v>
      </c>
      <c r="C82" s="33" t="s">
        <v>5759</v>
      </c>
      <c r="D82" s="33" t="s">
        <v>59</v>
      </c>
      <c r="E82" s="33"/>
    </row>
    <row r="83" customFormat="false" ht="15" hidden="false" customHeight="true" outlineLevel="0" collapsed="false">
      <c r="A83" s="33" t="s">
        <v>4572</v>
      </c>
      <c r="B83" s="33" t="s">
        <v>16160</v>
      </c>
      <c r="C83" s="33" t="s">
        <v>6262</v>
      </c>
      <c r="D83" s="33" t="s">
        <v>59</v>
      </c>
      <c r="E83" s="33"/>
    </row>
    <row r="84" customFormat="false" ht="15" hidden="false" customHeight="true" outlineLevel="0" collapsed="false">
      <c r="A84" s="33" t="s">
        <v>4572</v>
      </c>
      <c r="B84" s="33" t="s">
        <v>16160</v>
      </c>
      <c r="C84" s="33" t="s">
        <v>2983</v>
      </c>
      <c r="D84" s="33" t="s">
        <v>59</v>
      </c>
      <c r="E84" s="33"/>
    </row>
    <row r="85" customFormat="false" ht="15" hidden="false" customHeight="true" outlineLevel="0" collapsed="false">
      <c r="A85" s="33" t="s">
        <v>4586</v>
      </c>
      <c r="B85" s="33" t="s">
        <v>16160</v>
      </c>
      <c r="C85" s="33" t="s">
        <v>1357</v>
      </c>
      <c r="D85" s="33" t="s">
        <v>59</v>
      </c>
      <c r="E85" s="33"/>
    </row>
    <row r="86" customFormat="false" ht="15" hidden="false" customHeight="true" outlineLevel="0" collapsed="false">
      <c r="A86" s="33" t="s">
        <v>4602</v>
      </c>
      <c r="B86" s="33" t="s">
        <v>16160</v>
      </c>
      <c r="C86" s="33" t="s">
        <v>5759</v>
      </c>
      <c r="D86" s="33" t="s">
        <v>59</v>
      </c>
      <c r="E86" s="33"/>
    </row>
    <row r="87" customFormat="false" ht="15" hidden="false" customHeight="true" outlineLevel="0" collapsed="false">
      <c r="A87" s="33" t="s">
        <v>4602</v>
      </c>
      <c r="B87" s="33" t="s">
        <v>16160</v>
      </c>
      <c r="C87" s="33" t="s">
        <v>6262</v>
      </c>
      <c r="D87" s="33" t="s">
        <v>59</v>
      </c>
      <c r="E87" s="33"/>
    </row>
    <row r="88" customFormat="false" ht="15" hidden="false" customHeight="true" outlineLevel="0" collapsed="false">
      <c r="A88" s="33" t="s">
        <v>4615</v>
      </c>
      <c r="B88" s="33" t="s">
        <v>16160</v>
      </c>
      <c r="C88" s="33" t="s">
        <v>527</v>
      </c>
      <c r="D88" s="33" t="s">
        <v>59</v>
      </c>
      <c r="E88" s="33"/>
    </row>
    <row r="89" customFormat="false" ht="15" hidden="false" customHeight="true" outlineLevel="0" collapsed="false">
      <c r="A89" s="33" t="s">
        <v>4673</v>
      </c>
      <c r="B89" s="33" t="s">
        <v>16160</v>
      </c>
      <c r="C89" s="33" t="s">
        <v>1343</v>
      </c>
      <c r="D89" s="33" t="s">
        <v>59</v>
      </c>
      <c r="E89" s="33"/>
    </row>
    <row r="90" customFormat="false" ht="15" hidden="false" customHeight="true" outlineLevel="0" collapsed="false">
      <c r="A90" s="33" t="s">
        <v>4717</v>
      </c>
      <c r="B90" s="33" t="s">
        <v>16160</v>
      </c>
      <c r="C90" s="33" t="s">
        <v>468</v>
      </c>
      <c r="D90" s="33" t="s">
        <v>59</v>
      </c>
      <c r="E90" s="33"/>
    </row>
    <row r="91" customFormat="false" ht="15" hidden="false" customHeight="true" outlineLevel="0" collapsed="false">
      <c r="A91" s="33" t="s">
        <v>4759</v>
      </c>
      <c r="B91" s="33" t="s">
        <v>16160</v>
      </c>
      <c r="C91" s="33" t="s">
        <v>468</v>
      </c>
      <c r="D91" s="33" t="s">
        <v>59</v>
      </c>
      <c r="E91" s="33"/>
    </row>
    <row r="92" customFormat="false" ht="15" hidden="false" customHeight="true" outlineLevel="0" collapsed="false">
      <c r="A92" s="33" t="s">
        <v>4759</v>
      </c>
      <c r="B92" s="33" t="s">
        <v>16160</v>
      </c>
      <c r="C92" s="33" t="s">
        <v>668</v>
      </c>
      <c r="D92" s="33" t="s">
        <v>59</v>
      </c>
      <c r="E92" s="33"/>
    </row>
    <row r="93" customFormat="false" ht="15" hidden="false" customHeight="true" outlineLevel="0" collapsed="false">
      <c r="A93" s="33" t="s">
        <v>4759</v>
      </c>
      <c r="B93" s="33" t="s">
        <v>16160</v>
      </c>
      <c r="C93" s="33" t="s">
        <v>6262</v>
      </c>
      <c r="D93" s="33" t="s">
        <v>59</v>
      </c>
      <c r="E93" s="33"/>
    </row>
    <row r="94" customFormat="false" ht="15" hidden="false" customHeight="true" outlineLevel="0" collapsed="false">
      <c r="A94" s="33" t="s">
        <v>4759</v>
      </c>
      <c r="B94" s="33" t="s">
        <v>16160</v>
      </c>
      <c r="C94" s="33" t="s">
        <v>1327</v>
      </c>
      <c r="D94" s="33" t="s">
        <v>59</v>
      </c>
      <c r="E94" s="33"/>
    </row>
    <row r="95" customFormat="false" ht="15" hidden="false" customHeight="true" outlineLevel="0" collapsed="false">
      <c r="A95" s="33" t="s">
        <v>4773</v>
      </c>
      <c r="B95" s="33" t="s">
        <v>16160</v>
      </c>
      <c r="C95" s="33" t="s">
        <v>1327</v>
      </c>
      <c r="D95" s="33" t="s">
        <v>59</v>
      </c>
      <c r="E95" s="33"/>
    </row>
    <row r="96" customFormat="false" ht="15" hidden="false" customHeight="true" outlineLevel="0" collapsed="false">
      <c r="A96" s="33" t="s">
        <v>8519</v>
      </c>
      <c r="B96" s="33" t="s">
        <v>16161</v>
      </c>
      <c r="C96" s="33" t="s">
        <v>4703</v>
      </c>
      <c r="D96" s="33" t="s">
        <v>54</v>
      </c>
      <c r="E96" s="33" t="s">
        <v>16162</v>
      </c>
    </row>
    <row r="97" customFormat="false" ht="15" hidden="false" customHeight="true" outlineLevel="0" collapsed="false">
      <c r="A97" s="33" t="s">
        <v>8519</v>
      </c>
      <c r="B97" s="33" t="s">
        <v>16161</v>
      </c>
      <c r="C97" s="33" t="s">
        <v>4732</v>
      </c>
      <c r="D97" s="33" t="s">
        <v>54</v>
      </c>
      <c r="E97" s="33" t="s">
        <v>16162</v>
      </c>
    </row>
    <row r="98" customFormat="false" ht="15" hidden="false" customHeight="true" outlineLevel="0" collapsed="false">
      <c r="A98" s="33" t="s">
        <v>8519</v>
      </c>
      <c r="B98" s="33" t="s">
        <v>16161</v>
      </c>
      <c r="C98" s="33" t="s">
        <v>4799</v>
      </c>
      <c r="D98" s="33" t="s">
        <v>54</v>
      </c>
      <c r="E98" s="33" t="s">
        <v>16162</v>
      </c>
    </row>
    <row r="99" customFormat="false" ht="15" hidden="false" customHeight="true" outlineLevel="0" collapsed="false">
      <c r="A99" s="33" t="s">
        <v>8519</v>
      </c>
      <c r="B99" s="33" t="s">
        <v>16161</v>
      </c>
      <c r="C99" s="33" t="s">
        <v>4844</v>
      </c>
      <c r="D99" s="33" t="s">
        <v>54</v>
      </c>
      <c r="E99" s="33" t="s">
        <v>16162</v>
      </c>
    </row>
    <row r="100" customFormat="false" ht="15" hidden="false" customHeight="true" outlineLevel="0" collapsed="false">
      <c r="A100" s="33" t="s">
        <v>8577</v>
      </c>
      <c r="B100" s="33" t="s">
        <v>16161</v>
      </c>
      <c r="C100" s="33" t="s">
        <v>4965</v>
      </c>
      <c r="D100" s="33" t="s">
        <v>54</v>
      </c>
      <c r="E100" s="33" t="s">
        <v>16162</v>
      </c>
    </row>
    <row r="101" customFormat="false" ht="15" hidden="false" customHeight="true" outlineLevel="0" collapsed="false">
      <c r="A101" s="33" t="s">
        <v>8577</v>
      </c>
      <c r="B101" s="33" t="s">
        <v>16161</v>
      </c>
      <c r="C101" s="33" t="s">
        <v>4630</v>
      </c>
      <c r="D101" s="33" t="s">
        <v>54</v>
      </c>
      <c r="E101" s="33" t="s">
        <v>16162</v>
      </c>
    </row>
    <row r="102" customFormat="false" ht="15" hidden="false" customHeight="true" outlineLevel="0" collapsed="false">
      <c r="A102" s="33" t="s">
        <v>8577</v>
      </c>
      <c r="B102" s="33" t="s">
        <v>16161</v>
      </c>
      <c r="C102" s="33" t="s">
        <v>4648</v>
      </c>
      <c r="D102" s="33" t="s">
        <v>54</v>
      </c>
      <c r="E102" s="33" t="s">
        <v>16162</v>
      </c>
    </row>
    <row r="103" customFormat="false" ht="15" hidden="false" customHeight="true" outlineLevel="0" collapsed="false">
      <c r="A103" s="33" t="s">
        <v>95</v>
      </c>
      <c r="B103" s="33" t="s">
        <v>16160</v>
      </c>
      <c r="C103" s="33" t="s">
        <v>114</v>
      </c>
      <c r="D103" s="33" t="s">
        <v>59</v>
      </c>
      <c r="E103" s="33"/>
    </row>
    <row r="104" customFormat="false" ht="15" hidden="false" customHeight="true" outlineLevel="0" collapsed="false">
      <c r="A104" s="33" t="s">
        <v>5378</v>
      </c>
      <c r="B104" s="33" t="s">
        <v>16160</v>
      </c>
      <c r="C104" s="33" t="s">
        <v>5361</v>
      </c>
      <c r="D104" s="33" t="s">
        <v>59</v>
      </c>
      <c r="E104" s="33"/>
    </row>
    <row r="105" customFormat="false" ht="15" hidden="false" customHeight="true" outlineLevel="0" collapsed="false">
      <c r="A105" s="33" t="s">
        <v>116</v>
      </c>
      <c r="B105" s="33" t="s">
        <v>16160</v>
      </c>
      <c r="C105" s="33" t="s">
        <v>129</v>
      </c>
      <c r="D105" s="33" t="s">
        <v>59</v>
      </c>
      <c r="E105" s="33"/>
    </row>
    <row r="106" customFormat="false" ht="15" hidden="false" customHeight="true" outlineLevel="0" collapsed="false">
      <c r="A106" s="33" t="s">
        <v>130</v>
      </c>
      <c r="B106" s="33" t="s">
        <v>16160</v>
      </c>
      <c r="C106" s="33" t="s">
        <v>141</v>
      </c>
      <c r="D106" s="33" t="s">
        <v>59</v>
      </c>
      <c r="E106" s="33"/>
    </row>
    <row r="107" customFormat="false" ht="15" hidden="false" customHeight="true" outlineLevel="0" collapsed="false">
      <c r="A107" s="33" t="s">
        <v>142</v>
      </c>
      <c r="B107" s="33" t="s">
        <v>16160</v>
      </c>
      <c r="C107" s="33" t="s">
        <v>114</v>
      </c>
      <c r="D107" s="33" t="s">
        <v>59</v>
      </c>
      <c r="E107" s="33"/>
    </row>
    <row r="108" customFormat="false" ht="15" hidden="false" customHeight="true" outlineLevel="0" collapsed="false">
      <c r="A108" s="33" t="s">
        <v>154</v>
      </c>
      <c r="B108" s="33" t="s">
        <v>16160</v>
      </c>
      <c r="C108" s="33" t="s">
        <v>1278</v>
      </c>
      <c r="D108" s="33" t="s">
        <v>59</v>
      </c>
      <c r="E108" s="33"/>
    </row>
    <row r="109" customFormat="false" ht="15" hidden="false" customHeight="true" outlineLevel="0" collapsed="false">
      <c r="A109" s="33" t="s">
        <v>5391</v>
      </c>
      <c r="B109" s="33" t="s">
        <v>16160</v>
      </c>
      <c r="C109" s="33" t="s">
        <v>170</v>
      </c>
      <c r="D109" s="33" t="s">
        <v>59</v>
      </c>
      <c r="E109" s="33"/>
    </row>
    <row r="110" customFormat="false" ht="15" hidden="false" customHeight="true" outlineLevel="0" collapsed="false">
      <c r="A110" s="33" t="s">
        <v>170</v>
      </c>
      <c r="B110" s="33" t="s">
        <v>16160</v>
      </c>
      <c r="C110" s="33" t="s">
        <v>185</v>
      </c>
      <c r="D110" s="33" t="s">
        <v>59</v>
      </c>
      <c r="E110" s="33"/>
    </row>
    <row r="111" customFormat="false" ht="15" hidden="false" customHeight="true" outlineLevel="0" collapsed="false">
      <c r="A111" s="33" t="s">
        <v>208</v>
      </c>
      <c r="B111" s="33" t="s">
        <v>16160</v>
      </c>
      <c r="C111" s="33" t="s">
        <v>5427</v>
      </c>
      <c r="D111" s="33" t="s">
        <v>59</v>
      </c>
      <c r="E111" s="33"/>
    </row>
    <row r="112" customFormat="false" ht="15" hidden="false" customHeight="true" outlineLevel="0" collapsed="false">
      <c r="A112" s="33" t="s">
        <v>5456</v>
      </c>
      <c r="B112" s="33" t="s">
        <v>16160</v>
      </c>
      <c r="C112" s="33" t="s">
        <v>6096</v>
      </c>
      <c r="D112" s="33" t="s">
        <v>59</v>
      </c>
      <c r="E112" s="33"/>
    </row>
    <row r="113" customFormat="false" ht="15" hidden="false" customHeight="true" outlineLevel="0" collapsed="false">
      <c r="A113" s="33" t="s">
        <v>5456</v>
      </c>
      <c r="B113" s="33" t="s">
        <v>16160</v>
      </c>
      <c r="C113" s="33" t="s">
        <v>6111</v>
      </c>
      <c r="D113" s="33" t="s">
        <v>59</v>
      </c>
      <c r="E113" s="33"/>
    </row>
    <row r="114" customFormat="false" ht="15" hidden="false" customHeight="true" outlineLevel="0" collapsed="false">
      <c r="A114" s="33" t="s">
        <v>269</v>
      </c>
      <c r="B114" s="33" t="s">
        <v>16160</v>
      </c>
      <c r="C114" s="33" t="s">
        <v>5440</v>
      </c>
      <c r="D114" s="33" t="s">
        <v>59</v>
      </c>
      <c r="E114" s="33"/>
    </row>
    <row r="115" customFormat="false" ht="15" hidden="false" customHeight="true" outlineLevel="0" collapsed="false">
      <c r="A115" s="33" t="s">
        <v>269</v>
      </c>
      <c r="B115" s="33" t="s">
        <v>16160</v>
      </c>
      <c r="C115" s="33" t="s">
        <v>986</v>
      </c>
      <c r="D115" s="33" t="s">
        <v>59</v>
      </c>
      <c r="E115" s="33"/>
    </row>
    <row r="116" customFormat="false" ht="15" hidden="false" customHeight="true" outlineLevel="0" collapsed="false">
      <c r="A116" s="33" t="s">
        <v>269</v>
      </c>
      <c r="B116" s="33" t="s">
        <v>16160</v>
      </c>
      <c r="C116" s="33" t="s">
        <v>1140</v>
      </c>
      <c r="D116" s="33" t="s">
        <v>59</v>
      </c>
      <c r="E116" s="33"/>
    </row>
    <row r="117" customFormat="false" ht="15" hidden="false" customHeight="true" outlineLevel="0" collapsed="false">
      <c r="A117" s="33" t="s">
        <v>297</v>
      </c>
      <c r="B117" s="33" t="s">
        <v>16160</v>
      </c>
      <c r="C117" s="33" t="s">
        <v>229</v>
      </c>
      <c r="D117" s="33" t="s">
        <v>59</v>
      </c>
      <c r="E117" s="33"/>
    </row>
    <row r="118" customFormat="false" ht="15" hidden="false" customHeight="true" outlineLevel="0" collapsed="false">
      <c r="A118" s="33" t="s">
        <v>5496</v>
      </c>
      <c r="B118" s="33" t="s">
        <v>16160</v>
      </c>
      <c r="C118" s="33" t="s">
        <v>5483</v>
      </c>
      <c r="D118" s="33" t="s">
        <v>59</v>
      </c>
      <c r="E118" s="33"/>
    </row>
    <row r="119" customFormat="false" ht="15" hidden="false" customHeight="true" outlineLevel="0" collapsed="false">
      <c r="A119" s="33" t="s">
        <v>5507</v>
      </c>
      <c r="B119" s="33" t="s">
        <v>16160</v>
      </c>
      <c r="C119" s="33" t="s">
        <v>5483</v>
      </c>
      <c r="D119" s="33" t="s">
        <v>59</v>
      </c>
      <c r="E119" s="33"/>
    </row>
    <row r="120" customFormat="false" ht="15" hidden="false" customHeight="true" outlineLevel="0" collapsed="false">
      <c r="A120" s="33" t="s">
        <v>335</v>
      </c>
      <c r="B120" s="33" t="s">
        <v>16160</v>
      </c>
      <c r="C120" s="33" t="s">
        <v>5456</v>
      </c>
      <c r="D120" s="33" t="s">
        <v>59</v>
      </c>
      <c r="E120" s="33"/>
    </row>
    <row r="121" customFormat="false" ht="15" hidden="false" customHeight="true" outlineLevel="0" collapsed="false">
      <c r="A121" s="33" t="s">
        <v>349</v>
      </c>
      <c r="B121" s="33" t="s">
        <v>16160</v>
      </c>
      <c r="C121" s="33" t="s">
        <v>6096</v>
      </c>
      <c r="D121" s="33" t="s">
        <v>59</v>
      </c>
      <c r="E121" s="33"/>
    </row>
    <row r="122" customFormat="false" ht="15" hidden="false" customHeight="true" outlineLevel="0" collapsed="false">
      <c r="A122" s="33" t="s">
        <v>349</v>
      </c>
      <c r="B122" s="33" t="s">
        <v>16160</v>
      </c>
      <c r="C122" s="33" t="s">
        <v>6111</v>
      </c>
      <c r="D122" s="33" t="s">
        <v>59</v>
      </c>
      <c r="E122" s="33"/>
    </row>
    <row r="123" customFormat="false" ht="15" hidden="false" customHeight="true" outlineLevel="0" collapsed="false">
      <c r="A123" s="33" t="s">
        <v>360</v>
      </c>
      <c r="B123" s="33" t="s">
        <v>16160</v>
      </c>
      <c r="C123" s="33" t="s">
        <v>6214</v>
      </c>
      <c r="D123" s="33" t="s">
        <v>59</v>
      </c>
      <c r="E123" s="33"/>
    </row>
    <row r="124" customFormat="false" ht="15" hidden="false" customHeight="true" outlineLevel="0" collapsed="false">
      <c r="A124" s="33" t="s">
        <v>370</v>
      </c>
      <c r="B124" s="33" t="s">
        <v>16160</v>
      </c>
      <c r="C124" s="33" t="s">
        <v>711</v>
      </c>
      <c r="D124" s="33" t="s">
        <v>59</v>
      </c>
      <c r="E124" s="33"/>
    </row>
    <row r="125" customFormat="false" ht="15" hidden="false" customHeight="true" outlineLevel="0" collapsed="false">
      <c r="A125" s="33" t="s">
        <v>381</v>
      </c>
      <c r="B125" s="33" t="s">
        <v>16160</v>
      </c>
      <c r="C125" s="33" t="s">
        <v>229</v>
      </c>
      <c r="D125" s="33" t="s">
        <v>59</v>
      </c>
      <c r="E125" s="33"/>
    </row>
    <row r="126" customFormat="false" ht="15" hidden="false" customHeight="true" outlineLevel="0" collapsed="false">
      <c r="A126" s="33" t="s">
        <v>381</v>
      </c>
      <c r="B126" s="33" t="s">
        <v>16160</v>
      </c>
      <c r="C126" s="33" t="s">
        <v>1065</v>
      </c>
      <c r="D126" s="33" t="s">
        <v>59</v>
      </c>
      <c r="E126" s="33"/>
    </row>
    <row r="127" customFormat="false" ht="15" hidden="false" customHeight="true" outlineLevel="0" collapsed="false">
      <c r="A127" s="33" t="s">
        <v>5584</v>
      </c>
      <c r="B127" s="33" t="s">
        <v>16160</v>
      </c>
      <c r="C127" s="33" t="s">
        <v>257</v>
      </c>
      <c r="D127" s="33" t="s">
        <v>59</v>
      </c>
      <c r="E127" s="33"/>
    </row>
    <row r="128" customFormat="false" ht="15" hidden="false" customHeight="true" outlineLevel="0" collapsed="false">
      <c r="A128" s="33" t="s">
        <v>5597</v>
      </c>
      <c r="B128" s="33" t="s">
        <v>16160</v>
      </c>
      <c r="C128" s="33" t="s">
        <v>5584</v>
      </c>
      <c r="D128" s="33" t="s">
        <v>59</v>
      </c>
      <c r="E128" s="33"/>
    </row>
    <row r="129" customFormat="false" ht="15" hidden="false" customHeight="true" outlineLevel="0" collapsed="false">
      <c r="A129" s="33" t="s">
        <v>5617</v>
      </c>
      <c r="B129" s="33" t="s">
        <v>16160</v>
      </c>
      <c r="C129" s="33" t="s">
        <v>793</v>
      </c>
      <c r="D129" s="33" t="s">
        <v>59</v>
      </c>
      <c r="E129" s="33"/>
    </row>
    <row r="130" customFormat="false" ht="15" hidden="false" customHeight="true" outlineLevel="0" collapsed="false">
      <c r="A130" s="33" t="s">
        <v>394</v>
      </c>
      <c r="B130" s="33" t="s">
        <v>16160</v>
      </c>
      <c r="C130" s="33" t="s">
        <v>408</v>
      </c>
      <c r="D130" s="33" t="s">
        <v>59</v>
      </c>
      <c r="E130" s="33"/>
    </row>
    <row r="131" customFormat="false" ht="15" hidden="false" customHeight="true" outlineLevel="0" collapsed="false">
      <c r="A131" s="33" t="s">
        <v>5649</v>
      </c>
      <c r="B131" s="33" t="s">
        <v>16160</v>
      </c>
      <c r="C131" s="33" t="s">
        <v>297</v>
      </c>
      <c r="D131" s="33" t="s">
        <v>59</v>
      </c>
      <c r="E131" s="33"/>
    </row>
    <row r="132" customFormat="false" ht="15" hidden="false" customHeight="true" outlineLevel="0" collapsed="false">
      <c r="A132" s="33" t="s">
        <v>5661</v>
      </c>
      <c r="B132" s="33" t="s">
        <v>16160</v>
      </c>
      <c r="C132" s="33" t="s">
        <v>297</v>
      </c>
      <c r="D132" s="33" t="s">
        <v>59</v>
      </c>
      <c r="E132" s="33"/>
    </row>
    <row r="133" customFormat="false" ht="15" hidden="false" customHeight="true" outlineLevel="0" collapsed="false">
      <c r="A133" s="33" t="s">
        <v>409</v>
      </c>
      <c r="B133" s="33" t="s">
        <v>16160</v>
      </c>
      <c r="C133" s="33" t="s">
        <v>408</v>
      </c>
      <c r="D133" s="33" t="s">
        <v>59</v>
      </c>
      <c r="E133" s="33"/>
    </row>
    <row r="134" customFormat="false" ht="15" hidden="false" customHeight="true" outlineLevel="0" collapsed="false">
      <c r="A134" s="33" t="s">
        <v>433</v>
      </c>
      <c r="B134" s="33" t="s">
        <v>16160</v>
      </c>
      <c r="C134" s="33" t="s">
        <v>186</v>
      </c>
      <c r="D134" s="33" t="s">
        <v>59</v>
      </c>
      <c r="E134" s="33"/>
    </row>
    <row r="135" customFormat="false" ht="15" hidden="false" customHeight="true" outlineLevel="0" collapsed="false">
      <c r="A135" s="33" t="s">
        <v>185</v>
      </c>
      <c r="B135" s="33" t="s">
        <v>16160</v>
      </c>
      <c r="C135" s="33" t="s">
        <v>454</v>
      </c>
      <c r="D135" s="33" t="s">
        <v>59</v>
      </c>
      <c r="E135" s="33"/>
    </row>
    <row r="136" customFormat="false" ht="15" hidden="false" customHeight="true" outlineLevel="0" collapsed="false">
      <c r="A136" s="33" t="s">
        <v>5732</v>
      </c>
      <c r="B136" s="33" t="s">
        <v>16160</v>
      </c>
      <c r="C136" s="33" t="s">
        <v>454</v>
      </c>
      <c r="D136" s="33" t="s">
        <v>59</v>
      </c>
      <c r="E136" s="33"/>
    </row>
    <row r="137" customFormat="false" ht="15" hidden="false" customHeight="true" outlineLevel="0" collapsed="false">
      <c r="A137" s="33" t="s">
        <v>5748</v>
      </c>
      <c r="B137" s="33" t="s">
        <v>16160</v>
      </c>
      <c r="C137" s="33" t="s">
        <v>454</v>
      </c>
      <c r="D137" s="33" t="s">
        <v>59</v>
      </c>
      <c r="E137" s="33"/>
    </row>
    <row r="138" customFormat="false" ht="15" hidden="false" customHeight="true" outlineLevel="0" collapsed="false">
      <c r="A138" s="33" t="s">
        <v>5748</v>
      </c>
      <c r="B138" s="33" t="s">
        <v>16160</v>
      </c>
      <c r="C138" s="33" t="s">
        <v>826</v>
      </c>
      <c r="D138" s="33" t="s">
        <v>59</v>
      </c>
      <c r="E138" s="33"/>
    </row>
    <row r="139" customFormat="false" ht="15" hidden="false" customHeight="true" outlineLevel="0" collapsed="false">
      <c r="A139" s="33" t="s">
        <v>468</v>
      </c>
      <c r="B139" s="33" t="s">
        <v>16160</v>
      </c>
      <c r="C139" s="33" t="s">
        <v>480</v>
      </c>
      <c r="D139" s="33" t="s">
        <v>59</v>
      </c>
      <c r="E139" s="33"/>
    </row>
    <row r="140" customFormat="false" ht="15" hidden="false" customHeight="true" outlineLevel="0" collapsed="false">
      <c r="A140" s="33" t="s">
        <v>492</v>
      </c>
      <c r="B140" s="33" t="s">
        <v>16160</v>
      </c>
      <c r="C140" s="33" t="s">
        <v>502</v>
      </c>
      <c r="D140" s="33" t="s">
        <v>59</v>
      </c>
      <c r="E140" s="33"/>
    </row>
    <row r="141" customFormat="false" ht="15" hidden="false" customHeight="true" outlineLevel="0" collapsed="false">
      <c r="A141" s="33" t="s">
        <v>5793</v>
      </c>
      <c r="B141" s="33" t="s">
        <v>16160</v>
      </c>
      <c r="C141" s="33" t="s">
        <v>1155</v>
      </c>
      <c r="D141" s="33" t="s">
        <v>59</v>
      </c>
      <c r="E141" s="33"/>
    </row>
    <row r="142" customFormat="false" ht="15" hidden="false" customHeight="true" outlineLevel="0" collapsed="false">
      <c r="A142" s="33" t="s">
        <v>527</v>
      </c>
      <c r="B142" s="33" t="s">
        <v>16160</v>
      </c>
      <c r="C142" s="33" t="s">
        <v>546</v>
      </c>
      <c r="D142" s="33" t="s">
        <v>59</v>
      </c>
      <c r="E142" s="33"/>
    </row>
    <row r="143" customFormat="false" ht="15" hidden="false" customHeight="true" outlineLevel="0" collapsed="false">
      <c r="A143" s="33" t="s">
        <v>527</v>
      </c>
      <c r="B143" s="33" t="s">
        <v>16160</v>
      </c>
      <c r="C143" s="33" t="s">
        <v>624</v>
      </c>
      <c r="D143" s="33" t="s">
        <v>59</v>
      </c>
      <c r="E143" s="33"/>
    </row>
    <row r="144" customFormat="false" ht="15" hidden="false" customHeight="true" outlineLevel="0" collapsed="false">
      <c r="A144" s="33" t="s">
        <v>527</v>
      </c>
      <c r="B144" s="33" t="s">
        <v>16160</v>
      </c>
      <c r="C144" s="33" t="s">
        <v>5841</v>
      </c>
      <c r="D144" s="33" t="s">
        <v>59</v>
      </c>
      <c r="E144" s="33"/>
    </row>
    <row r="145" customFormat="false" ht="15" hidden="false" customHeight="true" outlineLevel="0" collapsed="false">
      <c r="A145" s="33" t="s">
        <v>624</v>
      </c>
      <c r="B145" s="33" t="s">
        <v>16160</v>
      </c>
      <c r="C145" s="33" t="s">
        <v>641</v>
      </c>
      <c r="D145" s="33" t="s">
        <v>59</v>
      </c>
      <c r="E145" s="33"/>
    </row>
    <row r="146" customFormat="false" ht="15" hidden="false" customHeight="true" outlineLevel="0" collapsed="false">
      <c r="A146" s="33" t="s">
        <v>624</v>
      </c>
      <c r="B146" s="33" t="s">
        <v>16160</v>
      </c>
      <c r="C146" s="33" t="s">
        <v>6340</v>
      </c>
      <c r="D146" s="33" t="s">
        <v>59</v>
      </c>
      <c r="E146" s="33"/>
    </row>
    <row r="147" customFormat="false" ht="15" hidden="false" customHeight="true" outlineLevel="0" collapsed="false">
      <c r="A147" s="33" t="s">
        <v>624</v>
      </c>
      <c r="B147" s="33" t="s">
        <v>16160</v>
      </c>
      <c r="C147" s="33" t="s">
        <v>141</v>
      </c>
      <c r="D147" s="33" t="s">
        <v>59</v>
      </c>
      <c r="E147" s="33"/>
    </row>
    <row r="148" customFormat="false" ht="15" hidden="false" customHeight="true" outlineLevel="0" collapsed="false">
      <c r="A148" s="33" t="s">
        <v>641</v>
      </c>
      <c r="B148" s="33" t="s">
        <v>16160</v>
      </c>
      <c r="C148" s="33" t="s">
        <v>624</v>
      </c>
      <c r="D148" s="33" t="s">
        <v>59</v>
      </c>
      <c r="E148" s="33"/>
    </row>
    <row r="149" customFormat="false" ht="15" hidden="false" customHeight="true" outlineLevel="0" collapsed="false">
      <c r="A149" s="33" t="s">
        <v>656</v>
      </c>
      <c r="B149" s="33" t="s">
        <v>16160</v>
      </c>
      <c r="C149" s="33" t="s">
        <v>624</v>
      </c>
      <c r="D149" s="33" t="s">
        <v>59</v>
      </c>
      <c r="E149" s="33"/>
    </row>
    <row r="150" customFormat="false" ht="15" hidden="false" customHeight="true" outlineLevel="0" collapsed="false">
      <c r="A150" s="33" t="s">
        <v>656</v>
      </c>
      <c r="B150" s="33" t="s">
        <v>16160</v>
      </c>
      <c r="C150" s="33" t="s">
        <v>641</v>
      </c>
      <c r="D150" s="33" t="s">
        <v>59</v>
      </c>
      <c r="E150" s="33"/>
    </row>
    <row r="151" customFormat="false" ht="15" hidden="false" customHeight="true" outlineLevel="0" collapsed="false">
      <c r="A151" s="33" t="s">
        <v>683</v>
      </c>
      <c r="B151" s="33" t="s">
        <v>16160</v>
      </c>
      <c r="C151" s="33" t="s">
        <v>5858</v>
      </c>
      <c r="D151" s="33" t="s">
        <v>59</v>
      </c>
      <c r="E151" s="33"/>
    </row>
    <row r="152" customFormat="false" ht="15" hidden="false" customHeight="true" outlineLevel="0" collapsed="false">
      <c r="A152" s="33" t="s">
        <v>698</v>
      </c>
      <c r="B152" s="33" t="s">
        <v>16160</v>
      </c>
      <c r="C152" s="33" t="s">
        <v>711</v>
      </c>
      <c r="D152" s="33" t="s">
        <v>59</v>
      </c>
      <c r="E152" s="33"/>
    </row>
    <row r="153" customFormat="false" ht="15" hidden="false" customHeight="true" outlineLevel="0" collapsed="false">
      <c r="A153" s="33" t="s">
        <v>726</v>
      </c>
      <c r="B153" s="33" t="s">
        <v>16160</v>
      </c>
      <c r="C153" s="33" t="s">
        <v>740</v>
      </c>
      <c r="D153" s="33" t="s">
        <v>59</v>
      </c>
      <c r="E153" s="33"/>
    </row>
    <row r="154" customFormat="false" ht="15" hidden="false" customHeight="true" outlineLevel="0" collapsed="false">
      <c r="A154" s="33" t="s">
        <v>741</v>
      </c>
      <c r="B154" s="33" t="s">
        <v>16160</v>
      </c>
      <c r="C154" s="33" t="s">
        <v>5361</v>
      </c>
      <c r="D154" s="33" t="s">
        <v>59</v>
      </c>
      <c r="E154" s="33"/>
    </row>
    <row r="155" customFormat="false" ht="15" hidden="false" customHeight="true" outlineLevel="0" collapsed="false">
      <c r="A155" s="33" t="s">
        <v>741</v>
      </c>
      <c r="B155" s="33" t="s">
        <v>16160</v>
      </c>
      <c r="C155" s="33" t="s">
        <v>503</v>
      </c>
      <c r="D155" s="33" t="s">
        <v>59</v>
      </c>
      <c r="E155" s="33"/>
    </row>
    <row r="156" customFormat="false" ht="15" hidden="false" customHeight="true" outlineLevel="0" collapsed="false">
      <c r="A156" s="33" t="s">
        <v>851</v>
      </c>
      <c r="B156" s="33" t="s">
        <v>16160</v>
      </c>
      <c r="C156" s="33" t="s">
        <v>864</v>
      </c>
      <c r="D156" s="33" t="s">
        <v>59</v>
      </c>
      <c r="E156" s="33"/>
    </row>
    <row r="157" customFormat="false" ht="15" hidden="false" customHeight="true" outlineLevel="0" collapsed="false">
      <c r="A157" s="33" t="s">
        <v>865</v>
      </c>
      <c r="B157" s="33" t="s">
        <v>16160</v>
      </c>
      <c r="C157" s="33" t="s">
        <v>878</v>
      </c>
      <c r="D157" s="33" t="s">
        <v>59</v>
      </c>
      <c r="E157" s="33"/>
    </row>
    <row r="158" customFormat="false" ht="15" hidden="false" customHeight="true" outlineLevel="0" collapsed="false">
      <c r="A158" s="33" t="s">
        <v>5972</v>
      </c>
      <c r="B158" s="33" t="s">
        <v>16160</v>
      </c>
      <c r="C158" s="33" t="s">
        <v>5525</v>
      </c>
      <c r="D158" s="33" t="s">
        <v>59</v>
      </c>
      <c r="E158" s="33"/>
    </row>
    <row r="159" customFormat="false" ht="15" hidden="false" customHeight="true" outlineLevel="0" collapsed="false">
      <c r="A159" s="33" t="s">
        <v>901</v>
      </c>
      <c r="B159" s="33" t="s">
        <v>16160</v>
      </c>
      <c r="C159" s="33" t="s">
        <v>757</v>
      </c>
      <c r="D159" s="33" t="s">
        <v>59</v>
      </c>
      <c r="E159" s="33"/>
    </row>
    <row r="160" customFormat="false" ht="15" hidden="false" customHeight="true" outlineLevel="0" collapsed="false">
      <c r="A160" s="33" t="s">
        <v>864</v>
      </c>
      <c r="B160" s="33" t="s">
        <v>16160</v>
      </c>
      <c r="C160" s="33" t="s">
        <v>6015</v>
      </c>
      <c r="D160" s="33" t="s">
        <v>59</v>
      </c>
      <c r="E160" s="33"/>
    </row>
    <row r="161" customFormat="false" ht="15" hidden="false" customHeight="true" outlineLevel="0" collapsed="false">
      <c r="A161" s="33" t="s">
        <v>942</v>
      </c>
      <c r="B161" s="33" t="s">
        <v>16160</v>
      </c>
      <c r="C161" s="33" t="s">
        <v>6043</v>
      </c>
      <c r="D161" s="33" t="s">
        <v>59</v>
      </c>
      <c r="E161" s="33"/>
    </row>
    <row r="162" customFormat="false" ht="15" hidden="false" customHeight="true" outlineLevel="0" collapsed="false">
      <c r="A162" s="33" t="s">
        <v>6015</v>
      </c>
      <c r="B162" s="33" t="s">
        <v>16160</v>
      </c>
      <c r="C162" s="33" t="s">
        <v>864</v>
      </c>
      <c r="D162" s="33" t="s">
        <v>59</v>
      </c>
      <c r="E162" s="33"/>
    </row>
    <row r="163" customFormat="false" ht="15" hidden="false" customHeight="true" outlineLevel="0" collapsed="false">
      <c r="A163" s="33" t="s">
        <v>6030</v>
      </c>
      <c r="B163" s="33" t="s">
        <v>16160</v>
      </c>
      <c r="C163" s="33" t="s">
        <v>864</v>
      </c>
      <c r="D163" s="33" t="s">
        <v>59</v>
      </c>
      <c r="E163" s="33"/>
    </row>
    <row r="164" customFormat="false" ht="15" hidden="false" customHeight="true" outlineLevel="0" collapsed="false">
      <c r="A164" s="33" t="s">
        <v>957</v>
      </c>
      <c r="B164" s="33" t="s">
        <v>16160</v>
      </c>
      <c r="C164" s="33" t="s">
        <v>864</v>
      </c>
      <c r="D164" s="33" t="s">
        <v>59</v>
      </c>
      <c r="E164" s="33"/>
    </row>
    <row r="165" customFormat="false" ht="15" hidden="false" customHeight="true" outlineLevel="0" collapsed="false">
      <c r="A165" s="33" t="s">
        <v>6054</v>
      </c>
      <c r="B165" s="33" t="s">
        <v>16160</v>
      </c>
      <c r="C165" s="33" t="s">
        <v>864</v>
      </c>
      <c r="D165" s="33" t="s">
        <v>59</v>
      </c>
      <c r="E165" s="33"/>
    </row>
    <row r="166" customFormat="false" ht="15" hidden="false" customHeight="true" outlineLevel="0" collapsed="false">
      <c r="A166" s="33" t="s">
        <v>6068</v>
      </c>
      <c r="B166" s="33" t="s">
        <v>16160</v>
      </c>
      <c r="C166" s="33" t="s">
        <v>864</v>
      </c>
      <c r="D166" s="33" t="s">
        <v>59</v>
      </c>
      <c r="E166" s="33"/>
    </row>
    <row r="167" customFormat="false" ht="15" hidden="false" customHeight="true" outlineLevel="0" collapsed="false">
      <c r="A167" s="33" t="s">
        <v>6111</v>
      </c>
      <c r="B167" s="33" t="s">
        <v>16160</v>
      </c>
      <c r="C167" s="33" t="s">
        <v>130</v>
      </c>
      <c r="D167" s="33" t="s">
        <v>59</v>
      </c>
      <c r="E167" s="33"/>
    </row>
    <row r="168" customFormat="false" ht="15" hidden="false" customHeight="true" outlineLevel="0" collapsed="false">
      <c r="A168" s="33" t="s">
        <v>6111</v>
      </c>
      <c r="B168" s="33" t="s">
        <v>16160</v>
      </c>
      <c r="C168" s="33" t="s">
        <v>6096</v>
      </c>
      <c r="D168" s="33" t="s">
        <v>59</v>
      </c>
      <c r="E168" s="33"/>
    </row>
    <row r="169" customFormat="false" ht="15" hidden="false" customHeight="true" outlineLevel="0" collapsed="false">
      <c r="A169" s="33" t="s">
        <v>1012</v>
      </c>
      <c r="B169" s="33" t="s">
        <v>16160</v>
      </c>
      <c r="C169" s="33" t="s">
        <v>579</v>
      </c>
      <c r="D169" s="33" t="s">
        <v>59</v>
      </c>
      <c r="E169" s="33"/>
    </row>
    <row r="170" customFormat="false" ht="15" hidden="false" customHeight="true" outlineLevel="0" collapsed="false">
      <c r="A170" s="33" t="s">
        <v>1012</v>
      </c>
      <c r="B170" s="33" t="s">
        <v>16160</v>
      </c>
      <c r="C170" s="33" t="s">
        <v>999</v>
      </c>
      <c r="D170" s="33" t="s">
        <v>59</v>
      </c>
      <c r="E170" s="33"/>
    </row>
    <row r="171" customFormat="false" ht="15" hidden="false" customHeight="true" outlineLevel="0" collapsed="false">
      <c r="A171" s="33" t="s">
        <v>6123</v>
      </c>
      <c r="B171" s="33" t="s">
        <v>16160</v>
      </c>
      <c r="C171" s="33" t="s">
        <v>999</v>
      </c>
      <c r="D171" s="33" t="s">
        <v>59</v>
      </c>
      <c r="E171" s="33"/>
    </row>
    <row r="172" customFormat="false" ht="15" hidden="false" customHeight="true" outlineLevel="0" collapsed="false">
      <c r="A172" s="33" t="s">
        <v>1065</v>
      </c>
      <c r="B172" s="33" t="s">
        <v>16160</v>
      </c>
      <c r="C172" s="33" t="s">
        <v>229</v>
      </c>
      <c r="D172" s="33" t="s">
        <v>59</v>
      </c>
      <c r="E172" s="33"/>
    </row>
    <row r="173" customFormat="false" ht="15" hidden="false" customHeight="true" outlineLevel="0" collapsed="false">
      <c r="A173" s="33" t="s">
        <v>6149</v>
      </c>
      <c r="B173" s="33" t="s">
        <v>16160</v>
      </c>
      <c r="C173" s="33" t="s">
        <v>6136</v>
      </c>
      <c r="D173" s="33" t="s">
        <v>59</v>
      </c>
      <c r="E173" s="33"/>
    </row>
    <row r="174" customFormat="false" ht="15" hidden="false" customHeight="true" outlineLevel="0" collapsed="false">
      <c r="A174" s="33" t="s">
        <v>6176</v>
      </c>
      <c r="B174" s="33" t="s">
        <v>16160</v>
      </c>
      <c r="C174" s="33" t="s">
        <v>6136</v>
      </c>
      <c r="D174" s="33" t="s">
        <v>59</v>
      </c>
      <c r="E174" s="33"/>
    </row>
    <row r="175" customFormat="false" ht="15" hidden="false" customHeight="true" outlineLevel="0" collapsed="false">
      <c r="A175" s="33" t="s">
        <v>878</v>
      </c>
      <c r="B175" s="33" t="s">
        <v>16160</v>
      </c>
      <c r="C175" s="33" t="s">
        <v>865</v>
      </c>
      <c r="D175" s="33" t="s">
        <v>59</v>
      </c>
      <c r="E175" s="33"/>
    </row>
    <row r="176" customFormat="false" ht="15" hidden="false" customHeight="true" outlineLevel="0" collapsed="false">
      <c r="A176" s="33" t="s">
        <v>1100</v>
      </c>
      <c r="B176" s="33" t="s">
        <v>16160</v>
      </c>
      <c r="C176" s="33" t="s">
        <v>244</v>
      </c>
      <c r="D176" s="33" t="s">
        <v>59</v>
      </c>
      <c r="E176" s="33"/>
    </row>
    <row r="177" customFormat="false" ht="15" hidden="false" customHeight="true" outlineLevel="0" collapsed="false">
      <c r="A177" s="33" t="s">
        <v>1114</v>
      </c>
      <c r="B177" s="33" t="s">
        <v>16160</v>
      </c>
      <c r="C177" s="33" t="s">
        <v>5888</v>
      </c>
      <c r="D177" s="33" t="s">
        <v>59</v>
      </c>
      <c r="E177" s="33"/>
    </row>
    <row r="178" customFormat="false" ht="15" hidden="false" customHeight="true" outlineLevel="0" collapsed="false">
      <c r="A178" s="33" t="s">
        <v>408</v>
      </c>
      <c r="B178" s="33" t="s">
        <v>16160</v>
      </c>
      <c r="C178" s="33" t="s">
        <v>5440</v>
      </c>
      <c r="D178" s="33" t="s">
        <v>59</v>
      </c>
      <c r="E178" s="33"/>
    </row>
    <row r="179" customFormat="false" ht="15" hidden="false" customHeight="true" outlineLevel="0" collapsed="false">
      <c r="A179" s="33" t="s">
        <v>408</v>
      </c>
      <c r="B179" s="33" t="s">
        <v>16160</v>
      </c>
      <c r="C179" s="33" t="s">
        <v>297</v>
      </c>
      <c r="D179" s="33" t="s">
        <v>59</v>
      </c>
      <c r="E179" s="33"/>
    </row>
    <row r="180" customFormat="false" ht="15" hidden="false" customHeight="true" outlineLevel="0" collapsed="false">
      <c r="A180" s="33" t="s">
        <v>408</v>
      </c>
      <c r="B180" s="33" t="s">
        <v>16160</v>
      </c>
      <c r="C180" s="33" t="s">
        <v>1140</v>
      </c>
      <c r="D180" s="33" t="s">
        <v>59</v>
      </c>
      <c r="E180" s="33"/>
    </row>
    <row r="181" customFormat="false" ht="15" hidden="false" customHeight="true" outlineLevel="0" collapsed="false">
      <c r="A181" s="33" t="s">
        <v>6244</v>
      </c>
      <c r="B181" s="33" t="s">
        <v>16160</v>
      </c>
      <c r="C181" s="33" t="s">
        <v>5793</v>
      </c>
      <c r="D181" s="33" t="s">
        <v>59</v>
      </c>
      <c r="E181" s="33"/>
    </row>
    <row r="182" customFormat="false" ht="15" hidden="false" customHeight="true" outlineLevel="0" collapsed="false">
      <c r="A182" s="33" t="s">
        <v>6244</v>
      </c>
      <c r="B182" s="33" t="s">
        <v>16160</v>
      </c>
      <c r="C182" s="33" t="s">
        <v>2451</v>
      </c>
      <c r="D182" s="33" t="s">
        <v>59</v>
      </c>
      <c r="E182" s="33"/>
    </row>
    <row r="183" customFormat="false" ht="15" hidden="false" customHeight="true" outlineLevel="0" collapsed="false">
      <c r="A183" s="33" t="s">
        <v>480</v>
      </c>
      <c r="B183" s="33" t="s">
        <v>16160</v>
      </c>
      <c r="C183" s="33" t="s">
        <v>454</v>
      </c>
      <c r="D183" s="33" t="s">
        <v>59</v>
      </c>
      <c r="E183" s="33"/>
    </row>
    <row r="184" customFormat="false" ht="15" hidden="false" customHeight="true" outlineLevel="0" collapsed="false">
      <c r="A184" s="33" t="s">
        <v>1180</v>
      </c>
      <c r="B184" s="33" t="s">
        <v>16160</v>
      </c>
      <c r="C184" s="33" t="s">
        <v>1192</v>
      </c>
      <c r="D184" s="33" t="s">
        <v>59</v>
      </c>
      <c r="E184" s="33"/>
    </row>
    <row r="185" customFormat="false" ht="15" hidden="false" customHeight="true" outlineLevel="0" collapsed="false">
      <c r="A185" s="33" t="s">
        <v>1228</v>
      </c>
      <c r="B185" s="33" t="s">
        <v>16160</v>
      </c>
      <c r="C185" s="33" t="s">
        <v>185</v>
      </c>
      <c r="D185" s="33" t="s">
        <v>59</v>
      </c>
      <c r="E185" s="33"/>
    </row>
    <row r="186" customFormat="false" ht="15" hidden="false" customHeight="true" outlineLevel="0" collapsed="false">
      <c r="A186" s="33" t="s">
        <v>1228</v>
      </c>
      <c r="B186" s="33" t="s">
        <v>16160</v>
      </c>
      <c r="C186" s="33" t="s">
        <v>1216</v>
      </c>
      <c r="D186" s="33" t="s">
        <v>59</v>
      </c>
      <c r="E186" s="33"/>
    </row>
    <row r="187" customFormat="false" ht="15" hidden="false" customHeight="true" outlineLevel="0" collapsed="false">
      <c r="A187" s="33" t="s">
        <v>1242</v>
      </c>
      <c r="B187" s="33" t="s">
        <v>16160</v>
      </c>
      <c r="C187" s="33" t="s">
        <v>114</v>
      </c>
      <c r="D187" s="33" t="s">
        <v>59</v>
      </c>
      <c r="E187" s="33"/>
    </row>
    <row r="188" customFormat="false" ht="15" hidden="false" customHeight="true" outlineLevel="0" collapsed="false">
      <c r="A188" s="33" t="s">
        <v>1242</v>
      </c>
      <c r="B188" s="33" t="s">
        <v>16160</v>
      </c>
      <c r="C188" s="33" t="s">
        <v>1255</v>
      </c>
      <c r="D188" s="33" t="s">
        <v>59</v>
      </c>
      <c r="E188" s="33"/>
    </row>
    <row r="189" customFormat="false" ht="15" hidden="false" customHeight="true" outlineLevel="0" collapsed="false">
      <c r="A189" s="33" t="s">
        <v>1255</v>
      </c>
      <c r="B189" s="33" t="s">
        <v>16160</v>
      </c>
      <c r="C189" s="33" t="s">
        <v>1242</v>
      </c>
      <c r="D189" s="33" t="s">
        <v>59</v>
      </c>
      <c r="E189" s="33"/>
    </row>
    <row r="190" customFormat="false" ht="15" hidden="false" customHeight="true" outlineLevel="0" collapsed="false">
      <c r="A190" s="33" t="s">
        <v>1255</v>
      </c>
      <c r="B190" s="33" t="s">
        <v>16160</v>
      </c>
      <c r="C190" s="33" t="s">
        <v>141</v>
      </c>
      <c r="D190" s="33" t="s">
        <v>59</v>
      </c>
      <c r="E190" s="33"/>
    </row>
    <row r="191" customFormat="false" ht="15" hidden="false" customHeight="true" outlineLevel="0" collapsed="false">
      <c r="A191" s="33" t="s">
        <v>1289</v>
      </c>
      <c r="B191" s="33" t="s">
        <v>16160</v>
      </c>
      <c r="C191" s="33" t="s">
        <v>409</v>
      </c>
      <c r="D191" s="33" t="s">
        <v>59</v>
      </c>
      <c r="E191" s="33"/>
    </row>
    <row r="192" customFormat="false" ht="15" hidden="false" customHeight="true" outlineLevel="0" collapsed="false">
      <c r="A192" s="33" t="s">
        <v>6382</v>
      </c>
      <c r="B192" s="33" t="s">
        <v>16160</v>
      </c>
      <c r="C192" s="33" t="s">
        <v>95</v>
      </c>
      <c r="D192" s="33" t="s">
        <v>59</v>
      </c>
      <c r="E192" s="33"/>
    </row>
    <row r="193" customFormat="false" ht="15" hidden="false" customHeight="true" outlineLevel="0" collapsed="false">
      <c r="A193" s="33" t="s">
        <v>6382</v>
      </c>
      <c r="B193" s="33" t="s">
        <v>16160</v>
      </c>
      <c r="C193" s="33" t="s">
        <v>1278</v>
      </c>
      <c r="D193" s="33" t="s">
        <v>59</v>
      </c>
      <c r="E193" s="33"/>
    </row>
    <row r="194" customFormat="false" ht="15" hidden="false" customHeight="true" outlineLevel="0" collapsed="false">
      <c r="A194" s="33" t="s">
        <v>8486</v>
      </c>
      <c r="B194" s="33" t="s">
        <v>16161</v>
      </c>
      <c r="C194" s="33" t="s">
        <v>4503</v>
      </c>
      <c r="D194" s="33" t="s">
        <v>50</v>
      </c>
      <c r="E194" s="33" t="s">
        <v>16162</v>
      </c>
    </row>
    <row r="195" customFormat="false" ht="15" hidden="false" customHeight="true" outlineLevel="0" collapsed="false">
      <c r="A195" s="33" t="s">
        <v>8486</v>
      </c>
      <c r="B195" s="33" t="s">
        <v>16161</v>
      </c>
      <c r="C195" s="33" t="s">
        <v>4732</v>
      </c>
      <c r="D195" s="33" t="s">
        <v>50</v>
      </c>
      <c r="E195" s="33" t="s">
        <v>16162</v>
      </c>
    </row>
    <row r="196" customFormat="false" ht="15" hidden="false" customHeight="true" outlineLevel="0" collapsed="false">
      <c r="A196" s="33" t="s">
        <v>8486</v>
      </c>
      <c r="B196" s="33" t="s">
        <v>16161</v>
      </c>
      <c r="C196" s="33" t="s">
        <v>683</v>
      </c>
      <c r="D196" s="33" t="s">
        <v>50</v>
      </c>
      <c r="E196" s="33" t="s">
        <v>16162</v>
      </c>
    </row>
    <row r="197" customFormat="false" ht="15" hidden="false" customHeight="true" outlineLevel="0" collapsed="false">
      <c r="A197" s="33" t="s">
        <v>8486</v>
      </c>
      <c r="B197" s="33" t="s">
        <v>16161</v>
      </c>
      <c r="C197" s="33" t="s">
        <v>5876</v>
      </c>
      <c r="D197" s="33" t="s">
        <v>50</v>
      </c>
      <c r="E197" s="33" t="s">
        <v>16162</v>
      </c>
    </row>
    <row r="198" customFormat="false" ht="15" hidden="false" customHeight="true" outlineLevel="0" collapsed="false">
      <c r="A198" s="33" t="s">
        <v>8504</v>
      </c>
      <c r="B198" s="33" t="s">
        <v>16161</v>
      </c>
      <c r="C198" s="33" t="s">
        <v>4687</v>
      </c>
      <c r="D198" s="33" t="s">
        <v>52</v>
      </c>
      <c r="E198" s="33" t="s">
        <v>16162</v>
      </c>
    </row>
    <row r="199" customFormat="false" ht="15" hidden="false" customHeight="true" outlineLevel="0" collapsed="false">
      <c r="A199" s="33" t="s">
        <v>8504</v>
      </c>
      <c r="B199" s="33" t="s">
        <v>16161</v>
      </c>
      <c r="C199" s="33" t="s">
        <v>6096</v>
      </c>
      <c r="D199" s="33" t="s">
        <v>52</v>
      </c>
      <c r="E199" s="33" t="s">
        <v>16162</v>
      </c>
    </row>
    <row r="200" customFormat="false" ht="15" hidden="false" customHeight="true" outlineLevel="0" collapsed="false">
      <c r="A200" s="33" t="s">
        <v>8533</v>
      </c>
      <c r="B200" s="33" t="s">
        <v>16161</v>
      </c>
      <c r="C200" s="33" t="s">
        <v>826</v>
      </c>
      <c r="D200" s="33" t="s">
        <v>50</v>
      </c>
      <c r="E200" s="33" t="s">
        <v>16162</v>
      </c>
    </row>
    <row r="201" customFormat="false" ht="15" hidden="false" customHeight="true" outlineLevel="0" collapsed="false">
      <c r="A201" s="33" t="s">
        <v>8533</v>
      </c>
      <c r="B201" s="33" t="s">
        <v>16161</v>
      </c>
      <c r="C201" s="33" t="s">
        <v>4095</v>
      </c>
      <c r="D201" s="33" t="s">
        <v>50</v>
      </c>
      <c r="E201" s="33" t="s">
        <v>16162</v>
      </c>
    </row>
    <row r="202" customFormat="false" ht="15" hidden="false" customHeight="true" outlineLevel="0" collapsed="false">
      <c r="A202" s="33" t="s">
        <v>8533</v>
      </c>
      <c r="B202" s="33" t="s">
        <v>16161</v>
      </c>
      <c r="C202" s="33" t="s">
        <v>7825</v>
      </c>
      <c r="D202" s="33" t="s">
        <v>50</v>
      </c>
      <c r="E202" s="33" t="s">
        <v>16162</v>
      </c>
    </row>
    <row r="203" customFormat="false" ht="15" hidden="false" customHeight="true" outlineLevel="0" collapsed="false">
      <c r="A203" s="33" t="s">
        <v>8533</v>
      </c>
      <c r="B203" s="33" t="s">
        <v>16161</v>
      </c>
      <c r="C203" s="33" t="s">
        <v>7055</v>
      </c>
      <c r="D203" s="33" t="s">
        <v>50</v>
      </c>
      <c r="E203" s="33" t="s">
        <v>16162</v>
      </c>
    </row>
    <row r="204" customFormat="false" ht="15" hidden="false" customHeight="true" outlineLevel="0" collapsed="false">
      <c r="A204" s="33" t="s">
        <v>8533</v>
      </c>
      <c r="B204" s="33" t="s">
        <v>16161</v>
      </c>
      <c r="C204" s="33" t="s">
        <v>1960</v>
      </c>
      <c r="D204" s="33" t="s">
        <v>50</v>
      </c>
      <c r="E204" s="33" t="s">
        <v>16162</v>
      </c>
    </row>
    <row r="205" customFormat="false" ht="15" hidden="false" customHeight="true" outlineLevel="0" collapsed="false">
      <c r="A205" s="33" t="s">
        <v>8533</v>
      </c>
      <c r="B205" s="33" t="s">
        <v>16161</v>
      </c>
      <c r="C205" s="33" t="s">
        <v>7281</v>
      </c>
      <c r="D205" s="33" t="s">
        <v>50</v>
      </c>
      <c r="E205" s="33" t="s">
        <v>16162</v>
      </c>
    </row>
    <row r="206" customFormat="false" ht="15" hidden="false" customHeight="true" outlineLevel="0" collapsed="false">
      <c r="A206" s="33" t="s">
        <v>8592</v>
      </c>
      <c r="B206" s="33" t="s">
        <v>16161</v>
      </c>
      <c r="C206" s="33" t="s">
        <v>6244</v>
      </c>
      <c r="D206" s="33" t="s">
        <v>58</v>
      </c>
      <c r="E206" s="33" t="s">
        <v>16162</v>
      </c>
    </row>
    <row r="207" customFormat="false" ht="15" hidden="false" customHeight="true" outlineLevel="0" collapsed="false">
      <c r="A207" s="33" t="s">
        <v>8592</v>
      </c>
      <c r="B207" s="33" t="s">
        <v>16161</v>
      </c>
      <c r="C207" s="33" t="s">
        <v>2429</v>
      </c>
      <c r="D207" s="33" t="s">
        <v>58</v>
      </c>
      <c r="E207" s="33" t="s">
        <v>16162</v>
      </c>
    </row>
    <row r="208" customFormat="false" ht="15" hidden="false" customHeight="true" outlineLevel="0" collapsed="false">
      <c r="A208" s="33" t="s">
        <v>8592</v>
      </c>
      <c r="B208" s="33" t="s">
        <v>16161</v>
      </c>
      <c r="C208" s="33" t="s">
        <v>2441</v>
      </c>
      <c r="D208" s="33" t="s">
        <v>58</v>
      </c>
      <c r="E208" s="33" t="s">
        <v>16162</v>
      </c>
    </row>
    <row r="209" customFormat="false" ht="15" hidden="false" customHeight="true" outlineLevel="0" collapsed="false">
      <c r="A209" s="33" t="s">
        <v>8592</v>
      </c>
      <c r="B209" s="33" t="s">
        <v>16161</v>
      </c>
      <c r="C209" s="33" t="s">
        <v>6501</v>
      </c>
      <c r="D209" s="33" t="s">
        <v>58</v>
      </c>
      <c r="E209" s="33" t="s">
        <v>16162</v>
      </c>
    </row>
    <row r="210" customFormat="false" ht="15" hidden="false" customHeight="true" outlineLevel="0" collapsed="false">
      <c r="A210" s="33" t="s">
        <v>8592</v>
      </c>
      <c r="B210" s="33" t="s">
        <v>16161</v>
      </c>
      <c r="C210" s="33" t="s">
        <v>6519</v>
      </c>
      <c r="D210" s="33" t="s">
        <v>58</v>
      </c>
      <c r="E210" s="33" t="s">
        <v>16162</v>
      </c>
    </row>
    <row r="211" customFormat="false" ht="15" hidden="false" customHeight="true" outlineLevel="0" collapsed="false">
      <c r="A211" s="33" t="s">
        <v>3478</v>
      </c>
      <c r="B211" s="33" t="s">
        <v>16160</v>
      </c>
      <c r="C211" s="33" t="s">
        <v>1383</v>
      </c>
      <c r="D211" s="33" t="s">
        <v>59</v>
      </c>
      <c r="E211" s="33"/>
    </row>
    <row r="212" customFormat="false" ht="15" hidden="false" customHeight="true" outlineLevel="0" collapsed="false">
      <c r="A212" s="33" t="s">
        <v>3623</v>
      </c>
      <c r="B212" s="33" t="s">
        <v>16160</v>
      </c>
      <c r="C212" s="33" t="s">
        <v>1539</v>
      </c>
      <c r="D212" s="33" t="s">
        <v>59</v>
      </c>
      <c r="E212" s="33"/>
    </row>
    <row r="213" customFormat="false" ht="15" hidden="false" customHeight="true" outlineLevel="0" collapsed="false">
      <c r="A213" s="33" t="s">
        <v>3649</v>
      </c>
      <c r="B213" s="33" t="s">
        <v>16160</v>
      </c>
      <c r="C213" s="33" t="s">
        <v>3663</v>
      </c>
      <c r="D213" s="33" t="s">
        <v>50</v>
      </c>
      <c r="E213" s="33"/>
    </row>
    <row r="214" customFormat="false" ht="15" hidden="false" customHeight="true" outlineLevel="0" collapsed="false">
      <c r="A214" s="33" t="s">
        <v>3703</v>
      </c>
      <c r="B214" s="33" t="s">
        <v>16160</v>
      </c>
      <c r="C214" s="33" t="s">
        <v>1831</v>
      </c>
      <c r="D214" s="33" t="s">
        <v>50</v>
      </c>
      <c r="E214" s="33"/>
    </row>
    <row r="215" customFormat="false" ht="15" hidden="false" customHeight="true" outlineLevel="0" collapsed="false">
      <c r="A215" s="33" t="s">
        <v>3729</v>
      </c>
      <c r="B215" s="33" t="s">
        <v>16160</v>
      </c>
      <c r="C215" s="33" t="s">
        <v>6652</v>
      </c>
      <c r="D215" s="33" t="s">
        <v>50</v>
      </c>
      <c r="E215" s="33"/>
    </row>
    <row r="216" customFormat="false" ht="15" hidden="false" customHeight="true" outlineLevel="0" collapsed="false">
      <c r="A216" s="33" t="s">
        <v>3729</v>
      </c>
      <c r="B216" s="33" t="s">
        <v>16160</v>
      </c>
      <c r="C216" s="33" t="s">
        <v>1831</v>
      </c>
      <c r="D216" s="33" t="s">
        <v>50</v>
      </c>
      <c r="E216" s="33"/>
    </row>
    <row r="217" customFormat="false" ht="15" hidden="false" customHeight="true" outlineLevel="0" collapsed="false">
      <c r="A217" s="33" t="s">
        <v>3729</v>
      </c>
      <c r="B217" s="33" t="s">
        <v>16160</v>
      </c>
      <c r="C217" s="33" t="s">
        <v>1909</v>
      </c>
      <c r="D217" s="33" t="s">
        <v>50</v>
      </c>
      <c r="E217" s="33"/>
    </row>
    <row r="218" customFormat="false" ht="15" hidden="false" customHeight="true" outlineLevel="0" collapsed="false">
      <c r="A218" s="33" t="s">
        <v>3984</v>
      </c>
      <c r="B218" s="33" t="s">
        <v>16160</v>
      </c>
      <c r="C218" s="33" t="s">
        <v>1819</v>
      </c>
      <c r="D218" s="33" t="s">
        <v>50</v>
      </c>
      <c r="E218" s="33"/>
    </row>
    <row r="219" customFormat="false" ht="15" hidden="false" customHeight="true" outlineLevel="0" collapsed="false">
      <c r="A219" s="33" t="s">
        <v>4051</v>
      </c>
      <c r="B219" s="33" t="s">
        <v>16160</v>
      </c>
      <c r="C219" s="33" t="s">
        <v>2441</v>
      </c>
      <c r="D219" s="33" t="s">
        <v>50</v>
      </c>
      <c r="E219" s="33"/>
    </row>
    <row r="220" customFormat="false" ht="15" hidden="false" customHeight="true" outlineLevel="0" collapsed="false">
      <c r="A220" s="33" t="s">
        <v>4217</v>
      </c>
      <c r="B220" s="33" t="s">
        <v>16160</v>
      </c>
      <c r="C220" s="33" t="s">
        <v>4228</v>
      </c>
      <c r="D220" s="33" t="s">
        <v>50</v>
      </c>
      <c r="E220" s="33"/>
    </row>
    <row r="221" customFormat="false" ht="15" hidden="false" customHeight="true" outlineLevel="0" collapsed="false">
      <c r="A221" s="33" t="s">
        <v>8608</v>
      </c>
      <c r="B221" s="33" t="s">
        <v>16161</v>
      </c>
      <c r="C221" s="33" t="s">
        <v>4687</v>
      </c>
      <c r="D221" s="33" t="s">
        <v>58</v>
      </c>
      <c r="E221" s="33" t="s">
        <v>16162</v>
      </c>
    </row>
    <row r="222" customFormat="false" ht="15" hidden="false" customHeight="true" outlineLevel="0" collapsed="false">
      <c r="A222" s="33" t="s">
        <v>8608</v>
      </c>
      <c r="B222" s="33" t="s">
        <v>16161</v>
      </c>
      <c r="C222" s="33" t="s">
        <v>3458</v>
      </c>
      <c r="D222" s="33" t="s">
        <v>58</v>
      </c>
      <c r="E222" s="33" t="s">
        <v>16162</v>
      </c>
    </row>
    <row r="223" customFormat="false" ht="15" hidden="false" customHeight="true" outlineLevel="0" collapsed="false">
      <c r="A223" s="33" t="s">
        <v>8608</v>
      </c>
      <c r="B223" s="33" t="s">
        <v>16161</v>
      </c>
      <c r="C223" s="33" t="s">
        <v>6592</v>
      </c>
      <c r="D223" s="33" t="s">
        <v>58</v>
      </c>
      <c r="E223" s="33" t="s">
        <v>16162</v>
      </c>
    </row>
    <row r="224" customFormat="false" ht="15" hidden="false" customHeight="true" outlineLevel="0" collapsed="false">
      <c r="A224" s="33" t="s">
        <v>2441</v>
      </c>
      <c r="B224" s="33" t="s">
        <v>16161</v>
      </c>
      <c r="C224" s="33" t="s">
        <v>2451</v>
      </c>
      <c r="D224" s="33" t="s">
        <v>51</v>
      </c>
      <c r="E224" s="33" t="s">
        <v>16162</v>
      </c>
    </row>
    <row r="225" customFormat="false" ht="15" hidden="false" customHeight="true" outlineLevel="0" collapsed="false">
      <c r="A225" s="33" t="s">
        <v>2593</v>
      </c>
      <c r="B225" s="33" t="s">
        <v>16160</v>
      </c>
      <c r="C225" s="33" t="s">
        <v>2604</v>
      </c>
      <c r="D225" s="33" t="s">
        <v>51</v>
      </c>
      <c r="E225" s="33"/>
    </row>
    <row r="226" customFormat="false" ht="15" hidden="false" customHeight="true" outlineLevel="0" collapsed="false">
      <c r="A226" s="33" t="s">
        <v>2633</v>
      </c>
      <c r="B226" s="33" t="s">
        <v>16160</v>
      </c>
      <c r="C226" s="33" t="s">
        <v>2644</v>
      </c>
      <c r="D226" s="33" t="s">
        <v>57</v>
      </c>
      <c r="E226" s="33"/>
    </row>
    <row r="227" customFormat="false" ht="15" hidden="false" customHeight="true" outlineLevel="0" collapsed="false">
      <c r="A227" s="33" t="s">
        <v>2633</v>
      </c>
      <c r="B227" s="33" t="s">
        <v>16160</v>
      </c>
      <c r="C227" s="33" t="s">
        <v>7944</v>
      </c>
      <c r="D227" s="33" t="s">
        <v>57</v>
      </c>
      <c r="E227" s="33"/>
    </row>
    <row r="228" customFormat="false" ht="15" hidden="false" customHeight="true" outlineLevel="0" collapsed="false">
      <c r="A228" s="33" t="s">
        <v>7872</v>
      </c>
      <c r="B228" s="33" t="s">
        <v>16160</v>
      </c>
      <c r="C228" s="33" t="s">
        <v>7857</v>
      </c>
      <c r="D228" s="33" t="s">
        <v>50</v>
      </c>
      <c r="E228" s="33"/>
    </row>
    <row r="229" customFormat="false" ht="15" hidden="false" customHeight="true" outlineLevel="0" collapsed="false">
      <c r="A229" s="33" t="s">
        <v>2644</v>
      </c>
      <c r="B229" s="33" t="s">
        <v>16160</v>
      </c>
      <c r="C229" s="33" t="s">
        <v>2656</v>
      </c>
      <c r="D229" s="33" t="s">
        <v>57</v>
      </c>
      <c r="E229" s="33"/>
    </row>
    <row r="230" customFormat="false" ht="15" hidden="false" customHeight="true" outlineLevel="0" collapsed="false">
      <c r="A230" s="33" t="s">
        <v>2689</v>
      </c>
      <c r="B230" s="33" t="s">
        <v>16160</v>
      </c>
      <c r="C230" s="33" t="s">
        <v>2656</v>
      </c>
      <c r="D230" s="33" t="s">
        <v>50</v>
      </c>
      <c r="E230" s="33"/>
    </row>
    <row r="231" customFormat="false" ht="15" hidden="false" customHeight="true" outlineLevel="0" collapsed="false">
      <c r="A231" s="33" t="s">
        <v>2699</v>
      </c>
      <c r="B231" s="33" t="s">
        <v>16160</v>
      </c>
      <c r="C231" s="33" t="s">
        <v>2710</v>
      </c>
      <c r="D231" s="33" t="s">
        <v>57</v>
      </c>
      <c r="E231" s="33"/>
    </row>
    <row r="232" customFormat="false" ht="15" hidden="false" customHeight="true" outlineLevel="0" collapsed="false">
      <c r="A232" s="33" t="s">
        <v>2730</v>
      </c>
      <c r="B232" s="33" t="s">
        <v>16160</v>
      </c>
      <c r="C232" s="33" t="s">
        <v>2742</v>
      </c>
      <c r="D232" s="33" t="s">
        <v>50</v>
      </c>
      <c r="E232" s="33"/>
    </row>
    <row r="233" customFormat="false" ht="15" hidden="false" customHeight="true" outlineLevel="0" collapsed="false">
      <c r="A233" s="33" t="s">
        <v>2742</v>
      </c>
      <c r="B233" s="33" t="s">
        <v>16160</v>
      </c>
      <c r="C233" s="33" t="s">
        <v>2644</v>
      </c>
      <c r="D233" s="33" t="s">
        <v>50</v>
      </c>
      <c r="E233" s="33"/>
    </row>
    <row r="234" customFormat="false" ht="15" hidden="false" customHeight="true" outlineLevel="0" collapsed="false">
      <c r="A234" s="33" t="s">
        <v>2752</v>
      </c>
      <c r="B234" s="33" t="s">
        <v>16160</v>
      </c>
      <c r="C234" s="33" t="s">
        <v>2763</v>
      </c>
      <c r="D234" s="33" t="s">
        <v>59</v>
      </c>
      <c r="E234" s="33"/>
    </row>
    <row r="235" customFormat="false" ht="15" hidden="false" customHeight="true" outlineLevel="0" collapsed="false">
      <c r="A235" s="33" t="s">
        <v>8041</v>
      </c>
      <c r="B235" s="33" t="s">
        <v>16160</v>
      </c>
      <c r="C235" s="33" t="s">
        <v>8055</v>
      </c>
      <c r="D235" s="33" t="s">
        <v>50</v>
      </c>
      <c r="E235" s="33"/>
    </row>
    <row r="236" customFormat="false" ht="15" hidden="false" customHeight="true" outlineLevel="0" collapsed="false">
      <c r="A236" s="33" t="s">
        <v>2798</v>
      </c>
      <c r="B236" s="33" t="s">
        <v>16160</v>
      </c>
      <c r="C236" s="33" t="s">
        <v>2809</v>
      </c>
      <c r="D236" s="33" t="s">
        <v>51</v>
      </c>
      <c r="E236" s="33"/>
    </row>
    <row r="237" customFormat="false" ht="15" hidden="false" customHeight="true" outlineLevel="0" collapsed="false">
      <c r="A237" s="33" t="s">
        <v>2916</v>
      </c>
      <c r="B237" s="33" t="s">
        <v>16160</v>
      </c>
      <c r="C237" s="33" t="s">
        <v>2983</v>
      </c>
      <c r="D237" s="33" t="s">
        <v>59</v>
      </c>
      <c r="E237" s="33"/>
    </row>
    <row r="238" customFormat="false" ht="15" hidden="false" customHeight="true" outlineLevel="0" collapsed="false">
      <c r="A238" s="33" t="s">
        <v>2916</v>
      </c>
      <c r="B238" s="33" t="s">
        <v>16160</v>
      </c>
      <c r="C238" s="33" t="s">
        <v>2903</v>
      </c>
      <c r="D238" s="33" t="s">
        <v>59</v>
      </c>
      <c r="E238" s="33"/>
    </row>
    <row r="239" customFormat="false" ht="15" hidden="false" customHeight="true" outlineLevel="0" collapsed="false">
      <c r="A239" s="33" t="s">
        <v>2931</v>
      </c>
      <c r="B239" s="33" t="s">
        <v>16160</v>
      </c>
      <c r="C239" s="33" t="s">
        <v>2983</v>
      </c>
      <c r="D239" s="33" t="s">
        <v>59</v>
      </c>
      <c r="E239" s="33"/>
    </row>
    <row r="240" customFormat="false" ht="15" hidden="false" customHeight="true" outlineLevel="0" collapsed="false">
      <c r="A240" s="33" t="s">
        <v>2931</v>
      </c>
      <c r="B240" s="33" t="s">
        <v>16160</v>
      </c>
      <c r="C240" s="33" t="s">
        <v>2903</v>
      </c>
      <c r="D240" s="33" t="s">
        <v>59</v>
      </c>
      <c r="E240" s="33"/>
    </row>
    <row r="241" customFormat="false" ht="15" hidden="false" customHeight="true" outlineLevel="0" collapsed="false">
      <c r="A241" s="33" t="s">
        <v>2966</v>
      </c>
      <c r="B241" s="33" t="s">
        <v>16160</v>
      </c>
      <c r="C241" s="33" t="s">
        <v>2983</v>
      </c>
      <c r="D241" s="33" t="s">
        <v>59</v>
      </c>
      <c r="E241" s="33"/>
    </row>
    <row r="242" customFormat="false" ht="15" hidden="false" customHeight="true" outlineLevel="0" collapsed="false">
      <c r="A242" s="33" t="s">
        <v>2966</v>
      </c>
      <c r="B242" s="33" t="s">
        <v>16160</v>
      </c>
      <c r="C242" s="33" t="s">
        <v>8207</v>
      </c>
      <c r="D242" s="33" t="s">
        <v>59</v>
      </c>
      <c r="E242" s="33"/>
    </row>
    <row r="243" customFormat="false" ht="15" hidden="false" customHeight="true" outlineLevel="0" collapsed="false">
      <c r="A243" s="33" t="s">
        <v>2976</v>
      </c>
      <c r="B243" s="33" t="s">
        <v>16160</v>
      </c>
      <c r="C243" s="33" t="s">
        <v>2983</v>
      </c>
      <c r="D243" s="33" t="s">
        <v>59</v>
      </c>
      <c r="E243" s="33"/>
    </row>
    <row r="244" customFormat="false" ht="15" hidden="false" customHeight="true" outlineLevel="0" collapsed="false">
      <c r="A244" s="33" t="s">
        <v>2984</v>
      </c>
      <c r="B244" s="33" t="s">
        <v>16160</v>
      </c>
      <c r="C244" s="33" t="s">
        <v>2872</v>
      </c>
      <c r="D244" s="33" t="s">
        <v>50</v>
      </c>
      <c r="E244" s="33"/>
    </row>
    <row r="245" customFormat="false" ht="15" hidden="false" customHeight="true" outlineLevel="0" collapsed="false">
      <c r="A245" s="33" t="s">
        <v>3029</v>
      </c>
      <c r="B245" s="33" t="s">
        <v>16160</v>
      </c>
      <c r="C245" s="33" t="s">
        <v>2983</v>
      </c>
      <c r="D245" s="33" t="s">
        <v>59</v>
      </c>
      <c r="E245" s="33"/>
    </row>
    <row r="246" customFormat="false" ht="15" hidden="false" customHeight="true" outlineLevel="0" collapsed="false">
      <c r="A246" s="33" t="s">
        <v>3051</v>
      </c>
      <c r="B246" s="33" t="s">
        <v>16160</v>
      </c>
      <c r="C246" s="33" t="s">
        <v>2983</v>
      </c>
      <c r="D246" s="33" t="s">
        <v>59</v>
      </c>
      <c r="E246" s="33"/>
    </row>
    <row r="247" customFormat="false" ht="15" hidden="false" customHeight="true" outlineLevel="0" collapsed="false">
      <c r="A247" s="33" t="s">
        <v>8244</v>
      </c>
      <c r="B247" s="33" t="s">
        <v>16160</v>
      </c>
      <c r="C247" s="33" t="s">
        <v>8260</v>
      </c>
      <c r="D247" s="33" t="s">
        <v>50</v>
      </c>
      <c r="E247" s="33"/>
    </row>
    <row r="248" customFormat="false" ht="15" hidden="false" customHeight="true" outlineLevel="0" collapsed="false">
      <c r="A248" s="33" t="s">
        <v>8260</v>
      </c>
      <c r="B248" s="33" t="s">
        <v>16160</v>
      </c>
      <c r="C248" s="33" t="s">
        <v>2710</v>
      </c>
      <c r="D248" s="33" t="s">
        <v>50</v>
      </c>
      <c r="E248" s="33"/>
    </row>
    <row r="249" customFormat="false" ht="15" hidden="false" customHeight="true" outlineLevel="0" collapsed="false">
      <c r="A249" s="33" t="s">
        <v>8260</v>
      </c>
      <c r="B249" s="33" t="s">
        <v>16160</v>
      </c>
      <c r="C249" s="33" t="s">
        <v>8244</v>
      </c>
      <c r="D249" s="33" t="s">
        <v>50</v>
      </c>
      <c r="E249" s="33"/>
    </row>
    <row r="250" customFormat="false" ht="15" hidden="false" customHeight="true" outlineLevel="0" collapsed="false">
      <c r="A250" s="33" t="s">
        <v>3064</v>
      </c>
      <c r="B250" s="33" t="s">
        <v>16160</v>
      </c>
      <c r="C250" s="33" t="s">
        <v>2983</v>
      </c>
      <c r="D250" s="33" t="s">
        <v>59</v>
      </c>
      <c r="E250" s="33"/>
    </row>
    <row r="251" customFormat="false" ht="15" hidden="false" customHeight="true" outlineLevel="0" collapsed="false">
      <c r="A251" s="33" t="s">
        <v>3064</v>
      </c>
      <c r="B251" s="33" t="s">
        <v>16160</v>
      </c>
      <c r="C251" s="33" t="s">
        <v>3085</v>
      </c>
      <c r="D251" s="33" t="s">
        <v>59</v>
      </c>
      <c r="E251" s="33"/>
    </row>
    <row r="252" customFormat="false" ht="15" hidden="false" customHeight="true" outlineLevel="0" collapsed="false">
      <c r="A252" s="33" t="s">
        <v>3096</v>
      </c>
      <c r="B252" s="33" t="s">
        <v>16160</v>
      </c>
      <c r="C252" s="33" t="s">
        <v>2983</v>
      </c>
      <c r="D252" s="33" t="s">
        <v>59</v>
      </c>
      <c r="E252" s="33"/>
    </row>
    <row r="253" customFormat="false" ht="15" hidden="false" customHeight="true" outlineLevel="0" collapsed="false">
      <c r="A253" s="33" t="s">
        <v>3131</v>
      </c>
      <c r="B253" s="33" t="s">
        <v>16160</v>
      </c>
      <c r="C253" s="33" t="s">
        <v>2983</v>
      </c>
      <c r="D253" s="33" t="s">
        <v>59</v>
      </c>
      <c r="E253" s="33"/>
    </row>
    <row r="254" customFormat="false" ht="15" hidden="false" customHeight="true" outlineLevel="0" collapsed="false">
      <c r="A254" s="33" t="s">
        <v>3131</v>
      </c>
      <c r="B254" s="33" t="s">
        <v>16160</v>
      </c>
      <c r="C254" s="33" t="s">
        <v>3163</v>
      </c>
      <c r="D254" s="33" t="s">
        <v>59</v>
      </c>
      <c r="E254" s="33"/>
    </row>
    <row r="255" customFormat="false" ht="15" hidden="false" customHeight="true" outlineLevel="0" collapsed="false">
      <c r="A255" s="33" t="s">
        <v>3143</v>
      </c>
      <c r="B255" s="33" t="s">
        <v>16160</v>
      </c>
      <c r="C255" s="33" t="s">
        <v>3153</v>
      </c>
      <c r="D255" s="33" t="s">
        <v>50</v>
      </c>
      <c r="E255" s="33"/>
    </row>
    <row r="256" customFormat="false" ht="15" hidden="false" customHeight="true" outlineLevel="0" collapsed="false">
      <c r="A256" s="33" t="s">
        <v>3187</v>
      </c>
      <c r="B256" s="33" t="s">
        <v>16160</v>
      </c>
      <c r="C256" s="33" t="s">
        <v>2983</v>
      </c>
      <c r="D256" s="33" t="s">
        <v>59</v>
      </c>
      <c r="E256" s="33"/>
    </row>
    <row r="257" customFormat="false" ht="15" hidden="false" customHeight="true" outlineLevel="0" collapsed="false">
      <c r="A257" s="33" t="s">
        <v>3218</v>
      </c>
      <c r="B257" s="33" t="s">
        <v>16160</v>
      </c>
      <c r="C257" s="33" t="s">
        <v>2983</v>
      </c>
      <c r="D257" s="33" t="s">
        <v>59</v>
      </c>
      <c r="E257" s="33"/>
    </row>
    <row r="258" customFormat="false" ht="15" hidden="false" customHeight="true" outlineLevel="0" collapsed="false">
      <c r="A258" s="33" t="s">
        <v>3251</v>
      </c>
      <c r="B258" s="33" t="s">
        <v>16160</v>
      </c>
      <c r="C258" s="33" t="s">
        <v>2983</v>
      </c>
      <c r="D258" s="33" t="s">
        <v>59</v>
      </c>
      <c r="E258" s="33"/>
    </row>
    <row r="259" customFormat="false" ht="15" hidden="false" customHeight="true" outlineLevel="0" collapsed="false">
      <c r="A259" s="33" t="s">
        <v>3251</v>
      </c>
      <c r="B259" s="33" t="s">
        <v>16160</v>
      </c>
      <c r="C259" s="33" t="s">
        <v>3267</v>
      </c>
      <c r="D259" s="33" t="s">
        <v>59</v>
      </c>
      <c r="E259" s="33"/>
    </row>
    <row r="260" customFormat="false" ht="15" hidden="false" customHeight="true" outlineLevel="0" collapsed="false">
      <c r="A260" s="33" t="s">
        <v>3289</v>
      </c>
      <c r="B260" s="33" t="s">
        <v>16160</v>
      </c>
      <c r="C260" s="33" t="s">
        <v>2983</v>
      </c>
      <c r="D260" s="33" t="s">
        <v>59</v>
      </c>
      <c r="E260" s="33"/>
    </row>
    <row r="261" customFormat="false" ht="15" hidden="false" customHeight="true" outlineLevel="0" collapsed="false">
      <c r="A261" s="33" t="s">
        <v>3289</v>
      </c>
      <c r="B261" s="33" t="s">
        <v>16160</v>
      </c>
      <c r="C261" s="33" t="s">
        <v>3307</v>
      </c>
      <c r="D261" s="33" t="s">
        <v>59</v>
      </c>
      <c r="E261" s="33"/>
    </row>
    <row r="262" customFormat="false" ht="15" hidden="false" customHeight="true" outlineLevel="0" collapsed="false">
      <c r="A262" s="33" t="s">
        <v>3317</v>
      </c>
      <c r="B262" s="33" t="s">
        <v>16160</v>
      </c>
      <c r="C262" s="33" t="s">
        <v>2983</v>
      </c>
      <c r="D262" s="33" t="s">
        <v>59</v>
      </c>
      <c r="E262" s="33"/>
    </row>
    <row r="263" customFormat="false" ht="15" hidden="false" customHeight="true" outlineLevel="0" collapsed="false">
      <c r="A263" s="33" t="s">
        <v>3324</v>
      </c>
      <c r="B263" s="33" t="s">
        <v>16160</v>
      </c>
      <c r="C263" s="33" t="s">
        <v>3333</v>
      </c>
      <c r="D263" s="33" t="s">
        <v>50</v>
      </c>
      <c r="E263" s="33"/>
    </row>
    <row r="264" customFormat="false" ht="15" hidden="false" customHeight="true" outlineLevel="0" collapsed="false">
      <c r="A264" s="33" t="s">
        <v>3334</v>
      </c>
      <c r="B264" s="33" t="s">
        <v>16160</v>
      </c>
      <c r="C264" s="33" t="s">
        <v>3333</v>
      </c>
      <c r="D264" s="33" t="s">
        <v>50</v>
      </c>
      <c r="E264" s="33"/>
    </row>
    <row r="265" customFormat="false" ht="15" hidden="false" customHeight="true" outlineLevel="0" collapsed="false">
      <c r="A265" s="33" t="s">
        <v>3346</v>
      </c>
      <c r="B265" s="33" t="s">
        <v>16160</v>
      </c>
      <c r="C265" s="33" t="s">
        <v>2983</v>
      </c>
      <c r="D265" s="33" t="s">
        <v>59</v>
      </c>
      <c r="E265" s="33"/>
    </row>
    <row r="266" customFormat="false" ht="15" hidden="false" customHeight="true" outlineLevel="0" collapsed="false">
      <c r="A266" s="33" t="s">
        <v>3370</v>
      </c>
      <c r="B266" s="33" t="s">
        <v>16160</v>
      </c>
      <c r="C266" s="33" t="s">
        <v>2983</v>
      </c>
      <c r="D266" s="33" t="s">
        <v>59</v>
      </c>
      <c r="E266" s="33"/>
    </row>
    <row r="267" customFormat="false" ht="15" hidden="false" customHeight="true" outlineLevel="0" collapsed="false">
      <c r="A267" s="33" t="s">
        <v>3389</v>
      </c>
      <c r="B267" s="33" t="s">
        <v>16160</v>
      </c>
      <c r="C267" s="33" t="s">
        <v>2983</v>
      </c>
      <c r="D267" s="33" t="s">
        <v>59</v>
      </c>
      <c r="E267" s="33"/>
    </row>
    <row r="268" customFormat="false" ht="15" hidden="false" customHeight="true" outlineLevel="0" collapsed="false">
      <c r="A268" s="33" t="s">
        <v>8412</v>
      </c>
      <c r="B268" s="33" t="s">
        <v>16160</v>
      </c>
      <c r="C268" s="33" t="s">
        <v>2983</v>
      </c>
      <c r="D268" s="33" t="s">
        <v>59</v>
      </c>
      <c r="E268" s="33"/>
    </row>
    <row r="269" customFormat="false" ht="15" hidden="false" customHeight="true" outlineLevel="0" collapsed="false">
      <c r="A269" s="33" t="s">
        <v>8446</v>
      </c>
      <c r="B269" s="33" t="s">
        <v>16160</v>
      </c>
      <c r="C269" s="33" t="s">
        <v>3421</v>
      </c>
      <c r="D269" s="33" t="s">
        <v>50</v>
      </c>
      <c r="E269" s="33"/>
    </row>
    <row r="270" customFormat="false" ht="15" hidden="false" customHeight="true" outlineLevel="0" collapsed="false">
      <c r="A270" s="33" t="s">
        <v>2952</v>
      </c>
      <c r="B270" s="33" t="s">
        <v>16160</v>
      </c>
      <c r="C270" s="33" t="s">
        <v>2903</v>
      </c>
      <c r="D270" s="33" t="s">
        <v>50</v>
      </c>
      <c r="E270" s="33"/>
    </row>
    <row r="271" customFormat="false" ht="15" hidden="false" customHeight="true" outlineLevel="0" collapsed="false">
      <c r="A271" s="33" t="s">
        <v>1357</v>
      </c>
      <c r="B271" s="33" t="s">
        <v>16160</v>
      </c>
      <c r="C271" s="33" t="s">
        <v>1368</v>
      </c>
      <c r="D271" s="33" t="s">
        <v>57</v>
      </c>
      <c r="E271" s="33"/>
    </row>
    <row r="272" customFormat="false" ht="15" hidden="false" customHeight="true" outlineLevel="0" collapsed="false">
      <c r="A272" s="33" t="s">
        <v>1369</v>
      </c>
      <c r="B272" s="33" t="s">
        <v>16160</v>
      </c>
      <c r="C272" s="33" t="s">
        <v>5019</v>
      </c>
      <c r="D272" s="33" t="s">
        <v>57</v>
      </c>
      <c r="E272" s="33"/>
    </row>
    <row r="273" customFormat="false" ht="15" hidden="false" customHeight="true" outlineLevel="0" collapsed="false">
      <c r="A273" s="33" t="s">
        <v>1369</v>
      </c>
      <c r="B273" s="33" t="s">
        <v>16160</v>
      </c>
      <c r="C273" s="33" t="s">
        <v>5187</v>
      </c>
      <c r="D273" s="33" t="s">
        <v>57</v>
      </c>
      <c r="E273" s="33"/>
    </row>
    <row r="274" customFormat="false" ht="15" hidden="false" customHeight="true" outlineLevel="0" collapsed="false">
      <c r="A274" s="33" t="s">
        <v>2192</v>
      </c>
      <c r="B274" s="33" t="s">
        <v>16160</v>
      </c>
      <c r="C274" s="33" t="s">
        <v>5257</v>
      </c>
      <c r="D274" s="33" t="s">
        <v>55</v>
      </c>
      <c r="E274" s="33"/>
    </row>
    <row r="275" customFormat="false" ht="15" hidden="false" customHeight="true" outlineLevel="0" collapsed="false">
      <c r="A275" s="33" t="s">
        <v>2192</v>
      </c>
      <c r="B275" s="33" t="s">
        <v>16160</v>
      </c>
      <c r="C275" s="33" t="s">
        <v>5345</v>
      </c>
      <c r="D275" s="33" t="s">
        <v>55</v>
      </c>
      <c r="E275" s="33"/>
    </row>
    <row r="276" customFormat="false" ht="15" hidden="false" customHeight="true" outlineLevel="0" collapsed="false">
      <c r="A276" s="33" t="s">
        <v>1484</v>
      </c>
      <c r="B276" s="33" t="s">
        <v>16160</v>
      </c>
      <c r="C276" s="33" t="s">
        <v>1383</v>
      </c>
      <c r="D276" s="33" t="s">
        <v>57</v>
      </c>
      <c r="E276" s="33"/>
    </row>
    <row r="277" customFormat="false" ht="15" hidden="false" customHeight="true" outlineLevel="0" collapsed="false">
      <c r="A277" s="33" t="s">
        <v>1514</v>
      </c>
      <c r="B277" s="33" t="s">
        <v>16160</v>
      </c>
      <c r="C277" s="33" t="s">
        <v>1484</v>
      </c>
      <c r="D277" s="33" t="s">
        <v>57</v>
      </c>
      <c r="E277" s="33"/>
    </row>
    <row r="278" customFormat="false" ht="15" hidden="false" customHeight="true" outlineLevel="0" collapsed="false">
      <c r="A278" s="33" t="s">
        <v>1576</v>
      </c>
      <c r="B278" s="33" t="s">
        <v>16160</v>
      </c>
      <c r="C278" s="33" t="s">
        <v>1528</v>
      </c>
      <c r="D278" s="33" t="s">
        <v>57</v>
      </c>
      <c r="E278" s="33"/>
    </row>
    <row r="279" customFormat="false" ht="15" hidden="false" customHeight="true" outlineLevel="0" collapsed="false">
      <c r="A279" s="33" t="s">
        <v>6549</v>
      </c>
      <c r="B279" s="33" t="s">
        <v>16161</v>
      </c>
      <c r="C279" s="33" t="s">
        <v>5330</v>
      </c>
      <c r="D279" s="33" t="s">
        <v>50</v>
      </c>
      <c r="E279" s="33" t="s">
        <v>16162</v>
      </c>
    </row>
    <row r="280" customFormat="false" ht="15" hidden="false" customHeight="true" outlineLevel="0" collapsed="false">
      <c r="A280" s="33" t="s">
        <v>6549</v>
      </c>
      <c r="B280" s="33" t="s">
        <v>16161</v>
      </c>
      <c r="C280" s="33" t="s">
        <v>297</v>
      </c>
      <c r="D280" s="33" t="s">
        <v>50</v>
      </c>
      <c r="E280" s="33" t="s">
        <v>16162</v>
      </c>
    </row>
    <row r="281" customFormat="false" ht="15" hidden="false" customHeight="true" outlineLevel="0" collapsed="false">
      <c r="A281" s="33" t="s">
        <v>6549</v>
      </c>
      <c r="B281" s="33" t="s">
        <v>16161</v>
      </c>
      <c r="C281" s="33" t="s">
        <v>3545</v>
      </c>
      <c r="D281" s="33" t="s">
        <v>50</v>
      </c>
      <c r="E281" s="33" t="s">
        <v>16162</v>
      </c>
    </row>
    <row r="282" customFormat="false" ht="15" hidden="false" customHeight="true" outlineLevel="0" collapsed="false">
      <c r="A282" s="33" t="s">
        <v>6592</v>
      </c>
      <c r="B282" s="33" t="s">
        <v>16160</v>
      </c>
      <c r="C282" s="33" t="s">
        <v>5759</v>
      </c>
      <c r="D282" s="33" t="s">
        <v>50</v>
      </c>
      <c r="E282" s="33"/>
    </row>
    <row r="283" customFormat="false" ht="15" hidden="false" customHeight="true" outlineLevel="0" collapsed="false">
      <c r="A283" s="33" t="s">
        <v>1632</v>
      </c>
      <c r="B283" s="33" t="s">
        <v>16160</v>
      </c>
      <c r="C283" s="33" t="s">
        <v>1641</v>
      </c>
      <c r="D283" s="33" t="s">
        <v>57</v>
      </c>
      <c r="E283" s="33"/>
    </row>
    <row r="284" customFormat="false" ht="15" hidden="false" customHeight="true" outlineLevel="0" collapsed="false">
      <c r="A284" s="33" t="s">
        <v>1642</v>
      </c>
      <c r="B284" s="33" t="s">
        <v>16160</v>
      </c>
      <c r="C284" s="33" t="s">
        <v>1652</v>
      </c>
      <c r="D284" s="33" t="s">
        <v>57</v>
      </c>
      <c r="E284" s="33"/>
    </row>
    <row r="285" customFormat="false" ht="15" hidden="false" customHeight="true" outlineLevel="0" collapsed="false">
      <c r="A285" s="33" t="s">
        <v>6844</v>
      </c>
      <c r="B285" s="33" t="s">
        <v>16160</v>
      </c>
      <c r="C285" s="33" t="s">
        <v>2710</v>
      </c>
      <c r="D285" s="33" t="s">
        <v>50</v>
      </c>
      <c r="E285" s="33"/>
    </row>
    <row r="286" customFormat="false" ht="15" hidden="false" customHeight="true" outlineLevel="0" collapsed="false">
      <c r="A286" s="33" t="s">
        <v>1831</v>
      </c>
      <c r="B286" s="33" t="s">
        <v>16160</v>
      </c>
      <c r="C286" s="33" t="s">
        <v>1368</v>
      </c>
      <c r="D286" s="33" t="s">
        <v>57</v>
      </c>
      <c r="E286" s="33"/>
    </row>
    <row r="287" customFormat="false" ht="15" hidden="false" customHeight="true" outlineLevel="0" collapsed="false">
      <c r="A287" s="33" t="s">
        <v>6939</v>
      </c>
      <c r="B287" s="33" t="s">
        <v>16160</v>
      </c>
      <c r="C287" s="33" t="s">
        <v>6914</v>
      </c>
      <c r="D287" s="33" t="s">
        <v>50</v>
      </c>
      <c r="E287" s="33"/>
    </row>
    <row r="288" customFormat="false" ht="15" hidden="false" customHeight="true" outlineLevel="0" collapsed="false">
      <c r="A288" s="33" t="s">
        <v>1852</v>
      </c>
      <c r="B288" s="33" t="s">
        <v>16160</v>
      </c>
      <c r="C288" s="33" t="s">
        <v>1863</v>
      </c>
      <c r="D288" s="33" t="s">
        <v>57</v>
      </c>
      <c r="E288" s="33"/>
    </row>
    <row r="289" customFormat="false" ht="15" hidden="false" customHeight="true" outlineLevel="0" collapsed="false">
      <c r="A289" s="33" t="s">
        <v>1863</v>
      </c>
      <c r="B289" s="33" t="s">
        <v>16160</v>
      </c>
      <c r="C289" s="33" t="s">
        <v>1852</v>
      </c>
      <c r="D289" s="33" t="s">
        <v>57</v>
      </c>
      <c r="E289" s="33"/>
    </row>
    <row r="290" customFormat="false" ht="15" hidden="false" customHeight="true" outlineLevel="0" collapsed="false">
      <c r="A290" s="33" t="s">
        <v>1919</v>
      </c>
      <c r="B290" s="33" t="s">
        <v>16160</v>
      </c>
      <c r="C290" s="33" t="s">
        <v>1930</v>
      </c>
      <c r="D290" s="33" t="s">
        <v>57</v>
      </c>
      <c r="E290" s="33"/>
    </row>
    <row r="291" customFormat="false" ht="15" hidden="false" customHeight="true" outlineLevel="0" collapsed="false">
      <c r="A291" s="33" t="s">
        <v>6989</v>
      </c>
      <c r="B291" s="33" t="s">
        <v>16161</v>
      </c>
      <c r="C291" s="33" t="s">
        <v>5900</v>
      </c>
      <c r="D291" s="33" t="s">
        <v>50</v>
      </c>
      <c r="E291" s="33" t="s">
        <v>16162</v>
      </c>
    </row>
    <row r="292" customFormat="false" ht="15" hidden="false" customHeight="true" outlineLevel="0" collapsed="false">
      <c r="A292" s="33" t="s">
        <v>6989</v>
      </c>
      <c r="B292" s="33" t="s">
        <v>16161</v>
      </c>
      <c r="C292" s="33" t="s">
        <v>3478</v>
      </c>
      <c r="D292" s="33" t="s">
        <v>50</v>
      </c>
      <c r="E292" s="33" t="s">
        <v>16162</v>
      </c>
    </row>
    <row r="293" customFormat="false" ht="15" hidden="false" customHeight="true" outlineLevel="0" collapsed="false">
      <c r="A293" s="33" t="s">
        <v>1931</v>
      </c>
      <c r="B293" s="33" t="s">
        <v>16160</v>
      </c>
      <c r="C293" s="33" t="s">
        <v>1938</v>
      </c>
      <c r="D293" s="33" t="s">
        <v>57</v>
      </c>
      <c r="E293" s="33"/>
    </row>
    <row r="294" customFormat="false" ht="15" hidden="false" customHeight="true" outlineLevel="0" collapsed="false">
      <c r="A294" s="33" t="s">
        <v>2054</v>
      </c>
      <c r="B294" s="33" t="s">
        <v>16160</v>
      </c>
      <c r="C294" s="33" t="s">
        <v>2065</v>
      </c>
      <c r="D294" s="33" t="s">
        <v>56</v>
      </c>
      <c r="E294" s="33"/>
    </row>
    <row r="295" customFormat="false" ht="15" hidden="false" customHeight="true" outlineLevel="0" collapsed="false">
      <c r="A295" s="33" t="s">
        <v>7281</v>
      </c>
      <c r="B295" s="33" t="s">
        <v>16160</v>
      </c>
      <c r="C295" s="33" t="s">
        <v>297</v>
      </c>
      <c r="D295" s="33" t="s">
        <v>50</v>
      </c>
      <c r="E295" s="33"/>
    </row>
    <row r="296" customFormat="false" ht="15" hidden="false" customHeight="true" outlineLevel="0" collapsed="false">
      <c r="A296" s="33" t="s">
        <v>7345</v>
      </c>
      <c r="B296" s="33" t="s">
        <v>16160</v>
      </c>
      <c r="C296" s="33" t="s">
        <v>5748</v>
      </c>
      <c r="D296" s="33" t="s">
        <v>50</v>
      </c>
      <c r="E296" s="33"/>
    </row>
    <row r="297" customFormat="false" ht="15" hidden="false" customHeight="true" outlineLevel="0" collapsed="false">
      <c r="A297" s="33" t="s">
        <v>7345</v>
      </c>
      <c r="B297" s="33" t="s">
        <v>16160</v>
      </c>
      <c r="C297" s="33" t="s">
        <v>2145</v>
      </c>
      <c r="D297" s="33" t="s">
        <v>50</v>
      </c>
      <c r="E297" s="33"/>
    </row>
    <row r="298" customFormat="false" ht="15" hidden="false" customHeight="true" outlineLevel="0" collapsed="false">
      <c r="A298" s="33" t="s">
        <v>2130</v>
      </c>
      <c r="B298" s="33" t="s">
        <v>16160</v>
      </c>
      <c r="C298" s="33" t="s">
        <v>2145</v>
      </c>
      <c r="D298" s="33" t="s">
        <v>50</v>
      </c>
      <c r="E298" s="33"/>
    </row>
    <row r="299" customFormat="false" ht="15" hidden="false" customHeight="true" outlineLevel="0" collapsed="false">
      <c r="A299" s="33" t="s">
        <v>2160</v>
      </c>
      <c r="B299" s="33" t="s">
        <v>16160</v>
      </c>
      <c r="C299" s="33" t="s">
        <v>1641</v>
      </c>
      <c r="D299" s="33" t="s">
        <v>57</v>
      </c>
      <c r="E299" s="33"/>
    </row>
    <row r="300" customFormat="false" ht="15" hidden="false" customHeight="true" outlineLevel="0" collapsed="false">
      <c r="A300" s="33" t="s">
        <v>2179</v>
      </c>
      <c r="B300" s="33" t="s">
        <v>16160</v>
      </c>
      <c r="C300" s="33" t="s">
        <v>2192</v>
      </c>
      <c r="D300" s="33" t="s">
        <v>57</v>
      </c>
      <c r="E300" s="33"/>
    </row>
    <row r="301" customFormat="false" ht="15" hidden="false" customHeight="true" outlineLevel="0" collapsed="false">
      <c r="A301" s="33" t="s">
        <v>7472</v>
      </c>
      <c r="B301" s="33" t="s">
        <v>16160</v>
      </c>
      <c r="C301" s="33" t="s">
        <v>5314</v>
      </c>
      <c r="D301" s="33" t="s">
        <v>50</v>
      </c>
      <c r="E301" s="33"/>
    </row>
    <row r="302" customFormat="false" ht="15" hidden="false" customHeight="true" outlineLevel="0" collapsed="false">
      <c r="A302" s="33" t="s">
        <v>7590</v>
      </c>
      <c r="B302" s="33" t="s">
        <v>16160</v>
      </c>
      <c r="C302" s="33" t="s">
        <v>7545</v>
      </c>
      <c r="D302" s="33" t="s">
        <v>50</v>
      </c>
      <c r="E302" s="33"/>
    </row>
    <row r="303" customFormat="false" ht="15" hidden="false" customHeight="true" outlineLevel="0" collapsed="false">
      <c r="A303" s="33" t="s">
        <v>1563</v>
      </c>
      <c r="B303" s="33" t="s">
        <v>16160</v>
      </c>
      <c r="C303" s="33" t="s">
        <v>95</v>
      </c>
      <c r="D303" s="33" t="s">
        <v>59</v>
      </c>
      <c r="E303" s="33"/>
    </row>
    <row r="304" customFormat="false" ht="15" hidden="false" customHeight="true" outlineLevel="0" collapsed="false">
      <c r="A304" s="33" t="s">
        <v>1563</v>
      </c>
      <c r="B304" s="33" t="s">
        <v>16160</v>
      </c>
      <c r="C304" s="33" t="s">
        <v>142</v>
      </c>
      <c r="D304" s="33" t="s">
        <v>59</v>
      </c>
      <c r="E304" s="33"/>
    </row>
    <row r="305" customFormat="false" ht="15" hidden="false" customHeight="true" outlineLevel="0" collapsed="false">
      <c r="A305" s="33" t="s">
        <v>6635</v>
      </c>
      <c r="B305" s="33" t="s">
        <v>16160</v>
      </c>
      <c r="C305" s="33" t="s">
        <v>6652</v>
      </c>
      <c r="D305" s="33" t="s">
        <v>52</v>
      </c>
      <c r="E305" s="33"/>
    </row>
    <row r="306" customFormat="false" ht="15" hidden="false" customHeight="true" outlineLevel="0" collapsed="false">
      <c r="A306" s="33" t="s">
        <v>6635</v>
      </c>
      <c r="B306" s="33" t="s">
        <v>16160</v>
      </c>
      <c r="C306" s="33" t="s">
        <v>6698</v>
      </c>
      <c r="D306" s="33" t="s">
        <v>52</v>
      </c>
      <c r="E306" s="33"/>
    </row>
    <row r="307" customFormat="false" ht="15" hidden="false" customHeight="true" outlineLevel="0" collapsed="false">
      <c r="A307" s="33" t="s">
        <v>6635</v>
      </c>
      <c r="B307" s="33" t="s">
        <v>16160</v>
      </c>
      <c r="C307" s="33" t="s">
        <v>6734</v>
      </c>
      <c r="D307" s="33" t="s">
        <v>52</v>
      </c>
      <c r="E307" s="33"/>
    </row>
    <row r="308" customFormat="false" ht="15" hidden="false" customHeight="true" outlineLevel="0" collapsed="false">
      <c r="A308" s="33" t="s">
        <v>6635</v>
      </c>
      <c r="B308" s="33" t="s">
        <v>16160</v>
      </c>
      <c r="C308" s="33" t="s">
        <v>6622</v>
      </c>
      <c r="D308" s="33" t="s">
        <v>52</v>
      </c>
      <c r="E308" s="33"/>
    </row>
    <row r="309" customFormat="false" ht="15" hidden="false" customHeight="true" outlineLevel="0" collapsed="false">
      <c r="A309" s="33" t="s">
        <v>8550</v>
      </c>
      <c r="B309" s="33" t="s">
        <v>16161</v>
      </c>
      <c r="C309" s="33" t="s">
        <v>5816</v>
      </c>
      <c r="D309" s="33" t="s">
        <v>57</v>
      </c>
      <c r="E309" s="33" t="s">
        <v>16162</v>
      </c>
    </row>
    <row r="310" customFormat="false" ht="15" hidden="false" customHeight="true" outlineLevel="0" collapsed="false">
      <c r="A310" s="33" t="s">
        <v>8550</v>
      </c>
      <c r="B310" s="33" t="s">
        <v>16161</v>
      </c>
      <c r="C310" s="33" t="s">
        <v>7220</v>
      </c>
      <c r="D310" s="33" t="s">
        <v>57</v>
      </c>
      <c r="E310" s="33" t="s">
        <v>16162</v>
      </c>
    </row>
    <row r="311" customFormat="false" ht="15" hidden="false" customHeight="true" outlineLevel="0" collapsed="false">
      <c r="A311" s="33" t="s">
        <v>8550</v>
      </c>
      <c r="B311" s="33" t="s">
        <v>16161</v>
      </c>
      <c r="C311" s="33" t="s">
        <v>2080</v>
      </c>
      <c r="D311" s="33" t="s">
        <v>57</v>
      </c>
      <c r="E311" s="33" t="s">
        <v>16162</v>
      </c>
    </row>
    <row r="312" customFormat="false" ht="15" hidden="false" customHeight="true" outlineLevel="0" collapsed="false">
      <c r="A312" s="33" t="s">
        <v>8564</v>
      </c>
      <c r="B312" s="33" t="s">
        <v>16161</v>
      </c>
      <c r="C312" s="33" t="s">
        <v>5089</v>
      </c>
      <c r="D312" s="33" t="s">
        <v>57</v>
      </c>
      <c r="E312" s="33" t="s">
        <v>16162</v>
      </c>
    </row>
    <row r="313" customFormat="false" ht="15" hidden="false" customHeight="true" outlineLevel="0" collapsed="false">
      <c r="A313" s="33" t="s">
        <v>8564</v>
      </c>
      <c r="B313" s="33" t="s">
        <v>16161</v>
      </c>
      <c r="C313" s="33" t="s">
        <v>5144</v>
      </c>
      <c r="D313" s="33" t="s">
        <v>57</v>
      </c>
      <c r="E313" s="33" t="s">
        <v>16162</v>
      </c>
    </row>
    <row r="314" customFormat="false" ht="15" hidden="false" customHeight="true" outlineLevel="0" collapsed="false">
      <c r="A314" s="33" t="s">
        <v>8564</v>
      </c>
      <c r="B314" s="33" t="s">
        <v>16161</v>
      </c>
      <c r="C314" s="33" t="s">
        <v>1938</v>
      </c>
      <c r="D314" s="33" t="s">
        <v>57</v>
      </c>
      <c r="E314" s="33" t="s">
        <v>16162</v>
      </c>
    </row>
    <row r="315" customFormat="false" ht="15" hidden="false" customHeight="true" outlineLevel="0" collapsed="false">
      <c r="A315" s="33" t="s">
        <v>8564</v>
      </c>
      <c r="B315" s="33" t="s">
        <v>16161</v>
      </c>
      <c r="C315" s="33" t="s">
        <v>1368</v>
      </c>
      <c r="D315" s="33" t="s">
        <v>57</v>
      </c>
      <c r="E315" s="33" t="s">
        <v>16162</v>
      </c>
    </row>
    <row r="316" customFormat="false" ht="15" hidden="false" customHeight="true" outlineLevel="0" collapsed="false">
      <c r="A316" s="33" t="s">
        <v>8564</v>
      </c>
      <c r="B316" s="33" t="s">
        <v>16161</v>
      </c>
      <c r="C316" s="33" t="s">
        <v>1840</v>
      </c>
      <c r="D316" s="33" t="s">
        <v>57</v>
      </c>
      <c r="E316" s="33" t="s">
        <v>16162</v>
      </c>
    </row>
    <row r="317" customFormat="false" ht="15" hidden="false" customHeight="true" outlineLevel="0" collapsed="false">
      <c r="A317" s="33" t="s">
        <v>8623</v>
      </c>
      <c r="B317" s="33" t="s">
        <v>16161</v>
      </c>
      <c r="C317" s="33" t="s">
        <v>5427</v>
      </c>
      <c r="D317" s="33" t="s">
        <v>52</v>
      </c>
      <c r="E317" s="33" t="s">
        <v>16163</v>
      </c>
    </row>
    <row r="318" customFormat="false" ht="15" hidden="false" customHeight="true" outlineLevel="0" collapsed="false">
      <c r="A318" s="33" t="s">
        <v>8623</v>
      </c>
      <c r="B318" s="33" t="s">
        <v>16161</v>
      </c>
      <c r="C318" s="33" t="s">
        <v>208</v>
      </c>
      <c r="D318" s="33" t="s">
        <v>52</v>
      </c>
      <c r="E318" s="33" t="s">
        <v>16163</v>
      </c>
    </row>
    <row r="319" customFormat="false" ht="15" hidden="false" customHeight="true" outlineLevel="0" collapsed="false">
      <c r="A319" s="33" t="s">
        <v>8623</v>
      </c>
      <c r="B319" s="33" t="s">
        <v>16161</v>
      </c>
      <c r="C319" s="33" t="s">
        <v>4409</v>
      </c>
      <c r="D319" s="33" t="s">
        <v>52</v>
      </c>
      <c r="E319" s="33" t="s">
        <v>16163</v>
      </c>
    </row>
    <row r="320" customFormat="false" ht="15" hidden="false" customHeight="true" outlineLevel="0" collapsed="false">
      <c r="A320" s="33" t="s">
        <v>8623</v>
      </c>
      <c r="B320" s="33" t="s">
        <v>16161</v>
      </c>
      <c r="C320" s="33" t="s">
        <v>4901</v>
      </c>
      <c r="D320" s="33" t="s">
        <v>52</v>
      </c>
      <c r="E320" s="33" t="s">
        <v>16163</v>
      </c>
    </row>
    <row r="321" customFormat="false" ht="15" hidden="false" customHeight="true" outlineLevel="0" collapsed="false">
      <c r="A321" s="33" t="s">
        <v>8646</v>
      </c>
      <c r="B321" s="33" t="s">
        <v>16161</v>
      </c>
      <c r="C321" s="33" t="s">
        <v>4396</v>
      </c>
      <c r="D321" s="33" t="s">
        <v>59</v>
      </c>
      <c r="E321" s="33" t="s">
        <v>16163</v>
      </c>
    </row>
    <row r="322" customFormat="false" ht="15" hidden="false" customHeight="true" outlineLevel="0" collapsed="false">
      <c r="A322" s="33" t="s">
        <v>8646</v>
      </c>
      <c r="B322" s="33" t="s">
        <v>16161</v>
      </c>
      <c r="C322" s="33" t="s">
        <v>4409</v>
      </c>
      <c r="D322" s="33" t="s">
        <v>59</v>
      </c>
      <c r="E322" s="33" t="s">
        <v>16163</v>
      </c>
    </row>
    <row r="323" customFormat="false" ht="15" hidden="false" customHeight="true" outlineLevel="0" collapsed="false">
      <c r="A323" s="33" t="s">
        <v>8646</v>
      </c>
      <c r="B323" s="33" t="s">
        <v>16161</v>
      </c>
      <c r="C323" s="33" t="s">
        <v>4888</v>
      </c>
      <c r="D323" s="33" t="s">
        <v>59</v>
      </c>
      <c r="E323" s="33" t="s">
        <v>16163</v>
      </c>
    </row>
    <row r="324" customFormat="false" ht="15" hidden="false" customHeight="true" outlineLevel="0" collapsed="false">
      <c r="A324" s="33" t="s">
        <v>8646</v>
      </c>
      <c r="B324" s="33" t="s">
        <v>16161</v>
      </c>
      <c r="C324" s="33" t="s">
        <v>4901</v>
      </c>
      <c r="D324" s="33" t="s">
        <v>59</v>
      </c>
      <c r="E324" s="33" t="s">
        <v>16163</v>
      </c>
    </row>
    <row r="325" customFormat="false" ht="15" hidden="false" customHeight="true" outlineLevel="0" collapsed="false">
      <c r="A325" s="33" t="s">
        <v>8646</v>
      </c>
      <c r="B325" s="33" t="s">
        <v>16161</v>
      </c>
      <c r="C325" s="33" t="s">
        <v>4430</v>
      </c>
      <c r="D325" s="33" t="s">
        <v>59</v>
      </c>
      <c r="E325" s="33" t="s">
        <v>16163</v>
      </c>
    </row>
    <row r="326" customFormat="false" ht="15" hidden="false" customHeight="true" outlineLevel="0" collapsed="false">
      <c r="A326" s="33" t="s">
        <v>8646</v>
      </c>
      <c r="B326" s="33" t="s">
        <v>16161</v>
      </c>
      <c r="C326" s="33" t="s">
        <v>1289</v>
      </c>
      <c r="D326" s="33" t="s">
        <v>59</v>
      </c>
      <c r="E326" s="33" t="s">
        <v>16163</v>
      </c>
    </row>
    <row r="327" customFormat="false" ht="15" hidden="false" customHeight="true" outlineLevel="0" collapsed="false">
      <c r="A327" s="33" t="s">
        <v>8646</v>
      </c>
      <c r="B327" s="33" t="s">
        <v>16161</v>
      </c>
      <c r="C327" s="33" t="s">
        <v>8623</v>
      </c>
      <c r="D327" s="33" t="s">
        <v>59</v>
      </c>
      <c r="E327" s="33" t="s">
        <v>16163</v>
      </c>
    </row>
    <row r="328" customFormat="false" ht="15" hidden="false" customHeight="true" outlineLevel="0" collapsed="false">
      <c r="A328" s="33" t="s">
        <v>8646</v>
      </c>
      <c r="B328" s="33" t="s">
        <v>16161</v>
      </c>
      <c r="C328" s="33" t="s">
        <v>8662</v>
      </c>
      <c r="D328" s="33" t="s">
        <v>59</v>
      </c>
      <c r="E328" s="33" t="s">
        <v>16163</v>
      </c>
    </row>
    <row r="329" customFormat="false" ht="15" hidden="false" customHeight="true" outlineLevel="0" collapsed="false">
      <c r="A329" s="33" t="s">
        <v>8646</v>
      </c>
      <c r="B329" s="33" t="s">
        <v>16161</v>
      </c>
      <c r="C329" s="33" t="s">
        <v>8678</v>
      </c>
      <c r="D329" s="33" t="s">
        <v>59</v>
      </c>
      <c r="E329" s="33" t="s">
        <v>16163</v>
      </c>
    </row>
    <row r="330" customFormat="false" ht="15" hidden="false" customHeight="true" outlineLevel="0" collapsed="false">
      <c r="A330" s="33" t="s">
        <v>8662</v>
      </c>
      <c r="B330" s="33" t="s">
        <v>16161</v>
      </c>
      <c r="C330" s="33" t="s">
        <v>5427</v>
      </c>
      <c r="D330" s="33" t="s">
        <v>59</v>
      </c>
      <c r="E330" s="33" t="s">
        <v>16163</v>
      </c>
    </row>
    <row r="331" customFormat="false" ht="15" hidden="false" customHeight="true" outlineLevel="0" collapsed="false">
      <c r="A331" s="33" t="s">
        <v>8662</v>
      </c>
      <c r="B331" s="33" t="s">
        <v>16161</v>
      </c>
      <c r="C331" s="33" t="s">
        <v>269</v>
      </c>
      <c r="D331" s="33" t="s">
        <v>59</v>
      </c>
      <c r="E331" s="33" t="s">
        <v>16163</v>
      </c>
    </row>
    <row r="332" customFormat="false" ht="15" hidden="false" customHeight="true" outlineLevel="0" collapsed="false">
      <c r="A332" s="33" t="s">
        <v>8662</v>
      </c>
      <c r="B332" s="33" t="s">
        <v>16161</v>
      </c>
      <c r="C332" s="33" t="s">
        <v>285</v>
      </c>
      <c r="D332" s="33" t="s">
        <v>59</v>
      </c>
      <c r="E332" s="33" t="s">
        <v>16163</v>
      </c>
    </row>
    <row r="333" customFormat="false" ht="15" hidden="false" customHeight="true" outlineLevel="0" collapsed="false">
      <c r="A333" s="33" t="s">
        <v>8662</v>
      </c>
      <c r="B333" s="33" t="s">
        <v>16161</v>
      </c>
      <c r="C333" s="33" t="s">
        <v>5483</v>
      </c>
      <c r="D333" s="33" t="s">
        <v>59</v>
      </c>
      <c r="E333" s="33" t="s">
        <v>16163</v>
      </c>
    </row>
    <row r="334" customFormat="false" ht="15" hidden="false" customHeight="true" outlineLevel="0" collapsed="false">
      <c r="A334" s="33" t="s">
        <v>8662</v>
      </c>
      <c r="B334" s="33" t="s">
        <v>16161</v>
      </c>
      <c r="C334" s="33" t="s">
        <v>5496</v>
      </c>
      <c r="D334" s="33" t="s">
        <v>59</v>
      </c>
      <c r="E334" s="33" t="s">
        <v>16163</v>
      </c>
    </row>
    <row r="335" customFormat="false" ht="15" hidden="false" customHeight="true" outlineLevel="0" collapsed="false">
      <c r="A335" s="33" t="s">
        <v>8662</v>
      </c>
      <c r="B335" s="33" t="s">
        <v>16161</v>
      </c>
      <c r="C335" s="33" t="s">
        <v>5507</v>
      </c>
      <c r="D335" s="33" t="s">
        <v>59</v>
      </c>
      <c r="E335" s="33" t="s">
        <v>16163</v>
      </c>
    </row>
    <row r="336" customFormat="false" ht="15" hidden="false" customHeight="true" outlineLevel="0" collapsed="false">
      <c r="A336" s="33" t="s">
        <v>8662</v>
      </c>
      <c r="B336" s="33" t="s">
        <v>16161</v>
      </c>
      <c r="C336" s="33" t="s">
        <v>5525</v>
      </c>
      <c r="D336" s="33" t="s">
        <v>59</v>
      </c>
      <c r="E336" s="33" t="s">
        <v>16163</v>
      </c>
    </row>
    <row r="337" customFormat="false" ht="15" hidden="false" customHeight="true" outlineLevel="0" collapsed="false">
      <c r="A337" s="33" t="s">
        <v>8662</v>
      </c>
      <c r="B337" s="33" t="s">
        <v>16161</v>
      </c>
      <c r="C337" s="33" t="s">
        <v>335</v>
      </c>
      <c r="D337" s="33" t="s">
        <v>59</v>
      </c>
      <c r="E337" s="33" t="s">
        <v>16163</v>
      </c>
    </row>
    <row r="338" customFormat="false" ht="15" hidden="false" customHeight="true" outlineLevel="0" collapsed="false">
      <c r="A338" s="33" t="s">
        <v>8662</v>
      </c>
      <c r="B338" s="33" t="s">
        <v>16161</v>
      </c>
      <c r="C338" s="33" t="s">
        <v>5536</v>
      </c>
      <c r="D338" s="33" t="s">
        <v>59</v>
      </c>
      <c r="E338" s="33" t="s">
        <v>16163</v>
      </c>
    </row>
    <row r="339" customFormat="false" ht="15" hidden="false" customHeight="true" outlineLevel="0" collapsed="false">
      <c r="A339" s="33" t="s">
        <v>8662</v>
      </c>
      <c r="B339" s="33" t="s">
        <v>16161</v>
      </c>
      <c r="C339" s="33" t="s">
        <v>349</v>
      </c>
      <c r="D339" s="33" t="s">
        <v>59</v>
      </c>
      <c r="E339" s="33" t="s">
        <v>16163</v>
      </c>
    </row>
    <row r="340" customFormat="false" ht="15" hidden="false" customHeight="true" outlineLevel="0" collapsed="false">
      <c r="A340" s="33" t="s">
        <v>8662</v>
      </c>
      <c r="B340" s="33" t="s">
        <v>16161</v>
      </c>
      <c r="C340" s="33" t="s">
        <v>360</v>
      </c>
      <c r="D340" s="33" t="s">
        <v>59</v>
      </c>
      <c r="E340" s="33" t="s">
        <v>16163</v>
      </c>
    </row>
    <row r="341" customFormat="false" ht="15" hidden="false" customHeight="true" outlineLevel="0" collapsed="false">
      <c r="A341" s="33" t="s">
        <v>8662</v>
      </c>
      <c r="B341" s="33" t="s">
        <v>16161</v>
      </c>
      <c r="C341" s="33" t="s">
        <v>370</v>
      </c>
      <c r="D341" s="33" t="s">
        <v>59</v>
      </c>
      <c r="E341" s="33" t="s">
        <v>16163</v>
      </c>
    </row>
    <row r="342" customFormat="false" ht="15" hidden="false" customHeight="true" outlineLevel="0" collapsed="false">
      <c r="A342" s="33" t="s">
        <v>8662</v>
      </c>
      <c r="B342" s="33" t="s">
        <v>16161</v>
      </c>
      <c r="C342" s="33" t="s">
        <v>5548</v>
      </c>
      <c r="D342" s="33" t="s">
        <v>59</v>
      </c>
      <c r="E342" s="33" t="s">
        <v>16163</v>
      </c>
    </row>
    <row r="343" customFormat="false" ht="15" hidden="false" customHeight="true" outlineLevel="0" collapsed="false">
      <c r="A343" s="33" t="s">
        <v>8662</v>
      </c>
      <c r="B343" s="33" t="s">
        <v>16161</v>
      </c>
      <c r="C343" s="33" t="s">
        <v>5560</v>
      </c>
      <c r="D343" s="33" t="s">
        <v>59</v>
      </c>
      <c r="E343" s="33" t="s">
        <v>16163</v>
      </c>
    </row>
    <row r="344" customFormat="false" ht="15" hidden="false" customHeight="true" outlineLevel="0" collapsed="false">
      <c r="A344" s="33" t="s">
        <v>8662</v>
      </c>
      <c r="B344" s="33" t="s">
        <v>16161</v>
      </c>
      <c r="C344" s="33" t="s">
        <v>5568</v>
      </c>
      <c r="D344" s="33" t="s">
        <v>59</v>
      </c>
      <c r="E344" s="33" t="s">
        <v>16163</v>
      </c>
    </row>
    <row r="345" customFormat="false" ht="15" hidden="false" customHeight="true" outlineLevel="0" collapsed="false">
      <c r="A345" s="33" t="s">
        <v>8662</v>
      </c>
      <c r="B345" s="33" t="s">
        <v>16161</v>
      </c>
      <c r="C345" s="33" t="s">
        <v>5574</v>
      </c>
      <c r="D345" s="33" t="s">
        <v>59</v>
      </c>
      <c r="E345" s="33" t="s">
        <v>16163</v>
      </c>
    </row>
    <row r="346" customFormat="false" ht="15" hidden="false" customHeight="true" outlineLevel="0" collapsed="false">
      <c r="A346" s="33" t="s">
        <v>8662</v>
      </c>
      <c r="B346" s="33" t="s">
        <v>16161</v>
      </c>
      <c r="C346" s="33" t="s">
        <v>5579</v>
      </c>
      <c r="D346" s="33" t="s">
        <v>59</v>
      </c>
      <c r="E346" s="33" t="s">
        <v>16163</v>
      </c>
    </row>
    <row r="347" customFormat="false" ht="15" hidden="false" customHeight="true" outlineLevel="0" collapsed="false">
      <c r="A347" s="33" t="s">
        <v>8662</v>
      </c>
      <c r="B347" s="33" t="s">
        <v>16161</v>
      </c>
      <c r="C347" s="33" t="s">
        <v>381</v>
      </c>
      <c r="D347" s="33" t="s">
        <v>59</v>
      </c>
      <c r="E347" s="33" t="s">
        <v>16163</v>
      </c>
    </row>
    <row r="348" customFormat="false" ht="15" hidden="false" customHeight="true" outlineLevel="0" collapsed="false">
      <c r="A348" s="33" t="s">
        <v>8662</v>
      </c>
      <c r="B348" s="33" t="s">
        <v>16161</v>
      </c>
      <c r="C348" s="33" t="s">
        <v>5584</v>
      </c>
      <c r="D348" s="33" t="s">
        <v>59</v>
      </c>
      <c r="E348" s="33" t="s">
        <v>16163</v>
      </c>
    </row>
    <row r="349" customFormat="false" ht="15" hidden="false" customHeight="true" outlineLevel="0" collapsed="false">
      <c r="A349" s="33" t="s">
        <v>8662</v>
      </c>
      <c r="B349" s="33" t="s">
        <v>16161</v>
      </c>
      <c r="C349" s="33" t="s">
        <v>5597</v>
      </c>
      <c r="D349" s="33" t="s">
        <v>59</v>
      </c>
      <c r="E349" s="33" t="s">
        <v>16163</v>
      </c>
    </row>
    <row r="350" customFormat="false" ht="15" hidden="false" customHeight="true" outlineLevel="0" collapsed="false">
      <c r="A350" s="33" t="s">
        <v>8662</v>
      </c>
      <c r="B350" s="33" t="s">
        <v>16161</v>
      </c>
      <c r="C350" s="33" t="s">
        <v>5604</v>
      </c>
      <c r="D350" s="33" t="s">
        <v>59</v>
      </c>
      <c r="E350" s="33" t="s">
        <v>16163</v>
      </c>
    </row>
    <row r="351" customFormat="false" ht="15" hidden="false" customHeight="true" outlineLevel="0" collapsed="false">
      <c r="A351" s="33" t="s">
        <v>8662</v>
      </c>
      <c r="B351" s="33" t="s">
        <v>16161</v>
      </c>
      <c r="C351" s="33" t="s">
        <v>5612</v>
      </c>
      <c r="D351" s="33" t="s">
        <v>59</v>
      </c>
      <c r="E351" s="33" t="s">
        <v>16163</v>
      </c>
    </row>
    <row r="352" customFormat="false" ht="15" hidden="false" customHeight="true" outlineLevel="0" collapsed="false">
      <c r="A352" s="33" t="s">
        <v>8678</v>
      </c>
      <c r="B352" s="33" t="s">
        <v>16161</v>
      </c>
      <c r="C352" s="33" t="s">
        <v>297</v>
      </c>
      <c r="D352" s="33" t="s">
        <v>59</v>
      </c>
      <c r="E352" s="33" t="s">
        <v>16163</v>
      </c>
    </row>
    <row r="353" customFormat="false" ht="15" hidden="false" customHeight="true" outlineLevel="0" collapsed="false">
      <c r="A353" s="33" t="s">
        <v>8678</v>
      </c>
      <c r="B353" s="33" t="s">
        <v>16161</v>
      </c>
      <c r="C353" s="33" t="s">
        <v>312</v>
      </c>
      <c r="D353" s="33" t="s">
        <v>59</v>
      </c>
      <c r="E353" s="33" t="s">
        <v>16163</v>
      </c>
    </row>
    <row r="354" customFormat="false" ht="15" hidden="false" customHeight="true" outlineLevel="0" collapsed="false">
      <c r="A354" s="33" t="s">
        <v>8678</v>
      </c>
      <c r="B354" s="33" t="s">
        <v>16161</v>
      </c>
      <c r="C354" s="33" t="s">
        <v>324</v>
      </c>
      <c r="D354" s="33" t="s">
        <v>59</v>
      </c>
      <c r="E354" s="33" t="s">
        <v>16163</v>
      </c>
    </row>
    <row r="355" customFormat="false" ht="15" hidden="false" customHeight="true" outlineLevel="0" collapsed="false">
      <c r="A355" s="33" t="s">
        <v>8678</v>
      </c>
      <c r="B355" s="33" t="s">
        <v>16161</v>
      </c>
      <c r="C355" s="33" t="s">
        <v>5469</v>
      </c>
      <c r="D355" s="33" t="s">
        <v>59</v>
      </c>
      <c r="E355" s="33" t="s">
        <v>16163</v>
      </c>
    </row>
    <row r="356" customFormat="false" ht="15" hidden="false" customHeight="true" outlineLevel="0" collapsed="false">
      <c r="A356" s="33" t="s">
        <v>8678</v>
      </c>
      <c r="B356" s="33" t="s">
        <v>16161</v>
      </c>
      <c r="C356" s="33" t="s">
        <v>5617</v>
      </c>
      <c r="D356" s="33" t="s">
        <v>59</v>
      </c>
      <c r="E356" s="33" t="s">
        <v>16163</v>
      </c>
    </row>
    <row r="357" customFormat="false" ht="15" hidden="false" customHeight="true" outlineLevel="0" collapsed="false">
      <c r="A357" s="33" t="s">
        <v>8678</v>
      </c>
      <c r="B357" s="33" t="s">
        <v>16161</v>
      </c>
      <c r="C357" s="33" t="s">
        <v>5633</v>
      </c>
      <c r="D357" s="33" t="s">
        <v>59</v>
      </c>
      <c r="E357" s="33" t="s">
        <v>16163</v>
      </c>
    </row>
    <row r="358" customFormat="false" ht="15" hidden="false" customHeight="true" outlineLevel="0" collapsed="false">
      <c r="A358" s="33" t="s">
        <v>8678</v>
      </c>
      <c r="B358" s="33" t="s">
        <v>16161</v>
      </c>
      <c r="C358" s="33" t="s">
        <v>8646</v>
      </c>
      <c r="D358" s="33" t="s">
        <v>59</v>
      </c>
      <c r="E358" s="33" t="s">
        <v>16163</v>
      </c>
    </row>
    <row r="359" customFormat="false" ht="15" hidden="false" customHeight="true" outlineLevel="0" collapsed="false">
      <c r="A359" s="33" t="s">
        <v>8692</v>
      </c>
      <c r="B359" s="33" t="s">
        <v>16161</v>
      </c>
      <c r="C359" s="33" t="s">
        <v>4396</v>
      </c>
      <c r="D359" s="33" t="s">
        <v>54</v>
      </c>
      <c r="E359" s="33" t="s">
        <v>16163</v>
      </c>
    </row>
    <row r="360" customFormat="false" ht="15" hidden="false" customHeight="true" outlineLevel="0" collapsed="false">
      <c r="A360" s="33" t="s">
        <v>8692</v>
      </c>
      <c r="B360" s="33" t="s">
        <v>16161</v>
      </c>
      <c r="C360" s="33" t="s">
        <v>4630</v>
      </c>
      <c r="D360" s="33" t="s">
        <v>54</v>
      </c>
      <c r="E360" s="33" t="s">
        <v>16163</v>
      </c>
    </row>
    <row r="361" customFormat="false" ht="15" hidden="false" customHeight="true" outlineLevel="0" collapsed="false">
      <c r="A361" s="33" t="s">
        <v>8692</v>
      </c>
      <c r="B361" s="33" t="s">
        <v>16161</v>
      </c>
      <c r="C361" s="33" t="s">
        <v>4687</v>
      </c>
      <c r="D361" s="33" t="s">
        <v>54</v>
      </c>
      <c r="E361" s="33" t="s">
        <v>16163</v>
      </c>
    </row>
    <row r="362" customFormat="false" ht="15" hidden="false" customHeight="true" outlineLevel="0" collapsed="false">
      <c r="A362" s="33" t="s">
        <v>8692</v>
      </c>
      <c r="B362" s="33" t="s">
        <v>16161</v>
      </c>
      <c r="C362" s="33" t="s">
        <v>8519</v>
      </c>
      <c r="D362" s="33" t="s">
        <v>54</v>
      </c>
      <c r="E362" s="33" t="s">
        <v>16163</v>
      </c>
    </row>
    <row r="363" customFormat="false" ht="15" hidden="false" customHeight="true" outlineLevel="0" collapsed="false">
      <c r="A363" s="33" t="s">
        <v>8692</v>
      </c>
      <c r="B363" s="33" t="s">
        <v>16161</v>
      </c>
      <c r="C363" s="33" t="s">
        <v>4901</v>
      </c>
      <c r="D363" s="33" t="s">
        <v>54</v>
      </c>
      <c r="E363" s="33" t="s">
        <v>16163</v>
      </c>
    </row>
    <row r="364" customFormat="false" ht="15" hidden="false" customHeight="true" outlineLevel="0" collapsed="false">
      <c r="A364" s="33" t="s">
        <v>8692</v>
      </c>
      <c r="B364" s="33" t="s">
        <v>16161</v>
      </c>
      <c r="C364" s="33" t="s">
        <v>8623</v>
      </c>
      <c r="D364" s="33" t="s">
        <v>54</v>
      </c>
      <c r="E364" s="33" t="s">
        <v>16163</v>
      </c>
    </row>
    <row r="365" customFormat="false" ht="15" hidden="false" customHeight="true" outlineLevel="0" collapsed="false">
      <c r="A365" s="33" t="s">
        <v>8692</v>
      </c>
      <c r="B365" s="33" t="s">
        <v>16161</v>
      </c>
      <c r="C365" s="33" t="s">
        <v>8678</v>
      </c>
      <c r="D365" s="33" t="s">
        <v>54</v>
      </c>
      <c r="E365" s="33" t="s">
        <v>16163</v>
      </c>
    </row>
    <row r="366" customFormat="false" ht="15" hidden="false" customHeight="true" outlineLevel="0" collapsed="false">
      <c r="A366" s="33" t="s">
        <v>8692</v>
      </c>
      <c r="B366" s="33" t="s">
        <v>16161</v>
      </c>
      <c r="C366" s="33" t="s">
        <v>8707</v>
      </c>
      <c r="D366" s="33" t="s">
        <v>54</v>
      </c>
      <c r="E366" s="33" t="s">
        <v>16163</v>
      </c>
    </row>
    <row r="367" customFormat="false" ht="15" hidden="false" customHeight="true" outlineLevel="0" collapsed="false">
      <c r="A367" s="33" t="s">
        <v>8692</v>
      </c>
      <c r="B367" s="33" t="s">
        <v>16161</v>
      </c>
      <c r="C367" s="33" t="s">
        <v>8738</v>
      </c>
      <c r="D367" s="33" t="s">
        <v>54</v>
      </c>
      <c r="E367" s="33" t="s">
        <v>16163</v>
      </c>
    </row>
    <row r="368" customFormat="false" ht="15" hidden="false" customHeight="true" outlineLevel="0" collapsed="false">
      <c r="A368" s="33" t="s">
        <v>8707</v>
      </c>
      <c r="B368" s="33" t="s">
        <v>16161</v>
      </c>
      <c r="C368" s="33" t="s">
        <v>5440</v>
      </c>
      <c r="D368" s="33" t="s">
        <v>54</v>
      </c>
      <c r="E368" s="33" t="s">
        <v>16163</v>
      </c>
    </row>
    <row r="369" customFormat="false" ht="15" hidden="false" customHeight="true" outlineLevel="0" collapsed="false">
      <c r="A369" s="33" t="s">
        <v>8707</v>
      </c>
      <c r="B369" s="33" t="s">
        <v>16161</v>
      </c>
      <c r="C369" s="33" t="s">
        <v>5456</v>
      </c>
      <c r="D369" s="33" t="s">
        <v>54</v>
      </c>
      <c r="E369" s="33" t="s">
        <v>16163</v>
      </c>
    </row>
    <row r="370" customFormat="false" ht="15" hidden="false" customHeight="true" outlineLevel="0" collapsed="false">
      <c r="A370" s="33" t="s">
        <v>8707</v>
      </c>
      <c r="B370" s="33" t="s">
        <v>16161</v>
      </c>
      <c r="C370" s="33" t="s">
        <v>2710</v>
      </c>
      <c r="D370" s="33" t="s">
        <v>54</v>
      </c>
      <c r="E370" s="33" t="s">
        <v>16163</v>
      </c>
    </row>
    <row r="371" customFormat="false" ht="15" hidden="false" customHeight="true" outlineLevel="0" collapsed="false">
      <c r="A371" s="33" t="s">
        <v>8707</v>
      </c>
      <c r="B371" s="33" t="s">
        <v>16161</v>
      </c>
      <c r="C371" s="33" t="s">
        <v>970</v>
      </c>
      <c r="D371" s="33" t="s">
        <v>54</v>
      </c>
      <c r="E371" s="33" t="s">
        <v>16163</v>
      </c>
    </row>
    <row r="372" customFormat="false" ht="15" hidden="false" customHeight="true" outlineLevel="0" collapsed="false">
      <c r="A372" s="33" t="s">
        <v>8707</v>
      </c>
      <c r="B372" s="33" t="s">
        <v>16161</v>
      </c>
      <c r="C372" s="33" t="s">
        <v>986</v>
      </c>
      <c r="D372" s="33" t="s">
        <v>54</v>
      </c>
      <c r="E372" s="33" t="s">
        <v>16163</v>
      </c>
    </row>
    <row r="373" customFormat="false" ht="15" hidden="false" customHeight="true" outlineLevel="0" collapsed="false">
      <c r="A373" s="33" t="s">
        <v>8707</v>
      </c>
      <c r="B373" s="33" t="s">
        <v>16161</v>
      </c>
      <c r="C373" s="33" t="s">
        <v>6111</v>
      </c>
      <c r="D373" s="33" t="s">
        <v>54</v>
      </c>
      <c r="E373" s="33" t="s">
        <v>16163</v>
      </c>
    </row>
    <row r="374" customFormat="false" ht="15" hidden="false" customHeight="true" outlineLevel="0" collapsed="false">
      <c r="A374" s="33" t="s">
        <v>8707</v>
      </c>
      <c r="B374" s="33" t="s">
        <v>16161</v>
      </c>
      <c r="C374" s="33" t="s">
        <v>1051</v>
      </c>
      <c r="D374" s="33" t="s">
        <v>54</v>
      </c>
      <c r="E374" s="33" t="s">
        <v>16163</v>
      </c>
    </row>
    <row r="375" customFormat="false" ht="15" hidden="false" customHeight="true" outlineLevel="0" collapsed="false">
      <c r="A375" s="33" t="s">
        <v>8707</v>
      </c>
      <c r="B375" s="33" t="s">
        <v>16161</v>
      </c>
      <c r="C375" s="33" t="s">
        <v>1140</v>
      </c>
      <c r="D375" s="33" t="s">
        <v>54</v>
      </c>
      <c r="E375" s="33" t="s">
        <v>16163</v>
      </c>
    </row>
    <row r="376" customFormat="false" ht="15" hidden="false" customHeight="true" outlineLevel="0" collapsed="false">
      <c r="A376" s="33" t="s">
        <v>8707</v>
      </c>
      <c r="B376" s="33" t="s">
        <v>16161</v>
      </c>
      <c r="C376" s="33" t="s">
        <v>8692</v>
      </c>
      <c r="D376" s="33" t="s">
        <v>54</v>
      </c>
      <c r="E376" s="33" t="s">
        <v>16163</v>
      </c>
    </row>
    <row r="377" customFormat="false" ht="15" hidden="false" customHeight="true" outlineLevel="0" collapsed="false">
      <c r="A377" s="33" t="s">
        <v>8707</v>
      </c>
      <c r="B377" s="33" t="s">
        <v>16161</v>
      </c>
      <c r="C377" s="33" t="s">
        <v>8722</v>
      </c>
      <c r="D377" s="33" t="s">
        <v>54</v>
      </c>
      <c r="E377" s="33" t="s">
        <v>16163</v>
      </c>
    </row>
    <row r="378" customFormat="false" ht="15" hidden="false" customHeight="true" outlineLevel="0" collapsed="false">
      <c r="A378" s="33" t="s">
        <v>8722</v>
      </c>
      <c r="B378" s="33" t="s">
        <v>16161</v>
      </c>
      <c r="C378" s="33" t="s">
        <v>229</v>
      </c>
      <c r="D378" s="33" t="s">
        <v>50</v>
      </c>
      <c r="E378" s="33" t="s">
        <v>16163</v>
      </c>
    </row>
    <row r="379" customFormat="false" ht="15" hidden="false" customHeight="true" outlineLevel="0" collapsed="false">
      <c r="A379" s="33" t="s">
        <v>8722</v>
      </c>
      <c r="B379" s="33" t="s">
        <v>16161</v>
      </c>
      <c r="C379" s="33" t="s">
        <v>970</v>
      </c>
      <c r="D379" s="33" t="s">
        <v>50</v>
      </c>
      <c r="E379" s="33" t="s">
        <v>16163</v>
      </c>
    </row>
    <row r="380" customFormat="false" ht="15" hidden="false" customHeight="true" outlineLevel="0" collapsed="false">
      <c r="A380" s="33" t="s">
        <v>8722</v>
      </c>
      <c r="B380" s="33" t="s">
        <v>16161</v>
      </c>
      <c r="C380" s="33" t="s">
        <v>986</v>
      </c>
      <c r="D380" s="33" t="s">
        <v>50</v>
      </c>
      <c r="E380" s="33" t="s">
        <v>16163</v>
      </c>
    </row>
    <row r="381" customFormat="false" ht="15" hidden="false" customHeight="true" outlineLevel="0" collapsed="false">
      <c r="A381" s="33" t="s">
        <v>8722</v>
      </c>
      <c r="B381" s="33" t="s">
        <v>16161</v>
      </c>
      <c r="C381" s="33" t="s">
        <v>6111</v>
      </c>
      <c r="D381" s="33" t="s">
        <v>50</v>
      </c>
      <c r="E381" s="33" t="s">
        <v>16163</v>
      </c>
    </row>
    <row r="382" customFormat="false" ht="15" hidden="false" customHeight="true" outlineLevel="0" collapsed="false">
      <c r="A382" s="33" t="s">
        <v>8722</v>
      </c>
      <c r="B382" s="33" t="s">
        <v>16161</v>
      </c>
      <c r="C382" s="33" t="s">
        <v>1051</v>
      </c>
      <c r="D382" s="33" t="s">
        <v>50</v>
      </c>
      <c r="E382" s="33" t="s">
        <v>16163</v>
      </c>
    </row>
    <row r="383" customFormat="false" ht="15" hidden="false" customHeight="true" outlineLevel="0" collapsed="false">
      <c r="A383" s="33" t="s">
        <v>8722</v>
      </c>
      <c r="B383" s="33" t="s">
        <v>16161</v>
      </c>
      <c r="C383" s="33" t="s">
        <v>1140</v>
      </c>
      <c r="D383" s="33" t="s">
        <v>50</v>
      </c>
      <c r="E383" s="33" t="s">
        <v>16163</v>
      </c>
    </row>
    <row r="384" customFormat="false" ht="15" hidden="false" customHeight="true" outlineLevel="0" collapsed="false">
      <c r="A384" s="33" t="s">
        <v>8722</v>
      </c>
      <c r="B384" s="33" t="s">
        <v>16161</v>
      </c>
      <c r="C384" s="33" t="s">
        <v>8707</v>
      </c>
      <c r="D384" s="33" t="s">
        <v>50</v>
      </c>
      <c r="E384" s="33" t="s">
        <v>16163</v>
      </c>
    </row>
    <row r="385" customFormat="false" ht="15" hidden="false" customHeight="true" outlineLevel="0" collapsed="false">
      <c r="A385" s="33" t="s">
        <v>8722</v>
      </c>
      <c r="B385" s="33" t="s">
        <v>16161</v>
      </c>
      <c r="C385" s="33" t="s">
        <v>8738</v>
      </c>
      <c r="D385" s="33" t="s">
        <v>50</v>
      </c>
      <c r="E385" s="33" t="s">
        <v>16163</v>
      </c>
    </row>
    <row r="386" customFormat="false" ht="15" hidden="false" customHeight="true" outlineLevel="0" collapsed="false">
      <c r="A386" s="33" t="s">
        <v>8738</v>
      </c>
      <c r="B386" s="33" t="s">
        <v>16161</v>
      </c>
      <c r="C386" s="33" t="s">
        <v>4630</v>
      </c>
      <c r="D386" s="33" t="s">
        <v>52</v>
      </c>
      <c r="E386" s="33" t="s">
        <v>16163</v>
      </c>
    </row>
    <row r="387" customFormat="false" ht="15" hidden="false" customHeight="true" outlineLevel="0" collapsed="false">
      <c r="A387" s="33" t="s">
        <v>8738</v>
      </c>
      <c r="B387" s="33" t="s">
        <v>16161</v>
      </c>
      <c r="C387" s="33" t="s">
        <v>4687</v>
      </c>
      <c r="D387" s="33" t="s">
        <v>52</v>
      </c>
      <c r="E387" s="33" t="s">
        <v>16163</v>
      </c>
    </row>
    <row r="388" customFormat="false" ht="15" hidden="false" customHeight="true" outlineLevel="0" collapsed="false">
      <c r="A388" s="33" t="s">
        <v>8738</v>
      </c>
      <c r="B388" s="33" t="s">
        <v>16161</v>
      </c>
      <c r="C388" s="33" t="s">
        <v>8577</v>
      </c>
      <c r="D388" s="33" t="s">
        <v>52</v>
      </c>
      <c r="E388" s="33" t="s">
        <v>16163</v>
      </c>
    </row>
    <row r="389" customFormat="false" ht="15" hidden="false" customHeight="true" outlineLevel="0" collapsed="false">
      <c r="A389" s="33" t="s">
        <v>8738</v>
      </c>
      <c r="B389" s="33" t="s">
        <v>16161</v>
      </c>
      <c r="C389" s="33" t="s">
        <v>8623</v>
      </c>
      <c r="D389" s="33" t="s">
        <v>52</v>
      </c>
      <c r="E389" s="33" t="s">
        <v>16163</v>
      </c>
    </row>
    <row r="390" customFormat="false" ht="15" hidden="false" customHeight="true" outlineLevel="0" collapsed="false">
      <c r="A390" s="33" t="s">
        <v>8738</v>
      </c>
      <c r="B390" s="33" t="s">
        <v>16161</v>
      </c>
      <c r="C390" s="33" t="s">
        <v>8646</v>
      </c>
      <c r="D390" s="33" t="s">
        <v>52</v>
      </c>
      <c r="E390" s="33" t="s">
        <v>16163</v>
      </c>
    </row>
    <row r="391" customFormat="false" ht="15" hidden="false" customHeight="true" outlineLevel="0" collapsed="false">
      <c r="A391" s="33" t="s">
        <v>8738</v>
      </c>
      <c r="B391" s="33" t="s">
        <v>16161</v>
      </c>
      <c r="C391" s="33" t="s">
        <v>8662</v>
      </c>
      <c r="D391" s="33" t="s">
        <v>52</v>
      </c>
      <c r="E391" s="33" t="s">
        <v>16163</v>
      </c>
    </row>
    <row r="392" customFormat="false" ht="15" hidden="false" customHeight="true" outlineLevel="0" collapsed="false">
      <c r="A392" s="33" t="s">
        <v>8738</v>
      </c>
      <c r="B392" s="33" t="s">
        <v>16161</v>
      </c>
      <c r="C392" s="33" t="s">
        <v>8678</v>
      </c>
      <c r="D392" s="33" t="s">
        <v>52</v>
      </c>
      <c r="E392" s="33" t="s">
        <v>16163</v>
      </c>
    </row>
    <row r="393" customFormat="false" ht="15" hidden="false" customHeight="true" outlineLevel="0" collapsed="false">
      <c r="A393" s="33" t="s">
        <v>8738</v>
      </c>
      <c r="B393" s="33" t="s">
        <v>16161</v>
      </c>
      <c r="C393" s="33" t="s">
        <v>8692</v>
      </c>
      <c r="D393" s="33" t="s">
        <v>52</v>
      </c>
      <c r="E393" s="33" t="s">
        <v>16163</v>
      </c>
    </row>
    <row r="394" customFormat="false" ht="15" hidden="false" customHeight="true" outlineLevel="0" collapsed="false">
      <c r="A394" s="33" t="s">
        <v>8738</v>
      </c>
      <c r="B394" s="33" t="s">
        <v>16161</v>
      </c>
      <c r="C394" s="33" t="s">
        <v>8707</v>
      </c>
      <c r="D394" s="33" t="s">
        <v>52</v>
      </c>
      <c r="E394" s="33" t="s">
        <v>16163</v>
      </c>
    </row>
    <row r="395" customFormat="false" ht="15" hidden="false" customHeight="true" outlineLevel="0" collapsed="false">
      <c r="A395" s="33" t="s">
        <v>8738</v>
      </c>
      <c r="B395" s="33" t="s">
        <v>16161</v>
      </c>
      <c r="C395" s="33" t="s">
        <v>8722</v>
      </c>
      <c r="D395" s="33" t="s">
        <v>52</v>
      </c>
      <c r="E395" s="33" t="s">
        <v>16163</v>
      </c>
    </row>
    <row r="396" customFormat="false" ht="15" hidden="false" customHeight="true" outlineLevel="0" collapsed="false">
      <c r="A396" s="33" t="s">
        <v>8755</v>
      </c>
      <c r="B396" s="33" t="s">
        <v>16161</v>
      </c>
      <c r="C396" s="33" t="s">
        <v>4488</v>
      </c>
      <c r="D396" s="33" t="s">
        <v>53</v>
      </c>
      <c r="E396" s="33" t="s">
        <v>16164</v>
      </c>
    </row>
    <row r="397" customFormat="false" ht="15" hidden="false" customHeight="true" outlineLevel="0" collapsed="false">
      <c r="A397" s="33" t="s">
        <v>8755</v>
      </c>
      <c r="B397" s="33" t="s">
        <v>16161</v>
      </c>
      <c r="C397" s="33" t="s">
        <v>4542</v>
      </c>
      <c r="D397" s="33" t="s">
        <v>53</v>
      </c>
      <c r="E397" s="33" t="s">
        <v>16164</v>
      </c>
    </row>
    <row r="398" customFormat="false" ht="15" hidden="false" customHeight="true" outlineLevel="0" collapsed="false">
      <c r="A398" s="33" t="s">
        <v>8755</v>
      </c>
      <c r="B398" s="33" t="s">
        <v>16161</v>
      </c>
      <c r="C398" s="33" t="s">
        <v>8519</v>
      </c>
      <c r="D398" s="33" t="s">
        <v>53</v>
      </c>
      <c r="E398" s="33" t="s">
        <v>16164</v>
      </c>
    </row>
    <row r="399" customFormat="false" ht="15" hidden="false" customHeight="true" outlineLevel="0" collapsed="false">
      <c r="A399" s="33" t="s">
        <v>8755</v>
      </c>
      <c r="B399" s="33" t="s">
        <v>16161</v>
      </c>
      <c r="C399" s="33" t="s">
        <v>4557</v>
      </c>
      <c r="D399" s="33" t="s">
        <v>53</v>
      </c>
      <c r="E399" s="33" t="s">
        <v>16164</v>
      </c>
    </row>
    <row r="400" customFormat="false" ht="15" hidden="false" customHeight="true" outlineLevel="0" collapsed="false">
      <c r="A400" s="33" t="s">
        <v>8755</v>
      </c>
      <c r="B400" s="33" t="s">
        <v>16161</v>
      </c>
      <c r="C400" s="33" t="s">
        <v>9124</v>
      </c>
      <c r="D400" s="33" t="s">
        <v>53</v>
      </c>
      <c r="E400" s="33" t="s">
        <v>16164</v>
      </c>
    </row>
    <row r="401" customFormat="false" ht="15" hidden="false" customHeight="true" outlineLevel="0" collapsed="false">
      <c r="A401" s="33" t="s">
        <v>4557</v>
      </c>
      <c r="B401" s="33" t="s">
        <v>16161</v>
      </c>
      <c r="C401" s="33" t="s">
        <v>4542</v>
      </c>
      <c r="D401" s="33" t="s">
        <v>53</v>
      </c>
      <c r="E401" s="33" t="s">
        <v>16165</v>
      </c>
    </row>
    <row r="402" customFormat="false" ht="15" hidden="false" customHeight="true" outlineLevel="0" collapsed="false">
      <c r="A402" s="33" t="s">
        <v>4557</v>
      </c>
      <c r="B402" s="33" t="s">
        <v>16161</v>
      </c>
      <c r="C402" s="33" t="s">
        <v>4745</v>
      </c>
      <c r="D402" s="33" t="s">
        <v>53</v>
      </c>
      <c r="E402" s="33" t="s">
        <v>16165</v>
      </c>
    </row>
    <row r="403" customFormat="false" ht="15" hidden="false" customHeight="true" outlineLevel="0" collapsed="false">
      <c r="A403" s="33" t="s">
        <v>4557</v>
      </c>
      <c r="B403" s="33" t="s">
        <v>16161</v>
      </c>
      <c r="C403" s="33" t="s">
        <v>8519</v>
      </c>
      <c r="D403" s="33" t="s">
        <v>53</v>
      </c>
      <c r="E403" s="33" t="s">
        <v>16165</v>
      </c>
    </row>
    <row r="404" customFormat="false" ht="15" hidden="false" customHeight="true" outlineLevel="0" collapsed="false">
      <c r="A404" s="33" t="s">
        <v>4557</v>
      </c>
      <c r="B404" s="33" t="s">
        <v>16161</v>
      </c>
      <c r="C404" s="33" t="s">
        <v>8809</v>
      </c>
      <c r="D404" s="33" t="s">
        <v>53</v>
      </c>
      <c r="E404" s="33" t="s">
        <v>16165</v>
      </c>
    </row>
    <row r="405" customFormat="false" ht="15" hidden="false" customHeight="true" outlineLevel="0" collapsed="false">
      <c r="A405" s="33" t="s">
        <v>4557</v>
      </c>
      <c r="B405" s="33" t="s">
        <v>16161</v>
      </c>
      <c r="C405" s="33" t="s">
        <v>8825</v>
      </c>
      <c r="D405" s="33" t="s">
        <v>53</v>
      </c>
      <c r="E405" s="33" t="s">
        <v>16165</v>
      </c>
    </row>
    <row r="406" customFormat="false" ht="15" hidden="false" customHeight="true" outlineLevel="0" collapsed="false">
      <c r="A406" s="33" t="s">
        <v>8792</v>
      </c>
      <c r="B406" s="33" t="s">
        <v>16161</v>
      </c>
      <c r="C406" s="33" t="s">
        <v>4243</v>
      </c>
      <c r="D406" s="33" t="s">
        <v>53</v>
      </c>
      <c r="E406" s="33" t="s">
        <v>16166</v>
      </c>
    </row>
    <row r="407" customFormat="false" ht="15" hidden="false" customHeight="true" outlineLevel="0" collapsed="false">
      <c r="A407" s="33" t="s">
        <v>8792</v>
      </c>
      <c r="B407" s="33" t="s">
        <v>16161</v>
      </c>
      <c r="C407" s="33" t="s">
        <v>4446</v>
      </c>
      <c r="D407" s="33" t="s">
        <v>53</v>
      </c>
      <c r="E407" s="33" t="s">
        <v>16166</v>
      </c>
    </row>
    <row r="408" customFormat="false" ht="15" hidden="false" customHeight="true" outlineLevel="0" collapsed="false">
      <c r="A408" s="33" t="s">
        <v>8792</v>
      </c>
      <c r="B408" s="33" t="s">
        <v>16161</v>
      </c>
      <c r="C408" s="33" t="s">
        <v>8809</v>
      </c>
      <c r="D408" s="33" t="s">
        <v>53</v>
      </c>
      <c r="E408" s="33" t="s">
        <v>16166</v>
      </c>
    </row>
    <row r="409" customFormat="false" ht="15" hidden="false" customHeight="true" outlineLevel="0" collapsed="false">
      <c r="A409" s="33" t="s">
        <v>8792</v>
      </c>
      <c r="B409" s="33" t="s">
        <v>16161</v>
      </c>
      <c r="C409" s="33" t="s">
        <v>8825</v>
      </c>
      <c r="D409" s="33" t="s">
        <v>53</v>
      </c>
      <c r="E409" s="33" t="s">
        <v>16166</v>
      </c>
    </row>
    <row r="410" customFormat="false" ht="15" hidden="false" customHeight="true" outlineLevel="0" collapsed="false">
      <c r="A410" s="33" t="s">
        <v>8792</v>
      </c>
      <c r="B410" s="33" t="s">
        <v>16161</v>
      </c>
      <c r="C410" s="33" t="s">
        <v>9140</v>
      </c>
      <c r="D410" s="33" t="s">
        <v>53</v>
      </c>
      <c r="E410" s="33" t="s">
        <v>16166</v>
      </c>
    </row>
    <row r="411" customFormat="false" ht="15" hidden="false" customHeight="true" outlineLevel="0" collapsed="false">
      <c r="A411" s="33" t="s">
        <v>8809</v>
      </c>
      <c r="B411" s="33" t="s">
        <v>16161</v>
      </c>
      <c r="C411" s="33" t="s">
        <v>4260</v>
      </c>
      <c r="D411" s="33" t="s">
        <v>53</v>
      </c>
      <c r="E411" s="33" t="s">
        <v>16167</v>
      </c>
    </row>
    <row r="412" customFormat="false" ht="15" hidden="false" customHeight="true" outlineLevel="0" collapsed="false">
      <c r="A412" s="33" t="s">
        <v>8809</v>
      </c>
      <c r="B412" s="33" t="s">
        <v>16161</v>
      </c>
      <c r="C412" s="33" t="s">
        <v>8519</v>
      </c>
      <c r="D412" s="33" t="s">
        <v>53</v>
      </c>
      <c r="E412" s="33" t="s">
        <v>16167</v>
      </c>
    </row>
    <row r="413" customFormat="false" ht="15" hidden="false" customHeight="true" outlineLevel="0" collapsed="false">
      <c r="A413" s="33" t="s">
        <v>8809</v>
      </c>
      <c r="B413" s="33" t="s">
        <v>16161</v>
      </c>
      <c r="C413" s="33" t="s">
        <v>4557</v>
      </c>
      <c r="D413" s="33" t="s">
        <v>53</v>
      </c>
      <c r="E413" s="33" t="s">
        <v>16167</v>
      </c>
    </row>
    <row r="414" customFormat="false" ht="15" hidden="false" customHeight="true" outlineLevel="0" collapsed="false">
      <c r="A414" s="33" t="s">
        <v>8809</v>
      </c>
      <c r="B414" s="33" t="s">
        <v>16161</v>
      </c>
      <c r="C414" s="33" t="s">
        <v>8792</v>
      </c>
      <c r="D414" s="33" t="s">
        <v>53</v>
      </c>
      <c r="E414" s="33" t="s">
        <v>16167</v>
      </c>
    </row>
    <row r="415" customFormat="false" ht="15" hidden="false" customHeight="true" outlineLevel="0" collapsed="false">
      <c r="A415" s="33" t="s">
        <v>8809</v>
      </c>
      <c r="B415" s="33" t="s">
        <v>16161</v>
      </c>
      <c r="C415" s="33" t="s">
        <v>8825</v>
      </c>
      <c r="D415" s="33" t="s">
        <v>53</v>
      </c>
      <c r="E415" s="33" t="s">
        <v>16167</v>
      </c>
    </row>
    <row r="416" customFormat="false" ht="15" hidden="false" customHeight="true" outlineLevel="0" collapsed="false">
      <c r="A416" s="33" t="s">
        <v>8809</v>
      </c>
      <c r="B416" s="33" t="s">
        <v>16161</v>
      </c>
      <c r="C416" s="33" t="s">
        <v>4291</v>
      </c>
      <c r="D416" s="33" t="s">
        <v>53</v>
      </c>
      <c r="E416" s="33" t="s">
        <v>16167</v>
      </c>
    </row>
    <row r="417" customFormat="false" ht="15" hidden="false" customHeight="true" outlineLevel="0" collapsed="false">
      <c r="A417" s="33" t="s">
        <v>8809</v>
      </c>
      <c r="B417" s="33" t="s">
        <v>16161</v>
      </c>
      <c r="C417" s="33" t="s">
        <v>9140</v>
      </c>
      <c r="D417" s="33" t="s">
        <v>53</v>
      </c>
      <c r="E417" s="33" t="s">
        <v>16167</v>
      </c>
    </row>
    <row r="418" customFormat="false" ht="15" hidden="false" customHeight="true" outlineLevel="0" collapsed="false">
      <c r="A418" s="33" t="s">
        <v>8825</v>
      </c>
      <c r="B418" s="33" t="s">
        <v>16161</v>
      </c>
      <c r="C418" s="33" t="s">
        <v>4446</v>
      </c>
      <c r="D418" s="33" t="s">
        <v>53</v>
      </c>
      <c r="E418" s="33" t="s">
        <v>16168</v>
      </c>
    </row>
    <row r="419" customFormat="false" ht="15" hidden="false" customHeight="true" outlineLevel="0" collapsed="false">
      <c r="A419" s="33" t="s">
        <v>8825</v>
      </c>
      <c r="B419" s="33" t="s">
        <v>16161</v>
      </c>
      <c r="C419" s="33" t="s">
        <v>4703</v>
      </c>
      <c r="D419" s="33" t="s">
        <v>53</v>
      </c>
      <c r="E419" s="33" t="s">
        <v>16168</v>
      </c>
    </row>
    <row r="420" customFormat="false" ht="15" hidden="false" customHeight="true" outlineLevel="0" collapsed="false">
      <c r="A420" s="33" t="s">
        <v>8825</v>
      </c>
      <c r="B420" s="33" t="s">
        <v>16161</v>
      </c>
      <c r="C420" s="33" t="s">
        <v>8792</v>
      </c>
      <c r="D420" s="33" t="s">
        <v>53</v>
      </c>
      <c r="E420" s="33" t="s">
        <v>16168</v>
      </c>
    </row>
    <row r="421" customFormat="false" ht="15" hidden="false" customHeight="true" outlineLevel="0" collapsed="false">
      <c r="A421" s="33" t="s">
        <v>8825</v>
      </c>
      <c r="B421" s="33" t="s">
        <v>16161</v>
      </c>
      <c r="C421" s="33" t="s">
        <v>8809</v>
      </c>
      <c r="D421" s="33" t="s">
        <v>53</v>
      </c>
      <c r="E421" s="33" t="s">
        <v>16168</v>
      </c>
    </row>
    <row r="422" customFormat="false" ht="15" hidden="false" customHeight="true" outlineLevel="0" collapsed="false">
      <c r="A422" s="33" t="s">
        <v>8825</v>
      </c>
      <c r="B422" s="33" t="s">
        <v>16161</v>
      </c>
      <c r="C422" s="33" t="s">
        <v>9124</v>
      </c>
      <c r="D422" s="33" t="s">
        <v>53</v>
      </c>
      <c r="E422" s="33" t="s">
        <v>16168</v>
      </c>
    </row>
    <row r="423" customFormat="false" ht="15" hidden="false" customHeight="true" outlineLevel="0" collapsed="false">
      <c r="A423" s="33" t="s">
        <v>8825</v>
      </c>
      <c r="B423" s="33" t="s">
        <v>16161</v>
      </c>
      <c r="C423" s="33" t="s">
        <v>9140</v>
      </c>
      <c r="D423" s="33" t="s">
        <v>53</v>
      </c>
      <c r="E423" s="33" t="s">
        <v>16168</v>
      </c>
    </row>
    <row r="424" customFormat="false" ht="15" hidden="false" customHeight="true" outlineLevel="0" collapsed="false">
      <c r="A424" s="33" t="s">
        <v>8841</v>
      </c>
      <c r="B424" s="33" t="s">
        <v>16161</v>
      </c>
      <c r="C424" s="33" t="s">
        <v>4306</v>
      </c>
      <c r="D424" s="33" t="s">
        <v>59</v>
      </c>
      <c r="E424" s="33" t="s">
        <v>16169</v>
      </c>
    </row>
    <row r="425" customFormat="false" ht="15" hidden="false" customHeight="true" outlineLevel="0" collapsed="false">
      <c r="A425" s="33" t="s">
        <v>8841</v>
      </c>
      <c r="B425" s="33" t="s">
        <v>16161</v>
      </c>
      <c r="C425" s="33" t="s">
        <v>4368</v>
      </c>
      <c r="D425" s="33" t="s">
        <v>59</v>
      </c>
      <c r="E425" s="33" t="s">
        <v>16169</v>
      </c>
    </row>
    <row r="426" customFormat="false" ht="15" hidden="false" customHeight="true" outlineLevel="0" collapsed="false">
      <c r="A426" s="33" t="s">
        <v>8841</v>
      </c>
      <c r="B426" s="33" t="s">
        <v>16161</v>
      </c>
      <c r="C426" s="33" t="s">
        <v>4383</v>
      </c>
      <c r="D426" s="33" t="s">
        <v>59</v>
      </c>
      <c r="E426" s="33" t="s">
        <v>16169</v>
      </c>
    </row>
    <row r="427" customFormat="false" ht="15" hidden="false" customHeight="true" outlineLevel="0" collapsed="false">
      <c r="A427" s="33" t="s">
        <v>8841</v>
      </c>
      <c r="B427" s="33" t="s">
        <v>16161</v>
      </c>
      <c r="C427" s="33" t="s">
        <v>4461</v>
      </c>
      <c r="D427" s="33" t="s">
        <v>59</v>
      </c>
      <c r="E427" s="33" t="s">
        <v>16169</v>
      </c>
    </row>
    <row r="428" customFormat="false" ht="15" hidden="false" customHeight="true" outlineLevel="0" collapsed="false">
      <c r="A428" s="33" t="s">
        <v>8841</v>
      </c>
      <c r="B428" s="33" t="s">
        <v>16161</v>
      </c>
      <c r="C428" s="33" t="s">
        <v>6292</v>
      </c>
      <c r="D428" s="33" t="s">
        <v>59</v>
      </c>
      <c r="E428" s="33" t="s">
        <v>16169</v>
      </c>
    </row>
    <row r="429" customFormat="false" ht="15" hidden="false" customHeight="true" outlineLevel="0" collapsed="false">
      <c r="A429" s="33" t="s">
        <v>8841</v>
      </c>
      <c r="B429" s="33" t="s">
        <v>16161</v>
      </c>
      <c r="C429" s="33" t="s">
        <v>114</v>
      </c>
      <c r="D429" s="33" t="s">
        <v>59</v>
      </c>
      <c r="E429" s="33" t="s">
        <v>16169</v>
      </c>
    </row>
    <row r="430" customFormat="false" ht="15" hidden="false" customHeight="true" outlineLevel="0" collapsed="false">
      <c r="A430" s="33" t="s">
        <v>8841</v>
      </c>
      <c r="B430" s="33" t="s">
        <v>16161</v>
      </c>
      <c r="C430" s="33" t="s">
        <v>8859</v>
      </c>
      <c r="D430" s="33" t="s">
        <v>59</v>
      </c>
      <c r="E430" s="33" t="s">
        <v>16169</v>
      </c>
    </row>
    <row r="431" customFormat="false" ht="15" hidden="false" customHeight="true" outlineLevel="0" collapsed="false">
      <c r="A431" s="33" t="s">
        <v>8841</v>
      </c>
      <c r="B431" s="33" t="s">
        <v>16161</v>
      </c>
      <c r="C431" s="33" t="s">
        <v>8875</v>
      </c>
      <c r="D431" s="33" t="s">
        <v>59</v>
      </c>
      <c r="E431" s="33" t="s">
        <v>16169</v>
      </c>
    </row>
    <row r="432" customFormat="false" ht="15" hidden="false" customHeight="true" outlineLevel="0" collapsed="false">
      <c r="A432" s="33" t="s">
        <v>8859</v>
      </c>
      <c r="B432" s="33" t="s">
        <v>16161</v>
      </c>
      <c r="C432" s="33" t="s">
        <v>4306</v>
      </c>
      <c r="D432" s="33" t="s">
        <v>59</v>
      </c>
      <c r="E432" s="33" t="s">
        <v>16170</v>
      </c>
    </row>
    <row r="433" customFormat="false" ht="15" hidden="false" customHeight="true" outlineLevel="0" collapsed="false">
      <c r="A433" s="33" t="s">
        <v>8859</v>
      </c>
      <c r="B433" s="33" t="s">
        <v>16161</v>
      </c>
      <c r="C433" s="33" t="s">
        <v>6340</v>
      </c>
      <c r="D433" s="33" t="s">
        <v>59</v>
      </c>
      <c r="E433" s="33" t="s">
        <v>16170</v>
      </c>
    </row>
    <row r="434" customFormat="false" ht="15" hidden="false" customHeight="true" outlineLevel="0" collapsed="false">
      <c r="A434" s="33" t="s">
        <v>8859</v>
      </c>
      <c r="B434" s="33" t="s">
        <v>16161</v>
      </c>
      <c r="C434" s="33" t="s">
        <v>114</v>
      </c>
      <c r="D434" s="33" t="s">
        <v>59</v>
      </c>
      <c r="E434" s="33" t="s">
        <v>16170</v>
      </c>
    </row>
    <row r="435" customFormat="false" ht="15" hidden="false" customHeight="true" outlineLevel="0" collapsed="false">
      <c r="A435" s="33" t="s">
        <v>8859</v>
      </c>
      <c r="B435" s="33" t="s">
        <v>16161</v>
      </c>
      <c r="C435" s="33" t="s">
        <v>8841</v>
      </c>
      <c r="D435" s="33" t="s">
        <v>59</v>
      </c>
      <c r="E435" s="33" t="s">
        <v>16170</v>
      </c>
    </row>
    <row r="436" customFormat="false" ht="15" hidden="false" customHeight="true" outlineLevel="0" collapsed="false">
      <c r="A436" s="33" t="s">
        <v>8875</v>
      </c>
      <c r="B436" s="33" t="s">
        <v>16161</v>
      </c>
      <c r="C436" s="33" t="s">
        <v>4368</v>
      </c>
      <c r="D436" s="33" t="s">
        <v>54</v>
      </c>
      <c r="E436" s="33" t="s">
        <v>16171</v>
      </c>
    </row>
    <row r="437" customFormat="false" ht="15" hidden="false" customHeight="true" outlineLevel="0" collapsed="false">
      <c r="A437" s="33" t="s">
        <v>8875</v>
      </c>
      <c r="B437" s="33" t="s">
        <v>16161</v>
      </c>
      <c r="C437" s="33" t="s">
        <v>4461</v>
      </c>
      <c r="D437" s="33" t="s">
        <v>54</v>
      </c>
      <c r="E437" s="33" t="s">
        <v>16171</v>
      </c>
    </row>
    <row r="438" customFormat="false" ht="15" hidden="false" customHeight="true" outlineLevel="0" collapsed="false">
      <c r="A438" s="33" t="s">
        <v>8875</v>
      </c>
      <c r="B438" s="33" t="s">
        <v>16161</v>
      </c>
      <c r="C438" s="33" t="s">
        <v>4799</v>
      </c>
      <c r="D438" s="33" t="s">
        <v>54</v>
      </c>
      <c r="E438" s="33" t="s">
        <v>16171</v>
      </c>
    </row>
    <row r="439" customFormat="false" ht="15" hidden="false" customHeight="true" outlineLevel="0" collapsed="false">
      <c r="A439" s="33" t="s">
        <v>8875</v>
      </c>
      <c r="B439" s="33" t="s">
        <v>16161</v>
      </c>
      <c r="C439" s="33" t="s">
        <v>4844</v>
      </c>
      <c r="D439" s="33" t="s">
        <v>54</v>
      </c>
      <c r="E439" s="33" t="s">
        <v>16171</v>
      </c>
    </row>
    <row r="440" customFormat="false" ht="15" hidden="false" customHeight="true" outlineLevel="0" collapsed="false">
      <c r="A440" s="33" t="s">
        <v>8875</v>
      </c>
      <c r="B440" s="33" t="s">
        <v>16161</v>
      </c>
      <c r="C440" s="33" t="s">
        <v>8841</v>
      </c>
      <c r="D440" s="33" t="s">
        <v>54</v>
      </c>
      <c r="E440" s="33" t="s">
        <v>16171</v>
      </c>
    </row>
    <row r="441" customFormat="false" ht="15" hidden="false" customHeight="true" outlineLevel="0" collapsed="false">
      <c r="A441" s="33" t="s">
        <v>8875</v>
      </c>
      <c r="B441" s="33" t="s">
        <v>16161</v>
      </c>
      <c r="C441" s="33" t="s">
        <v>9023</v>
      </c>
      <c r="D441" s="33" t="s">
        <v>54</v>
      </c>
      <c r="E441" s="33" t="s">
        <v>16171</v>
      </c>
    </row>
    <row r="442" customFormat="false" ht="15" hidden="false" customHeight="true" outlineLevel="0" collapsed="false">
      <c r="A442" s="33" t="s">
        <v>8875</v>
      </c>
      <c r="B442" s="33" t="s">
        <v>16161</v>
      </c>
      <c r="C442" s="33" t="s">
        <v>9124</v>
      </c>
      <c r="D442" s="33" t="s">
        <v>54</v>
      </c>
      <c r="E442" s="33" t="s">
        <v>16171</v>
      </c>
    </row>
    <row r="443" customFormat="false" ht="15" hidden="false" customHeight="true" outlineLevel="0" collapsed="false">
      <c r="A443" s="33" t="s">
        <v>8891</v>
      </c>
      <c r="B443" s="33" t="s">
        <v>16161</v>
      </c>
      <c r="C443" s="33" t="s">
        <v>4383</v>
      </c>
      <c r="D443" s="33" t="s">
        <v>54</v>
      </c>
      <c r="E443" s="33" t="s">
        <v>16172</v>
      </c>
    </row>
    <row r="444" customFormat="false" ht="15" hidden="false" customHeight="true" outlineLevel="0" collapsed="false">
      <c r="A444" s="33" t="s">
        <v>8891</v>
      </c>
      <c r="B444" s="33" t="s">
        <v>16161</v>
      </c>
      <c r="C444" s="33" t="s">
        <v>4687</v>
      </c>
      <c r="D444" s="33" t="s">
        <v>54</v>
      </c>
      <c r="E444" s="33" t="s">
        <v>16172</v>
      </c>
    </row>
    <row r="445" customFormat="false" ht="15" hidden="false" customHeight="true" outlineLevel="0" collapsed="false">
      <c r="A445" s="33" t="s">
        <v>8891</v>
      </c>
      <c r="B445" s="33" t="s">
        <v>16161</v>
      </c>
      <c r="C445" s="33" t="s">
        <v>8792</v>
      </c>
      <c r="D445" s="33" t="s">
        <v>54</v>
      </c>
      <c r="E445" s="33" t="s">
        <v>16172</v>
      </c>
    </row>
    <row r="446" customFormat="false" ht="15" hidden="false" customHeight="true" outlineLevel="0" collapsed="false">
      <c r="A446" s="33" t="s">
        <v>8891</v>
      </c>
      <c r="B446" s="33" t="s">
        <v>16161</v>
      </c>
      <c r="C446" s="33" t="s">
        <v>8809</v>
      </c>
      <c r="D446" s="33" t="s">
        <v>54</v>
      </c>
      <c r="E446" s="33" t="s">
        <v>16172</v>
      </c>
    </row>
    <row r="447" customFormat="false" ht="15" hidden="false" customHeight="true" outlineLevel="0" collapsed="false">
      <c r="A447" s="33" t="s">
        <v>8891</v>
      </c>
      <c r="B447" s="33" t="s">
        <v>16161</v>
      </c>
      <c r="C447" s="33" t="s">
        <v>8908</v>
      </c>
      <c r="D447" s="33" t="s">
        <v>54</v>
      </c>
      <c r="E447" s="33" t="s">
        <v>16172</v>
      </c>
    </row>
    <row r="448" customFormat="false" ht="15" hidden="false" customHeight="true" outlineLevel="0" collapsed="false">
      <c r="A448" s="33" t="s">
        <v>8891</v>
      </c>
      <c r="B448" s="33" t="s">
        <v>16161</v>
      </c>
      <c r="C448" s="33" t="s">
        <v>8939</v>
      </c>
      <c r="D448" s="33" t="s">
        <v>54</v>
      </c>
      <c r="E448" s="33" t="s">
        <v>16172</v>
      </c>
    </row>
    <row r="449" customFormat="false" ht="15" hidden="false" customHeight="true" outlineLevel="0" collapsed="false">
      <c r="A449" s="33" t="s">
        <v>8891</v>
      </c>
      <c r="B449" s="33" t="s">
        <v>16161</v>
      </c>
      <c r="C449" s="33" t="s">
        <v>1551</v>
      </c>
      <c r="D449" s="33" t="s">
        <v>54</v>
      </c>
      <c r="E449" s="33" t="s">
        <v>16172</v>
      </c>
    </row>
    <row r="450" customFormat="false" ht="15" hidden="false" customHeight="true" outlineLevel="0" collapsed="false">
      <c r="A450" s="33" t="s">
        <v>8891</v>
      </c>
      <c r="B450" s="33" t="s">
        <v>16161</v>
      </c>
      <c r="C450" s="33" t="s">
        <v>8971</v>
      </c>
      <c r="D450" s="33" t="s">
        <v>54</v>
      </c>
      <c r="E450" s="33" t="s">
        <v>16172</v>
      </c>
    </row>
    <row r="451" customFormat="false" ht="15" hidden="false" customHeight="true" outlineLevel="0" collapsed="false">
      <c r="A451" s="33" t="s">
        <v>8891</v>
      </c>
      <c r="B451" s="33" t="s">
        <v>16161</v>
      </c>
      <c r="C451" s="33" t="s">
        <v>9023</v>
      </c>
      <c r="D451" s="33" t="s">
        <v>54</v>
      </c>
      <c r="E451" s="33" t="s">
        <v>16172</v>
      </c>
    </row>
    <row r="452" customFormat="false" ht="15" hidden="false" customHeight="true" outlineLevel="0" collapsed="false">
      <c r="A452" s="33" t="s">
        <v>8891</v>
      </c>
      <c r="B452" s="33" t="s">
        <v>16161</v>
      </c>
      <c r="C452" s="33" t="s">
        <v>9075</v>
      </c>
      <c r="D452" s="33" t="s">
        <v>54</v>
      </c>
      <c r="E452" s="33" t="s">
        <v>16172</v>
      </c>
    </row>
    <row r="453" customFormat="false" ht="15" hidden="false" customHeight="true" outlineLevel="0" collapsed="false">
      <c r="A453" s="33" t="s">
        <v>8891</v>
      </c>
      <c r="B453" s="33" t="s">
        <v>16161</v>
      </c>
      <c r="C453" s="33" t="s">
        <v>9091</v>
      </c>
      <c r="D453" s="33" t="s">
        <v>54</v>
      </c>
      <c r="E453" s="33" t="s">
        <v>16172</v>
      </c>
    </row>
    <row r="454" customFormat="false" ht="15" hidden="false" customHeight="true" outlineLevel="0" collapsed="false">
      <c r="A454" s="33" t="s">
        <v>8908</v>
      </c>
      <c r="B454" s="33" t="s">
        <v>16161</v>
      </c>
      <c r="C454" s="33" t="s">
        <v>114</v>
      </c>
      <c r="D454" s="33" t="s">
        <v>54</v>
      </c>
      <c r="E454" s="33" t="s">
        <v>16173</v>
      </c>
    </row>
    <row r="455" customFormat="false" ht="15" hidden="false" customHeight="true" outlineLevel="0" collapsed="false">
      <c r="A455" s="33" t="s">
        <v>8908</v>
      </c>
      <c r="B455" s="33" t="s">
        <v>16161</v>
      </c>
      <c r="C455" s="33" t="s">
        <v>8891</v>
      </c>
      <c r="D455" s="33" t="s">
        <v>54</v>
      </c>
      <c r="E455" s="33" t="s">
        <v>16173</v>
      </c>
    </row>
    <row r="456" customFormat="false" ht="15" hidden="false" customHeight="true" outlineLevel="0" collapsed="false">
      <c r="A456" s="33" t="s">
        <v>8908</v>
      </c>
      <c r="B456" s="33" t="s">
        <v>16161</v>
      </c>
      <c r="C456" s="33" t="s">
        <v>4291</v>
      </c>
      <c r="D456" s="33" t="s">
        <v>54</v>
      </c>
      <c r="E456" s="33" t="s">
        <v>16173</v>
      </c>
    </row>
    <row r="457" customFormat="false" ht="15" hidden="false" customHeight="true" outlineLevel="0" collapsed="false">
      <c r="A457" s="33" t="s">
        <v>8908</v>
      </c>
      <c r="B457" s="33" t="s">
        <v>16161</v>
      </c>
      <c r="C457" s="33" t="s">
        <v>1551</v>
      </c>
      <c r="D457" s="33" t="s">
        <v>54</v>
      </c>
      <c r="E457" s="33" t="s">
        <v>16173</v>
      </c>
    </row>
    <row r="458" customFormat="false" ht="15" hidden="false" customHeight="true" outlineLevel="0" collapsed="false">
      <c r="A458" s="33" t="s">
        <v>8908</v>
      </c>
      <c r="B458" s="33" t="s">
        <v>16161</v>
      </c>
      <c r="C458" s="33" t="s">
        <v>2983</v>
      </c>
      <c r="D458" s="33" t="s">
        <v>54</v>
      </c>
      <c r="E458" s="33" t="s">
        <v>16173</v>
      </c>
    </row>
    <row r="459" customFormat="false" ht="15" hidden="false" customHeight="true" outlineLevel="0" collapsed="false">
      <c r="A459" s="33" t="s">
        <v>4291</v>
      </c>
      <c r="B459" s="33" t="s">
        <v>16161</v>
      </c>
      <c r="C459" s="33" t="s">
        <v>4260</v>
      </c>
      <c r="D459" s="33" t="s">
        <v>54</v>
      </c>
      <c r="E459" s="33" t="s">
        <v>16174</v>
      </c>
    </row>
    <row r="460" customFormat="false" ht="15" hidden="false" customHeight="true" outlineLevel="0" collapsed="false">
      <c r="A460" s="33" t="s">
        <v>4291</v>
      </c>
      <c r="B460" s="33" t="s">
        <v>16161</v>
      </c>
      <c r="C460" s="33" t="s">
        <v>4276</v>
      </c>
      <c r="D460" s="33" t="s">
        <v>54</v>
      </c>
      <c r="E460" s="33" t="s">
        <v>16174</v>
      </c>
    </row>
    <row r="461" customFormat="false" ht="15" hidden="false" customHeight="true" outlineLevel="0" collapsed="false">
      <c r="A461" s="33" t="s">
        <v>4291</v>
      </c>
      <c r="B461" s="33" t="s">
        <v>16161</v>
      </c>
      <c r="C461" s="33" t="s">
        <v>8809</v>
      </c>
      <c r="D461" s="33" t="s">
        <v>54</v>
      </c>
      <c r="E461" s="33" t="s">
        <v>16174</v>
      </c>
    </row>
    <row r="462" customFormat="false" ht="15" hidden="false" customHeight="true" outlineLevel="0" collapsed="false">
      <c r="A462" s="33" t="s">
        <v>4291</v>
      </c>
      <c r="B462" s="33" t="s">
        <v>16161</v>
      </c>
      <c r="C462" s="33" t="s">
        <v>8908</v>
      </c>
      <c r="D462" s="33" t="s">
        <v>54</v>
      </c>
      <c r="E462" s="33" t="s">
        <v>16174</v>
      </c>
    </row>
    <row r="463" customFormat="false" ht="15" hidden="false" customHeight="true" outlineLevel="0" collapsed="false">
      <c r="A463" s="33" t="s">
        <v>4291</v>
      </c>
      <c r="B463" s="33" t="s">
        <v>16161</v>
      </c>
      <c r="C463" s="33" t="s">
        <v>9140</v>
      </c>
      <c r="D463" s="33" t="s">
        <v>54</v>
      </c>
      <c r="E463" s="33" t="s">
        <v>16174</v>
      </c>
    </row>
    <row r="464" customFormat="false" ht="15" hidden="false" customHeight="true" outlineLevel="0" collapsed="false">
      <c r="A464" s="33" t="s">
        <v>8939</v>
      </c>
      <c r="B464" s="33" t="s">
        <v>16161</v>
      </c>
      <c r="C464" s="33" t="s">
        <v>4368</v>
      </c>
      <c r="D464" s="33" t="s">
        <v>54</v>
      </c>
      <c r="E464" s="33" t="s">
        <v>16175</v>
      </c>
    </row>
    <row r="465" customFormat="false" ht="15" hidden="false" customHeight="true" outlineLevel="0" collapsed="false">
      <c r="A465" s="33" t="s">
        <v>8939</v>
      </c>
      <c r="B465" s="33" t="s">
        <v>16161</v>
      </c>
      <c r="C465" s="33" t="s">
        <v>4383</v>
      </c>
      <c r="D465" s="33" t="s">
        <v>54</v>
      </c>
      <c r="E465" s="33" t="s">
        <v>16175</v>
      </c>
    </row>
    <row r="466" customFormat="false" ht="15" hidden="false" customHeight="true" outlineLevel="0" collapsed="false">
      <c r="A466" s="33" t="s">
        <v>8939</v>
      </c>
      <c r="B466" s="33" t="s">
        <v>16161</v>
      </c>
      <c r="C466" s="33" t="s">
        <v>6244</v>
      </c>
      <c r="D466" s="33" t="s">
        <v>54</v>
      </c>
      <c r="E466" s="33" t="s">
        <v>16175</v>
      </c>
    </row>
    <row r="467" customFormat="false" ht="15" hidden="false" customHeight="true" outlineLevel="0" collapsed="false">
      <c r="A467" s="33" t="s">
        <v>8939</v>
      </c>
      <c r="B467" s="33" t="s">
        <v>16161</v>
      </c>
      <c r="C467" s="33" t="s">
        <v>8891</v>
      </c>
      <c r="D467" s="33" t="s">
        <v>54</v>
      </c>
      <c r="E467" s="33" t="s">
        <v>16175</v>
      </c>
    </row>
    <row r="468" customFormat="false" ht="15" hidden="false" customHeight="true" outlineLevel="0" collapsed="false">
      <c r="A468" s="33" t="s">
        <v>8939</v>
      </c>
      <c r="B468" s="33" t="s">
        <v>16161</v>
      </c>
      <c r="C468" s="33" t="s">
        <v>1551</v>
      </c>
      <c r="D468" s="33" t="s">
        <v>54</v>
      </c>
      <c r="E468" s="33" t="s">
        <v>16175</v>
      </c>
    </row>
    <row r="469" customFormat="false" ht="15" hidden="false" customHeight="true" outlineLevel="0" collapsed="false">
      <c r="A469" s="33" t="s">
        <v>8939</v>
      </c>
      <c r="B469" s="33" t="s">
        <v>16161</v>
      </c>
      <c r="C469" s="33" t="s">
        <v>9023</v>
      </c>
      <c r="D469" s="33" t="s">
        <v>54</v>
      </c>
      <c r="E469" s="33" t="s">
        <v>16175</v>
      </c>
    </row>
    <row r="470" customFormat="false" ht="15" hidden="false" customHeight="true" outlineLevel="0" collapsed="false">
      <c r="A470" s="33" t="s">
        <v>8939</v>
      </c>
      <c r="B470" s="33" t="s">
        <v>16161</v>
      </c>
      <c r="C470" s="33" t="s">
        <v>1930</v>
      </c>
      <c r="D470" s="33" t="s">
        <v>54</v>
      </c>
      <c r="E470" s="33" t="s">
        <v>16175</v>
      </c>
    </row>
    <row r="471" customFormat="false" ht="15" hidden="false" customHeight="true" outlineLevel="0" collapsed="false">
      <c r="A471" s="33" t="s">
        <v>1551</v>
      </c>
      <c r="B471" s="33" t="s">
        <v>16161</v>
      </c>
      <c r="C471" s="33" t="s">
        <v>5033</v>
      </c>
      <c r="D471" s="33" t="s">
        <v>57</v>
      </c>
      <c r="E471" s="33" t="s">
        <v>16176</v>
      </c>
    </row>
    <row r="472" customFormat="false" ht="15" hidden="false" customHeight="true" outlineLevel="0" collapsed="false">
      <c r="A472" s="33" t="s">
        <v>1551</v>
      </c>
      <c r="B472" s="33" t="s">
        <v>16161</v>
      </c>
      <c r="C472" s="33" t="s">
        <v>5062</v>
      </c>
      <c r="D472" s="33" t="s">
        <v>57</v>
      </c>
      <c r="E472" s="33" t="s">
        <v>16176</v>
      </c>
    </row>
    <row r="473" customFormat="false" ht="15" hidden="false" customHeight="true" outlineLevel="0" collapsed="false">
      <c r="A473" s="33" t="s">
        <v>1551</v>
      </c>
      <c r="B473" s="33" t="s">
        <v>16161</v>
      </c>
      <c r="C473" s="33" t="s">
        <v>5089</v>
      </c>
      <c r="D473" s="33" t="s">
        <v>57</v>
      </c>
      <c r="E473" s="33" t="s">
        <v>16176</v>
      </c>
    </row>
    <row r="474" customFormat="false" ht="15" hidden="false" customHeight="true" outlineLevel="0" collapsed="false">
      <c r="A474" s="33" t="s">
        <v>1551</v>
      </c>
      <c r="B474" s="33" t="s">
        <v>16161</v>
      </c>
      <c r="C474" s="33" t="s">
        <v>8908</v>
      </c>
      <c r="D474" s="33" t="s">
        <v>57</v>
      </c>
      <c r="E474" s="33" t="s">
        <v>16176</v>
      </c>
    </row>
    <row r="475" customFormat="false" ht="15" hidden="false" customHeight="true" outlineLevel="0" collapsed="false">
      <c r="A475" s="33" t="s">
        <v>1551</v>
      </c>
      <c r="B475" s="33" t="s">
        <v>16161</v>
      </c>
      <c r="C475" s="33" t="s">
        <v>8971</v>
      </c>
      <c r="D475" s="33" t="s">
        <v>57</v>
      </c>
      <c r="E475" s="33" t="s">
        <v>16176</v>
      </c>
    </row>
    <row r="476" customFormat="false" ht="15" hidden="false" customHeight="true" outlineLevel="0" collapsed="false">
      <c r="A476" s="33" t="s">
        <v>1551</v>
      </c>
      <c r="B476" s="33" t="s">
        <v>16161</v>
      </c>
      <c r="C476" s="33" t="s">
        <v>1930</v>
      </c>
      <c r="D476" s="33" t="s">
        <v>57</v>
      </c>
      <c r="E476" s="33" t="s">
        <v>16176</v>
      </c>
    </row>
    <row r="477" customFormat="false" ht="15" hidden="false" customHeight="true" outlineLevel="0" collapsed="false">
      <c r="A477" s="33" t="s">
        <v>1551</v>
      </c>
      <c r="B477" s="33" t="s">
        <v>16161</v>
      </c>
      <c r="C477" s="33" t="s">
        <v>1484</v>
      </c>
      <c r="D477" s="33" t="s">
        <v>57</v>
      </c>
      <c r="E477" s="33" t="s">
        <v>16176</v>
      </c>
    </row>
    <row r="478" customFormat="false" ht="15" hidden="false" customHeight="true" outlineLevel="0" collapsed="false">
      <c r="A478" s="33" t="s">
        <v>1551</v>
      </c>
      <c r="B478" s="33" t="s">
        <v>16161</v>
      </c>
      <c r="C478" s="33" t="s">
        <v>1539</v>
      </c>
      <c r="D478" s="33" t="s">
        <v>57</v>
      </c>
      <c r="E478" s="33" t="s">
        <v>16176</v>
      </c>
    </row>
    <row r="479" customFormat="false" ht="15" hidden="false" customHeight="true" outlineLevel="0" collapsed="false">
      <c r="A479" s="33" t="s">
        <v>8971</v>
      </c>
      <c r="B479" s="33" t="s">
        <v>16161</v>
      </c>
      <c r="C479" s="33" t="s">
        <v>4687</v>
      </c>
      <c r="D479" s="33" t="s">
        <v>57</v>
      </c>
      <c r="E479" s="33" t="s">
        <v>16177</v>
      </c>
    </row>
    <row r="480" customFormat="false" ht="15" hidden="false" customHeight="true" outlineLevel="0" collapsed="false">
      <c r="A480" s="33" t="s">
        <v>8971</v>
      </c>
      <c r="B480" s="33" t="s">
        <v>16161</v>
      </c>
      <c r="C480" s="33" t="s">
        <v>5033</v>
      </c>
      <c r="D480" s="33" t="s">
        <v>57</v>
      </c>
      <c r="E480" s="33" t="s">
        <v>16177</v>
      </c>
    </row>
    <row r="481" customFormat="false" ht="15" hidden="false" customHeight="true" outlineLevel="0" collapsed="false">
      <c r="A481" s="33" t="s">
        <v>8971</v>
      </c>
      <c r="B481" s="33" t="s">
        <v>16161</v>
      </c>
      <c r="C481" s="33" t="s">
        <v>8891</v>
      </c>
      <c r="D481" s="33" t="s">
        <v>57</v>
      </c>
      <c r="E481" s="33" t="s">
        <v>16177</v>
      </c>
    </row>
    <row r="482" customFormat="false" ht="15" hidden="false" customHeight="true" outlineLevel="0" collapsed="false">
      <c r="A482" s="33" t="s">
        <v>8971</v>
      </c>
      <c r="B482" s="33" t="s">
        <v>16161</v>
      </c>
      <c r="C482" s="33" t="s">
        <v>1551</v>
      </c>
      <c r="D482" s="33" t="s">
        <v>57</v>
      </c>
      <c r="E482" s="33" t="s">
        <v>16177</v>
      </c>
    </row>
    <row r="483" customFormat="false" ht="15" hidden="false" customHeight="true" outlineLevel="0" collapsed="false">
      <c r="A483" s="33" t="s">
        <v>8971</v>
      </c>
      <c r="B483" s="33" t="s">
        <v>16161</v>
      </c>
      <c r="C483" s="33" t="s">
        <v>1049</v>
      </c>
      <c r="D483" s="33" t="s">
        <v>57</v>
      </c>
      <c r="E483" s="33" t="s">
        <v>16177</v>
      </c>
    </row>
    <row r="484" customFormat="false" ht="15" hidden="false" customHeight="true" outlineLevel="0" collapsed="false">
      <c r="A484" s="33" t="s">
        <v>8971</v>
      </c>
      <c r="B484" s="33" t="s">
        <v>16161</v>
      </c>
      <c r="C484" s="33" t="s">
        <v>9075</v>
      </c>
      <c r="D484" s="33" t="s">
        <v>57</v>
      </c>
      <c r="E484" s="33" t="s">
        <v>16177</v>
      </c>
    </row>
    <row r="485" customFormat="false" ht="15" hidden="false" customHeight="true" outlineLevel="0" collapsed="false">
      <c r="A485" s="33" t="s">
        <v>8971</v>
      </c>
      <c r="B485" s="33" t="s">
        <v>16161</v>
      </c>
      <c r="C485" s="33" t="s">
        <v>8608</v>
      </c>
      <c r="D485" s="33" t="s">
        <v>57</v>
      </c>
      <c r="E485" s="33" t="s">
        <v>16177</v>
      </c>
    </row>
    <row r="486" customFormat="false" ht="15" hidden="false" customHeight="true" outlineLevel="0" collapsed="false">
      <c r="A486" s="33" t="s">
        <v>8987</v>
      </c>
      <c r="B486" s="33" t="s">
        <v>16161</v>
      </c>
      <c r="C486" s="33" t="s">
        <v>8707</v>
      </c>
      <c r="D486" s="33" t="s">
        <v>54</v>
      </c>
      <c r="E486" s="33" t="s">
        <v>16178</v>
      </c>
    </row>
    <row r="487" customFormat="false" ht="15" hidden="false" customHeight="true" outlineLevel="0" collapsed="false">
      <c r="A487" s="33" t="s">
        <v>8987</v>
      </c>
      <c r="B487" s="33" t="s">
        <v>16161</v>
      </c>
      <c r="C487" s="33" t="s">
        <v>8722</v>
      </c>
      <c r="D487" s="33" t="s">
        <v>54</v>
      </c>
      <c r="E487" s="33" t="s">
        <v>16178</v>
      </c>
    </row>
    <row r="488" customFormat="false" ht="15" hidden="false" customHeight="true" outlineLevel="0" collapsed="false">
      <c r="A488" s="33" t="s">
        <v>8987</v>
      </c>
      <c r="B488" s="33" t="s">
        <v>16161</v>
      </c>
      <c r="C488" s="33" t="s">
        <v>8891</v>
      </c>
      <c r="D488" s="33" t="s">
        <v>54</v>
      </c>
      <c r="E488" s="33" t="s">
        <v>16178</v>
      </c>
    </row>
    <row r="489" customFormat="false" ht="15" hidden="false" customHeight="true" outlineLevel="0" collapsed="false">
      <c r="A489" s="33" t="s">
        <v>8987</v>
      </c>
      <c r="B489" s="33" t="s">
        <v>16161</v>
      </c>
      <c r="C489" s="33" t="s">
        <v>9005</v>
      </c>
      <c r="D489" s="33" t="s">
        <v>54</v>
      </c>
      <c r="E489" s="33" t="s">
        <v>16178</v>
      </c>
    </row>
    <row r="490" customFormat="false" ht="15" hidden="false" customHeight="true" outlineLevel="0" collapsed="false">
      <c r="A490" s="33" t="s">
        <v>8987</v>
      </c>
      <c r="B490" s="33" t="s">
        <v>16161</v>
      </c>
      <c r="C490" s="33" t="s">
        <v>9023</v>
      </c>
      <c r="D490" s="33" t="s">
        <v>54</v>
      </c>
      <c r="E490" s="33" t="s">
        <v>16178</v>
      </c>
    </row>
    <row r="491" customFormat="false" ht="15" hidden="false" customHeight="true" outlineLevel="0" collapsed="false">
      <c r="A491" s="33" t="s">
        <v>8987</v>
      </c>
      <c r="B491" s="33" t="s">
        <v>16161</v>
      </c>
      <c r="C491" s="33" t="s">
        <v>9075</v>
      </c>
      <c r="D491" s="33" t="s">
        <v>54</v>
      </c>
      <c r="E491" s="33" t="s">
        <v>16178</v>
      </c>
    </row>
    <row r="492" customFormat="false" ht="15" hidden="false" customHeight="true" outlineLevel="0" collapsed="false">
      <c r="A492" s="33" t="s">
        <v>9005</v>
      </c>
      <c r="B492" s="33" t="s">
        <v>16161</v>
      </c>
      <c r="C492" s="33" t="s">
        <v>624</v>
      </c>
      <c r="D492" s="33" t="s">
        <v>50</v>
      </c>
      <c r="E492" s="33" t="s">
        <v>16179</v>
      </c>
    </row>
    <row r="493" customFormat="false" ht="15" hidden="false" customHeight="true" outlineLevel="0" collapsed="false">
      <c r="A493" s="33" t="s">
        <v>9005</v>
      </c>
      <c r="B493" s="33" t="s">
        <v>16161</v>
      </c>
      <c r="C493" s="33" t="s">
        <v>970</v>
      </c>
      <c r="D493" s="33" t="s">
        <v>50</v>
      </c>
      <c r="E493" s="33" t="s">
        <v>16179</v>
      </c>
    </row>
    <row r="494" customFormat="false" ht="15" hidden="false" customHeight="true" outlineLevel="0" collapsed="false">
      <c r="A494" s="33" t="s">
        <v>9005</v>
      </c>
      <c r="B494" s="33" t="s">
        <v>16161</v>
      </c>
      <c r="C494" s="33" t="s">
        <v>1140</v>
      </c>
      <c r="D494" s="33" t="s">
        <v>50</v>
      </c>
      <c r="E494" s="33" t="s">
        <v>16179</v>
      </c>
    </row>
    <row r="495" customFormat="false" ht="15" hidden="false" customHeight="true" outlineLevel="0" collapsed="false">
      <c r="A495" s="33" t="s">
        <v>9005</v>
      </c>
      <c r="B495" s="33" t="s">
        <v>16161</v>
      </c>
      <c r="C495" s="33" t="s">
        <v>8987</v>
      </c>
      <c r="D495" s="33" t="s">
        <v>50</v>
      </c>
      <c r="E495" s="33" t="s">
        <v>16179</v>
      </c>
    </row>
    <row r="496" customFormat="false" ht="15" hidden="false" customHeight="true" outlineLevel="0" collapsed="false">
      <c r="A496" s="33" t="s">
        <v>9005</v>
      </c>
      <c r="B496" s="33" t="s">
        <v>16161</v>
      </c>
      <c r="C496" s="33" t="s">
        <v>9039</v>
      </c>
      <c r="D496" s="33" t="s">
        <v>50</v>
      </c>
      <c r="E496" s="33" t="s">
        <v>16179</v>
      </c>
    </row>
    <row r="497" customFormat="false" ht="15" hidden="false" customHeight="true" outlineLevel="0" collapsed="false">
      <c r="A497" s="33" t="s">
        <v>9005</v>
      </c>
      <c r="B497" s="33" t="s">
        <v>16161</v>
      </c>
      <c r="C497" s="33" t="s">
        <v>9075</v>
      </c>
      <c r="D497" s="33" t="s">
        <v>50</v>
      </c>
      <c r="E497" s="33" t="s">
        <v>16179</v>
      </c>
    </row>
    <row r="498" customFormat="false" ht="15" hidden="false" customHeight="true" outlineLevel="0" collapsed="false">
      <c r="A498" s="33" t="s">
        <v>9023</v>
      </c>
      <c r="B498" s="33" t="s">
        <v>16161</v>
      </c>
      <c r="C498" s="33" t="s">
        <v>2872</v>
      </c>
      <c r="D498" s="33" t="s">
        <v>54</v>
      </c>
      <c r="E498" s="33" t="s">
        <v>16180</v>
      </c>
    </row>
    <row r="499" customFormat="false" ht="15" hidden="false" customHeight="true" outlineLevel="0" collapsed="false">
      <c r="A499" s="33" t="s">
        <v>9023</v>
      </c>
      <c r="B499" s="33" t="s">
        <v>16161</v>
      </c>
      <c r="C499" s="33" t="s">
        <v>2903</v>
      </c>
      <c r="D499" s="33" t="s">
        <v>54</v>
      </c>
      <c r="E499" s="33" t="s">
        <v>16180</v>
      </c>
    </row>
    <row r="500" customFormat="false" ht="15" hidden="false" customHeight="true" outlineLevel="0" collapsed="false">
      <c r="A500" s="33" t="s">
        <v>9023</v>
      </c>
      <c r="B500" s="33" t="s">
        <v>16161</v>
      </c>
      <c r="C500" s="33" t="s">
        <v>8891</v>
      </c>
      <c r="D500" s="33" t="s">
        <v>54</v>
      </c>
      <c r="E500" s="33" t="s">
        <v>16180</v>
      </c>
    </row>
    <row r="501" customFormat="false" ht="15" hidden="false" customHeight="true" outlineLevel="0" collapsed="false">
      <c r="A501" s="33" t="s">
        <v>9023</v>
      </c>
      <c r="B501" s="33" t="s">
        <v>16161</v>
      </c>
      <c r="C501" s="33" t="s">
        <v>8987</v>
      </c>
      <c r="D501" s="33" t="s">
        <v>54</v>
      </c>
      <c r="E501" s="33" t="s">
        <v>16180</v>
      </c>
    </row>
    <row r="502" customFormat="false" ht="15" hidden="false" customHeight="true" outlineLevel="0" collapsed="false">
      <c r="A502" s="33" t="s">
        <v>9023</v>
      </c>
      <c r="B502" s="33" t="s">
        <v>16161</v>
      </c>
      <c r="C502" s="33" t="s">
        <v>9039</v>
      </c>
      <c r="D502" s="33" t="s">
        <v>54</v>
      </c>
      <c r="E502" s="33" t="s">
        <v>16180</v>
      </c>
    </row>
    <row r="503" customFormat="false" ht="15" hidden="false" customHeight="true" outlineLevel="0" collapsed="false">
      <c r="A503" s="33" t="s">
        <v>9023</v>
      </c>
      <c r="B503" s="33" t="s">
        <v>16161</v>
      </c>
      <c r="C503" s="33" t="s">
        <v>1049</v>
      </c>
      <c r="D503" s="33" t="s">
        <v>54</v>
      </c>
      <c r="E503" s="33" t="s">
        <v>16180</v>
      </c>
    </row>
    <row r="504" customFormat="false" ht="15" hidden="false" customHeight="true" outlineLevel="0" collapsed="false">
      <c r="A504" s="33" t="s">
        <v>9023</v>
      </c>
      <c r="B504" s="33" t="s">
        <v>16161</v>
      </c>
      <c r="C504" s="33" t="s">
        <v>9107</v>
      </c>
      <c r="D504" s="33" t="s">
        <v>54</v>
      </c>
      <c r="E504" s="33" t="s">
        <v>16180</v>
      </c>
    </row>
    <row r="505" customFormat="false" ht="15" hidden="false" customHeight="true" outlineLevel="0" collapsed="false">
      <c r="A505" s="33" t="s">
        <v>9039</v>
      </c>
      <c r="B505" s="33" t="s">
        <v>16161</v>
      </c>
      <c r="C505" s="33" t="s">
        <v>624</v>
      </c>
      <c r="D505" s="33" t="s">
        <v>50</v>
      </c>
      <c r="E505" s="33" t="s">
        <v>16181</v>
      </c>
    </row>
    <row r="506" customFormat="false" ht="15" hidden="false" customHeight="true" outlineLevel="0" collapsed="false">
      <c r="A506" s="33" t="s">
        <v>9039</v>
      </c>
      <c r="B506" s="33" t="s">
        <v>16161</v>
      </c>
      <c r="C506" s="33" t="s">
        <v>970</v>
      </c>
      <c r="D506" s="33" t="s">
        <v>50</v>
      </c>
      <c r="E506" s="33" t="s">
        <v>16181</v>
      </c>
    </row>
    <row r="507" customFormat="false" ht="15" hidden="false" customHeight="true" outlineLevel="0" collapsed="false">
      <c r="A507" s="33" t="s">
        <v>9039</v>
      </c>
      <c r="B507" s="33" t="s">
        <v>16161</v>
      </c>
      <c r="C507" s="33" t="s">
        <v>1065</v>
      </c>
      <c r="D507" s="33" t="s">
        <v>50</v>
      </c>
      <c r="E507" s="33" t="s">
        <v>16181</v>
      </c>
    </row>
    <row r="508" customFormat="false" ht="15" hidden="false" customHeight="true" outlineLevel="0" collapsed="false">
      <c r="A508" s="33" t="s">
        <v>9039</v>
      </c>
      <c r="B508" s="33" t="s">
        <v>16161</v>
      </c>
      <c r="C508" s="33" t="s">
        <v>1140</v>
      </c>
      <c r="D508" s="33" t="s">
        <v>50</v>
      </c>
      <c r="E508" s="33" t="s">
        <v>16181</v>
      </c>
    </row>
    <row r="509" customFormat="false" ht="15" hidden="false" customHeight="true" outlineLevel="0" collapsed="false">
      <c r="A509" s="33" t="s">
        <v>9039</v>
      </c>
      <c r="B509" s="33" t="s">
        <v>16161</v>
      </c>
      <c r="C509" s="33" t="s">
        <v>9005</v>
      </c>
      <c r="D509" s="33" t="s">
        <v>50</v>
      </c>
      <c r="E509" s="33" t="s">
        <v>16181</v>
      </c>
    </row>
    <row r="510" customFormat="false" ht="15" hidden="false" customHeight="true" outlineLevel="0" collapsed="false">
      <c r="A510" s="33" t="s">
        <v>9039</v>
      </c>
      <c r="B510" s="33" t="s">
        <v>16161</v>
      </c>
      <c r="C510" s="33" t="s">
        <v>9023</v>
      </c>
      <c r="D510" s="33" t="s">
        <v>50</v>
      </c>
      <c r="E510" s="33" t="s">
        <v>16181</v>
      </c>
    </row>
    <row r="511" customFormat="false" ht="15" hidden="false" customHeight="true" outlineLevel="0" collapsed="false">
      <c r="A511" s="33" t="s">
        <v>9039</v>
      </c>
      <c r="B511" s="33" t="s">
        <v>16161</v>
      </c>
      <c r="C511" s="33" t="s">
        <v>9075</v>
      </c>
      <c r="D511" s="33" t="s">
        <v>50</v>
      </c>
      <c r="E511" s="33" t="s">
        <v>16181</v>
      </c>
    </row>
    <row r="512" customFormat="false" ht="15" hidden="false" customHeight="true" outlineLevel="0" collapsed="false">
      <c r="A512" s="33" t="s">
        <v>1049</v>
      </c>
      <c r="B512" s="33" t="s">
        <v>16161</v>
      </c>
      <c r="C512" s="33" t="s">
        <v>1036</v>
      </c>
      <c r="D512" s="33" t="s">
        <v>50</v>
      </c>
      <c r="E512" s="33" t="s">
        <v>16182</v>
      </c>
    </row>
    <row r="513" customFormat="false" ht="15" hidden="false" customHeight="true" outlineLevel="0" collapsed="false">
      <c r="A513" s="33" t="s">
        <v>1049</v>
      </c>
      <c r="B513" s="33" t="s">
        <v>16161</v>
      </c>
      <c r="C513" s="33" t="s">
        <v>8971</v>
      </c>
      <c r="D513" s="33" t="s">
        <v>50</v>
      </c>
      <c r="E513" s="33" t="s">
        <v>16182</v>
      </c>
    </row>
    <row r="514" customFormat="false" ht="15" hidden="false" customHeight="true" outlineLevel="0" collapsed="false">
      <c r="A514" s="33" t="s">
        <v>1049</v>
      </c>
      <c r="B514" s="33" t="s">
        <v>16161</v>
      </c>
      <c r="C514" s="33" t="s">
        <v>9023</v>
      </c>
      <c r="D514" s="33" t="s">
        <v>50</v>
      </c>
      <c r="E514" s="33" t="s">
        <v>16182</v>
      </c>
    </row>
    <row r="515" customFormat="false" ht="15" hidden="false" customHeight="true" outlineLevel="0" collapsed="false">
      <c r="A515" s="33" t="s">
        <v>1049</v>
      </c>
      <c r="B515" s="33" t="s">
        <v>16161</v>
      </c>
      <c r="C515" s="33" t="s">
        <v>9039</v>
      </c>
      <c r="D515" s="33" t="s">
        <v>50</v>
      </c>
      <c r="E515" s="33" t="s">
        <v>16182</v>
      </c>
    </row>
    <row r="516" customFormat="false" ht="15" hidden="false" customHeight="true" outlineLevel="0" collapsed="false">
      <c r="A516" s="33" t="s">
        <v>1049</v>
      </c>
      <c r="B516" s="33" t="s">
        <v>16161</v>
      </c>
      <c r="C516" s="33" t="s">
        <v>2872</v>
      </c>
      <c r="D516" s="33" t="s">
        <v>50</v>
      </c>
      <c r="E516" s="33" t="s">
        <v>16182</v>
      </c>
    </row>
    <row r="517" customFormat="false" ht="15" hidden="false" customHeight="true" outlineLevel="0" collapsed="false">
      <c r="A517" s="33" t="s">
        <v>9075</v>
      </c>
      <c r="B517" s="33" t="s">
        <v>16161</v>
      </c>
      <c r="C517" s="33" t="s">
        <v>1140</v>
      </c>
      <c r="D517" s="33" t="s">
        <v>50</v>
      </c>
      <c r="E517" s="33" t="s">
        <v>16183</v>
      </c>
    </row>
    <row r="518" customFormat="false" ht="15" hidden="false" customHeight="true" outlineLevel="0" collapsed="false">
      <c r="A518" s="33" t="s">
        <v>9075</v>
      </c>
      <c r="B518" s="33" t="s">
        <v>16161</v>
      </c>
      <c r="C518" s="33" t="s">
        <v>8891</v>
      </c>
      <c r="D518" s="33" t="s">
        <v>50</v>
      </c>
      <c r="E518" s="33" t="s">
        <v>16183</v>
      </c>
    </row>
    <row r="519" customFormat="false" ht="15" hidden="false" customHeight="true" outlineLevel="0" collapsed="false">
      <c r="A519" s="33" t="s">
        <v>9075</v>
      </c>
      <c r="B519" s="33" t="s">
        <v>16161</v>
      </c>
      <c r="C519" s="33" t="s">
        <v>8987</v>
      </c>
      <c r="D519" s="33" t="s">
        <v>50</v>
      </c>
      <c r="E519" s="33" t="s">
        <v>16183</v>
      </c>
    </row>
    <row r="520" customFormat="false" ht="15" hidden="false" customHeight="true" outlineLevel="0" collapsed="false">
      <c r="A520" s="33" t="s">
        <v>9075</v>
      </c>
      <c r="B520" s="33" t="s">
        <v>16161</v>
      </c>
      <c r="C520" s="33" t="s">
        <v>9005</v>
      </c>
      <c r="D520" s="33" t="s">
        <v>50</v>
      </c>
      <c r="E520" s="33" t="s">
        <v>16183</v>
      </c>
    </row>
    <row r="521" customFormat="false" ht="15" hidden="false" customHeight="true" outlineLevel="0" collapsed="false">
      <c r="A521" s="33" t="s">
        <v>9075</v>
      </c>
      <c r="B521" s="33" t="s">
        <v>16161</v>
      </c>
      <c r="C521" s="33" t="s">
        <v>1763</v>
      </c>
      <c r="D521" s="33" t="s">
        <v>50</v>
      </c>
      <c r="E521" s="33" t="s">
        <v>16183</v>
      </c>
    </row>
    <row r="522" customFormat="false" ht="15" hidden="false" customHeight="true" outlineLevel="0" collapsed="false">
      <c r="A522" s="33" t="s">
        <v>9075</v>
      </c>
      <c r="B522" s="33" t="s">
        <v>16161</v>
      </c>
      <c r="C522" s="33" t="s">
        <v>1852</v>
      </c>
      <c r="D522" s="33" t="s">
        <v>50</v>
      </c>
      <c r="E522" s="33" t="s">
        <v>16183</v>
      </c>
    </row>
    <row r="523" customFormat="false" ht="15" hidden="false" customHeight="true" outlineLevel="0" collapsed="false">
      <c r="A523" s="33" t="s">
        <v>9091</v>
      </c>
      <c r="B523" s="33" t="s">
        <v>16161</v>
      </c>
      <c r="C523" s="33" t="s">
        <v>4383</v>
      </c>
      <c r="D523" s="33" t="s">
        <v>50</v>
      </c>
      <c r="E523" s="33" t="s">
        <v>16184</v>
      </c>
    </row>
    <row r="524" customFormat="false" ht="15" hidden="false" customHeight="true" outlineLevel="0" collapsed="false">
      <c r="A524" s="33" t="s">
        <v>9091</v>
      </c>
      <c r="B524" s="33" t="s">
        <v>16161</v>
      </c>
      <c r="C524" s="33" t="s">
        <v>864</v>
      </c>
      <c r="D524" s="33" t="s">
        <v>50</v>
      </c>
      <c r="E524" s="33" t="s">
        <v>16184</v>
      </c>
    </row>
    <row r="525" customFormat="false" ht="15" hidden="false" customHeight="true" outlineLevel="0" collapsed="false">
      <c r="A525" s="33" t="s">
        <v>9091</v>
      </c>
      <c r="B525" s="33" t="s">
        <v>16161</v>
      </c>
      <c r="C525" s="33" t="s">
        <v>6015</v>
      </c>
      <c r="D525" s="33" t="s">
        <v>50</v>
      </c>
      <c r="E525" s="33" t="s">
        <v>16184</v>
      </c>
    </row>
    <row r="526" customFormat="false" ht="15" hidden="false" customHeight="true" outlineLevel="0" collapsed="false">
      <c r="A526" s="33" t="s">
        <v>9091</v>
      </c>
      <c r="B526" s="33" t="s">
        <v>16161</v>
      </c>
      <c r="C526" s="33" t="s">
        <v>6030</v>
      </c>
      <c r="D526" s="33" t="s">
        <v>50</v>
      </c>
      <c r="E526" s="33" t="s">
        <v>16184</v>
      </c>
    </row>
    <row r="527" customFormat="false" ht="15" hidden="false" customHeight="true" outlineLevel="0" collapsed="false">
      <c r="A527" s="33" t="s">
        <v>9091</v>
      </c>
      <c r="B527" s="33" t="s">
        <v>16161</v>
      </c>
      <c r="C527" s="33" t="s">
        <v>957</v>
      </c>
      <c r="D527" s="33" t="s">
        <v>50</v>
      </c>
      <c r="E527" s="33" t="s">
        <v>16184</v>
      </c>
    </row>
    <row r="528" customFormat="false" ht="15" hidden="false" customHeight="true" outlineLevel="0" collapsed="false">
      <c r="A528" s="33" t="s">
        <v>9091</v>
      </c>
      <c r="B528" s="33" t="s">
        <v>16161</v>
      </c>
      <c r="C528" s="33" t="s">
        <v>6043</v>
      </c>
      <c r="D528" s="33" t="s">
        <v>50</v>
      </c>
      <c r="E528" s="33" t="s">
        <v>16184</v>
      </c>
    </row>
    <row r="529" customFormat="false" ht="15" hidden="false" customHeight="true" outlineLevel="0" collapsed="false">
      <c r="A529" s="33" t="s">
        <v>9091</v>
      </c>
      <c r="B529" s="33" t="s">
        <v>16161</v>
      </c>
      <c r="C529" s="33" t="s">
        <v>6054</v>
      </c>
      <c r="D529" s="33" t="s">
        <v>50</v>
      </c>
      <c r="E529" s="33" t="s">
        <v>16184</v>
      </c>
    </row>
    <row r="530" customFormat="false" ht="15" hidden="false" customHeight="true" outlineLevel="0" collapsed="false">
      <c r="A530" s="33" t="s">
        <v>9091</v>
      </c>
      <c r="B530" s="33" t="s">
        <v>16161</v>
      </c>
      <c r="C530" s="33" t="s">
        <v>6068</v>
      </c>
      <c r="D530" s="33" t="s">
        <v>50</v>
      </c>
      <c r="E530" s="33" t="s">
        <v>16184</v>
      </c>
    </row>
    <row r="531" customFormat="false" ht="15" hidden="false" customHeight="true" outlineLevel="0" collapsed="false">
      <c r="A531" s="33" t="s">
        <v>9091</v>
      </c>
      <c r="B531" s="33" t="s">
        <v>16161</v>
      </c>
      <c r="C531" s="33" t="s">
        <v>986</v>
      </c>
      <c r="D531" s="33" t="s">
        <v>50</v>
      </c>
      <c r="E531" s="33" t="s">
        <v>16184</v>
      </c>
    </row>
    <row r="532" customFormat="false" ht="15" hidden="false" customHeight="true" outlineLevel="0" collapsed="false">
      <c r="A532" s="33" t="s">
        <v>9091</v>
      </c>
      <c r="B532" s="33" t="s">
        <v>16161</v>
      </c>
      <c r="C532" s="33" t="s">
        <v>1012</v>
      </c>
      <c r="D532" s="33" t="s">
        <v>50</v>
      </c>
      <c r="E532" s="33" t="s">
        <v>16184</v>
      </c>
    </row>
    <row r="533" customFormat="false" ht="15" hidden="false" customHeight="true" outlineLevel="0" collapsed="false">
      <c r="A533" s="33" t="s">
        <v>9091</v>
      </c>
      <c r="B533" s="33" t="s">
        <v>16161</v>
      </c>
      <c r="C533" s="33" t="s">
        <v>1051</v>
      </c>
      <c r="D533" s="33" t="s">
        <v>50</v>
      </c>
      <c r="E533" s="33" t="s">
        <v>16184</v>
      </c>
    </row>
    <row r="534" customFormat="false" ht="15" hidden="false" customHeight="true" outlineLevel="0" collapsed="false">
      <c r="A534" s="33" t="s">
        <v>9107</v>
      </c>
      <c r="B534" s="33" t="s">
        <v>16161</v>
      </c>
      <c r="C534" s="33" t="s">
        <v>2983</v>
      </c>
      <c r="D534" s="33" t="s">
        <v>50</v>
      </c>
      <c r="E534" s="33" t="s">
        <v>16185</v>
      </c>
    </row>
    <row r="535" customFormat="false" ht="15" hidden="false" customHeight="true" outlineLevel="0" collapsed="false">
      <c r="A535" s="33" t="s">
        <v>9107</v>
      </c>
      <c r="B535" s="33" t="s">
        <v>16161</v>
      </c>
      <c r="C535" s="33" t="s">
        <v>2872</v>
      </c>
      <c r="D535" s="33" t="s">
        <v>50</v>
      </c>
      <c r="E535" s="33" t="s">
        <v>16185</v>
      </c>
    </row>
    <row r="536" customFormat="false" ht="15" hidden="false" customHeight="true" outlineLevel="0" collapsed="false">
      <c r="A536" s="33" t="s">
        <v>9107</v>
      </c>
      <c r="B536" s="33" t="s">
        <v>16161</v>
      </c>
      <c r="C536" s="33" t="s">
        <v>2903</v>
      </c>
      <c r="D536" s="33" t="s">
        <v>50</v>
      </c>
      <c r="E536" s="33" t="s">
        <v>16185</v>
      </c>
    </row>
    <row r="537" customFormat="false" ht="15" hidden="false" customHeight="true" outlineLevel="0" collapsed="false">
      <c r="A537" s="33" t="s">
        <v>9107</v>
      </c>
      <c r="B537" s="33" t="s">
        <v>16161</v>
      </c>
      <c r="C537" s="33" t="s">
        <v>2916</v>
      </c>
      <c r="D537" s="33" t="s">
        <v>50</v>
      </c>
      <c r="E537" s="33" t="s">
        <v>16185</v>
      </c>
    </row>
    <row r="538" customFormat="false" ht="15" hidden="false" customHeight="true" outlineLevel="0" collapsed="false">
      <c r="A538" s="33" t="s">
        <v>9107</v>
      </c>
      <c r="B538" s="33" t="s">
        <v>16161</v>
      </c>
      <c r="C538" s="33" t="s">
        <v>2931</v>
      </c>
      <c r="D538" s="33" t="s">
        <v>50</v>
      </c>
      <c r="E538" s="33" t="s">
        <v>16185</v>
      </c>
    </row>
    <row r="539" customFormat="false" ht="15" hidden="false" customHeight="true" outlineLevel="0" collapsed="false">
      <c r="A539" s="33" t="s">
        <v>9107</v>
      </c>
      <c r="B539" s="33" t="s">
        <v>16161</v>
      </c>
      <c r="C539" s="33" t="s">
        <v>2952</v>
      </c>
      <c r="D539" s="33" t="s">
        <v>50</v>
      </c>
      <c r="E539" s="33" t="s">
        <v>16185</v>
      </c>
    </row>
    <row r="540" customFormat="false" ht="15" hidden="false" customHeight="true" outlineLevel="0" collapsed="false">
      <c r="A540" s="33" t="s">
        <v>9107</v>
      </c>
      <c r="B540" s="33" t="s">
        <v>16161</v>
      </c>
      <c r="C540" s="33" t="s">
        <v>8987</v>
      </c>
      <c r="D540" s="33" t="s">
        <v>50</v>
      </c>
      <c r="E540" s="33" t="s">
        <v>16185</v>
      </c>
    </row>
    <row r="541" customFormat="false" ht="15" hidden="false" customHeight="true" outlineLevel="0" collapsed="false">
      <c r="A541" s="33" t="s">
        <v>9107</v>
      </c>
      <c r="B541" s="33" t="s">
        <v>16161</v>
      </c>
      <c r="C541" s="33" t="s">
        <v>9023</v>
      </c>
      <c r="D541" s="33" t="s">
        <v>50</v>
      </c>
      <c r="E541" s="33" t="s">
        <v>16185</v>
      </c>
    </row>
    <row r="542" customFormat="false" ht="15" hidden="false" customHeight="true" outlineLevel="0" collapsed="false">
      <c r="A542" s="33" t="s">
        <v>9107</v>
      </c>
      <c r="B542" s="33" t="s">
        <v>16161</v>
      </c>
      <c r="C542" s="33" t="s">
        <v>9039</v>
      </c>
      <c r="D542" s="33" t="s">
        <v>50</v>
      </c>
      <c r="E542" s="33" t="s">
        <v>16185</v>
      </c>
    </row>
    <row r="543" customFormat="false" ht="15" hidden="false" customHeight="true" outlineLevel="0" collapsed="false">
      <c r="A543" s="33" t="s">
        <v>9124</v>
      </c>
      <c r="B543" s="33" t="s">
        <v>16161</v>
      </c>
      <c r="C543" s="33" t="s">
        <v>4703</v>
      </c>
      <c r="D543" s="33" t="s">
        <v>54</v>
      </c>
      <c r="E543" s="33" t="s">
        <v>16186</v>
      </c>
    </row>
    <row r="544" customFormat="false" ht="15" hidden="false" customHeight="true" outlineLevel="0" collapsed="false">
      <c r="A544" s="33" t="s">
        <v>9124</v>
      </c>
      <c r="B544" s="33" t="s">
        <v>16161</v>
      </c>
      <c r="C544" s="33" t="s">
        <v>4717</v>
      </c>
      <c r="D544" s="33" t="s">
        <v>54</v>
      </c>
      <c r="E544" s="33" t="s">
        <v>16186</v>
      </c>
    </row>
    <row r="545" customFormat="false" ht="15" hidden="false" customHeight="true" outlineLevel="0" collapsed="false">
      <c r="A545" s="33" t="s">
        <v>9124</v>
      </c>
      <c r="B545" s="33" t="s">
        <v>16161</v>
      </c>
      <c r="C545" s="33" t="s">
        <v>4732</v>
      </c>
      <c r="D545" s="33" t="s">
        <v>54</v>
      </c>
      <c r="E545" s="33" t="s">
        <v>16186</v>
      </c>
    </row>
    <row r="546" customFormat="false" ht="15" hidden="false" customHeight="true" outlineLevel="0" collapsed="false">
      <c r="A546" s="33" t="s">
        <v>9124</v>
      </c>
      <c r="B546" s="33" t="s">
        <v>16161</v>
      </c>
      <c r="C546" s="33" t="s">
        <v>4799</v>
      </c>
      <c r="D546" s="33" t="s">
        <v>54</v>
      </c>
      <c r="E546" s="33" t="s">
        <v>16186</v>
      </c>
    </row>
    <row r="547" customFormat="false" ht="15" hidden="false" customHeight="true" outlineLevel="0" collapsed="false">
      <c r="A547" s="33" t="s">
        <v>9124</v>
      </c>
      <c r="B547" s="33" t="s">
        <v>16161</v>
      </c>
      <c r="C547" s="33" t="s">
        <v>4844</v>
      </c>
      <c r="D547" s="33" t="s">
        <v>54</v>
      </c>
      <c r="E547" s="33" t="s">
        <v>16186</v>
      </c>
    </row>
    <row r="548" customFormat="false" ht="15" hidden="false" customHeight="true" outlineLevel="0" collapsed="false">
      <c r="A548" s="33" t="s">
        <v>9124</v>
      </c>
      <c r="B548" s="33" t="s">
        <v>16161</v>
      </c>
      <c r="C548" s="33" t="s">
        <v>8486</v>
      </c>
      <c r="D548" s="33" t="s">
        <v>54</v>
      </c>
      <c r="E548" s="33" t="s">
        <v>16186</v>
      </c>
    </row>
    <row r="549" customFormat="false" ht="15" hidden="false" customHeight="true" outlineLevel="0" collapsed="false">
      <c r="A549" s="33" t="s">
        <v>9124</v>
      </c>
      <c r="B549" s="33" t="s">
        <v>16161</v>
      </c>
      <c r="C549" s="33" t="s">
        <v>8825</v>
      </c>
      <c r="D549" s="33" t="s">
        <v>54</v>
      </c>
      <c r="E549" s="33" t="s">
        <v>16186</v>
      </c>
    </row>
    <row r="550" customFormat="false" ht="15" hidden="false" customHeight="true" outlineLevel="0" collapsed="false">
      <c r="A550" s="33" t="s">
        <v>9124</v>
      </c>
      <c r="B550" s="33" t="s">
        <v>16161</v>
      </c>
      <c r="C550" s="33" t="s">
        <v>8875</v>
      </c>
      <c r="D550" s="33" t="s">
        <v>54</v>
      </c>
      <c r="E550" s="33" t="s">
        <v>16186</v>
      </c>
    </row>
    <row r="551" customFormat="false" ht="15" hidden="false" customHeight="true" outlineLevel="0" collapsed="false">
      <c r="A551" s="33" t="s">
        <v>9124</v>
      </c>
      <c r="B551" s="33" t="s">
        <v>16161</v>
      </c>
      <c r="C551" s="33" t="s">
        <v>9023</v>
      </c>
      <c r="D551" s="33" t="s">
        <v>54</v>
      </c>
      <c r="E551" s="33" t="s">
        <v>16186</v>
      </c>
    </row>
    <row r="552" customFormat="false" ht="15" hidden="false" customHeight="true" outlineLevel="0" collapsed="false">
      <c r="A552" s="33" t="s">
        <v>9124</v>
      </c>
      <c r="B552" s="33" t="s">
        <v>16161</v>
      </c>
      <c r="C552" s="33" t="s">
        <v>9140</v>
      </c>
      <c r="D552" s="33" t="s">
        <v>54</v>
      </c>
      <c r="E552" s="33" t="s">
        <v>16186</v>
      </c>
    </row>
    <row r="553" customFormat="false" ht="15" hidden="false" customHeight="true" outlineLevel="0" collapsed="false">
      <c r="A553" s="33" t="s">
        <v>9140</v>
      </c>
      <c r="B553" s="33" t="s">
        <v>16161</v>
      </c>
      <c r="C553" s="33" t="s">
        <v>8792</v>
      </c>
      <c r="D553" s="33" t="s">
        <v>53</v>
      </c>
      <c r="E553" s="33" t="s">
        <v>16187</v>
      </c>
    </row>
    <row r="554" customFormat="false" ht="15" hidden="false" customHeight="true" outlineLevel="0" collapsed="false">
      <c r="A554" s="33" t="s">
        <v>9140</v>
      </c>
      <c r="B554" s="33" t="s">
        <v>16161</v>
      </c>
      <c r="C554" s="33" t="s">
        <v>8809</v>
      </c>
      <c r="D554" s="33" t="s">
        <v>53</v>
      </c>
      <c r="E554" s="33" t="s">
        <v>16187</v>
      </c>
    </row>
    <row r="555" customFormat="false" ht="15" hidden="false" customHeight="true" outlineLevel="0" collapsed="false">
      <c r="A555" s="33" t="s">
        <v>9140</v>
      </c>
      <c r="B555" s="33" t="s">
        <v>16161</v>
      </c>
      <c r="C555" s="33" t="s">
        <v>8825</v>
      </c>
      <c r="D555" s="33" t="s">
        <v>53</v>
      </c>
      <c r="E555" s="33" t="s">
        <v>16187</v>
      </c>
    </row>
    <row r="556" customFormat="false" ht="15" hidden="false" customHeight="true" outlineLevel="0" collapsed="false">
      <c r="A556" s="33" t="s">
        <v>9140</v>
      </c>
      <c r="B556" s="33" t="s">
        <v>16161</v>
      </c>
      <c r="C556" s="33" t="s">
        <v>4291</v>
      </c>
      <c r="D556" s="33" t="s">
        <v>53</v>
      </c>
      <c r="E556" s="33" t="s">
        <v>16187</v>
      </c>
    </row>
    <row r="557" customFormat="false" ht="15" hidden="false" customHeight="true" outlineLevel="0" collapsed="false">
      <c r="A557" s="33" t="s">
        <v>9140</v>
      </c>
      <c r="B557" s="33" t="s">
        <v>16161</v>
      </c>
      <c r="C557" s="33" t="s">
        <v>9005</v>
      </c>
      <c r="D557" s="33" t="s">
        <v>53</v>
      </c>
      <c r="E557" s="33" t="s">
        <v>16187</v>
      </c>
    </row>
    <row r="558" customFormat="false" ht="15" hidden="false" customHeight="true" outlineLevel="0" collapsed="false">
      <c r="A558" s="33" t="s">
        <v>9140</v>
      </c>
      <c r="B558" s="33" t="s">
        <v>16161</v>
      </c>
      <c r="C558" s="33" t="s">
        <v>9124</v>
      </c>
      <c r="D558" s="33" t="s">
        <v>53</v>
      </c>
      <c r="E558" s="33" t="s">
        <v>16187</v>
      </c>
    </row>
    <row r="559" customFormat="false" ht="15" hidden="false" customHeight="true" outlineLevel="0" collapsed="false">
      <c r="A559" s="33" t="s">
        <v>9156</v>
      </c>
      <c r="B559" s="33" t="s">
        <v>16161</v>
      </c>
      <c r="C559" s="33" t="s">
        <v>8519</v>
      </c>
      <c r="D559" s="33" t="s">
        <v>53</v>
      </c>
      <c r="E559" s="33" t="s">
        <v>16188</v>
      </c>
    </row>
    <row r="560" customFormat="false" ht="15" hidden="false" customHeight="true" outlineLevel="0" collapsed="false">
      <c r="A560" s="33" t="s">
        <v>9156</v>
      </c>
      <c r="B560" s="33" t="s">
        <v>16161</v>
      </c>
      <c r="C560" s="33" t="s">
        <v>8707</v>
      </c>
      <c r="D560" s="33" t="s">
        <v>53</v>
      </c>
      <c r="E560" s="33" t="s">
        <v>16188</v>
      </c>
    </row>
    <row r="561" customFormat="false" ht="15" hidden="false" customHeight="true" outlineLevel="0" collapsed="false">
      <c r="A561" s="33" t="s">
        <v>9156</v>
      </c>
      <c r="B561" s="33" t="s">
        <v>16161</v>
      </c>
      <c r="C561" s="33" t="s">
        <v>8722</v>
      </c>
      <c r="D561" s="33" t="s">
        <v>53</v>
      </c>
      <c r="E561" s="33" t="s">
        <v>16188</v>
      </c>
    </row>
    <row r="562" customFormat="false" ht="15" hidden="false" customHeight="true" outlineLevel="0" collapsed="false">
      <c r="A562" s="33" t="s">
        <v>9156</v>
      </c>
      <c r="B562" s="33" t="s">
        <v>16161</v>
      </c>
      <c r="C562" s="33" t="s">
        <v>8755</v>
      </c>
      <c r="D562" s="33" t="s">
        <v>53</v>
      </c>
      <c r="E562" s="33" t="s">
        <v>16188</v>
      </c>
    </row>
    <row r="563" customFormat="false" ht="15" hidden="false" customHeight="true" outlineLevel="0" collapsed="false">
      <c r="A563" s="33" t="s">
        <v>9156</v>
      </c>
      <c r="B563" s="33" t="s">
        <v>16161</v>
      </c>
      <c r="C563" s="33" t="s">
        <v>9107</v>
      </c>
      <c r="D563" s="33" t="s">
        <v>53</v>
      </c>
      <c r="E563" s="33" t="s">
        <v>16188</v>
      </c>
    </row>
    <row r="564" customFormat="false" ht="15" hidden="false" customHeight="true" outlineLevel="0" collapsed="false">
      <c r="A564" s="33" t="s">
        <v>4243</v>
      </c>
      <c r="B564" s="33" t="s">
        <v>16161</v>
      </c>
      <c r="C564" s="33" t="s">
        <v>8792</v>
      </c>
      <c r="D564" s="33" t="s">
        <v>59</v>
      </c>
      <c r="E564" s="33" t="s">
        <v>16189</v>
      </c>
    </row>
    <row r="565" customFormat="false" ht="15" hidden="false" customHeight="true" outlineLevel="0" collapsed="false">
      <c r="A565" s="33" t="s">
        <v>4243</v>
      </c>
      <c r="B565" s="33" t="s">
        <v>16161</v>
      </c>
      <c r="C565" s="33" t="s">
        <v>8809</v>
      </c>
      <c r="D565" s="33" t="s">
        <v>59</v>
      </c>
      <c r="E565" s="33" t="s">
        <v>16189</v>
      </c>
    </row>
    <row r="566" customFormat="false" ht="15" hidden="false" customHeight="true" outlineLevel="0" collapsed="false">
      <c r="A566" s="33" t="s">
        <v>4260</v>
      </c>
      <c r="B566" s="33" t="s">
        <v>16161</v>
      </c>
      <c r="C566" s="33" t="s">
        <v>8809</v>
      </c>
      <c r="D566" s="33" t="s">
        <v>59</v>
      </c>
      <c r="E566" s="33" t="s">
        <v>16190</v>
      </c>
    </row>
    <row r="567" customFormat="false" ht="15" hidden="false" customHeight="true" outlineLevel="0" collapsed="false">
      <c r="A567" s="33" t="s">
        <v>4260</v>
      </c>
      <c r="B567" s="33" t="s">
        <v>16161</v>
      </c>
      <c r="C567" s="33" t="s">
        <v>4291</v>
      </c>
      <c r="D567" s="33" t="s">
        <v>59</v>
      </c>
      <c r="E567" s="33" t="s">
        <v>16190</v>
      </c>
    </row>
    <row r="568" customFormat="false" ht="15" hidden="false" customHeight="true" outlineLevel="0" collapsed="false">
      <c r="A568" s="33" t="s">
        <v>4260</v>
      </c>
      <c r="B568" s="33" t="s">
        <v>16161</v>
      </c>
      <c r="C568" s="33" t="s">
        <v>9140</v>
      </c>
      <c r="D568" s="33" t="s">
        <v>59</v>
      </c>
      <c r="E568" s="33" t="s">
        <v>16190</v>
      </c>
    </row>
    <row r="569" customFormat="false" ht="15" hidden="false" customHeight="true" outlineLevel="0" collapsed="false">
      <c r="A569" s="33" t="s">
        <v>4276</v>
      </c>
      <c r="B569" s="33" t="s">
        <v>16161</v>
      </c>
      <c r="C569" s="33" t="s">
        <v>4291</v>
      </c>
      <c r="D569" s="33" t="s">
        <v>59</v>
      </c>
      <c r="E569" s="33" t="s">
        <v>16191</v>
      </c>
    </row>
    <row r="570" customFormat="false" ht="15" hidden="false" customHeight="true" outlineLevel="0" collapsed="false">
      <c r="A570" s="33" t="s">
        <v>4306</v>
      </c>
      <c r="B570" s="33" t="s">
        <v>16161</v>
      </c>
      <c r="C570" s="33" t="s">
        <v>8859</v>
      </c>
      <c r="D570" s="33" t="s">
        <v>59</v>
      </c>
      <c r="E570" s="33" t="s">
        <v>16192</v>
      </c>
    </row>
    <row r="571" customFormat="false" ht="15" hidden="false" customHeight="true" outlineLevel="0" collapsed="false">
      <c r="A571" s="33" t="s">
        <v>4306</v>
      </c>
      <c r="B571" s="33" t="s">
        <v>16161</v>
      </c>
      <c r="C571" s="33" t="s">
        <v>8908</v>
      </c>
      <c r="D571" s="33" t="s">
        <v>59</v>
      </c>
      <c r="E571" s="33" t="s">
        <v>16192</v>
      </c>
    </row>
    <row r="572" customFormat="false" ht="15" hidden="false" customHeight="true" outlineLevel="0" collapsed="false">
      <c r="A572" s="33" t="s">
        <v>4306</v>
      </c>
      <c r="B572" s="33" t="s">
        <v>16161</v>
      </c>
      <c r="C572" s="33" t="s">
        <v>4291</v>
      </c>
      <c r="D572" s="33" t="s">
        <v>59</v>
      </c>
      <c r="E572" s="33" t="s">
        <v>16192</v>
      </c>
    </row>
    <row r="573" customFormat="false" ht="15" hidden="false" customHeight="true" outlineLevel="0" collapsed="false">
      <c r="A573" s="33" t="s">
        <v>4353</v>
      </c>
      <c r="B573" s="33" t="s">
        <v>16161</v>
      </c>
      <c r="C573" s="33" t="s">
        <v>1551</v>
      </c>
      <c r="D573" s="33" t="s">
        <v>59</v>
      </c>
      <c r="E573" s="33" t="s">
        <v>16193</v>
      </c>
    </row>
    <row r="574" customFormat="false" ht="15" hidden="false" customHeight="true" outlineLevel="0" collapsed="false">
      <c r="A574" s="33" t="s">
        <v>4368</v>
      </c>
      <c r="B574" s="33" t="s">
        <v>16161</v>
      </c>
      <c r="C574" s="33" t="s">
        <v>8939</v>
      </c>
      <c r="D574" s="33" t="s">
        <v>59</v>
      </c>
      <c r="E574" s="33" t="s">
        <v>16194</v>
      </c>
    </row>
    <row r="575" customFormat="false" ht="15" hidden="false" customHeight="true" outlineLevel="0" collapsed="false">
      <c r="A575" s="33" t="s">
        <v>4368</v>
      </c>
      <c r="B575" s="33" t="s">
        <v>16161</v>
      </c>
      <c r="C575" s="33" t="s">
        <v>9023</v>
      </c>
      <c r="D575" s="33" t="s">
        <v>59</v>
      </c>
      <c r="E575" s="33" t="s">
        <v>16194</v>
      </c>
    </row>
    <row r="576" customFormat="false" ht="15" hidden="false" customHeight="true" outlineLevel="0" collapsed="false">
      <c r="A576" s="33" t="s">
        <v>4383</v>
      </c>
      <c r="B576" s="33" t="s">
        <v>16161</v>
      </c>
      <c r="C576" s="33" t="s">
        <v>9091</v>
      </c>
      <c r="D576" s="33" t="s">
        <v>59</v>
      </c>
      <c r="E576" s="33" t="s">
        <v>16195</v>
      </c>
    </row>
    <row r="577" customFormat="false" ht="15" hidden="false" customHeight="true" outlineLevel="0" collapsed="false">
      <c r="A577" s="33" t="s">
        <v>4383</v>
      </c>
      <c r="B577" s="33" t="s">
        <v>16161</v>
      </c>
      <c r="C577" s="33" t="s">
        <v>864</v>
      </c>
      <c r="D577" s="33" t="s">
        <v>59</v>
      </c>
      <c r="E577" s="33" t="s">
        <v>16195</v>
      </c>
    </row>
    <row r="578" customFormat="false" ht="15" hidden="false" customHeight="true" outlineLevel="0" collapsed="false">
      <c r="A578" s="33" t="s">
        <v>4383</v>
      </c>
      <c r="B578" s="33" t="s">
        <v>16161</v>
      </c>
      <c r="C578" s="33" t="s">
        <v>986</v>
      </c>
      <c r="D578" s="33" t="s">
        <v>59</v>
      </c>
      <c r="E578" s="33" t="s">
        <v>16195</v>
      </c>
    </row>
    <row r="579" customFormat="false" ht="15" hidden="false" customHeight="true" outlineLevel="0" collapsed="false">
      <c r="A579" s="33" t="s">
        <v>4383</v>
      </c>
      <c r="B579" s="33" t="s">
        <v>16161</v>
      </c>
      <c r="C579" s="33" t="s">
        <v>1012</v>
      </c>
      <c r="D579" s="33" t="s">
        <v>59</v>
      </c>
      <c r="E579" s="33" t="s">
        <v>16195</v>
      </c>
    </row>
    <row r="580" customFormat="false" ht="15" hidden="false" customHeight="true" outlineLevel="0" collapsed="false">
      <c r="A580" s="33" t="s">
        <v>4383</v>
      </c>
      <c r="B580" s="33" t="s">
        <v>16161</v>
      </c>
      <c r="C580" s="33" t="s">
        <v>1051</v>
      </c>
      <c r="D580" s="33" t="s">
        <v>59</v>
      </c>
      <c r="E580" s="33" t="s">
        <v>16195</v>
      </c>
    </row>
    <row r="581" customFormat="false" ht="15" hidden="false" customHeight="true" outlineLevel="0" collapsed="false">
      <c r="A581" s="33" t="s">
        <v>4446</v>
      </c>
      <c r="B581" s="33" t="s">
        <v>16161</v>
      </c>
      <c r="C581" s="33" t="s">
        <v>8792</v>
      </c>
      <c r="D581" s="33" t="s">
        <v>59</v>
      </c>
      <c r="E581" s="33" t="s">
        <v>16196</v>
      </c>
    </row>
    <row r="582" customFormat="false" ht="15" hidden="false" customHeight="true" outlineLevel="0" collapsed="false">
      <c r="A582" s="33" t="s">
        <v>4446</v>
      </c>
      <c r="B582" s="33" t="s">
        <v>16161</v>
      </c>
      <c r="C582" s="33" t="s">
        <v>8809</v>
      </c>
      <c r="D582" s="33" t="s">
        <v>59</v>
      </c>
      <c r="E582" s="33" t="s">
        <v>16196</v>
      </c>
    </row>
    <row r="583" customFormat="false" ht="15" hidden="false" customHeight="true" outlineLevel="0" collapsed="false">
      <c r="A583" s="33" t="s">
        <v>4446</v>
      </c>
      <c r="B583" s="33" t="s">
        <v>16161</v>
      </c>
      <c r="C583" s="33" t="s">
        <v>8825</v>
      </c>
      <c r="D583" s="33" t="s">
        <v>59</v>
      </c>
      <c r="E583" s="33" t="s">
        <v>16196</v>
      </c>
    </row>
    <row r="584" customFormat="false" ht="15" hidden="false" customHeight="true" outlineLevel="0" collapsed="false">
      <c r="A584" s="33" t="s">
        <v>4446</v>
      </c>
      <c r="B584" s="33" t="s">
        <v>16161</v>
      </c>
      <c r="C584" s="33" t="s">
        <v>9124</v>
      </c>
      <c r="D584" s="33" t="s">
        <v>59</v>
      </c>
      <c r="E584" s="33" t="s">
        <v>16196</v>
      </c>
    </row>
    <row r="585" customFormat="false" ht="15" hidden="false" customHeight="true" outlineLevel="0" collapsed="false">
      <c r="A585" s="33" t="s">
        <v>4461</v>
      </c>
      <c r="B585" s="33" t="s">
        <v>16161</v>
      </c>
      <c r="C585" s="33" t="s">
        <v>8875</v>
      </c>
      <c r="D585" s="33" t="s">
        <v>59</v>
      </c>
      <c r="E585" s="33" t="s">
        <v>16197</v>
      </c>
    </row>
    <row r="586" customFormat="false" ht="15" hidden="false" customHeight="true" outlineLevel="0" collapsed="false">
      <c r="A586" s="33" t="s">
        <v>4461</v>
      </c>
      <c r="B586" s="33" t="s">
        <v>16161</v>
      </c>
      <c r="C586" s="33" t="s">
        <v>9124</v>
      </c>
      <c r="D586" s="33" t="s">
        <v>59</v>
      </c>
      <c r="E586" s="33" t="s">
        <v>16197</v>
      </c>
    </row>
    <row r="587" customFormat="false" ht="15" hidden="false" customHeight="true" outlineLevel="0" collapsed="false">
      <c r="A587" s="33" t="s">
        <v>4488</v>
      </c>
      <c r="B587" s="33" t="s">
        <v>16161</v>
      </c>
      <c r="C587" s="33" t="s">
        <v>8755</v>
      </c>
      <c r="D587" s="33" t="s">
        <v>59</v>
      </c>
      <c r="E587" s="33" t="s">
        <v>16198</v>
      </c>
    </row>
    <row r="588" customFormat="false" ht="15" hidden="false" customHeight="true" outlineLevel="0" collapsed="false">
      <c r="A588" s="33" t="s">
        <v>4488</v>
      </c>
      <c r="B588" s="33" t="s">
        <v>16161</v>
      </c>
      <c r="C588" s="33" t="s">
        <v>9124</v>
      </c>
      <c r="D588" s="33" t="s">
        <v>59</v>
      </c>
      <c r="E588" s="33" t="s">
        <v>16198</v>
      </c>
    </row>
    <row r="589" customFormat="false" ht="15" hidden="false" customHeight="true" outlineLevel="0" collapsed="false">
      <c r="A589" s="33" t="s">
        <v>4542</v>
      </c>
      <c r="B589" s="33" t="s">
        <v>16161</v>
      </c>
      <c r="C589" s="33" t="s">
        <v>4557</v>
      </c>
      <c r="D589" s="33" t="s">
        <v>59</v>
      </c>
      <c r="E589" s="33" t="s">
        <v>16199</v>
      </c>
    </row>
    <row r="590" customFormat="false" ht="15" hidden="false" customHeight="true" outlineLevel="0" collapsed="false">
      <c r="A590" s="33" t="s">
        <v>4630</v>
      </c>
      <c r="B590" s="33" t="s">
        <v>16161</v>
      </c>
      <c r="C590" s="33" t="s">
        <v>8908</v>
      </c>
      <c r="D590" s="33" t="s">
        <v>59</v>
      </c>
      <c r="E590" s="33" t="s">
        <v>16200</v>
      </c>
    </row>
    <row r="591" customFormat="false" ht="15" hidden="false" customHeight="true" outlineLevel="0" collapsed="false">
      <c r="A591" s="33" t="s">
        <v>4630</v>
      </c>
      <c r="B591" s="33" t="s">
        <v>16161</v>
      </c>
      <c r="C591" s="33" t="s">
        <v>8971</v>
      </c>
      <c r="D591" s="33" t="s">
        <v>59</v>
      </c>
      <c r="E591" s="33" t="s">
        <v>16200</v>
      </c>
    </row>
    <row r="592" customFormat="false" ht="15" hidden="false" customHeight="true" outlineLevel="0" collapsed="false">
      <c r="A592" s="33" t="s">
        <v>4630</v>
      </c>
      <c r="B592" s="33" t="s">
        <v>16161</v>
      </c>
      <c r="C592" s="33" t="s">
        <v>9091</v>
      </c>
      <c r="D592" s="33" t="s">
        <v>59</v>
      </c>
      <c r="E592" s="33" t="s">
        <v>16200</v>
      </c>
    </row>
    <row r="593" customFormat="false" ht="15" hidden="false" customHeight="true" outlineLevel="0" collapsed="false">
      <c r="A593" s="33" t="s">
        <v>4630</v>
      </c>
      <c r="B593" s="33" t="s">
        <v>16161</v>
      </c>
      <c r="C593" s="33" t="s">
        <v>9124</v>
      </c>
      <c r="D593" s="33" t="s">
        <v>59</v>
      </c>
      <c r="E593" s="33" t="s">
        <v>16200</v>
      </c>
    </row>
    <row r="594" customFormat="false" ht="15" hidden="false" customHeight="true" outlineLevel="0" collapsed="false">
      <c r="A594" s="33" t="s">
        <v>4687</v>
      </c>
      <c r="B594" s="33" t="s">
        <v>16161</v>
      </c>
      <c r="C594" s="33" t="s">
        <v>8891</v>
      </c>
      <c r="D594" s="33" t="s">
        <v>59</v>
      </c>
      <c r="E594" s="33" t="s">
        <v>16201</v>
      </c>
    </row>
    <row r="595" customFormat="false" ht="15" hidden="false" customHeight="true" outlineLevel="0" collapsed="false">
      <c r="A595" s="33" t="s">
        <v>4687</v>
      </c>
      <c r="B595" s="33" t="s">
        <v>16161</v>
      </c>
      <c r="C595" s="33" t="s">
        <v>8971</v>
      </c>
      <c r="D595" s="33" t="s">
        <v>59</v>
      </c>
      <c r="E595" s="33" t="s">
        <v>16201</v>
      </c>
    </row>
    <row r="596" customFormat="false" ht="15" hidden="false" customHeight="true" outlineLevel="0" collapsed="false">
      <c r="A596" s="33" t="s">
        <v>4687</v>
      </c>
      <c r="B596" s="33" t="s">
        <v>16161</v>
      </c>
      <c r="C596" s="33" t="s">
        <v>8608</v>
      </c>
      <c r="D596" s="33" t="s">
        <v>59</v>
      </c>
      <c r="E596" s="33" t="s">
        <v>16201</v>
      </c>
    </row>
    <row r="597" customFormat="false" ht="15" hidden="false" customHeight="true" outlineLevel="0" collapsed="false">
      <c r="A597" s="33" t="s">
        <v>4703</v>
      </c>
      <c r="B597" s="33" t="s">
        <v>16161</v>
      </c>
      <c r="C597" s="33" t="s">
        <v>8825</v>
      </c>
      <c r="D597" s="33" t="s">
        <v>59</v>
      </c>
      <c r="E597" s="33" t="s">
        <v>16202</v>
      </c>
    </row>
    <row r="598" customFormat="false" ht="15" hidden="false" customHeight="true" outlineLevel="0" collapsed="false">
      <c r="A598" s="33" t="s">
        <v>4703</v>
      </c>
      <c r="B598" s="33" t="s">
        <v>16161</v>
      </c>
      <c r="C598" s="33" t="s">
        <v>9124</v>
      </c>
      <c r="D598" s="33" t="s">
        <v>59</v>
      </c>
      <c r="E598" s="33" t="s">
        <v>16202</v>
      </c>
    </row>
    <row r="599" customFormat="false" ht="15" hidden="false" customHeight="true" outlineLevel="0" collapsed="false">
      <c r="A599" s="33" t="s">
        <v>4717</v>
      </c>
      <c r="B599" s="33" t="s">
        <v>16161</v>
      </c>
      <c r="C599" s="33" t="s">
        <v>8971</v>
      </c>
      <c r="D599" s="33" t="s">
        <v>59</v>
      </c>
      <c r="E599" s="33" t="s">
        <v>16203</v>
      </c>
    </row>
    <row r="600" customFormat="false" ht="15" hidden="false" customHeight="true" outlineLevel="0" collapsed="false">
      <c r="A600" s="33" t="s">
        <v>4717</v>
      </c>
      <c r="B600" s="33" t="s">
        <v>16161</v>
      </c>
      <c r="C600" s="33" t="s">
        <v>9124</v>
      </c>
      <c r="D600" s="33" t="s">
        <v>59</v>
      </c>
      <c r="E600" s="33" t="s">
        <v>16203</v>
      </c>
    </row>
    <row r="601" customFormat="false" ht="15" hidden="false" customHeight="true" outlineLevel="0" collapsed="false">
      <c r="A601" s="33" t="s">
        <v>4717</v>
      </c>
      <c r="B601" s="33" t="s">
        <v>16161</v>
      </c>
      <c r="C601" s="33" t="s">
        <v>8608</v>
      </c>
      <c r="D601" s="33" t="s">
        <v>59</v>
      </c>
      <c r="E601" s="33" t="s">
        <v>16203</v>
      </c>
    </row>
    <row r="602" customFormat="false" ht="15" hidden="false" customHeight="true" outlineLevel="0" collapsed="false">
      <c r="A602" s="33" t="s">
        <v>4732</v>
      </c>
      <c r="B602" s="33" t="s">
        <v>16161</v>
      </c>
      <c r="C602" s="33" t="s">
        <v>8841</v>
      </c>
      <c r="D602" s="33" t="s">
        <v>59</v>
      </c>
      <c r="E602" s="33" t="s">
        <v>16204</v>
      </c>
    </row>
    <row r="603" customFormat="false" ht="15" hidden="false" customHeight="true" outlineLevel="0" collapsed="false">
      <c r="A603" s="33" t="s">
        <v>4732</v>
      </c>
      <c r="B603" s="33" t="s">
        <v>16161</v>
      </c>
      <c r="C603" s="33" t="s">
        <v>8891</v>
      </c>
      <c r="D603" s="33" t="s">
        <v>59</v>
      </c>
      <c r="E603" s="33" t="s">
        <v>16204</v>
      </c>
    </row>
    <row r="604" customFormat="false" ht="15" hidden="false" customHeight="true" outlineLevel="0" collapsed="false">
      <c r="A604" s="33" t="s">
        <v>4732</v>
      </c>
      <c r="B604" s="33" t="s">
        <v>16161</v>
      </c>
      <c r="C604" s="33" t="s">
        <v>8939</v>
      </c>
      <c r="D604" s="33" t="s">
        <v>59</v>
      </c>
      <c r="E604" s="33" t="s">
        <v>16204</v>
      </c>
    </row>
    <row r="605" customFormat="false" ht="15" hidden="false" customHeight="true" outlineLevel="0" collapsed="false">
      <c r="A605" s="33" t="s">
        <v>4732</v>
      </c>
      <c r="B605" s="33" t="s">
        <v>16161</v>
      </c>
      <c r="C605" s="33" t="s">
        <v>9124</v>
      </c>
      <c r="D605" s="33" t="s">
        <v>59</v>
      </c>
      <c r="E605" s="33" t="s">
        <v>16204</v>
      </c>
    </row>
    <row r="606" customFormat="false" ht="15" hidden="false" customHeight="true" outlineLevel="0" collapsed="false">
      <c r="A606" s="33" t="s">
        <v>4745</v>
      </c>
      <c r="B606" s="33" t="s">
        <v>16161</v>
      </c>
      <c r="C606" s="33" t="s">
        <v>4557</v>
      </c>
      <c r="D606" s="33" t="s">
        <v>59</v>
      </c>
      <c r="E606" s="33" t="s">
        <v>16205</v>
      </c>
    </row>
    <row r="607" customFormat="false" ht="15" hidden="false" customHeight="true" outlineLevel="0" collapsed="false">
      <c r="A607" s="33" t="s">
        <v>4745</v>
      </c>
      <c r="B607" s="33" t="s">
        <v>16161</v>
      </c>
      <c r="C607" s="33" t="s">
        <v>8809</v>
      </c>
      <c r="D607" s="33" t="s">
        <v>59</v>
      </c>
      <c r="E607" s="33" t="s">
        <v>16205</v>
      </c>
    </row>
    <row r="608" customFormat="false" ht="15" hidden="false" customHeight="true" outlineLevel="0" collapsed="false">
      <c r="A608" s="33" t="s">
        <v>4745</v>
      </c>
      <c r="B608" s="33" t="s">
        <v>16161</v>
      </c>
      <c r="C608" s="33" t="s">
        <v>8825</v>
      </c>
      <c r="D608" s="33" t="s">
        <v>59</v>
      </c>
      <c r="E608" s="33" t="s">
        <v>16205</v>
      </c>
    </row>
    <row r="609" customFormat="false" ht="15" hidden="false" customHeight="true" outlineLevel="0" collapsed="false">
      <c r="A609" s="33" t="s">
        <v>4799</v>
      </c>
      <c r="B609" s="33" t="s">
        <v>16161</v>
      </c>
      <c r="C609" s="33" t="s">
        <v>8875</v>
      </c>
      <c r="D609" s="33" t="s">
        <v>59</v>
      </c>
      <c r="E609" s="33" t="s">
        <v>16206</v>
      </c>
    </row>
    <row r="610" customFormat="false" ht="15" hidden="false" customHeight="true" outlineLevel="0" collapsed="false">
      <c r="A610" s="33" t="s">
        <v>4799</v>
      </c>
      <c r="B610" s="33" t="s">
        <v>16161</v>
      </c>
      <c r="C610" s="33" t="s">
        <v>9124</v>
      </c>
      <c r="D610" s="33" t="s">
        <v>59</v>
      </c>
      <c r="E610" s="33" t="s">
        <v>16206</v>
      </c>
    </row>
    <row r="611" customFormat="false" ht="15" hidden="false" customHeight="true" outlineLevel="0" collapsed="false">
      <c r="A611" s="33" t="s">
        <v>4844</v>
      </c>
      <c r="B611" s="33" t="s">
        <v>16161</v>
      </c>
      <c r="C611" s="33" t="s">
        <v>9039</v>
      </c>
      <c r="D611" s="33" t="s">
        <v>59</v>
      </c>
      <c r="E611" s="33" t="s">
        <v>16207</v>
      </c>
    </row>
    <row r="612" customFormat="false" ht="15" hidden="false" customHeight="true" outlineLevel="0" collapsed="false">
      <c r="A612" s="33" t="s">
        <v>4844</v>
      </c>
      <c r="B612" s="33" t="s">
        <v>16161</v>
      </c>
      <c r="C612" s="33" t="s">
        <v>1049</v>
      </c>
      <c r="D612" s="33" t="s">
        <v>59</v>
      </c>
      <c r="E612" s="33" t="s">
        <v>16207</v>
      </c>
    </row>
    <row r="613" customFormat="false" ht="15" hidden="false" customHeight="true" outlineLevel="0" collapsed="false">
      <c r="A613" s="33" t="s">
        <v>4844</v>
      </c>
      <c r="B613" s="33" t="s">
        <v>16161</v>
      </c>
      <c r="C613" s="33" t="s">
        <v>9124</v>
      </c>
      <c r="D613" s="33" t="s">
        <v>59</v>
      </c>
      <c r="E613" s="33" t="s">
        <v>16207</v>
      </c>
    </row>
    <row r="614" customFormat="false" ht="15" hidden="false" customHeight="true" outlineLevel="0" collapsed="false">
      <c r="A614" s="33" t="s">
        <v>4844</v>
      </c>
      <c r="B614" s="33" t="s">
        <v>16161</v>
      </c>
      <c r="C614" s="33" t="s">
        <v>9156</v>
      </c>
      <c r="D614" s="33" t="s">
        <v>59</v>
      </c>
      <c r="E614" s="33" t="s">
        <v>16207</v>
      </c>
    </row>
    <row r="615" customFormat="false" ht="15" hidden="false" customHeight="true" outlineLevel="0" collapsed="false">
      <c r="A615" s="33" t="s">
        <v>8519</v>
      </c>
      <c r="B615" s="33" t="s">
        <v>16161</v>
      </c>
      <c r="C615" s="33" t="s">
        <v>8755</v>
      </c>
      <c r="D615" s="33" t="s">
        <v>54</v>
      </c>
      <c r="E615" s="33" t="s">
        <v>16208</v>
      </c>
    </row>
    <row r="616" customFormat="false" ht="15" hidden="false" customHeight="true" outlineLevel="0" collapsed="false">
      <c r="A616" s="33" t="s">
        <v>8519</v>
      </c>
      <c r="B616" s="33" t="s">
        <v>16161</v>
      </c>
      <c r="C616" s="33" t="s">
        <v>4557</v>
      </c>
      <c r="D616" s="33" t="s">
        <v>54</v>
      </c>
      <c r="E616" s="33" t="s">
        <v>16208</v>
      </c>
    </row>
    <row r="617" customFormat="false" ht="15" hidden="false" customHeight="true" outlineLevel="0" collapsed="false">
      <c r="A617" s="33" t="s">
        <v>8519</v>
      </c>
      <c r="B617" s="33" t="s">
        <v>16161</v>
      </c>
      <c r="C617" s="33" t="s">
        <v>8809</v>
      </c>
      <c r="D617" s="33" t="s">
        <v>54</v>
      </c>
      <c r="E617" s="33" t="s">
        <v>16208</v>
      </c>
    </row>
    <row r="618" customFormat="false" ht="15" hidden="false" customHeight="true" outlineLevel="0" collapsed="false">
      <c r="A618" s="33" t="s">
        <v>8519</v>
      </c>
      <c r="B618" s="33" t="s">
        <v>16161</v>
      </c>
      <c r="C618" s="33" t="s">
        <v>8841</v>
      </c>
      <c r="D618" s="33" t="s">
        <v>54</v>
      </c>
      <c r="E618" s="33" t="s">
        <v>16208</v>
      </c>
    </row>
    <row r="619" customFormat="false" ht="15" hidden="false" customHeight="true" outlineLevel="0" collapsed="false">
      <c r="A619" s="33" t="s">
        <v>8519</v>
      </c>
      <c r="B619" s="33" t="s">
        <v>16161</v>
      </c>
      <c r="C619" s="33" t="s">
        <v>8891</v>
      </c>
      <c r="D619" s="33" t="s">
        <v>54</v>
      </c>
      <c r="E619" s="33" t="s">
        <v>16208</v>
      </c>
    </row>
    <row r="620" customFormat="false" ht="15" hidden="false" customHeight="true" outlineLevel="0" collapsed="false">
      <c r="A620" s="33" t="s">
        <v>8519</v>
      </c>
      <c r="B620" s="33" t="s">
        <v>16161</v>
      </c>
      <c r="C620" s="33" t="s">
        <v>4291</v>
      </c>
      <c r="D620" s="33" t="s">
        <v>54</v>
      </c>
      <c r="E620" s="33" t="s">
        <v>16208</v>
      </c>
    </row>
    <row r="621" customFormat="false" ht="15" hidden="false" customHeight="true" outlineLevel="0" collapsed="false">
      <c r="A621" s="33" t="s">
        <v>8519</v>
      </c>
      <c r="B621" s="33" t="s">
        <v>16161</v>
      </c>
      <c r="C621" s="33" t="s">
        <v>9156</v>
      </c>
      <c r="D621" s="33" t="s">
        <v>54</v>
      </c>
      <c r="E621" s="33" t="s">
        <v>16208</v>
      </c>
    </row>
    <row r="622" customFormat="false" ht="15" hidden="false" customHeight="true" outlineLevel="0" collapsed="false">
      <c r="A622" s="33" t="s">
        <v>5033</v>
      </c>
      <c r="B622" s="33" t="s">
        <v>16161</v>
      </c>
      <c r="C622" s="33" t="s">
        <v>1551</v>
      </c>
      <c r="D622" s="33" t="s">
        <v>59</v>
      </c>
      <c r="E622" s="33" t="s">
        <v>16209</v>
      </c>
    </row>
    <row r="623" customFormat="false" ht="15" hidden="false" customHeight="true" outlineLevel="0" collapsed="false">
      <c r="A623" s="33" t="s">
        <v>5033</v>
      </c>
      <c r="B623" s="33" t="s">
        <v>16161</v>
      </c>
      <c r="C623" s="33" t="s">
        <v>8971</v>
      </c>
      <c r="D623" s="33" t="s">
        <v>59</v>
      </c>
      <c r="E623" s="33" t="s">
        <v>16209</v>
      </c>
    </row>
    <row r="624" customFormat="false" ht="15" hidden="false" customHeight="true" outlineLevel="0" collapsed="false">
      <c r="A624" s="33" t="s">
        <v>5062</v>
      </c>
      <c r="B624" s="33" t="s">
        <v>16161</v>
      </c>
      <c r="C624" s="33" t="s">
        <v>1551</v>
      </c>
      <c r="D624" s="33" t="s">
        <v>55</v>
      </c>
      <c r="E624" s="33" t="s">
        <v>16210</v>
      </c>
    </row>
    <row r="625" customFormat="false" ht="15" hidden="false" customHeight="true" outlineLevel="0" collapsed="false">
      <c r="A625" s="33" t="s">
        <v>5089</v>
      </c>
      <c r="B625" s="33" t="s">
        <v>16161</v>
      </c>
      <c r="C625" s="33" t="s">
        <v>1551</v>
      </c>
      <c r="D625" s="33" t="s">
        <v>55</v>
      </c>
      <c r="E625" s="33" t="s">
        <v>16211</v>
      </c>
    </row>
    <row r="626" customFormat="false" ht="15" hidden="false" customHeight="true" outlineLevel="0" collapsed="false">
      <c r="A626" s="33" t="s">
        <v>5089</v>
      </c>
      <c r="B626" s="33" t="s">
        <v>16161</v>
      </c>
      <c r="C626" s="33" t="s">
        <v>1930</v>
      </c>
      <c r="D626" s="33" t="s">
        <v>55</v>
      </c>
      <c r="E626" s="33" t="s">
        <v>16211</v>
      </c>
    </row>
    <row r="627" customFormat="false" ht="15" hidden="false" customHeight="true" outlineLevel="0" collapsed="false">
      <c r="A627" s="33" t="s">
        <v>5089</v>
      </c>
      <c r="B627" s="33" t="s">
        <v>16161</v>
      </c>
      <c r="C627" s="33" t="s">
        <v>1539</v>
      </c>
      <c r="D627" s="33" t="s">
        <v>55</v>
      </c>
      <c r="E627" s="33" t="s">
        <v>16211</v>
      </c>
    </row>
    <row r="628" customFormat="false" ht="15" hidden="false" customHeight="true" outlineLevel="0" collapsed="false">
      <c r="A628" s="33" t="s">
        <v>624</v>
      </c>
      <c r="B628" s="33" t="s">
        <v>16161</v>
      </c>
      <c r="C628" s="33" t="s">
        <v>9039</v>
      </c>
      <c r="D628" s="33" t="s">
        <v>59</v>
      </c>
      <c r="E628" s="33" t="s">
        <v>16212</v>
      </c>
    </row>
    <row r="629" customFormat="false" ht="15" hidden="false" customHeight="true" outlineLevel="0" collapsed="false">
      <c r="A629" s="33" t="s">
        <v>624</v>
      </c>
      <c r="B629" s="33" t="s">
        <v>16161</v>
      </c>
      <c r="C629" s="33" t="s">
        <v>9075</v>
      </c>
      <c r="D629" s="33" t="s">
        <v>59</v>
      </c>
      <c r="E629" s="33" t="s">
        <v>16212</v>
      </c>
    </row>
    <row r="630" customFormat="false" ht="15" hidden="false" customHeight="true" outlineLevel="0" collapsed="false">
      <c r="A630" s="33" t="s">
        <v>864</v>
      </c>
      <c r="B630" s="33" t="s">
        <v>16161</v>
      </c>
      <c r="C630" s="33" t="s">
        <v>9091</v>
      </c>
      <c r="D630" s="33" t="s">
        <v>59</v>
      </c>
      <c r="E630" s="33" t="s">
        <v>16213</v>
      </c>
    </row>
    <row r="631" customFormat="false" ht="15" hidden="false" customHeight="true" outlineLevel="0" collapsed="false">
      <c r="A631" s="33" t="s">
        <v>970</v>
      </c>
      <c r="B631" s="33" t="s">
        <v>16161</v>
      </c>
      <c r="C631" s="33" t="s">
        <v>9005</v>
      </c>
      <c r="D631" s="33" t="s">
        <v>59</v>
      </c>
      <c r="E631" s="33" t="s">
        <v>16214</v>
      </c>
    </row>
    <row r="632" customFormat="false" ht="15" hidden="false" customHeight="true" outlineLevel="0" collapsed="false">
      <c r="A632" s="33" t="s">
        <v>970</v>
      </c>
      <c r="B632" s="33" t="s">
        <v>16161</v>
      </c>
      <c r="C632" s="33" t="s">
        <v>9023</v>
      </c>
      <c r="D632" s="33" t="s">
        <v>59</v>
      </c>
      <c r="E632" s="33" t="s">
        <v>16214</v>
      </c>
    </row>
    <row r="633" customFormat="false" ht="15" hidden="false" customHeight="true" outlineLevel="0" collapsed="false">
      <c r="A633" s="33" t="s">
        <v>970</v>
      </c>
      <c r="B633" s="33" t="s">
        <v>16161</v>
      </c>
      <c r="C633" s="33" t="s">
        <v>9039</v>
      </c>
      <c r="D633" s="33" t="s">
        <v>59</v>
      </c>
      <c r="E633" s="33" t="s">
        <v>16214</v>
      </c>
    </row>
    <row r="634" customFormat="false" ht="15" hidden="false" customHeight="true" outlineLevel="0" collapsed="false">
      <c r="A634" s="33" t="s">
        <v>970</v>
      </c>
      <c r="B634" s="33" t="s">
        <v>16161</v>
      </c>
      <c r="C634" s="33" t="s">
        <v>9075</v>
      </c>
      <c r="D634" s="33" t="s">
        <v>59</v>
      </c>
      <c r="E634" s="33" t="s">
        <v>16214</v>
      </c>
    </row>
    <row r="635" customFormat="false" ht="15" hidden="false" customHeight="true" outlineLevel="0" collapsed="false">
      <c r="A635" s="33" t="s">
        <v>986</v>
      </c>
      <c r="B635" s="33" t="s">
        <v>16161</v>
      </c>
      <c r="C635" s="33" t="s">
        <v>9091</v>
      </c>
      <c r="D635" s="33" t="s">
        <v>59</v>
      </c>
      <c r="E635" s="33" t="s">
        <v>16215</v>
      </c>
    </row>
    <row r="636" customFormat="false" ht="15" hidden="false" customHeight="true" outlineLevel="0" collapsed="false">
      <c r="A636" s="33" t="s">
        <v>1012</v>
      </c>
      <c r="B636" s="33" t="s">
        <v>16161</v>
      </c>
      <c r="C636" s="33" t="s">
        <v>9091</v>
      </c>
      <c r="D636" s="33" t="s">
        <v>59</v>
      </c>
      <c r="E636" s="33" t="s">
        <v>16216</v>
      </c>
    </row>
    <row r="637" customFormat="false" ht="15" hidden="false" customHeight="true" outlineLevel="0" collapsed="false">
      <c r="A637" s="33" t="s">
        <v>1036</v>
      </c>
      <c r="B637" s="33" t="s">
        <v>16161</v>
      </c>
      <c r="C637" s="33" t="s">
        <v>1049</v>
      </c>
      <c r="D637" s="33" t="s">
        <v>59</v>
      </c>
      <c r="E637" s="33" t="s">
        <v>16217</v>
      </c>
    </row>
    <row r="638" customFormat="false" ht="15" hidden="false" customHeight="true" outlineLevel="0" collapsed="false">
      <c r="A638" s="33" t="s">
        <v>1051</v>
      </c>
      <c r="B638" s="33" t="s">
        <v>16161</v>
      </c>
      <c r="C638" s="33" t="s">
        <v>9039</v>
      </c>
      <c r="D638" s="33" t="s">
        <v>59</v>
      </c>
      <c r="E638" s="33" t="s">
        <v>16218</v>
      </c>
    </row>
    <row r="639" customFormat="false" ht="15" hidden="false" customHeight="true" outlineLevel="0" collapsed="false">
      <c r="A639" s="33" t="s">
        <v>1051</v>
      </c>
      <c r="B639" s="33" t="s">
        <v>16161</v>
      </c>
      <c r="C639" s="33" t="s">
        <v>9091</v>
      </c>
      <c r="D639" s="33" t="s">
        <v>59</v>
      </c>
      <c r="E639" s="33" t="s">
        <v>16218</v>
      </c>
    </row>
    <row r="640" customFormat="false" ht="15" hidden="false" customHeight="true" outlineLevel="0" collapsed="false">
      <c r="A640" s="33" t="s">
        <v>1065</v>
      </c>
      <c r="B640" s="33" t="s">
        <v>16161</v>
      </c>
      <c r="C640" s="33" t="s">
        <v>9023</v>
      </c>
      <c r="D640" s="33" t="s">
        <v>59</v>
      </c>
      <c r="E640" s="33" t="s">
        <v>16219</v>
      </c>
    </row>
    <row r="641" customFormat="false" ht="15" hidden="false" customHeight="true" outlineLevel="0" collapsed="false">
      <c r="A641" s="33" t="s">
        <v>1065</v>
      </c>
      <c r="B641" s="33" t="s">
        <v>16161</v>
      </c>
      <c r="C641" s="33" t="s">
        <v>9039</v>
      </c>
      <c r="D641" s="33" t="s">
        <v>59</v>
      </c>
      <c r="E641" s="33" t="s">
        <v>16219</v>
      </c>
    </row>
    <row r="642" customFormat="false" ht="15" hidden="false" customHeight="true" outlineLevel="0" collapsed="false">
      <c r="A642" s="33" t="s">
        <v>1140</v>
      </c>
      <c r="B642" s="33" t="s">
        <v>16161</v>
      </c>
      <c r="C642" s="33" t="s">
        <v>9005</v>
      </c>
      <c r="D642" s="33" t="s">
        <v>59</v>
      </c>
      <c r="E642" s="33" t="s">
        <v>16220</v>
      </c>
    </row>
    <row r="643" customFormat="false" ht="15" hidden="false" customHeight="true" outlineLevel="0" collapsed="false">
      <c r="A643" s="33" t="s">
        <v>1140</v>
      </c>
      <c r="B643" s="33" t="s">
        <v>16161</v>
      </c>
      <c r="C643" s="33" t="s">
        <v>9039</v>
      </c>
      <c r="D643" s="33" t="s">
        <v>59</v>
      </c>
      <c r="E643" s="33" t="s">
        <v>16220</v>
      </c>
    </row>
    <row r="644" customFormat="false" ht="15" hidden="false" customHeight="true" outlineLevel="0" collapsed="false">
      <c r="A644" s="33" t="s">
        <v>1140</v>
      </c>
      <c r="B644" s="33" t="s">
        <v>16161</v>
      </c>
      <c r="C644" s="33" t="s">
        <v>9075</v>
      </c>
      <c r="D644" s="33" t="s">
        <v>59</v>
      </c>
      <c r="E644" s="33" t="s">
        <v>16220</v>
      </c>
    </row>
    <row r="645" customFormat="false" ht="15" hidden="false" customHeight="true" outlineLevel="0" collapsed="false">
      <c r="A645" s="33" t="s">
        <v>6244</v>
      </c>
      <c r="B645" s="33" t="s">
        <v>16161</v>
      </c>
      <c r="C645" s="33" t="s">
        <v>8939</v>
      </c>
      <c r="D645" s="33" t="s">
        <v>59</v>
      </c>
      <c r="E645" s="33" t="s">
        <v>16221</v>
      </c>
    </row>
    <row r="646" customFormat="false" ht="15" hidden="false" customHeight="true" outlineLevel="0" collapsed="false">
      <c r="A646" s="33" t="s">
        <v>6244</v>
      </c>
      <c r="B646" s="33" t="s">
        <v>16161</v>
      </c>
      <c r="C646" s="33" t="s">
        <v>9023</v>
      </c>
      <c r="D646" s="33" t="s">
        <v>59</v>
      </c>
      <c r="E646" s="33" t="s">
        <v>16221</v>
      </c>
    </row>
    <row r="647" customFormat="false" ht="15" hidden="false" customHeight="true" outlineLevel="0" collapsed="false">
      <c r="A647" s="33" t="s">
        <v>6292</v>
      </c>
      <c r="B647" s="33" t="s">
        <v>16161</v>
      </c>
      <c r="C647" s="33" t="s">
        <v>8841</v>
      </c>
      <c r="D647" s="33" t="s">
        <v>59</v>
      </c>
      <c r="E647" s="33" t="s">
        <v>16222</v>
      </c>
    </row>
    <row r="648" customFormat="false" ht="15" hidden="false" customHeight="true" outlineLevel="0" collapsed="false">
      <c r="A648" s="33" t="s">
        <v>6292</v>
      </c>
      <c r="B648" s="33" t="s">
        <v>16161</v>
      </c>
      <c r="C648" s="33" t="s">
        <v>8859</v>
      </c>
      <c r="D648" s="33" t="s">
        <v>59</v>
      </c>
      <c r="E648" s="33" t="s">
        <v>16222</v>
      </c>
    </row>
    <row r="649" customFormat="false" ht="15" hidden="false" customHeight="true" outlineLevel="0" collapsed="false">
      <c r="A649" s="33" t="s">
        <v>6292</v>
      </c>
      <c r="B649" s="33" t="s">
        <v>16161</v>
      </c>
      <c r="C649" s="33" t="s">
        <v>8891</v>
      </c>
      <c r="D649" s="33" t="s">
        <v>59</v>
      </c>
      <c r="E649" s="33" t="s">
        <v>16222</v>
      </c>
    </row>
    <row r="650" customFormat="false" ht="15" hidden="false" customHeight="true" outlineLevel="0" collapsed="false">
      <c r="A650" s="33" t="s">
        <v>6340</v>
      </c>
      <c r="B650" s="33" t="s">
        <v>16161</v>
      </c>
      <c r="C650" s="33" t="s">
        <v>8859</v>
      </c>
      <c r="D650" s="33" t="s">
        <v>59</v>
      </c>
      <c r="E650" s="33" t="s">
        <v>16223</v>
      </c>
    </row>
    <row r="651" customFormat="false" ht="15" hidden="false" customHeight="true" outlineLevel="0" collapsed="false">
      <c r="A651" s="33" t="s">
        <v>6340</v>
      </c>
      <c r="B651" s="33" t="s">
        <v>16161</v>
      </c>
      <c r="C651" s="33" t="s">
        <v>4291</v>
      </c>
      <c r="D651" s="33" t="s">
        <v>59</v>
      </c>
      <c r="E651" s="33" t="s">
        <v>16223</v>
      </c>
    </row>
    <row r="652" customFormat="false" ht="15" hidden="false" customHeight="true" outlineLevel="0" collapsed="false">
      <c r="A652" s="33" t="s">
        <v>114</v>
      </c>
      <c r="B652" s="33" t="s">
        <v>16161</v>
      </c>
      <c r="C652" s="33" t="s">
        <v>8859</v>
      </c>
      <c r="D652" s="33" t="s">
        <v>59</v>
      </c>
      <c r="E652" s="33" t="s">
        <v>16224</v>
      </c>
    </row>
    <row r="653" customFormat="false" ht="15" hidden="false" customHeight="true" outlineLevel="0" collapsed="false">
      <c r="A653" s="33" t="s">
        <v>114</v>
      </c>
      <c r="B653" s="33" t="s">
        <v>16161</v>
      </c>
      <c r="C653" s="33" t="s">
        <v>8908</v>
      </c>
      <c r="D653" s="33" t="s">
        <v>59</v>
      </c>
      <c r="E653" s="33" t="s">
        <v>16224</v>
      </c>
    </row>
    <row r="654" customFormat="false" ht="15" hidden="false" customHeight="true" outlineLevel="0" collapsed="false">
      <c r="A654" s="33" t="s">
        <v>2983</v>
      </c>
      <c r="B654" s="33" t="s">
        <v>16161</v>
      </c>
      <c r="C654" s="33" t="s">
        <v>8908</v>
      </c>
      <c r="D654" s="33" t="s">
        <v>59</v>
      </c>
      <c r="E654" s="33" t="s">
        <v>16225</v>
      </c>
    </row>
    <row r="655" customFormat="false" ht="15" hidden="false" customHeight="true" outlineLevel="0" collapsed="false">
      <c r="A655" s="33" t="s">
        <v>2983</v>
      </c>
      <c r="B655" s="33" t="s">
        <v>16161</v>
      </c>
      <c r="C655" s="33" t="s">
        <v>9107</v>
      </c>
      <c r="D655" s="33" t="s">
        <v>59</v>
      </c>
      <c r="E655" s="33" t="s">
        <v>16225</v>
      </c>
    </row>
    <row r="656" customFormat="false" ht="15" hidden="false" customHeight="true" outlineLevel="0" collapsed="false">
      <c r="A656" s="33" t="s">
        <v>2872</v>
      </c>
      <c r="B656" s="33" t="s">
        <v>16161</v>
      </c>
      <c r="C656" s="33" t="s">
        <v>9023</v>
      </c>
      <c r="D656" s="33" t="s">
        <v>50</v>
      </c>
      <c r="E656" s="33" t="s">
        <v>16226</v>
      </c>
    </row>
    <row r="657" customFormat="false" ht="15" hidden="false" customHeight="true" outlineLevel="0" collapsed="false">
      <c r="A657" s="33" t="s">
        <v>2872</v>
      </c>
      <c r="B657" s="33" t="s">
        <v>16161</v>
      </c>
      <c r="C657" s="33" t="s">
        <v>1049</v>
      </c>
      <c r="D657" s="33" t="s">
        <v>50</v>
      </c>
      <c r="E657" s="33" t="s">
        <v>16226</v>
      </c>
    </row>
    <row r="658" customFormat="false" ht="15" hidden="false" customHeight="true" outlineLevel="0" collapsed="false">
      <c r="A658" s="33" t="s">
        <v>2872</v>
      </c>
      <c r="B658" s="33" t="s">
        <v>16161</v>
      </c>
      <c r="C658" s="33" t="s">
        <v>9107</v>
      </c>
      <c r="D658" s="33" t="s">
        <v>50</v>
      </c>
      <c r="E658" s="33" t="s">
        <v>16226</v>
      </c>
    </row>
    <row r="659" customFormat="false" ht="15" hidden="false" customHeight="true" outlineLevel="0" collapsed="false">
      <c r="A659" s="33" t="s">
        <v>2889</v>
      </c>
      <c r="B659" s="33" t="s">
        <v>16161</v>
      </c>
      <c r="C659" s="33" t="s">
        <v>8987</v>
      </c>
      <c r="D659" s="33" t="s">
        <v>50</v>
      </c>
      <c r="E659" s="33" t="s">
        <v>16227</v>
      </c>
    </row>
    <row r="660" customFormat="false" ht="15" hidden="false" customHeight="true" outlineLevel="0" collapsed="false">
      <c r="A660" s="33" t="s">
        <v>2889</v>
      </c>
      <c r="B660" s="33" t="s">
        <v>16161</v>
      </c>
      <c r="C660" s="33" t="s">
        <v>9023</v>
      </c>
      <c r="D660" s="33" t="s">
        <v>50</v>
      </c>
      <c r="E660" s="33" t="s">
        <v>16227</v>
      </c>
    </row>
    <row r="661" customFormat="false" ht="15" hidden="false" customHeight="true" outlineLevel="0" collapsed="false">
      <c r="A661" s="33" t="s">
        <v>2889</v>
      </c>
      <c r="B661" s="33" t="s">
        <v>16161</v>
      </c>
      <c r="C661" s="33" t="s">
        <v>9075</v>
      </c>
      <c r="D661" s="33" t="s">
        <v>50</v>
      </c>
      <c r="E661" s="33" t="s">
        <v>16227</v>
      </c>
    </row>
    <row r="662" customFormat="false" ht="15" hidden="false" customHeight="true" outlineLevel="0" collapsed="false">
      <c r="A662" s="33" t="s">
        <v>2903</v>
      </c>
      <c r="B662" s="33" t="s">
        <v>16161</v>
      </c>
      <c r="C662" s="33" t="s">
        <v>9023</v>
      </c>
      <c r="D662" s="33" t="s">
        <v>50</v>
      </c>
      <c r="E662" s="33" t="s">
        <v>16228</v>
      </c>
    </row>
    <row r="663" customFormat="false" ht="15" hidden="false" customHeight="true" outlineLevel="0" collapsed="false">
      <c r="A663" s="33" t="s">
        <v>2903</v>
      </c>
      <c r="B663" s="33" t="s">
        <v>16161</v>
      </c>
      <c r="C663" s="33" t="s">
        <v>9039</v>
      </c>
      <c r="D663" s="33" t="s">
        <v>50</v>
      </c>
      <c r="E663" s="33" t="s">
        <v>16228</v>
      </c>
    </row>
    <row r="664" customFormat="false" ht="15" hidden="false" customHeight="true" outlineLevel="0" collapsed="false">
      <c r="A664" s="33" t="s">
        <v>2903</v>
      </c>
      <c r="B664" s="33" t="s">
        <v>16161</v>
      </c>
      <c r="C664" s="33" t="s">
        <v>1049</v>
      </c>
      <c r="D664" s="33" t="s">
        <v>50</v>
      </c>
      <c r="E664" s="33" t="s">
        <v>16228</v>
      </c>
    </row>
    <row r="665" customFormat="false" ht="15" hidden="false" customHeight="true" outlineLevel="0" collapsed="false">
      <c r="A665" s="33" t="s">
        <v>2903</v>
      </c>
      <c r="B665" s="33" t="s">
        <v>16161</v>
      </c>
      <c r="C665" s="33" t="s">
        <v>9107</v>
      </c>
      <c r="D665" s="33" t="s">
        <v>50</v>
      </c>
      <c r="E665" s="33" t="s">
        <v>16228</v>
      </c>
    </row>
    <row r="666" customFormat="false" ht="15" hidden="false" customHeight="true" outlineLevel="0" collapsed="false">
      <c r="A666" s="33" t="s">
        <v>2916</v>
      </c>
      <c r="B666" s="33" t="s">
        <v>16161</v>
      </c>
      <c r="C666" s="33" t="s">
        <v>9039</v>
      </c>
      <c r="D666" s="33" t="s">
        <v>59</v>
      </c>
      <c r="E666" s="33" t="s">
        <v>16229</v>
      </c>
    </row>
    <row r="667" customFormat="false" ht="15" hidden="false" customHeight="true" outlineLevel="0" collapsed="false">
      <c r="A667" s="33" t="s">
        <v>2916</v>
      </c>
      <c r="B667" s="33" t="s">
        <v>16161</v>
      </c>
      <c r="C667" s="33" t="s">
        <v>9107</v>
      </c>
      <c r="D667" s="33" t="s">
        <v>59</v>
      </c>
      <c r="E667" s="33" t="s">
        <v>16229</v>
      </c>
    </row>
    <row r="668" customFormat="false" ht="15" hidden="false" customHeight="true" outlineLevel="0" collapsed="false">
      <c r="A668" s="33" t="s">
        <v>2916</v>
      </c>
      <c r="B668" s="33" t="s">
        <v>16161</v>
      </c>
      <c r="C668" s="33" t="s">
        <v>2903</v>
      </c>
      <c r="D668" s="33" t="s">
        <v>59</v>
      </c>
      <c r="E668" s="33" t="s">
        <v>16229</v>
      </c>
    </row>
    <row r="669" customFormat="false" ht="15" hidden="false" customHeight="true" outlineLevel="0" collapsed="false">
      <c r="A669" s="33" t="s">
        <v>2952</v>
      </c>
      <c r="B669" s="33" t="s">
        <v>16161</v>
      </c>
      <c r="C669" s="33" t="s">
        <v>9107</v>
      </c>
      <c r="D669" s="33" t="s">
        <v>50</v>
      </c>
      <c r="E669" s="33" t="s">
        <v>16230</v>
      </c>
    </row>
    <row r="670" customFormat="false" ht="15" hidden="false" customHeight="true" outlineLevel="0" collapsed="false">
      <c r="A670" s="33" t="s">
        <v>2952</v>
      </c>
      <c r="B670" s="33" t="s">
        <v>16161</v>
      </c>
      <c r="C670" s="33" t="s">
        <v>2903</v>
      </c>
      <c r="D670" s="33" t="s">
        <v>50</v>
      </c>
      <c r="E670" s="33" t="s">
        <v>16230</v>
      </c>
    </row>
    <row r="671" customFormat="false" ht="15" hidden="false" customHeight="true" outlineLevel="0" collapsed="false">
      <c r="A671" s="28" t="s">
        <v>1930</v>
      </c>
      <c r="B671" s="28" t="s">
        <v>16161</v>
      </c>
      <c r="C671" s="28" t="s">
        <v>1551</v>
      </c>
      <c r="D671" s="28" t="s">
        <v>50</v>
      </c>
      <c r="E671" s="28" t="s">
        <v>16231</v>
      </c>
    </row>
    <row r="672" customFormat="false" ht="15" hidden="false" customHeight="true" outlineLevel="0" collapsed="false">
      <c r="A672" s="28" t="s">
        <v>1930</v>
      </c>
      <c r="B672" s="28" t="s">
        <v>16161</v>
      </c>
      <c r="C672" s="28" t="s">
        <v>9023</v>
      </c>
      <c r="D672" s="28" t="s">
        <v>50</v>
      </c>
      <c r="E672" s="28" t="s">
        <v>16231</v>
      </c>
    </row>
    <row r="673" customFormat="false" ht="15" hidden="false" customHeight="true" outlineLevel="0" collapsed="false">
      <c r="A673" s="28" t="s">
        <v>1484</v>
      </c>
      <c r="B673" s="28" t="s">
        <v>16161</v>
      </c>
      <c r="C673" s="28" t="s">
        <v>1551</v>
      </c>
      <c r="D673" s="28" t="s">
        <v>57</v>
      </c>
      <c r="E673" s="28" t="s">
        <v>16232</v>
      </c>
    </row>
    <row r="674" customFormat="false" ht="15" hidden="false" customHeight="true" outlineLevel="0" collapsed="false">
      <c r="A674" s="28" t="s">
        <v>1539</v>
      </c>
      <c r="B674" s="28" t="s">
        <v>16161</v>
      </c>
      <c r="C674" s="28" t="s">
        <v>1551</v>
      </c>
      <c r="D674" s="28" t="s">
        <v>57</v>
      </c>
      <c r="E674" s="28" t="s">
        <v>16233</v>
      </c>
    </row>
    <row r="675" customFormat="false" ht="15" hidden="false" customHeight="true" outlineLevel="0" collapsed="false">
      <c r="A675" s="28" t="s">
        <v>8608</v>
      </c>
      <c r="B675" s="28" t="s">
        <v>16161</v>
      </c>
      <c r="C675" s="28" t="s">
        <v>8971</v>
      </c>
      <c r="D675" s="28" t="s">
        <v>58</v>
      </c>
      <c r="E675" s="28" t="s">
        <v>16234</v>
      </c>
    </row>
    <row r="676" customFormat="false" ht="15" hidden="false" customHeight="true" outlineLevel="0" collapsed="false">
      <c r="A676" s="28" t="s">
        <v>8608</v>
      </c>
      <c r="B676" s="28" t="s">
        <v>16161</v>
      </c>
      <c r="C676" s="28" t="s">
        <v>9124</v>
      </c>
      <c r="D676" s="28" t="s">
        <v>58</v>
      </c>
      <c r="E676" s="28" t="s">
        <v>16234</v>
      </c>
    </row>
    <row r="677" customFormat="false" ht="15" hidden="false" customHeight="true" outlineLevel="0" collapsed="false">
      <c r="A677" s="28" t="s">
        <v>9175</v>
      </c>
      <c r="B677" s="28" t="s">
        <v>16161</v>
      </c>
      <c r="C677" s="28" t="s">
        <v>4306</v>
      </c>
      <c r="D677" s="28" t="s">
        <v>59</v>
      </c>
      <c r="E677" s="28" t="s">
        <v>16235</v>
      </c>
    </row>
    <row r="678" customFormat="false" ht="15" hidden="false" customHeight="true" outlineLevel="0" collapsed="false">
      <c r="A678" s="28" t="s">
        <v>9175</v>
      </c>
      <c r="B678" s="28" t="s">
        <v>16161</v>
      </c>
      <c r="C678" s="28" t="s">
        <v>4353</v>
      </c>
      <c r="D678" s="28" t="s">
        <v>59</v>
      </c>
      <c r="E678" s="28" t="s">
        <v>16235</v>
      </c>
    </row>
    <row r="679" customFormat="false" ht="15" hidden="false" customHeight="true" outlineLevel="0" collapsed="false">
      <c r="A679" s="28" t="s">
        <v>9175</v>
      </c>
      <c r="B679" s="28" t="s">
        <v>16161</v>
      </c>
      <c r="C679" s="28" t="s">
        <v>5089</v>
      </c>
      <c r="D679" s="28" t="s">
        <v>59</v>
      </c>
      <c r="E679" s="28" t="s">
        <v>16235</v>
      </c>
    </row>
    <row r="680" customFormat="false" ht="15" hidden="false" customHeight="true" outlineLevel="0" collapsed="false">
      <c r="A680" s="28" t="s">
        <v>9175</v>
      </c>
      <c r="B680" s="28" t="s">
        <v>16161</v>
      </c>
      <c r="C680" s="28" t="s">
        <v>8841</v>
      </c>
      <c r="D680" s="28" t="s">
        <v>59</v>
      </c>
      <c r="E680" s="28" t="s">
        <v>16235</v>
      </c>
    </row>
    <row r="681" customFormat="false" ht="15" hidden="false" customHeight="true" outlineLevel="0" collapsed="false">
      <c r="A681" s="28" t="s">
        <v>9175</v>
      </c>
      <c r="B681" s="28" t="s">
        <v>16161</v>
      </c>
      <c r="C681" s="28" t="s">
        <v>8875</v>
      </c>
      <c r="D681" s="28" t="s">
        <v>59</v>
      </c>
      <c r="E681" s="28" t="s">
        <v>16235</v>
      </c>
    </row>
    <row r="682" customFormat="false" ht="15" hidden="false" customHeight="true" outlineLevel="0" collapsed="false">
      <c r="A682" s="28" t="s">
        <v>9175</v>
      </c>
      <c r="B682" s="28" t="s">
        <v>16161</v>
      </c>
      <c r="C682" s="28" t="s">
        <v>1930</v>
      </c>
      <c r="D682" s="28" t="s">
        <v>59</v>
      </c>
      <c r="E682" s="28" t="s">
        <v>16235</v>
      </c>
    </row>
    <row r="683" customFormat="false" ht="15" hidden="false" customHeight="true" outlineLevel="0" collapsed="false">
      <c r="A683" s="28" t="s">
        <v>9175</v>
      </c>
      <c r="B683" s="28" t="s">
        <v>16161</v>
      </c>
      <c r="C683" s="28" t="s">
        <v>1484</v>
      </c>
      <c r="D683" s="28" t="s">
        <v>59</v>
      </c>
      <c r="E683" s="28" t="s">
        <v>16235</v>
      </c>
    </row>
    <row r="684" customFormat="false" ht="15" hidden="false" customHeight="true" outlineLevel="0" collapsed="false">
      <c r="A684" s="28" t="s">
        <v>9175</v>
      </c>
      <c r="B684" s="28" t="s">
        <v>16161</v>
      </c>
      <c r="C684" s="28" t="s">
        <v>1539</v>
      </c>
      <c r="D684" s="28" t="s">
        <v>59</v>
      </c>
      <c r="E684" s="28" t="s">
        <v>16235</v>
      </c>
    </row>
    <row r="685" customFormat="false" ht="15" hidden="false" customHeight="true" outlineLevel="0" collapsed="false">
      <c r="A685" s="28" t="s">
        <v>9198</v>
      </c>
      <c r="B685" s="28" t="s">
        <v>16161</v>
      </c>
      <c r="C685" s="28" t="s">
        <v>563</v>
      </c>
      <c r="D685" s="28" t="s">
        <v>50</v>
      </c>
      <c r="E685" s="28" t="s">
        <v>16235</v>
      </c>
    </row>
    <row r="686" customFormat="false" ht="15" hidden="false" customHeight="true" outlineLevel="0" collapsed="false">
      <c r="A686" s="28" t="s">
        <v>9198</v>
      </c>
      <c r="B686" s="28" t="s">
        <v>16161</v>
      </c>
      <c r="C686" s="28" t="s">
        <v>970</v>
      </c>
      <c r="D686" s="28" t="s">
        <v>50</v>
      </c>
      <c r="E686" s="28" t="s">
        <v>16235</v>
      </c>
    </row>
    <row r="687" customFormat="false" ht="15" hidden="false" customHeight="true" outlineLevel="0" collapsed="false">
      <c r="A687" s="28" t="s">
        <v>9198</v>
      </c>
      <c r="B687" s="28" t="s">
        <v>16161</v>
      </c>
      <c r="C687" s="28" t="s">
        <v>9039</v>
      </c>
      <c r="D687" s="28" t="s">
        <v>50</v>
      </c>
      <c r="E687" s="28" t="s">
        <v>16235</v>
      </c>
    </row>
    <row r="688" customFormat="false" ht="15" hidden="false" customHeight="true" outlineLevel="0" collapsed="false">
      <c r="A688" s="28" t="s">
        <v>9198</v>
      </c>
      <c r="B688" s="28" t="s">
        <v>16161</v>
      </c>
      <c r="C688" s="28" t="s">
        <v>4799</v>
      </c>
      <c r="D688" s="28" t="s">
        <v>50</v>
      </c>
      <c r="E688" s="28" t="s">
        <v>16235</v>
      </c>
    </row>
    <row r="689" customFormat="false" ht="15" hidden="false" customHeight="true" outlineLevel="0" collapsed="false">
      <c r="A689" s="28" t="s">
        <v>9198</v>
      </c>
      <c r="B689" s="28" t="s">
        <v>16161</v>
      </c>
      <c r="C689" s="28" t="s">
        <v>4844</v>
      </c>
      <c r="D689" s="28" t="s">
        <v>50</v>
      </c>
      <c r="E689" s="28" t="s">
        <v>16235</v>
      </c>
    </row>
    <row r="690" customFormat="false" ht="15" hidden="false" customHeight="true" outlineLevel="0" collapsed="false">
      <c r="A690" s="28" t="s">
        <v>2247</v>
      </c>
      <c r="B690" s="28" t="s">
        <v>16161</v>
      </c>
      <c r="C690" s="28" t="s">
        <v>7403</v>
      </c>
      <c r="D690" s="28" t="s">
        <v>50</v>
      </c>
      <c r="E690" s="28" t="s">
        <v>16235</v>
      </c>
    </row>
    <row r="691" customFormat="false" ht="15" hidden="false" customHeight="true" outlineLevel="0" collapsed="false">
      <c r="A691" s="28" t="s">
        <v>2247</v>
      </c>
      <c r="B691" s="28" t="s">
        <v>16161</v>
      </c>
      <c r="C691" s="28" t="s">
        <v>2233</v>
      </c>
      <c r="D691" s="28" t="s">
        <v>50</v>
      </c>
      <c r="E691" s="28" t="s">
        <v>16235</v>
      </c>
    </row>
    <row r="692" customFormat="false" ht="15" hidden="false" customHeight="true" outlineLevel="0" collapsed="false">
      <c r="A692" s="28" t="s">
        <v>2247</v>
      </c>
      <c r="B692" s="28" t="s">
        <v>16161</v>
      </c>
      <c r="C692" s="28" t="s">
        <v>2248</v>
      </c>
      <c r="D692" s="28" t="s">
        <v>50</v>
      </c>
      <c r="E692" s="28" t="s">
        <v>16235</v>
      </c>
    </row>
    <row r="693" customFormat="false" ht="15" hidden="false" customHeight="true" outlineLevel="0" collapsed="false">
      <c r="A693" s="28" t="s">
        <v>2247</v>
      </c>
      <c r="B693" s="28" t="s">
        <v>16161</v>
      </c>
      <c r="C693" s="28" t="s">
        <v>9198</v>
      </c>
      <c r="D693" s="28" t="s">
        <v>50</v>
      </c>
      <c r="E693" s="28" t="s">
        <v>16235</v>
      </c>
    </row>
    <row r="694" customFormat="false" ht="15" hidden="false" customHeight="true" outlineLevel="0" collapsed="false">
      <c r="A694" s="28" t="s">
        <v>2247</v>
      </c>
      <c r="B694" s="28" t="s">
        <v>16161</v>
      </c>
      <c r="C694" s="28" t="s">
        <v>3477</v>
      </c>
      <c r="D694" s="28" t="s">
        <v>50</v>
      </c>
      <c r="E694" s="28" t="s">
        <v>16235</v>
      </c>
    </row>
    <row r="695" customFormat="false" ht="15" hidden="false" customHeight="true" outlineLevel="0" collapsed="false">
      <c r="A695" s="28" t="s">
        <v>2247</v>
      </c>
      <c r="B695" s="28" t="s">
        <v>16161</v>
      </c>
      <c r="C695" s="28" t="s">
        <v>9316</v>
      </c>
      <c r="D695" s="28" t="s">
        <v>50</v>
      </c>
      <c r="E695" s="28" t="s">
        <v>16235</v>
      </c>
    </row>
    <row r="696" customFormat="false" ht="15" hidden="false" customHeight="true" outlineLevel="0" collapsed="false">
      <c r="A696" s="28" t="s">
        <v>2292</v>
      </c>
      <c r="B696" s="28" t="s">
        <v>16161</v>
      </c>
      <c r="C696" s="28" t="s">
        <v>7431</v>
      </c>
      <c r="D696" s="28" t="s">
        <v>50</v>
      </c>
      <c r="E696" s="28" t="s">
        <v>16235</v>
      </c>
    </row>
    <row r="697" customFormat="false" ht="15" hidden="false" customHeight="true" outlineLevel="0" collapsed="false">
      <c r="A697" s="28" t="s">
        <v>2292</v>
      </c>
      <c r="B697" s="28" t="s">
        <v>16161</v>
      </c>
      <c r="C697" s="28" t="s">
        <v>7448</v>
      </c>
      <c r="D697" s="28" t="s">
        <v>50</v>
      </c>
      <c r="E697" s="28" t="s">
        <v>16235</v>
      </c>
    </row>
    <row r="698" customFormat="false" ht="15" hidden="false" customHeight="true" outlineLevel="0" collapsed="false">
      <c r="A698" s="28" t="s">
        <v>2292</v>
      </c>
      <c r="B698" s="28" t="s">
        <v>16161</v>
      </c>
      <c r="C698" s="28" t="s">
        <v>2279</v>
      </c>
      <c r="D698" s="28" t="s">
        <v>50</v>
      </c>
      <c r="E698" s="28" t="s">
        <v>16235</v>
      </c>
    </row>
    <row r="699" customFormat="false" ht="15" hidden="false" customHeight="true" outlineLevel="0" collapsed="false">
      <c r="A699" s="28" t="s">
        <v>2292</v>
      </c>
      <c r="B699" s="28" t="s">
        <v>16161</v>
      </c>
      <c r="C699" s="28" t="s">
        <v>864</v>
      </c>
      <c r="D699" s="28" t="s">
        <v>50</v>
      </c>
      <c r="E699" s="28" t="s">
        <v>16235</v>
      </c>
    </row>
    <row r="700" customFormat="false" ht="15" hidden="false" customHeight="true" outlineLevel="0" collapsed="false">
      <c r="A700" s="28" t="s">
        <v>2292</v>
      </c>
      <c r="B700" s="28" t="s">
        <v>16161</v>
      </c>
      <c r="C700" s="28" t="s">
        <v>9198</v>
      </c>
      <c r="D700" s="28" t="s">
        <v>50</v>
      </c>
      <c r="E700" s="28" t="s">
        <v>16235</v>
      </c>
    </row>
    <row r="701" customFormat="false" ht="15" hidden="false" customHeight="true" outlineLevel="0" collapsed="false">
      <c r="A701" s="28" t="s">
        <v>2292</v>
      </c>
      <c r="B701" s="28" t="s">
        <v>16161</v>
      </c>
      <c r="C701" s="28" t="s">
        <v>3477</v>
      </c>
      <c r="D701" s="28" t="s">
        <v>50</v>
      </c>
      <c r="E701" s="28" t="s">
        <v>16235</v>
      </c>
    </row>
    <row r="702" customFormat="false" ht="15" hidden="false" customHeight="true" outlineLevel="0" collapsed="false">
      <c r="A702" s="28" t="s">
        <v>3173</v>
      </c>
      <c r="B702" s="28" t="s">
        <v>16161</v>
      </c>
      <c r="C702" s="28" t="s">
        <v>4383</v>
      </c>
      <c r="D702" s="28" t="s">
        <v>50</v>
      </c>
      <c r="E702" s="28" t="s">
        <v>16235</v>
      </c>
    </row>
    <row r="703" customFormat="false" ht="15" hidden="false" customHeight="true" outlineLevel="0" collapsed="false">
      <c r="A703" s="28" t="s">
        <v>3173</v>
      </c>
      <c r="B703" s="28" t="s">
        <v>16161</v>
      </c>
      <c r="C703" s="28" t="s">
        <v>864</v>
      </c>
      <c r="D703" s="28" t="s">
        <v>50</v>
      </c>
      <c r="E703" s="28" t="s">
        <v>16235</v>
      </c>
    </row>
    <row r="704" customFormat="false" ht="15" hidden="false" customHeight="true" outlineLevel="0" collapsed="false">
      <c r="A704" s="28" t="s">
        <v>3173</v>
      </c>
      <c r="B704" s="28" t="s">
        <v>16161</v>
      </c>
      <c r="C704" s="28" t="s">
        <v>970</v>
      </c>
      <c r="D704" s="28" t="s">
        <v>50</v>
      </c>
      <c r="E704" s="28" t="s">
        <v>16235</v>
      </c>
    </row>
    <row r="705" customFormat="false" ht="15" hidden="false" customHeight="true" outlineLevel="0" collapsed="false">
      <c r="A705" s="28" t="s">
        <v>3173</v>
      </c>
      <c r="B705" s="28" t="s">
        <v>16161</v>
      </c>
      <c r="C705" s="28" t="s">
        <v>9091</v>
      </c>
      <c r="D705" s="28" t="s">
        <v>50</v>
      </c>
      <c r="E705" s="28" t="s">
        <v>16235</v>
      </c>
    </row>
    <row r="706" customFormat="false" ht="15" hidden="false" customHeight="true" outlineLevel="0" collapsed="false">
      <c r="A706" s="28" t="s">
        <v>3173</v>
      </c>
      <c r="B706" s="28" t="s">
        <v>16161</v>
      </c>
      <c r="C706" s="28" t="s">
        <v>3131</v>
      </c>
      <c r="D706" s="28" t="s">
        <v>50</v>
      </c>
      <c r="E706" s="28" t="s">
        <v>16235</v>
      </c>
    </row>
    <row r="707" customFormat="false" ht="15" hidden="false" customHeight="true" outlineLevel="0" collapsed="false">
      <c r="A707" s="28" t="s">
        <v>3173</v>
      </c>
      <c r="B707" s="28" t="s">
        <v>16161</v>
      </c>
      <c r="C707" s="28" t="s">
        <v>3163</v>
      </c>
      <c r="D707" s="28" t="s">
        <v>50</v>
      </c>
      <c r="E707" s="28" t="s">
        <v>16235</v>
      </c>
    </row>
    <row r="708" customFormat="false" ht="15" hidden="false" customHeight="true" outlineLevel="0" collapsed="false">
      <c r="A708" s="28" t="s">
        <v>3173</v>
      </c>
      <c r="B708" s="28" t="s">
        <v>16161</v>
      </c>
      <c r="C708" s="28" t="s">
        <v>3251</v>
      </c>
      <c r="D708" s="28" t="s">
        <v>50</v>
      </c>
      <c r="E708" s="28" t="s">
        <v>16235</v>
      </c>
    </row>
    <row r="709" customFormat="false" ht="15" hidden="false" customHeight="true" outlineLevel="0" collapsed="false">
      <c r="A709" s="28" t="s">
        <v>3173</v>
      </c>
      <c r="B709" s="28" t="s">
        <v>16161</v>
      </c>
      <c r="C709" s="28" t="s">
        <v>3267</v>
      </c>
      <c r="D709" s="28" t="s">
        <v>50</v>
      </c>
      <c r="E709" s="28" t="s">
        <v>16235</v>
      </c>
    </row>
    <row r="710" customFormat="false" ht="15" hidden="false" customHeight="true" outlineLevel="0" collapsed="false">
      <c r="A710" s="28" t="s">
        <v>3173</v>
      </c>
      <c r="B710" s="28" t="s">
        <v>16161</v>
      </c>
      <c r="C710" s="28" t="s">
        <v>8301</v>
      </c>
      <c r="D710" s="28" t="s">
        <v>50</v>
      </c>
      <c r="E710" s="28" t="s">
        <v>16235</v>
      </c>
    </row>
    <row r="711" customFormat="false" ht="15" hidden="false" customHeight="true" outlineLevel="0" collapsed="false">
      <c r="A711" s="28" t="s">
        <v>7840</v>
      </c>
      <c r="B711" s="28" t="s">
        <v>16161</v>
      </c>
      <c r="C711" s="28" t="s">
        <v>7825</v>
      </c>
      <c r="D711" s="28" t="s">
        <v>50</v>
      </c>
      <c r="E711" s="28" t="s">
        <v>16235</v>
      </c>
    </row>
    <row r="712" customFormat="false" ht="15" hidden="false" customHeight="true" outlineLevel="0" collapsed="false">
      <c r="A712" s="28" t="s">
        <v>7840</v>
      </c>
      <c r="B712" s="28" t="s">
        <v>16161</v>
      </c>
      <c r="C712" s="28" t="s">
        <v>8533</v>
      </c>
      <c r="D712" s="28" t="s">
        <v>50</v>
      </c>
      <c r="E712" s="28" t="s">
        <v>16235</v>
      </c>
    </row>
    <row r="713" customFormat="false" ht="15" hidden="false" customHeight="true" outlineLevel="0" collapsed="false">
      <c r="A713" s="28" t="s">
        <v>7840</v>
      </c>
      <c r="B713" s="28" t="s">
        <v>16161</v>
      </c>
      <c r="C713" s="28" t="s">
        <v>4799</v>
      </c>
      <c r="D713" s="28" t="s">
        <v>50</v>
      </c>
      <c r="E713" s="28" t="s">
        <v>16235</v>
      </c>
    </row>
    <row r="714" customFormat="false" ht="15" hidden="false" customHeight="true" outlineLevel="0" collapsed="false">
      <c r="A714" s="28" t="s">
        <v>7840</v>
      </c>
      <c r="B714" s="28" t="s">
        <v>16161</v>
      </c>
      <c r="C714" s="28" t="s">
        <v>4844</v>
      </c>
      <c r="D714" s="28" t="s">
        <v>50</v>
      </c>
      <c r="E714" s="28" t="s">
        <v>16235</v>
      </c>
    </row>
    <row r="715" customFormat="false" ht="15" hidden="false" customHeight="true" outlineLevel="0" collapsed="false">
      <c r="A715" s="28" t="s">
        <v>7840</v>
      </c>
      <c r="B715" s="28" t="s">
        <v>16161</v>
      </c>
      <c r="C715" s="28" t="s">
        <v>4095</v>
      </c>
      <c r="D715" s="28" t="s">
        <v>50</v>
      </c>
      <c r="E715" s="28" t="s">
        <v>16235</v>
      </c>
    </row>
    <row r="716" customFormat="false" ht="15" hidden="false" customHeight="true" outlineLevel="0" collapsed="false">
      <c r="A716" s="28" t="s">
        <v>6279</v>
      </c>
      <c r="B716" s="28" t="s">
        <v>16161</v>
      </c>
      <c r="C716" s="28" t="s">
        <v>6244</v>
      </c>
      <c r="D716" s="28" t="s">
        <v>58</v>
      </c>
      <c r="E716" s="28" t="s">
        <v>16235</v>
      </c>
    </row>
    <row r="717" customFormat="false" ht="15" hidden="false" customHeight="true" outlineLevel="0" collapsed="false">
      <c r="A717" s="28" t="s">
        <v>6279</v>
      </c>
      <c r="B717" s="28" t="s">
        <v>16161</v>
      </c>
      <c r="C717" s="28" t="s">
        <v>6262</v>
      </c>
      <c r="D717" s="28" t="s">
        <v>58</v>
      </c>
      <c r="E717" s="28" t="s">
        <v>16235</v>
      </c>
    </row>
    <row r="718" customFormat="false" ht="15" hidden="false" customHeight="true" outlineLevel="0" collapsed="false">
      <c r="A718" s="28" t="s">
        <v>6279</v>
      </c>
      <c r="B718" s="28" t="s">
        <v>16161</v>
      </c>
      <c r="C718" s="28" t="s">
        <v>8592</v>
      </c>
      <c r="D718" s="28" t="s">
        <v>58</v>
      </c>
      <c r="E718" s="28" t="s">
        <v>16235</v>
      </c>
    </row>
    <row r="719" customFormat="false" ht="15" hidden="false" customHeight="true" outlineLevel="0" collapsed="false">
      <c r="A719" s="28" t="s">
        <v>6279</v>
      </c>
      <c r="B719" s="28" t="s">
        <v>16161</v>
      </c>
      <c r="C719" s="28" t="s">
        <v>2292</v>
      </c>
      <c r="D719" s="28" t="s">
        <v>58</v>
      </c>
      <c r="E719" s="28" t="s">
        <v>16235</v>
      </c>
    </row>
    <row r="720" customFormat="false" ht="15" hidden="false" customHeight="true" outlineLevel="0" collapsed="false">
      <c r="A720" s="28" t="s">
        <v>6279</v>
      </c>
      <c r="B720" s="28" t="s">
        <v>16161</v>
      </c>
      <c r="C720" s="28" t="s">
        <v>8260</v>
      </c>
      <c r="D720" s="28" t="s">
        <v>58</v>
      </c>
      <c r="E720" s="28" t="s">
        <v>16235</v>
      </c>
    </row>
    <row r="721" customFormat="false" ht="15" hidden="false" customHeight="true" outlineLevel="0" collapsed="false">
      <c r="A721" s="28" t="s">
        <v>6279</v>
      </c>
      <c r="B721" s="28" t="s">
        <v>16161</v>
      </c>
      <c r="C721" s="28" t="s">
        <v>3267</v>
      </c>
      <c r="D721" s="28" t="s">
        <v>58</v>
      </c>
      <c r="E721" s="28" t="s">
        <v>16235</v>
      </c>
    </row>
    <row r="722" customFormat="false" ht="15" hidden="false" customHeight="true" outlineLevel="0" collapsed="false">
      <c r="A722" s="28" t="s">
        <v>3477</v>
      </c>
      <c r="B722" s="28" t="s">
        <v>16161</v>
      </c>
      <c r="C722" s="28" t="s">
        <v>3458</v>
      </c>
      <c r="D722" s="28" t="s">
        <v>58</v>
      </c>
      <c r="E722" s="28" t="s">
        <v>16235</v>
      </c>
    </row>
    <row r="723" customFormat="false" ht="15" hidden="false" customHeight="true" outlineLevel="0" collapsed="false">
      <c r="A723" s="28" t="s">
        <v>3477</v>
      </c>
      <c r="B723" s="28" t="s">
        <v>16161</v>
      </c>
      <c r="C723" s="28" t="s">
        <v>8608</v>
      </c>
      <c r="D723" s="28" t="s">
        <v>58</v>
      </c>
      <c r="E723" s="28" t="s">
        <v>16235</v>
      </c>
    </row>
    <row r="724" customFormat="false" ht="15" hidden="false" customHeight="true" outlineLevel="0" collapsed="false">
      <c r="A724" s="28" t="s">
        <v>3477</v>
      </c>
      <c r="B724" s="28" t="s">
        <v>16161</v>
      </c>
      <c r="C724" s="28" t="s">
        <v>4687</v>
      </c>
      <c r="D724" s="28" t="s">
        <v>58</v>
      </c>
      <c r="E724" s="28" t="s">
        <v>16235</v>
      </c>
    </row>
    <row r="725" customFormat="false" ht="15" hidden="false" customHeight="true" outlineLevel="0" collapsed="false">
      <c r="A725" s="28" t="s">
        <v>3477</v>
      </c>
      <c r="B725" s="28" t="s">
        <v>16161</v>
      </c>
      <c r="C725" s="28" t="s">
        <v>4717</v>
      </c>
      <c r="D725" s="28" t="s">
        <v>58</v>
      </c>
      <c r="E725" s="28" t="s">
        <v>16235</v>
      </c>
    </row>
    <row r="726" customFormat="false" ht="15" hidden="false" customHeight="true" outlineLevel="0" collapsed="false">
      <c r="A726" s="28" t="s">
        <v>3477</v>
      </c>
      <c r="B726" s="28" t="s">
        <v>16161</v>
      </c>
      <c r="C726" s="28" t="s">
        <v>8260</v>
      </c>
      <c r="D726" s="28" t="s">
        <v>58</v>
      </c>
      <c r="E726" s="28" t="s">
        <v>16235</v>
      </c>
    </row>
    <row r="727" customFormat="false" ht="15" hidden="false" customHeight="true" outlineLevel="0" collapsed="false">
      <c r="A727" s="28" t="s">
        <v>7179</v>
      </c>
      <c r="B727" s="28" t="s">
        <v>16161</v>
      </c>
      <c r="C727" s="28" t="s">
        <v>1551</v>
      </c>
      <c r="D727" s="28" t="s">
        <v>57</v>
      </c>
      <c r="E727" s="28" t="s">
        <v>16235</v>
      </c>
    </row>
    <row r="728" customFormat="false" ht="15" hidden="false" customHeight="true" outlineLevel="0" collapsed="false">
      <c r="A728" s="28" t="s">
        <v>7179</v>
      </c>
      <c r="B728" s="28" t="s">
        <v>16161</v>
      </c>
      <c r="C728" s="28" t="s">
        <v>8971</v>
      </c>
      <c r="D728" s="28" t="s">
        <v>57</v>
      </c>
      <c r="E728" s="28" t="s">
        <v>16235</v>
      </c>
    </row>
    <row r="729" customFormat="false" ht="15" hidden="false" customHeight="true" outlineLevel="0" collapsed="false">
      <c r="A729" s="28" t="s">
        <v>7179</v>
      </c>
      <c r="B729" s="28" t="s">
        <v>16161</v>
      </c>
      <c r="C729" s="28" t="s">
        <v>1049</v>
      </c>
      <c r="D729" s="28" t="s">
        <v>57</v>
      </c>
      <c r="E729" s="28" t="s">
        <v>16235</v>
      </c>
    </row>
    <row r="730" customFormat="false" ht="15" hidden="false" customHeight="true" outlineLevel="0" collapsed="false">
      <c r="A730" s="28" t="s">
        <v>7179</v>
      </c>
      <c r="B730" s="28" t="s">
        <v>16161</v>
      </c>
      <c r="C730" s="28" t="s">
        <v>9091</v>
      </c>
      <c r="D730" s="28" t="s">
        <v>57</v>
      </c>
      <c r="E730" s="28" t="s">
        <v>16235</v>
      </c>
    </row>
    <row r="731" customFormat="false" ht="15" hidden="false" customHeight="true" outlineLevel="0" collapsed="false">
      <c r="A731" s="28" t="s">
        <v>7179</v>
      </c>
      <c r="B731" s="28" t="s">
        <v>16161</v>
      </c>
      <c r="C731" s="28" t="s">
        <v>2065</v>
      </c>
      <c r="D731" s="28" t="s">
        <v>57</v>
      </c>
      <c r="E731" s="28" t="s">
        <v>16235</v>
      </c>
    </row>
    <row r="732" customFormat="false" ht="15" hidden="false" customHeight="true" outlineLevel="0" collapsed="false">
      <c r="A732" s="28" t="s">
        <v>7179</v>
      </c>
      <c r="B732" s="28" t="s">
        <v>16161</v>
      </c>
      <c r="C732" s="28" t="s">
        <v>7194</v>
      </c>
      <c r="D732" s="28" t="s">
        <v>57</v>
      </c>
      <c r="E732" s="28" t="s">
        <v>16235</v>
      </c>
    </row>
    <row r="733" customFormat="false" ht="15" hidden="false" customHeight="true" outlineLevel="0" collapsed="false">
      <c r="A733" s="28" t="s">
        <v>7179</v>
      </c>
      <c r="B733" s="28" t="s">
        <v>16161</v>
      </c>
      <c r="C733" s="28" t="s">
        <v>7209</v>
      </c>
      <c r="D733" s="28" t="s">
        <v>57</v>
      </c>
      <c r="E733" s="28" t="s">
        <v>16235</v>
      </c>
    </row>
    <row r="734" customFormat="false" ht="15" hidden="false" customHeight="true" outlineLevel="0" collapsed="false">
      <c r="A734" s="28" t="s">
        <v>9302</v>
      </c>
      <c r="B734" s="28" t="s">
        <v>16161</v>
      </c>
      <c r="C734" s="28" t="s">
        <v>4703</v>
      </c>
      <c r="D734" s="28" t="s">
        <v>54</v>
      </c>
      <c r="E734" s="28" t="s">
        <v>16235</v>
      </c>
    </row>
    <row r="735" customFormat="false" ht="15" hidden="false" customHeight="true" outlineLevel="0" collapsed="false">
      <c r="A735" s="28" t="s">
        <v>9302</v>
      </c>
      <c r="B735" s="28" t="s">
        <v>16161</v>
      </c>
      <c r="C735" s="28" t="s">
        <v>9124</v>
      </c>
      <c r="D735" s="28" t="s">
        <v>54</v>
      </c>
      <c r="E735" s="28" t="s">
        <v>16235</v>
      </c>
    </row>
    <row r="736" customFormat="false" ht="15" hidden="false" customHeight="true" outlineLevel="0" collapsed="false">
      <c r="A736" s="28" t="s">
        <v>9302</v>
      </c>
      <c r="B736" s="28" t="s">
        <v>16161</v>
      </c>
      <c r="C736" s="28" t="s">
        <v>9140</v>
      </c>
      <c r="D736" s="28" t="s">
        <v>54</v>
      </c>
      <c r="E736" s="28" t="s">
        <v>16235</v>
      </c>
    </row>
    <row r="737" customFormat="false" ht="15" hidden="false" customHeight="true" outlineLevel="0" collapsed="false">
      <c r="A737" s="28" t="s">
        <v>9302</v>
      </c>
      <c r="B737" s="28" t="s">
        <v>16161</v>
      </c>
      <c r="C737" s="28" t="s">
        <v>9329</v>
      </c>
      <c r="D737" s="28" t="s">
        <v>54</v>
      </c>
      <c r="E737" s="28" t="s">
        <v>16235</v>
      </c>
    </row>
    <row r="738" customFormat="false" ht="15" hidden="false" customHeight="true" outlineLevel="0" collapsed="false">
      <c r="A738" s="28" t="s">
        <v>9316</v>
      </c>
      <c r="B738" s="28" t="s">
        <v>16161</v>
      </c>
      <c r="C738" s="28" t="s">
        <v>970</v>
      </c>
      <c r="D738" s="28" t="s">
        <v>50</v>
      </c>
      <c r="E738" s="28" t="s">
        <v>16235</v>
      </c>
    </row>
    <row r="739" customFormat="false" ht="15" hidden="false" customHeight="true" outlineLevel="0" collapsed="false">
      <c r="A739" s="28" t="s">
        <v>9316</v>
      </c>
      <c r="B739" s="28" t="s">
        <v>16161</v>
      </c>
      <c r="C739" s="28" t="s">
        <v>1140</v>
      </c>
      <c r="D739" s="28" t="s">
        <v>50</v>
      </c>
      <c r="E739" s="28" t="s">
        <v>16235</v>
      </c>
    </row>
    <row r="740" customFormat="false" ht="15" hidden="false" customHeight="true" outlineLevel="0" collapsed="false">
      <c r="A740" s="28" t="s">
        <v>9316</v>
      </c>
      <c r="B740" s="28" t="s">
        <v>16161</v>
      </c>
      <c r="C740" s="28" t="s">
        <v>9075</v>
      </c>
      <c r="D740" s="28" t="s">
        <v>50</v>
      </c>
      <c r="E740" s="28" t="s">
        <v>16235</v>
      </c>
    </row>
    <row r="741" customFormat="false" ht="15" hidden="false" customHeight="true" outlineLevel="0" collapsed="false">
      <c r="A741" s="28" t="s">
        <v>9316</v>
      </c>
      <c r="B741" s="28" t="s">
        <v>16161</v>
      </c>
      <c r="C741" s="28" t="s">
        <v>2889</v>
      </c>
      <c r="D741" s="28" t="s">
        <v>50</v>
      </c>
      <c r="E741" s="28" t="s">
        <v>16235</v>
      </c>
    </row>
    <row r="742" customFormat="false" ht="15" hidden="false" customHeight="true" outlineLevel="0" collapsed="false">
      <c r="A742" s="28" t="s">
        <v>9329</v>
      </c>
      <c r="B742" s="28" t="s">
        <v>16161</v>
      </c>
      <c r="C742" s="28" t="s">
        <v>8755</v>
      </c>
      <c r="D742" s="28" t="s">
        <v>53</v>
      </c>
      <c r="E742" s="28" t="s">
        <v>16235</v>
      </c>
    </row>
    <row r="743" customFormat="false" ht="15" hidden="false" customHeight="true" outlineLevel="0" collapsed="false">
      <c r="A743" s="28" t="s">
        <v>9329</v>
      </c>
      <c r="B743" s="28" t="s">
        <v>16161</v>
      </c>
      <c r="C743" s="28" t="s">
        <v>8825</v>
      </c>
      <c r="D743" s="28" t="s">
        <v>53</v>
      </c>
      <c r="E743" s="28" t="s">
        <v>16235</v>
      </c>
    </row>
    <row r="744" customFormat="false" ht="15" hidden="false" customHeight="true" outlineLevel="0" collapsed="false">
      <c r="A744" s="28" t="s">
        <v>9329</v>
      </c>
      <c r="B744" s="28" t="s">
        <v>16161</v>
      </c>
      <c r="C744" s="28" t="s">
        <v>9124</v>
      </c>
      <c r="D744" s="28" t="s">
        <v>53</v>
      </c>
      <c r="E744" s="28" t="s">
        <v>16235</v>
      </c>
    </row>
    <row r="745" customFormat="false" ht="15" hidden="false" customHeight="true" outlineLevel="0" collapsed="false">
      <c r="A745" s="28" t="s">
        <v>9329</v>
      </c>
      <c r="B745" s="28" t="s">
        <v>16161</v>
      </c>
      <c r="C745" s="28" t="s">
        <v>9140</v>
      </c>
      <c r="D745" s="28" t="s">
        <v>53</v>
      </c>
      <c r="E745" s="28" t="s">
        <v>16235</v>
      </c>
    </row>
    <row r="746" customFormat="false" ht="15" hidden="false" customHeight="true" outlineLevel="0" collapsed="false">
      <c r="A746" s="28" t="s">
        <v>9329</v>
      </c>
      <c r="B746" s="28" t="s">
        <v>16161</v>
      </c>
      <c r="C746" s="28" t="s">
        <v>9156</v>
      </c>
      <c r="D746" s="28" t="s">
        <v>53</v>
      </c>
      <c r="E746" s="28" t="s">
        <v>16235</v>
      </c>
    </row>
    <row r="747" customFormat="false" ht="15" hidden="false" customHeight="true" outlineLevel="0" collapsed="false">
      <c r="A747" s="28" t="s">
        <v>9329</v>
      </c>
      <c r="B747" s="28" t="s">
        <v>16161</v>
      </c>
      <c r="C747" s="28" t="s">
        <v>8519</v>
      </c>
      <c r="D747" s="28" t="s">
        <v>53</v>
      </c>
      <c r="E747" s="28" t="s">
        <v>16235</v>
      </c>
    </row>
    <row r="748" customFormat="false" ht="15" hidden="false" customHeight="true" outlineLevel="0" collapsed="false">
      <c r="A748" s="28" t="s">
        <v>3006</v>
      </c>
      <c r="B748" s="28" t="s">
        <v>16161</v>
      </c>
      <c r="C748" s="28" t="s">
        <v>2994</v>
      </c>
      <c r="D748" s="28" t="s">
        <v>51</v>
      </c>
      <c r="E748" s="28" t="s">
        <v>16235</v>
      </c>
    </row>
    <row r="749" customFormat="false" ht="15" hidden="false" customHeight="true" outlineLevel="0" collapsed="false">
      <c r="A749" s="28" t="s">
        <v>3006</v>
      </c>
      <c r="B749" s="28" t="s">
        <v>16161</v>
      </c>
      <c r="C749" s="28" t="s">
        <v>3363</v>
      </c>
      <c r="D749" s="28" t="s">
        <v>51</v>
      </c>
      <c r="E749" s="28" t="s">
        <v>16235</v>
      </c>
    </row>
    <row r="750" customFormat="false" ht="15" hidden="false" customHeight="true" outlineLevel="0" collapsed="false">
      <c r="A750" s="28" t="s">
        <v>3006</v>
      </c>
      <c r="B750" s="28" t="s">
        <v>16161</v>
      </c>
      <c r="C750" s="28" t="s">
        <v>6652</v>
      </c>
      <c r="D750" s="28" t="s">
        <v>51</v>
      </c>
      <c r="E750" s="28" t="s">
        <v>16235</v>
      </c>
    </row>
    <row r="751" customFormat="false" ht="15" hidden="false" customHeight="true" outlineLevel="0" collapsed="false">
      <c r="A751" s="28" t="s">
        <v>3006</v>
      </c>
      <c r="B751" s="28" t="s">
        <v>16161</v>
      </c>
      <c r="C751" s="28" t="s">
        <v>6698</v>
      </c>
      <c r="D751" s="28" t="s">
        <v>51</v>
      </c>
      <c r="E751" s="28" t="s">
        <v>16235</v>
      </c>
    </row>
    <row r="752" customFormat="false" ht="15" hidden="false" customHeight="true" outlineLevel="0" collapsed="false">
      <c r="A752" s="28" t="s">
        <v>3006</v>
      </c>
      <c r="B752" s="28" t="s">
        <v>16161</v>
      </c>
      <c r="C752" s="28" t="s">
        <v>6734</v>
      </c>
      <c r="D752" s="28" t="s">
        <v>51</v>
      </c>
      <c r="E752" s="28" t="s">
        <v>16235</v>
      </c>
    </row>
    <row r="753" customFormat="false" ht="15" hidden="false" customHeight="true" outlineLevel="0" collapsed="false">
      <c r="A753" s="28" t="s">
        <v>3006</v>
      </c>
      <c r="B753" s="28" t="s">
        <v>16161</v>
      </c>
      <c r="C753" s="28" t="s">
        <v>8179</v>
      </c>
      <c r="D753" s="28" t="s">
        <v>51</v>
      </c>
      <c r="E753" s="28" t="s">
        <v>16235</v>
      </c>
    </row>
    <row r="754" customFormat="false" ht="15" hidden="false" customHeight="true" outlineLevel="0" collapsed="false">
      <c r="A754" s="28" t="s">
        <v>3006</v>
      </c>
      <c r="B754" s="28" t="s">
        <v>16161</v>
      </c>
      <c r="C754" s="28" t="s">
        <v>3333</v>
      </c>
      <c r="D754" s="28" t="s">
        <v>51</v>
      </c>
      <c r="E754" s="28" t="s">
        <v>16235</v>
      </c>
    </row>
    <row r="755" customFormat="false" ht="26.4" hidden="false" customHeight="true" outlineLevel="0" collapsed="false">
      <c r="A755" s="28" t="s">
        <v>9353</v>
      </c>
      <c r="B755" s="28" t="s">
        <v>16161</v>
      </c>
      <c r="C755" s="28" t="s">
        <v>527</v>
      </c>
      <c r="D755" s="28" t="s">
        <v>50</v>
      </c>
      <c r="E755" s="28" t="s">
        <v>16236</v>
      </c>
    </row>
    <row r="756" customFormat="false" ht="26.4" hidden="false" customHeight="true" outlineLevel="0" collapsed="false">
      <c r="A756" s="28" t="s">
        <v>9353</v>
      </c>
      <c r="B756" s="28" t="s">
        <v>16161</v>
      </c>
      <c r="C756" s="28" t="s">
        <v>563</v>
      </c>
      <c r="D756" s="28" t="s">
        <v>50</v>
      </c>
      <c r="E756" s="28" t="s">
        <v>16236</v>
      </c>
    </row>
    <row r="757" customFormat="false" ht="26.4" hidden="false" customHeight="true" outlineLevel="0" collapsed="false">
      <c r="A757" s="28" t="s">
        <v>9353</v>
      </c>
      <c r="B757" s="28" t="s">
        <v>16161</v>
      </c>
      <c r="C757" s="28" t="s">
        <v>624</v>
      </c>
      <c r="D757" s="28" t="s">
        <v>50</v>
      </c>
      <c r="E757" s="28" t="s">
        <v>16236</v>
      </c>
    </row>
    <row r="758" customFormat="false" ht="26.4" hidden="false" customHeight="true" outlineLevel="0" collapsed="false">
      <c r="A758" s="28" t="s">
        <v>9353</v>
      </c>
      <c r="B758" s="28" t="s">
        <v>16161</v>
      </c>
      <c r="C758" s="28" t="s">
        <v>641</v>
      </c>
      <c r="D758" s="28" t="s">
        <v>50</v>
      </c>
      <c r="E758" s="28" t="s">
        <v>16236</v>
      </c>
    </row>
    <row r="759" customFormat="false" ht="26.4" hidden="false" customHeight="true" outlineLevel="0" collapsed="false">
      <c r="A759" s="28" t="s">
        <v>9353</v>
      </c>
      <c r="B759" s="28" t="s">
        <v>16161</v>
      </c>
      <c r="C759" s="28" t="s">
        <v>656</v>
      </c>
      <c r="D759" s="28" t="s">
        <v>50</v>
      </c>
      <c r="E759" s="28" t="s">
        <v>16236</v>
      </c>
    </row>
    <row r="760" customFormat="false" ht="26.4" hidden="false" customHeight="true" outlineLevel="0" collapsed="false">
      <c r="A760" s="28" t="s">
        <v>9353</v>
      </c>
      <c r="B760" s="28" t="s">
        <v>16161</v>
      </c>
      <c r="C760" s="28" t="s">
        <v>970</v>
      </c>
      <c r="D760" s="28" t="s">
        <v>50</v>
      </c>
      <c r="E760" s="28" t="s">
        <v>16236</v>
      </c>
    </row>
    <row r="761" customFormat="false" ht="26.4" hidden="false" customHeight="true" outlineLevel="0" collapsed="false">
      <c r="A761" s="28" t="s">
        <v>9353</v>
      </c>
      <c r="B761" s="28" t="s">
        <v>16161</v>
      </c>
      <c r="C761" s="28" t="s">
        <v>1100</v>
      </c>
      <c r="D761" s="28" t="s">
        <v>50</v>
      </c>
      <c r="E761" s="28" t="s">
        <v>16236</v>
      </c>
    </row>
    <row r="762" customFormat="false" ht="26.4" hidden="false" customHeight="true" outlineLevel="0" collapsed="false">
      <c r="A762" s="28" t="s">
        <v>9353</v>
      </c>
      <c r="B762" s="28" t="s">
        <v>16161</v>
      </c>
      <c r="C762" s="28" t="s">
        <v>1114</v>
      </c>
      <c r="D762" s="28" t="s">
        <v>50</v>
      </c>
      <c r="E762" s="28" t="s">
        <v>16236</v>
      </c>
    </row>
    <row r="763" customFormat="false" ht="26.4" hidden="false" customHeight="true" outlineLevel="0" collapsed="false">
      <c r="A763" s="28" t="s">
        <v>9353</v>
      </c>
      <c r="B763" s="28" t="s">
        <v>16161</v>
      </c>
      <c r="C763" s="28" t="s">
        <v>1128</v>
      </c>
      <c r="D763" s="28" t="s">
        <v>50</v>
      </c>
      <c r="E763" s="28" t="s">
        <v>16236</v>
      </c>
    </row>
    <row r="764" customFormat="false" ht="26.4" hidden="false" customHeight="true" outlineLevel="0" collapsed="false">
      <c r="A764" s="28" t="s">
        <v>9353</v>
      </c>
      <c r="B764" s="28" t="s">
        <v>16161</v>
      </c>
      <c r="C764" s="28" t="s">
        <v>9039</v>
      </c>
      <c r="D764" s="28" t="s">
        <v>50</v>
      </c>
      <c r="E764" s="28" t="s">
        <v>16236</v>
      </c>
    </row>
    <row r="765" customFormat="false" ht="26.4" hidden="false" customHeight="true" outlineLevel="0" collapsed="false">
      <c r="A765" s="28" t="s">
        <v>9353</v>
      </c>
      <c r="B765" s="28" t="s">
        <v>16161</v>
      </c>
      <c r="C765" s="28" t="s">
        <v>9198</v>
      </c>
      <c r="D765" s="28" t="s">
        <v>50</v>
      </c>
      <c r="E765" s="28" t="s">
        <v>16236</v>
      </c>
    </row>
    <row r="766" customFormat="false" ht="15" hidden="false" customHeight="true" outlineLevel="0" collapsed="false">
      <c r="A766" s="28" t="s">
        <v>9353</v>
      </c>
      <c r="B766" s="28" t="s">
        <v>16160</v>
      </c>
      <c r="C766" s="28" t="s">
        <v>546</v>
      </c>
      <c r="D766" s="28" t="s">
        <v>50</v>
      </c>
      <c r="E766" s="28" t="s">
        <v>16237</v>
      </c>
    </row>
    <row r="767" customFormat="false" ht="15" hidden="false" customHeight="true" outlineLevel="0" collapsed="false">
      <c r="A767" s="28" t="s">
        <v>9353</v>
      </c>
      <c r="B767" s="28" t="s">
        <v>16160</v>
      </c>
      <c r="C767" s="28" t="s">
        <v>5841</v>
      </c>
      <c r="D767" s="28" t="s">
        <v>50</v>
      </c>
      <c r="E767" s="28" t="s">
        <v>16237</v>
      </c>
    </row>
    <row r="768" customFormat="false" ht="15" hidden="false" customHeight="true" outlineLevel="0" collapsed="false">
      <c r="A768" s="28" t="s">
        <v>9353</v>
      </c>
      <c r="B768" s="28" t="s">
        <v>16160</v>
      </c>
      <c r="C768" s="28" t="s">
        <v>9316</v>
      </c>
      <c r="D768" s="28" t="s">
        <v>50</v>
      </c>
      <c r="E768" s="28" t="s">
        <v>16237</v>
      </c>
    </row>
    <row r="769" customFormat="false" ht="15" hidden="false" customHeight="true" outlineLevel="0" collapsed="false">
      <c r="A769" s="28" t="s">
        <v>9353</v>
      </c>
      <c r="B769" s="28" t="s">
        <v>16160</v>
      </c>
      <c r="C769" s="28" t="s">
        <v>1498</v>
      </c>
      <c r="D769" s="28" t="s">
        <v>50</v>
      </c>
      <c r="E769" s="28" t="s">
        <v>16237</v>
      </c>
    </row>
    <row r="770" customFormat="false" ht="15" hidden="false" customHeight="true" outlineLevel="0" collapsed="false">
      <c r="A770" s="28" t="s">
        <v>9353</v>
      </c>
      <c r="B770" s="28" t="s">
        <v>16160</v>
      </c>
      <c r="C770" s="28" t="s">
        <v>1863</v>
      </c>
      <c r="D770" s="28" t="s">
        <v>50</v>
      </c>
      <c r="E770" s="28" t="s">
        <v>16237</v>
      </c>
    </row>
    <row r="771" customFormat="false" ht="15" hidden="false" customHeight="true" outlineLevel="0" collapsed="false">
      <c r="A771" s="28" t="s">
        <v>6804</v>
      </c>
      <c r="B771" s="28" t="s">
        <v>16161</v>
      </c>
      <c r="C771" s="28" t="s">
        <v>9353</v>
      </c>
      <c r="D771" s="28" t="s">
        <v>50</v>
      </c>
      <c r="E771" s="28" t="s">
        <v>16238</v>
      </c>
    </row>
    <row r="772" customFormat="false" ht="15" hidden="false" customHeight="true" outlineLevel="0" collapsed="false">
      <c r="A772" s="28" t="s">
        <v>527</v>
      </c>
      <c r="B772" s="28" t="s">
        <v>16160</v>
      </c>
      <c r="C772" s="28" t="s">
        <v>9353</v>
      </c>
      <c r="D772" s="28" t="s">
        <v>50</v>
      </c>
      <c r="E772" s="28" t="s">
        <v>16239</v>
      </c>
    </row>
    <row r="773" customFormat="false" ht="15" hidden="false" customHeight="true" outlineLevel="0" collapsed="false">
      <c r="A773" s="28" t="s">
        <v>563</v>
      </c>
      <c r="B773" s="28" t="s">
        <v>16160</v>
      </c>
      <c r="C773" s="28" t="s">
        <v>9353</v>
      </c>
      <c r="D773" s="28" t="s">
        <v>50</v>
      </c>
      <c r="E773" s="28" t="s">
        <v>16239</v>
      </c>
    </row>
    <row r="774" customFormat="false" ht="15" hidden="false" customHeight="true" outlineLevel="0" collapsed="false">
      <c r="A774" s="28" t="s">
        <v>624</v>
      </c>
      <c r="B774" s="28" t="s">
        <v>16160</v>
      </c>
      <c r="C774" s="28" t="s">
        <v>9353</v>
      </c>
      <c r="D774" s="28" t="s">
        <v>50</v>
      </c>
      <c r="E774" s="28" t="s">
        <v>16239</v>
      </c>
    </row>
    <row r="775" customFormat="false" ht="15" hidden="false" customHeight="true" outlineLevel="0" collapsed="false">
      <c r="A775" s="28" t="s">
        <v>641</v>
      </c>
      <c r="B775" s="28" t="s">
        <v>16160</v>
      </c>
      <c r="C775" s="28" t="s">
        <v>9353</v>
      </c>
      <c r="D775" s="28" t="s">
        <v>50</v>
      </c>
      <c r="E775" s="28" t="s">
        <v>16239</v>
      </c>
    </row>
    <row r="776" customFormat="false" ht="15" hidden="false" customHeight="true" outlineLevel="0" collapsed="false">
      <c r="A776" s="28" t="s">
        <v>656</v>
      </c>
      <c r="B776" s="28" t="s">
        <v>16160</v>
      </c>
      <c r="C776" s="28" t="s">
        <v>9353</v>
      </c>
      <c r="D776" s="28" t="s">
        <v>50</v>
      </c>
      <c r="E776" s="28" t="s">
        <v>16239</v>
      </c>
    </row>
    <row r="777" customFormat="false" ht="15" hidden="false" customHeight="true" outlineLevel="0" collapsed="false">
      <c r="A777" s="28" t="s">
        <v>5841</v>
      </c>
      <c r="B777" s="28" t="s">
        <v>16160</v>
      </c>
      <c r="C777" s="28" t="s">
        <v>9353</v>
      </c>
      <c r="D777" s="28" t="s">
        <v>50</v>
      </c>
      <c r="E777" s="28" t="s">
        <v>16239</v>
      </c>
    </row>
    <row r="778" customFormat="false" ht="15" hidden="false" customHeight="true" outlineLevel="0" collapsed="false">
      <c r="A778" s="28" t="s">
        <v>1498</v>
      </c>
      <c r="B778" s="28" t="s">
        <v>16160</v>
      </c>
      <c r="C778" s="28" t="s">
        <v>9353</v>
      </c>
      <c r="D778" s="28" t="s">
        <v>50</v>
      </c>
      <c r="E778" s="28" t="s">
        <v>16239</v>
      </c>
    </row>
    <row r="779" customFormat="false" ht="15" hidden="false" customHeight="true" outlineLevel="0" collapsed="false">
      <c r="A779" s="28" t="s">
        <v>1863</v>
      </c>
      <c r="B779" s="28" t="s">
        <v>16160</v>
      </c>
      <c r="C779" s="28" t="s">
        <v>9353</v>
      </c>
      <c r="D779" s="28" t="s">
        <v>50</v>
      </c>
      <c r="E779" s="28" t="s">
        <v>16239</v>
      </c>
    </row>
    <row r="780" customFormat="false" ht="15" hidden="false" customHeight="true" outlineLevel="0" collapsed="false">
      <c r="A780" s="28" t="s">
        <v>970</v>
      </c>
      <c r="B780" s="28" t="s">
        <v>16160</v>
      </c>
      <c r="C780" s="28" t="s">
        <v>9353</v>
      </c>
      <c r="D780" s="28" t="s">
        <v>50</v>
      </c>
      <c r="E780" s="28" t="s">
        <v>16239</v>
      </c>
    </row>
    <row r="781" customFormat="false" ht="15" hidden="false" customHeight="true" outlineLevel="0" collapsed="false">
      <c r="A781" s="28" t="s">
        <v>1100</v>
      </c>
      <c r="B781" s="28" t="s">
        <v>16160</v>
      </c>
      <c r="C781" s="28" t="s">
        <v>9353</v>
      </c>
      <c r="D781" s="28" t="s">
        <v>50</v>
      </c>
      <c r="E781" s="28" t="s">
        <v>16239</v>
      </c>
    </row>
    <row r="782" customFormat="false" ht="15" hidden="false" customHeight="true" outlineLevel="0" collapsed="false">
      <c r="A782" s="28" t="s">
        <v>1114</v>
      </c>
      <c r="B782" s="28" t="s">
        <v>16160</v>
      </c>
      <c r="C782" s="28" t="s">
        <v>9353</v>
      </c>
      <c r="D782" s="28" t="s">
        <v>50</v>
      </c>
      <c r="E782" s="28" t="s">
        <v>16239</v>
      </c>
    </row>
    <row r="783" customFormat="false" ht="15" hidden="false" customHeight="true" outlineLevel="0" collapsed="false">
      <c r="A783" s="28" t="s">
        <v>1128</v>
      </c>
      <c r="B783" s="28" t="s">
        <v>16160</v>
      </c>
      <c r="C783" s="28" t="s">
        <v>9353</v>
      </c>
      <c r="D783" s="28" t="s">
        <v>50</v>
      </c>
      <c r="E783" s="28" t="s">
        <v>16239</v>
      </c>
    </row>
    <row r="784" customFormat="false" ht="15" hidden="false" customHeight="true" outlineLevel="0" collapsed="false">
      <c r="A784" s="28" t="s">
        <v>9039</v>
      </c>
      <c r="B784" s="28" t="s">
        <v>16160</v>
      </c>
      <c r="C784" s="28" t="s">
        <v>9353</v>
      </c>
      <c r="D784" s="28" t="s">
        <v>50</v>
      </c>
      <c r="E784" s="28" t="s">
        <v>16239</v>
      </c>
    </row>
    <row r="785" customFormat="false" ht="15" hidden="false" customHeight="true" outlineLevel="0" collapsed="false">
      <c r="A785" s="28" t="s">
        <v>9198</v>
      </c>
      <c r="B785" s="28" t="s">
        <v>16160</v>
      </c>
      <c r="C785" s="28" t="s">
        <v>9353</v>
      </c>
      <c r="D785" s="28" t="s">
        <v>50</v>
      </c>
      <c r="E785" s="28" t="s">
        <v>16239</v>
      </c>
    </row>
    <row r="786" customFormat="false" ht="15" hidden="false" customHeight="true" outlineLevel="0" collapsed="false">
      <c r="A786" s="28" t="s">
        <v>8260</v>
      </c>
      <c r="B786" s="28" t="s">
        <v>16161</v>
      </c>
      <c r="C786" s="28" t="s">
        <v>1140</v>
      </c>
      <c r="D786" s="28" t="s">
        <v>50</v>
      </c>
      <c r="E786" s="28" t="s">
        <v>16240</v>
      </c>
    </row>
    <row r="787" customFormat="false" ht="15" hidden="false" customHeight="true" outlineLevel="0" collapsed="false">
      <c r="A787" s="28" t="s">
        <v>8260</v>
      </c>
      <c r="B787" s="28" t="s">
        <v>16161</v>
      </c>
      <c r="C787" s="28" t="s">
        <v>9316</v>
      </c>
      <c r="D787" s="28" t="s">
        <v>50</v>
      </c>
      <c r="E787" s="28" t="s">
        <v>16241</v>
      </c>
    </row>
    <row r="788" customFormat="false" ht="15" hidden="false" customHeight="true" outlineLevel="0" collapsed="false">
      <c r="A788" s="28" t="s">
        <v>154</v>
      </c>
      <c r="B788" s="28" t="s">
        <v>16242</v>
      </c>
      <c r="C788" s="28" t="s">
        <v>562</v>
      </c>
      <c r="D788" s="28" t="s">
        <v>1499</v>
      </c>
      <c r="E788" s="28" t="s">
        <v>16243</v>
      </c>
    </row>
    <row r="789" customFormat="false" ht="15" hidden="false" customHeight="true" outlineLevel="0" collapsed="false">
      <c r="A789" s="28" t="s">
        <v>562</v>
      </c>
      <c r="B789" s="28" t="s">
        <v>16244</v>
      </c>
      <c r="C789" s="28" t="s">
        <v>154</v>
      </c>
      <c r="D789" s="28" t="s">
        <v>1499</v>
      </c>
      <c r="E789" s="28" t="s">
        <v>16245</v>
      </c>
    </row>
    <row r="790" customFormat="false" ht="15" hidden="false" customHeight="true" outlineLevel="0" collapsed="false">
      <c r="A790" s="28" t="s">
        <v>527</v>
      </c>
      <c r="B790" s="28" t="s">
        <v>16242</v>
      </c>
      <c r="C790" s="28" t="s">
        <v>562</v>
      </c>
      <c r="D790" s="28" t="s">
        <v>1499</v>
      </c>
      <c r="E790" s="28" t="s">
        <v>16243</v>
      </c>
    </row>
    <row r="791" customFormat="false" ht="15" hidden="false" customHeight="true" outlineLevel="0" collapsed="false">
      <c r="A791" s="28" t="s">
        <v>562</v>
      </c>
      <c r="B791" s="28" t="s">
        <v>16244</v>
      </c>
      <c r="C791" s="28" t="s">
        <v>527</v>
      </c>
      <c r="D791" s="28" t="s">
        <v>1499</v>
      </c>
      <c r="E791" s="28" t="s">
        <v>16245</v>
      </c>
    </row>
    <row r="792" customFormat="false" ht="15" hidden="false" customHeight="true" outlineLevel="0" collapsed="false">
      <c r="A792" s="28" t="s">
        <v>546</v>
      </c>
      <c r="B792" s="28" t="s">
        <v>16242</v>
      </c>
      <c r="C792" s="28" t="s">
        <v>562</v>
      </c>
      <c r="D792" s="28" t="s">
        <v>1499</v>
      </c>
      <c r="E792" s="28" t="s">
        <v>16243</v>
      </c>
    </row>
    <row r="793" customFormat="false" ht="15" hidden="false" customHeight="true" outlineLevel="0" collapsed="false">
      <c r="A793" s="28" t="s">
        <v>562</v>
      </c>
      <c r="B793" s="28" t="s">
        <v>16244</v>
      </c>
      <c r="C793" s="28" t="s">
        <v>546</v>
      </c>
      <c r="D793" s="28" t="s">
        <v>1499</v>
      </c>
      <c r="E793" s="28" t="s">
        <v>16245</v>
      </c>
    </row>
    <row r="794" customFormat="false" ht="15" hidden="false" customHeight="true" outlineLevel="0" collapsed="false">
      <c r="A794" s="28" t="s">
        <v>563</v>
      </c>
      <c r="B794" s="28" t="s">
        <v>16242</v>
      </c>
      <c r="C794" s="28" t="s">
        <v>562</v>
      </c>
      <c r="D794" s="28" t="s">
        <v>1499</v>
      </c>
      <c r="E794" s="28" t="s">
        <v>16243</v>
      </c>
    </row>
    <row r="795" customFormat="false" ht="15" hidden="false" customHeight="true" outlineLevel="0" collapsed="false">
      <c r="A795" s="28" t="s">
        <v>562</v>
      </c>
      <c r="B795" s="28" t="s">
        <v>16244</v>
      </c>
      <c r="C795" s="28" t="s">
        <v>563</v>
      </c>
      <c r="D795" s="28" t="s">
        <v>1499</v>
      </c>
      <c r="E795" s="28" t="s">
        <v>16245</v>
      </c>
    </row>
    <row r="796" customFormat="false" ht="15" hidden="false" customHeight="true" outlineLevel="0" collapsed="false">
      <c r="A796" s="28" t="s">
        <v>624</v>
      </c>
      <c r="B796" s="28" t="s">
        <v>16242</v>
      </c>
      <c r="C796" s="28" t="s">
        <v>562</v>
      </c>
      <c r="D796" s="28" t="s">
        <v>1499</v>
      </c>
      <c r="E796" s="28" t="s">
        <v>16243</v>
      </c>
    </row>
    <row r="797" customFormat="false" ht="15" hidden="false" customHeight="true" outlineLevel="0" collapsed="false">
      <c r="A797" s="28" t="s">
        <v>562</v>
      </c>
      <c r="B797" s="28" t="s">
        <v>16244</v>
      </c>
      <c r="C797" s="28" t="s">
        <v>624</v>
      </c>
      <c r="D797" s="28" t="s">
        <v>1499</v>
      </c>
      <c r="E797" s="28" t="s">
        <v>16245</v>
      </c>
    </row>
    <row r="798" customFormat="false" ht="15" hidden="false" customHeight="true" outlineLevel="0" collapsed="false">
      <c r="A798" s="28" t="s">
        <v>641</v>
      </c>
      <c r="B798" s="28" t="s">
        <v>16242</v>
      </c>
      <c r="C798" s="28" t="s">
        <v>562</v>
      </c>
      <c r="D798" s="28" t="s">
        <v>1499</v>
      </c>
      <c r="E798" s="28" t="s">
        <v>16243</v>
      </c>
    </row>
    <row r="799" customFormat="false" ht="15" hidden="false" customHeight="true" outlineLevel="0" collapsed="false">
      <c r="A799" s="28" t="s">
        <v>562</v>
      </c>
      <c r="B799" s="28" t="s">
        <v>16244</v>
      </c>
      <c r="C799" s="28" t="s">
        <v>641</v>
      </c>
      <c r="D799" s="28" t="s">
        <v>1499</v>
      </c>
      <c r="E799" s="28" t="s">
        <v>16245</v>
      </c>
    </row>
    <row r="800" customFormat="false" ht="15" hidden="false" customHeight="true" outlineLevel="0" collapsed="false">
      <c r="A800" s="28" t="s">
        <v>656</v>
      </c>
      <c r="B800" s="28" t="s">
        <v>16242</v>
      </c>
      <c r="C800" s="28" t="s">
        <v>562</v>
      </c>
      <c r="D800" s="28" t="s">
        <v>1499</v>
      </c>
      <c r="E800" s="28" t="s">
        <v>16243</v>
      </c>
    </row>
    <row r="801" customFormat="false" ht="15" hidden="false" customHeight="true" outlineLevel="0" collapsed="false">
      <c r="A801" s="28" t="s">
        <v>562</v>
      </c>
      <c r="B801" s="28" t="s">
        <v>16244</v>
      </c>
      <c r="C801" s="28" t="s">
        <v>656</v>
      </c>
      <c r="D801" s="28" t="s">
        <v>1499</v>
      </c>
      <c r="E801" s="28" t="s">
        <v>16245</v>
      </c>
    </row>
    <row r="802" customFormat="false" ht="15" hidden="false" customHeight="true" outlineLevel="0" collapsed="false">
      <c r="A802" s="28" t="s">
        <v>5841</v>
      </c>
      <c r="B802" s="28" t="s">
        <v>16242</v>
      </c>
      <c r="C802" s="28" t="s">
        <v>562</v>
      </c>
      <c r="D802" s="28" t="s">
        <v>1499</v>
      </c>
      <c r="E802" s="28" t="s">
        <v>16243</v>
      </c>
    </row>
    <row r="803" customFormat="false" ht="15" hidden="false" customHeight="true" outlineLevel="0" collapsed="false">
      <c r="A803" s="28" t="s">
        <v>562</v>
      </c>
      <c r="B803" s="28" t="s">
        <v>16244</v>
      </c>
      <c r="C803" s="28" t="s">
        <v>5841</v>
      </c>
      <c r="D803" s="28" t="s">
        <v>1499</v>
      </c>
      <c r="E803" s="28" t="s">
        <v>16245</v>
      </c>
    </row>
    <row r="804" customFormat="false" ht="15" hidden="false" customHeight="true" outlineLevel="0" collapsed="false">
      <c r="A804" s="28" t="s">
        <v>683</v>
      </c>
      <c r="B804" s="28" t="s">
        <v>16242</v>
      </c>
      <c r="C804" s="28" t="s">
        <v>562</v>
      </c>
      <c r="D804" s="28" t="s">
        <v>1499</v>
      </c>
      <c r="E804" s="28" t="s">
        <v>16243</v>
      </c>
    </row>
    <row r="805" customFormat="false" ht="15" hidden="false" customHeight="true" outlineLevel="0" collapsed="false">
      <c r="A805" s="28" t="s">
        <v>562</v>
      </c>
      <c r="B805" s="28" t="s">
        <v>16244</v>
      </c>
      <c r="C805" s="28" t="s">
        <v>683</v>
      </c>
      <c r="D805" s="28" t="s">
        <v>1499</v>
      </c>
      <c r="E805" s="28" t="s">
        <v>16245</v>
      </c>
    </row>
    <row r="806" customFormat="false" ht="15" hidden="false" customHeight="true" outlineLevel="0" collapsed="false">
      <c r="A806" s="28" t="s">
        <v>712</v>
      </c>
      <c r="B806" s="28" t="s">
        <v>16242</v>
      </c>
      <c r="C806" s="28" t="s">
        <v>562</v>
      </c>
      <c r="D806" s="28" t="s">
        <v>1499</v>
      </c>
      <c r="E806" s="28" t="s">
        <v>16243</v>
      </c>
    </row>
    <row r="807" customFormat="false" ht="15" hidden="false" customHeight="true" outlineLevel="0" collapsed="false">
      <c r="A807" s="28" t="s">
        <v>562</v>
      </c>
      <c r="B807" s="28" t="s">
        <v>16244</v>
      </c>
      <c r="C807" s="28" t="s">
        <v>712</v>
      </c>
      <c r="D807" s="28" t="s">
        <v>1499</v>
      </c>
      <c r="E807" s="28" t="s">
        <v>16245</v>
      </c>
    </row>
    <row r="808" customFormat="false" ht="15" hidden="false" customHeight="true" outlineLevel="0" collapsed="false">
      <c r="A808" s="28" t="s">
        <v>839</v>
      </c>
      <c r="B808" s="28" t="s">
        <v>16242</v>
      </c>
      <c r="C808" s="28" t="s">
        <v>562</v>
      </c>
      <c r="D808" s="28" t="s">
        <v>1499</v>
      </c>
      <c r="E808" s="28" t="s">
        <v>16243</v>
      </c>
    </row>
    <row r="809" customFormat="false" ht="15" hidden="false" customHeight="true" outlineLevel="0" collapsed="false">
      <c r="A809" s="28" t="s">
        <v>562</v>
      </c>
      <c r="B809" s="28" t="s">
        <v>16244</v>
      </c>
      <c r="C809" s="28" t="s">
        <v>839</v>
      </c>
      <c r="D809" s="28" t="s">
        <v>1499</v>
      </c>
      <c r="E809" s="28" t="s">
        <v>16245</v>
      </c>
    </row>
    <row r="810" customFormat="false" ht="15" hidden="false" customHeight="true" outlineLevel="0" collapsed="false">
      <c r="A810" s="28" t="s">
        <v>970</v>
      </c>
      <c r="B810" s="28" t="s">
        <v>16242</v>
      </c>
      <c r="C810" s="28" t="s">
        <v>562</v>
      </c>
      <c r="D810" s="28" t="s">
        <v>1499</v>
      </c>
      <c r="E810" s="28" t="s">
        <v>16243</v>
      </c>
    </row>
    <row r="811" customFormat="false" ht="15" hidden="false" customHeight="true" outlineLevel="0" collapsed="false">
      <c r="A811" s="28" t="s">
        <v>562</v>
      </c>
      <c r="B811" s="28" t="s">
        <v>16244</v>
      </c>
      <c r="C811" s="28" t="s">
        <v>970</v>
      </c>
      <c r="D811" s="28" t="s">
        <v>1499</v>
      </c>
      <c r="E811" s="28" t="s">
        <v>16245</v>
      </c>
    </row>
    <row r="812" customFormat="false" ht="15" hidden="false" customHeight="true" outlineLevel="0" collapsed="false">
      <c r="A812" s="28" t="s">
        <v>1100</v>
      </c>
      <c r="B812" s="28" t="s">
        <v>16242</v>
      </c>
      <c r="C812" s="28" t="s">
        <v>562</v>
      </c>
      <c r="D812" s="28" t="s">
        <v>1499</v>
      </c>
      <c r="E812" s="28" t="s">
        <v>16243</v>
      </c>
    </row>
    <row r="813" customFormat="false" ht="15" hidden="false" customHeight="true" outlineLevel="0" collapsed="false">
      <c r="A813" s="28" t="s">
        <v>562</v>
      </c>
      <c r="B813" s="28" t="s">
        <v>16244</v>
      </c>
      <c r="C813" s="28" t="s">
        <v>1100</v>
      </c>
      <c r="D813" s="28" t="s">
        <v>1499</v>
      </c>
      <c r="E813" s="28" t="s">
        <v>16245</v>
      </c>
    </row>
    <row r="814" customFormat="false" ht="15" hidden="false" customHeight="true" outlineLevel="0" collapsed="false">
      <c r="A814" s="28" t="s">
        <v>1114</v>
      </c>
      <c r="B814" s="28" t="s">
        <v>16242</v>
      </c>
      <c r="C814" s="28" t="s">
        <v>562</v>
      </c>
      <c r="D814" s="28" t="s">
        <v>1499</v>
      </c>
      <c r="E814" s="28" t="s">
        <v>16243</v>
      </c>
    </row>
    <row r="815" customFormat="false" ht="15" hidden="false" customHeight="true" outlineLevel="0" collapsed="false">
      <c r="A815" s="28" t="s">
        <v>562</v>
      </c>
      <c r="B815" s="28" t="s">
        <v>16244</v>
      </c>
      <c r="C815" s="28" t="s">
        <v>1114</v>
      </c>
      <c r="D815" s="28" t="s">
        <v>1499</v>
      </c>
      <c r="E815" s="28" t="s">
        <v>16245</v>
      </c>
    </row>
    <row r="816" customFormat="false" ht="15" hidden="false" customHeight="true" outlineLevel="0" collapsed="false">
      <c r="A816" s="28" t="s">
        <v>1128</v>
      </c>
      <c r="B816" s="28" t="s">
        <v>16242</v>
      </c>
      <c r="C816" s="28" t="s">
        <v>562</v>
      </c>
      <c r="D816" s="28" t="s">
        <v>1499</v>
      </c>
      <c r="E816" s="28" t="s">
        <v>16243</v>
      </c>
    </row>
    <row r="817" customFormat="false" ht="15" hidden="false" customHeight="true" outlineLevel="0" collapsed="false">
      <c r="A817" s="28" t="s">
        <v>562</v>
      </c>
      <c r="B817" s="28" t="s">
        <v>16244</v>
      </c>
      <c r="C817" s="28" t="s">
        <v>1128</v>
      </c>
      <c r="D817" s="28" t="s">
        <v>1499</v>
      </c>
      <c r="E817" s="28" t="s">
        <v>16245</v>
      </c>
    </row>
    <row r="818" customFormat="false" ht="15" hidden="false" customHeight="true" outlineLevel="0" collapsed="false">
      <c r="A818" s="28" t="s">
        <v>1140</v>
      </c>
      <c r="B818" s="28" t="s">
        <v>16242</v>
      </c>
      <c r="C818" s="28" t="s">
        <v>562</v>
      </c>
      <c r="D818" s="28" t="s">
        <v>1499</v>
      </c>
      <c r="E818" s="28" t="s">
        <v>16243</v>
      </c>
    </row>
    <row r="819" customFormat="false" ht="15" hidden="false" customHeight="true" outlineLevel="0" collapsed="false">
      <c r="A819" s="28" t="s">
        <v>562</v>
      </c>
      <c r="B819" s="28" t="s">
        <v>16244</v>
      </c>
      <c r="C819" s="28" t="s">
        <v>1140</v>
      </c>
      <c r="D819" s="28" t="s">
        <v>1499</v>
      </c>
      <c r="E819" s="28" t="s">
        <v>16245</v>
      </c>
    </row>
    <row r="820" customFormat="false" ht="15" hidden="false" customHeight="true" outlineLevel="0" collapsed="false">
      <c r="A820" s="28" t="s">
        <v>6340</v>
      </c>
      <c r="B820" s="28" t="s">
        <v>16242</v>
      </c>
      <c r="C820" s="28" t="s">
        <v>562</v>
      </c>
      <c r="D820" s="28" t="s">
        <v>1499</v>
      </c>
      <c r="E820" s="28" t="s">
        <v>16243</v>
      </c>
    </row>
    <row r="821" customFormat="false" ht="15" hidden="false" customHeight="true" outlineLevel="0" collapsed="false">
      <c r="A821" s="28" t="s">
        <v>562</v>
      </c>
      <c r="B821" s="28" t="s">
        <v>16244</v>
      </c>
      <c r="C821" s="28" t="s">
        <v>6340</v>
      </c>
      <c r="D821" s="28" t="s">
        <v>1499</v>
      </c>
      <c r="E821" s="28" t="s">
        <v>16245</v>
      </c>
    </row>
    <row r="822" customFormat="false" ht="15" hidden="false" customHeight="true" outlineLevel="0" collapsed="false">
      <c r="A822" s="28" t="s">
        <v>4430</v>
      </c>
      <c r="B822" s="28" t="s">
        <v>16242</v>
      </c>
      <c r="C822" s="28" t="s">
        <v>562</v>
      </c>
      <c r="D822" s="28" t="s">
        <v>1499</v>
      </c>
      <c r="E822" s="28" t="s">
        <v>16243</v>
      </c>
    </row>
    <row r="823" customFormat="false" ht="15" hidden="false" customHeight="true" outlineLevel="0" collapsed="false">
      <c r="A823" s="28" t="s">
        <v>562</v>
      </c>
      <c r="B823" s="28" t="s">
        <v>16244</v>
      </c>
      <c r="C823" s="28" t="s">
        <v>4430</v>
      </c>
      <c r="D823" s="28" t="s">
        <v>1499</v>
      </c>
      <c r="E823" s="28" t="s">
        <v>16245</v>
      </c>
    </row>
    <row r="824" customFormat="false" ht="15" hidden="false" customHeight="true" outlineLevel="0" collapsed="false">
      <c r="A824" s="28" t="s">
        <v>8841</v>
      </c>
      <c r="B824" s="28" t="s">
        <v>16242</v>
      </c>
      <c r="C824" s="28" t="s">
        <v>562</v>
      </c>
      <c r="D824" s="28" t="s">
        <v>1499</v>
      </c>
      <c r="E824" s="28" t="s">
        <v>16243</v>
      </c>
    </row>
    <row r="825" customFormat="false" ht="15" hidden="false" customHeight="true" outlineLevel="0" collapsed="false">
      <c r="A825" s="28" t="s">
        <v>562</v>
      </c>
      <c r="B825" s="28" t="s">
        <v>16244</v>
      </c>
      <c r="C825" s="28" t="s">
        <v>8841</v>
      </c>
      <c r="D825" s="28" t="s">
        <v>1499</v>
      </c>
      <c r="E825" s="28" t="s">
        <v>16245</v>
      </c>
    </row>
    <row r="826" customFormat="false" ht="15" hidden="false" customHeight="true" outlineLevel="0" collapsed="false">
      <c r="A826" s="28" t="s">
        <v>8875</v>
      </c>
      <c r="B826" s="28" t="s">
        <v>16242</v>
      </c>
      <c r="C826" s="28" t="s">
        <v>562</v>
      </c>
      <c r="D826" s="28" t="s">
        <v>1499</v>
      </c>
      <c r="E826" s="28" t="s">
        <v>16243</v>
      </c>
    </row>
    <row r="827" customFormat="false" ht="15" hidden="false" customHeight="true" outlineLevel="0" collapsed="false">
      <c r="A827" s="28" t="s">
        <v>562</v>
      </c>
      <c r="B827" s="28" t="s">
        <v>16244</v>
      </c>
      <c r="C827" s="28" t="s">
        <v>8875</v>
      </c>
      <c r="D827" s="28" t="s">
        <v>1499</v>
      </c>
      <c r="E827" s="28" t="s">
        <v>16245</v>
      </c>
    </row>
    <row r="828" customFormat="false" ht="15" hidden="false" customHeight="true" outlineLevel="0" collapsed="false">
      <c r="A828" s="28" t="s">
        <v>1551</v>
      </c>
      <c r="B828" s="28" t="s">
        <v>16242</v>
      </c>
      <c r="C828" s="28" t="s">
        <v>562</v>
      </c>
      <c r="D828" s="28" t="s">
        <v>1499</v>
      </c>
      <c r="E828" s="28" t="s">
        <v>16243</v>
      </c>
    </row>
    <row r="829" customFormat="false" ht="15" hidden="false" customHeight="true" outlineLevel="0" collapsed="false">
      <c r="A829" s="28" t="s">
        <v>562</v>
      </c>
      <c r="B829" s="28" t="s">
        <v>16244</v>
      </c>
      <c r="C829" s="28" t="s">
        <v>1551</v>
      </c>
      <c r="D829" s="28" t="s">
        <v>1499</v>
      </c>
      <c r="E829" s="28" t="s">
        <v>16245</v>
      </c>
    </row>
    <row r="830" customFormat="false" ht="15" hidden="false" customHeight="true" outlineLevel="0" collapsed="false">
      <c r="A830" s="28" t="s">
        <v>9005</v>
      </c>
      <c r="B830" s="28" t="s">
        <v>16242</v>
      </c>
      <c r="C830" s="28" t="s">
        <v>562</v>
      </c>
      <c r="D830" s="28" t="s">
        <v>1499</v>
      </c>
      <c r="E830" s="28" t="s">
        <v>16243</v>
      </c>
    </row>
    <row r="831" customFormat="false" ht="15" hidden="false" customHeight="true" outlineLevel="0" collapsed="false">
      <c r="A831" s="28" t="s">
        <v>562</v>
      </c>
      <c r="B831" s="28" t="s">
        <v>16244</v>
      </c>
      <c r="C831" s="28" t="s">
        <v>9005</v>
      </c>
      <c r="D831" s="28" t="s">
        <v>1499</v>
      </c>
      <c r="E831" s="28" t="s">
        <v>16245</v>
      </c>
    </row>
    <row r="832" customFormat="false" ht="15" hidden="false" customHeight="true" outlineLevel="0" collapsed="false">
      <c r="A832" s="28" t="s">
        <v>9039</v>
      </c>
      <c r="B832" s="28" t="s">
        <v>16242</v>
      </c>
      <c r="C832" s="28" t="s">
        <v>562</v>
      </c>
      <c r="D832" s="28" t="s">
        <v>1499</v>
      </c>
      <c r="E832" s="28" t="s">
        <v>16243</v>
      </c>
    </row>
    <row r="833" customFormat="false" ht="15" hidden="false" customHeight="true" outlineLevel="0" collapsed="false">
      <c r="A833" s="28" t="s">
        <v>562</v>
      </c>
      <c r="B833" s="28" t="s">
        <v>16244</v>
      </c>
      <c r="C833" s="28" t="s">
        <v>9039</v>
      </c>
      <c r="D833" s="28" t="s">
        <v>1499</v>
      </c>
      <c r="E833" s="28" t="s">
        <v>16245</v>
      </c>
    </row>
    <row r="834" customFormat="false" ht="15" hidden="false" customHeight="true" outlineLevel="0" collapsed="false">
      <c r="A834" s="28" t="s">
        <v>9075</v>
      </c>
      <c r="B834" s="28" t="s">
        <v>16242</v>
      </c>
      <c r="C834" s="28" t="s">
        <v>562</v>
      </c>
      <c r="D834" s="28" t="s">
        <v>1499</v>
      </c>
      <c r="E834" s="28" t="s">
        <v>16243</v>
      </c>
    </row>
    <row r="835" customFormat="false" ht="15" hidden="false" customHeight="true" outlineLevel="0" collapsed="false">
      <c r="A835" s="28" t="s">
        <v>562</v>
      </c>
      <c r="B835" s="28" t="s">
        <v>16244</v>
      </c>
      <c r="C835" s="28" t="s">
        <v>9075</v>
      </c>
      <c r="D835" s="28" t="s">
        <v>1499</v>
      </c>
      <c r="E835" s="28" t="s">
        <v>16245</v>
      </c>
    </row>
    <row r="836" customFormat="false" ht="15" hidden="false" customHeight="true" outlineLevel="0" collapsed="false">
      <c r="A836" s="28" t="s">
        <v>9107</v>
      </c>
      <c r="B836" s="28" t="s">
        <v>16242</v>
      </c>
      <c r="C836" s="28" t="s">
        <v>562</v>
      </c>
      <c r="D836" s="28" t="s">
        <v>1499</v>
      </c>
      <c r="E836" s="28" t="s">
        <v>16243</v>
      </c>
    </row>
    <row r="837" customFormat="false" ht="15" hidden="false" customHeight="true" outlineLevel="0" collapsed="false">
      <c r="A837" s="28" t="s">
        <v>562</v>
      </c>
      <c r="B837" s="28" t="s">
        <v>16244</v>
      </c>
      <c r="C837" s="28" t="s">
        <v>9107</v>
      </c>
      <c r="D837" s="28" t="s">
        <v>1499</v>
      </c>
      <c r="E837" s="28" t="s">
        <v>16245</v>
      </c>
    </row>
    <row r="838" customFormat="false" ht="15" hidden="false" customHeight="true" outlineLevel="0" collapsed="false">
      <c r="A838" s="28" t="s">
        <v>9175</v>
      </c>
      <c r="B838" s="28" t="s">
        <v>16242</v>
      </c>
      <c r="C838" s="28" t="s">
        <v>562</v>
      </c>
      <c r="D838" s="28" t="s">
        <v>1499</v>
      </c>
      <c r="E838" s="28" t="s">
        <v>16243</v>
      </c>
    </row>
    <row r="839" customFormat="false" ht="15" hidden="false" customHeight="true" outlineLevel="0" collapsed="false">
      <c r="A839" s="28" t="s">
        <v>562</v>
      </c>
      <c r="B839" s="28" t="s">
        <v>16244</v>
      </c>
      <c r="C839" s="28" t="s">
        <v>9175</v>
      </c>
      <c r="D839" s="28" t="s">
        <v>1499</v>
      </c>
      <c r="E839" s="28" t="s">
        <v>16245</v>
      </c>
    </row>
    <row r="840" customFormat="false" ht="15" hidden="false" customHeight="true" outlineLevel="0" collapsed="false">
      <c r="A840" s="28" t="s">
        <v>9353</v>
      </c>
      <c r="B840" s="28" t="s">
        <v>16242</v>
      </c>
      <c r="C840" s="28" t="s">
        <v>562</v>
      </c>
      <c r="D840" s="28" t="s">
        <v>1499</v>
      </c>
      <c r="E840" s="28" t="s">
        <v>16243</v>
      </c>
    </row>
    <row r="841" customFormat="false" ht="15" hidden="false" customHeight="true" outlineLevel="0" collapsed="false">
      <c r="A841" s="28" t="s">
        <v>562</v>
      </c>
      <c r="B841" s="28" t="s">
        <v>16244</v>
      </c>
      <c r="C841" s="28" t="s">
        <v>9353</v>
      </c>
      <c r="D841" s="28" t="s">
        <v>1499</v>
      </c>
      <c r="E841" s="28" t="s">
        <v>16245</v>
      </c>
    </row>
    <row r="842" customFormat="false" ht="15" hidden="false" customHeight="true" outlineLevel="0" collapsed="false">
      <c r="A842" s="28" t="s">
        <v>1420</v>
      </c>
      <c r="B842" s="28" t="s">
        <v>16242</v>
      </c>
      <c r="C842" s="28" t="s">
        <v>562</v>
      </c>
      <c r="D842" s="28" t="s">
        <v>1499</v>
      </c>
      <c r="E842" s="28" t="s">
        <v>16243</v>
      </c>
    </row>
    <row r="843" customFormat="false" ht="15" hidden="false" customHeight="true" outlineLevel="0" collapsed="false">
      <c r="A843" s="28" t="s">
        <v>562</v>
      </c>
      <c r="B843" s="28" t="s">
        <v>16244</v>
      </c>
      <c r="C843" s="28" t="s">
        <v>1420</v>
      </c>
      <c r="D843" s="28" t="s">
        <v>1499</v>
      </c>
      <c r="E843" s="28" t="s">
        <v>16245</v>
      </c>
    </row>
    <row r="844" customFormat="false" ht="15" hidden="false" customHeight="true" outlineLevel="0" collapsed="false">
      <c r="A844" s="28" t="s">
        <v>1472</v>
      </c>
      <c r="B844" s="28" t="s">
        <v>16242</v>
      </c>
      <c r="C844" s="28" t="s">
        <v>562</v>
      </c>
      <c r="D844" s="28" t="s">
        <v>1499</v>
      </c>
      <c r="E844" s="28" t="s">
        <v>16243</v>
      </c>
    </row>
    <row r="845" customFormat="false" ht="15" hidden="false" customHeight="true" outlineLevel="0" collapsed="false">
      <c r="A845" s="28" t="s">
        <v>562</v>
      </c>
      <c r="B845" s="28" t="s">
        <v>16244</v>
      </c>
      <c r="C845" s="28" t="s">
        <v>1472</v>
      </c>
      <c r="D845" s="28" t="s">
        <v>1499</v>
      </c>
      <c r="E845" s="28" t="s">
        <v>16245</v>
      </c>
    </row>
    <row r="846" customFormat="false" ht="15" hidden="false" customHeight="true" outlineLevel="0" collapsed="false">
      <c r="A846" s="28" t="s">
        <v>1498</v>
      </c>
      <c r="B846" s="28" t="s">
        <v>16242</v>
      </c>
      <c r="C846" s="28" t="s">
        <v>562</v>
      </c>
      <c r="D846" s="28" t="s">
        <v>1499</v>
      </c>
      <c r="E846" s="28" t="s">
        <v>16243</v>
      </c>
    </row>
    <row r="847" customFormat="false" ht="15" hidden="false" customHeight="true" outlineLevel="0" collapsed="false">
      <c r="A847" s="28" t="s">
        <v>562</v>
      </c>
      <c r="B847" s="28" t="s">
        <v>16244</v>
      </c>
      <c r="C847" s="28" t="s">
        <v>1498</v>
      </c>
      <c r="D847" s="28" t="s">
        <v>1499</v>
      </c>
      <c r="E847" s="28" t="s">
        <v>16245</v>
      </c>
    </row>
    <row r="848" customFormat="false" ht="15" hidden="false" customHeight="true" outlineLevel="0" collapsed="false">
      <c r="A848" s="28" t="s">
        <v>1641</v>
      </c>
      <c r="B848" s="28" t="s">
        <v>16242</v>
      </c>
      <c r="C848" s="28" t="s">
        <v>562</v>
      </c>
      <c r="D848" s="28" t="s">
        <v>1499</v>
      </c>
      <c r="E848" s="28" t="s">
        <v>16243</v>
      </c>
    </row>
    <row r="849" customFormat="false" ht="15" hidden="false" customHeight="true" outlineLevel="0" collapsed="false">
      <c r="A849" s="28" t="s">
        <v>562</v>
      </c>
      <c r="B849" s="28" t="s">
        <v>16244</v>
      </c>
      <c r="C849" s="28" t="s">
        <v>1641</v>
      </c>
      <c r="D849" s="28" t="s">
        <v>1499</v>
      </c>
      <c r="E849" s="28" t="s">
        <v>16245</v>
      </c>
    </row>
    <row r="850" customFormat="false" ht="15" hidden="false" customHeight="true" outlineLevel="0" collapsed="false">
      <c r="A850" s="28" t="s">
        <v>1713</v>
      </c>
      <c r="B850" s="28" t="s">
        <v>16242</v>
      </c>
      <c r="C850" s="28" t="s">
        <v>562</v>
      </c>
      <c r="D850" s="28" t="s">
        <v>1499</v>
      </c>
      <c r="E850" s="28" t="s">
        <v>16243</v>
      </c>
    </row>
    <row r="851" customFormat="false" ht="15" hidden="false" customHeight="true" outlineLevel="0" collapsed="false">
      <c r="A851" s="28" t="s">
        <v>562</v>
      </c>
      <c r="B851" s="28" t="s">
        <v>16244</v>
      </c>
      <c r="C851" s="28" t="s">
        <v>1713</v>
      </c>
      <c r="D851" s="28" t="s">
        <v>1499</v>
      </c>
      <c r="E851" s="28" t="s">
        <v>16245</v>
      </c>
    </row>
    <row r="852" customFormat="false" ht="15" hidden="false" customHeight="true" outlineLevel="0" collapsed="false">
      <c r="A852" s="28" t="s">
        <v>1938</v>
      </c>
      <c r="B852" s="28" t="s">
        <v>16242</v>
      </c>
      <c r="C852" s="28" t="s">
        <v>562</v>
      </c>
      <c r="D852" s="28" t="s">
        <v>1499</v>
      </c>
      <c r="E852" s="28" t="s">
        <v>16243</v>
      </c>
    </row>
    <row r="853" customFormat="false" ht="15" hidden="false" customHeight="true" outlineLevel="0" collapsed="false">
      <c r="A853" s="28" t="s">
        <v>562</v>
      </c>
      <c r="B853" s="28" t="s">
        <v>16244</v>
      </c>
      <c r="C853" s="28" t="s">
        <v>1938</v>
      </c>
      <c r="D853" s="28" t="s">
        <v>1499</v>
      </c>
      <c r="E853" s="28" t="s">
        <v>16245</v>
      </c>
    </row>
    <row r="854" customFormat="false" ht="15" hidden="false" customHeight="true" outlineLevel="0" collapsed="false">
      <c r="A854" s="28" t="s">
        <v>1863</v>
      </c>
      <c r="B854" s="28" t="s">
        <v>16242</v>
      </c>
      <c r="C854" s="28" t="s">
        <v>562</v>
      </c>
      <c r="D854" s="28" t="s">
        <v>1499</v>
      </c>
      <c r="E854" s="28" t="s">
        <v>16243</v>
      </c>
    </row>
    <row r="855" customFormat="false" ht="15" hidden="false" customHeight="true" outlineLevel="0" collapsed="false">
      <c r="A855" s="28" t="s">
        <v>562</v>
      </c>
      <c r="B855" s="28" t="s">
        <v>16244</v>
      </c>
      <c r="C855" s="28" t="s">
        <v>1863</v>
      </c>
      <c r="D855" s="28" t="s">
        <v>1499</v>
      </c>
      <c r="E855" s="28" t="s">
        <v>16245</v>
      </c>
    </row>
    <row r="856" customFormat="false" ht="15" hidden="false" customHeight="true" outlineLevel="0" collapsed="false">
      <c r="A856" s="28" t="s">
        <v>2104</v>
      </c>
      <c r="B856" s="28" t="s">
        <v>16242</v>
      </c>
      <c r="C856" s="28" t="s">
        <v>562</v>
      </c>
      <c r="D856" s="28" t="s">
        <v>1499</v>
      </c>
      <c r="E856" s="28" t="s">
        <v>16243</v>
      </c>
    </row>
    <row r="857" customFormat="false" ht="15" hidden="false" customHeight="true" outlineLevel="0" collapsed="false">
      <c r="A857" s="28" t="s">
        <v>562</v>
      </c>
      <c r="B857" s="28" t="s">
        <v>16244</v>
      </c>
      <c r="C857" s="28" t="s">
        <v>2104</v>
      </c>
      <c r="D857" s="28" t="s">
        <v>1499</v>
      </c>
      <c r="E857" s="28" t="s">
        <v>16245</v>
      </c>
    </row>
    <row r="858" customFormat="false" ht="15" hidden="false" customHeight="true" outlineLevel="0" collapsed="false">
      <c r="A858" s="28" t="s">
        <v>4615</v>
      </c>
      <c r="B858" s="28" t="s">
        <v>16242</v>
      </c>
      <c r="C858" s="28" t="s">
        <v>562</v>
      </c>
      <c r="D858" s="28" t="s">
        <v>1499</v>
      </c>
      <c r="E858" s="28" t="s">
        <v>16243</v>
      </c>
    </row>
    <row r="859" customFormat="false" ht="15" hidden="false" customHeight="true" outlineLevel="0" collapsed="false">
      <c r="A859" s="28" t="s">
        <v>562</v>
      </c>
      <c r="B859" s="28" t="s">
        <v>16244</v>
      </c>
      <c r="C859" s="28" t="s">
        <v>4615</v>
      </c>
      <c r="D859" s="28" t="s">
        <v>1499</v>
      </c>
      <c r="E859" s="28" t="s">
        <v>16245</v>
      </c>
    </row>
    <row r="860" customFormat="false" ht="15" hidden="false" customHeight="true" outlineLevel="0" collapsed="false">
      <c r="A860" s="28" t="s">
        <v>4786</v>
      </c>
      <c r="B860" s="28" t="s">
        <v>16242</v>
      </c>
      <c r="C860" s="28" t="s">
        <v>562</v>
      </c>
      <c r="D860" s="28" t="s">
        <v>1499</v>
      </c>
      <c r="E860" s="28" t="s">
        <v>16243</v>
      </c>
    </row>
    <row r="861" customFormat="false" ht="15" hidden="false" customHeight="true" outlineLevel="0" collapsed="false">
      <c r="A861" s="28" t="s">
        <v>562</v>
      </c>
      <c r="B861" s="28" t="s">
        <v>16244</v>
      </c>
      <c r="C861" s="28" t="s">
        <v>4786</v>
      </c>
      <c r="D861" s="28" t="s">
        <v>1499</v>
      </c>
      <c r="E861" s="28" t="s">
        <v>16245</v>
      </c>
    </row>
    <row r="862" customFormat="false" ht="15" hidden="false" customHeight="true" outlineLevel="0" collapsed="false">
      <c r="A862" s="28" t="s">
        <v>562</v>
      </c>
      <c r="B862" s="28" t="s">
        <v>16246</v>
      </c>
      <c r="C862" s="28" t="s">
        <v>9431</v>
      </c>
      <c r="D862" s="28" t="s">
        <v>1499</v>
      </c>
      <c r="E862" s="28" t="s">
        <v>16247</v>
      </c>
    </row>
    <row r="863" customFormat="false" ht="15" hidden="false" customHeight="true" outlineLevel="0" collapsed="false">
      <c r="A863" s="28" t="s">
        <v>562</v>
      </c>
      <c r="B863" s="28" t="s">
        <v>16248</v>
      </c>
      <c r="C863" s="28" t="s">
        <v>9395</v>
      </c>
      <c r="D863" s="28" t="s">
        <v>1499</v>
      </c>
      <c r="E863" s="28" t="s">
        <v>16249</v>
      </c>
    </row>
    <row r="864" customFormat="false" ht="15" hidden="false" customHeight="true" outlineLevel="0" collapsed="false">
      <c r="A864" s="28" t="s">
        <v>562</v>
      </c>
      <c r="B864" s="28" t="s">
        <v>16248</v>
      </c>
      <c r="C864" s="28" t="s">
        <v>1498</v>
      </c>
      <c r="D864" s="28" t="s">
        <v>1499</v>
      </c>
      <c r="E864" s="28" t="s">
        <v>16250</v>
      </c>
    </row>
    <row r="865" customFormat="false" ht="15" hidden="false" customHeight="true" outlineLevel="0" collapsed="false">
      <c r="A865" s="28" t="s">
        <v>9395</v>
      </c>
      <c r="B865" s="28" t="s">
        <v>16246</v>
      </c>
      <c r="C865" s="28" t="s">
        <v>562</v>
      </c>
      <c r="D865" s="28" t="s">
        <v>1499</v>
      </c>
      <c r="E865" s="28" t="s">
        <v>16251</v>
      </c>
    </row>
    <row r="866" customFormat="false" ht="15" hidden="false" customHeight="true" outlineLevel="0" collapsed="false">
      <c r="A866" s="28" t="s">
        <v>9395</v>
      </c>
      <c r="B866" s="28" t="s">
        <v>16242</v>
      </c>
      <c r="C866" s="28" t="s">
        <v>9412</v>
      </c>
      <c r="D866" s="28" t="s">
        <v>1499</v>
      </c>
      <c r="E866" s="28" t="s">
        <v>16252</v>
      </c>
    </row>
    <row r="867" customFormat="false" ht="15" hidden="false" customHeight="true" outlineLevel="0" collapsed="false">
      <c r="A867" s="28" t="s">
        <v>9412</v>
      </c>
      <c r="B867" s="28" t="s">
        <v>16246</v>
      </c>
      <c r="C867" s="28" t="s">
        <v>154</v>
      </c>
      <c r="D867" s="28" t="s">
        <v>1499</v>
      </c>
      <c r="E867" s="28" t="s">
        <v>16253</v>
      </c>
    </row>
    <row r="868" customFormat="false" ht="15" hidden="false" customHeight="true" outlineLevel="0" collapsed="false">
      <c r="A868" s="28" t="s">
        <v>9412</v>
      </c>
      <c r="B868" s="28" t="s">
        <v>16246</v>
      </c>
      <c r="C868" s="28" t="s">
        <v>839</v>
      </c>
      <c r="D868" s="28" t="s">
        <v>1499</v>
      </c>
      <c r="E868" s="28" t="s">
        <v>16254</v>
      </c>
    </row>
    <row r="869" customFormat="false" ht="15" hidden="false" customHeight="true" outlineLevel="0" collapsed="false">
      <c r="A869" s="28" t="s">
        <v>9412</v>
      </c>
      <c r="B869" s="28" t="s">
        <v>16246</v>
      </c>
      <c r="C869" s="28" t="s">
        <v>9395</v>
      </c>
      <c r="D869" s="28" t="s">
        <v>1499</v>
      </c>
      <c r="E869" s="28" t="s">
        <v>16255</v>
      </c>
    </row>
    <row r="870" customFormat="false" ht="15" hidden="false" customHeight="true" outlineLevel="0" collapsed="false">
      <c r="A870" s="28" t="s">
        <v>9431</v>
      </c>
      <c r="B870" s="28" t="s">
        <v>16256</v>
      </c>
      <c r="C870" s="28" t="s">
        <v>5841</v>
      </c>
      <c r="D870" s="28" t="s">
        <v>1499</v>
      </c>
      <c r="E870" s="28" t="s">
        <v>16257</v>
      </c>
    </row>
    <row r="871" customFormat="false" ht="15" hidden="false" customHeight="true" outlineLevel="0" collapsed="false">
      <c r="A871" s="28" t="s">
        <v>9447</v>
      </c>
      <c r="B871" s="28" t="s">
        <v>16246</v>
      </c>
      <c r="C871" s="28" t="s">
        <v>154</v>
      </c>
      <c r="D871" s="28" t="s">
        <v>9448</v>
      </c>
      <c r="E871" s="28" t="s">
        <v>16258</v>
      </c>
    </row>
    <row r="872" customFormat="false" ht="15" hidden="false" customHeight="true" outlineLevel="0" collapsed="false">
      <c r="A872" s="28" t="s">
        <v>9447</v>
      </c>
      <c r="B872" s="28" t="s">
        <v>16259</v>
      </c>
      <c r="C872" s="28" t="s">
        <v>839</v>
      </c>
      <c r="D872" s="28" t="s">
        <v>9448</v>
      </c>
      <c r="E872" s="28" t="s">
        <v>16260</v>
      </c>
    </row>
    <row r="873" customFormat="false" ht="15" hidden="false" customHeight="true" outlineLevel="0" collapsed="false">
      <c r="A873" s="28" t="s">
        <v>9447</v>
      </c>
      <c r="B873" s="28" t="s">
        <v>16261</v>
      </c>
      <c r="C873" s="28" t="s">
        <v>9395</v>
      </c>
      <c r="D873" s="28" t="s">
        <v>9448</v>
      </c>
      <c r="E873" s="28" t="s">
        <v>16262</v>
      </c>
    </row>
    <row r="874" customFormat="false" ht="15" hidden="false" customHeight="true" outlineLevel="0" collapsed="false">
      <c r="A874" s="28" t="s">
        <v>9447</v>
      </c>
      <c r="B874" s="28" t="s">
        <v>16261</v>
      </c>
      <c r="C874" s="28" t="s">
        <v>9412</v>
      </c>
      <c r="D874" s="28" t="s">
        <v>9448</v>
      </c>
      <c r="E874" s="28" t="s">
        <v>16263</v>
      </c>
    </row>
    <row r="875" customFormat="false" ht="15" hidden="false" customHeight="true" outlineLevel="0" collapsed="false">
      <c r="A875" s="28" t="s">
        <v>9447</v>
      </c>
      <c r="B875" s="28" t="s">
        <v>16264</v>
      </c>
      <c r="C875" s="28" t="s">
        <v>9431</v>
      </c>
      <c r="D875" s="28" t="s">
        <v>9448</v>
      </c>
      <c r="E875" s="28" t="s">
        <v>16265</v>
      </c>
    </row>
    <row r="876" customFormat="false" ht="15" hidden="false" customHeight="true" outlineLevel="0" collapsed="false">
      <c r="A876" s="28" t="s">
        <v>8519</v>
      </c>
      <c r="B876" s="28" t="s">
        <v>16266</v>
      </c>
      <c r="C876" s="28" t="s">
        <v>9156</v>
      </c>
      <c r="D876" s="28" t="s">
        <v>16267</v>
      </c>
      <c r="E876" s="28" t="s">
        <v>16268</v>
      </c>
    </row>
    <row r="877" customFormat="false" ht="15" hidden="false" customHeight="true" outlineLevel="0" collapsed="false">
      <c r="A877" s="28" t="s">
        <v>8519</v>
      </c>
      <c r="B877" s="28" t="s">
        <v>16269</v>
      </c>
      <c r="C877" s="28" t="s">
        <v>9140</v>
      </c>
      <c r="D877" s="28" t="s">
        <v>16267</v>
      </c>
      <c r="E877" s="28" t="s">
        <v>16270</v>
      </c>
    </row>
    <row r="878" customFormat="false" ht="15" hidden="false" customHeight="true" outlineLevel="0" collapsed="false">
      <c r="A878" s="28"/>
      <c r="B878" s="28"/>
      <c r="C878" s="28"/>
      <c r="D878" s="28"/>
      <c r="E878" s="28"/>
    </row>
    <row r="879" customFormat="false" ht="15" hidden="false" customHeight="true" outlineLevel="0" collapsed="false">
      <c r="A879" s="28"/>
      <c r="B879" s="28"/>
      <c r="C879" s="28"/>
      <c r="D879" s="28"/>
      <c r="E879" s="28"/>
    </row>
    <row r="880" customFormat="false" ht="15" hidden="false" customHeight="true" outlineLevel="0" collapsed="false">
      <c r="A880" s="28"/>
      <c r="B880" s="28"/>
      <c r="C880" s="28"/>
      <c r="D880" s="28"/>
      <c r="E880" s="28"/>
    </row>
    <row r="881" customFormat="false" ht="15" hidden="false" customHeight="true" outlineLevel="0" collapsed="false">
      <c r="A881" s="28"/>
      <c r="B881" s="28"/>
      <c r="C881" s="28"/>
      <c r="D881" s="28"/>
      <c r="E881" s="28"/>
    </row>
    <row r="882" customFormat="false" ht="15" hidden="false" customHeight="true" outlineLevel="0" collapsed="false">
      <c r="A882" s="28"/>
      <c r="B882" s="28"/>
      <c r="C882" s="28"/>
      <c r="D882" s="28"/>
      <c r="E882" s="28"/>
    </row>
    <row r="883" customFormat="false" ht="15" hidden="false" customHeight="true" outlineLevel="0" collapsed="false">
      <c r="A883" s="28"/>
      <c r="B883" s="28"/>
      <c r="C883" s="28"/>
      <c r="D883" s="28"/>
      <c r="E883" s="28"/>
    </row>
    <row r="884" customFormat="false" ht="15" hidden="false" customHeight="true" outlineLevel="0" collapsed="false">
      <c r="A884" s="28"/>
      <c r="B884" s="28"/>
      <c r="C884" s="28"/>
      <c r="D884" s="28"/>
      <c r="E884" s="28"/>
    </row>
    <row r="885" customFormat="false" ht="15" hidden="false" customHeight="true" outlineLevel="0" collapsed="false">
      <c r="A885" s="28"/>
      <c r="B885" s="28"/>
      <c r="C885" s="28"/>
      <c r="D885" s="28"/>
      <c r="E885" s="28"/>
    </row>
    <row r="886" customFormat="false" ht="15" hidden="false" customHeight="true" outlineLevel="0" collapsed="false">
      <c r="A886" s="28"/>
      <c r="B886" s="28"/>
      <c r="C886" s="28"/>
      <c r="D886" s="28"/>
      <c r="E886" s="28"/>
    </row>
    <row r="887" customFormat="false" ht="15" hidden="false" customHeight="true" outlineLevel="0" collapsed="false">
      <c r="A887" s="28"/>
      <c r="B887" s="28"/>
      <c r="C887" s="28"/>
      <c r="D887" s="28"/>
      <c r="E887" s="28"/>
    </row>
    <row r="888" customFormat="false" ht="15" hidden="false" customHeight="true" outlineLevel="0" collapsed="false">
      <c r="A888" s="28"/>
      <c r="B888" s="28"/>
      <c r="C888" s="28"/>
      <c r="D888" s="28"/>
      <c r="E888" s="28"/>
    </row>
    <row r="889" customFormat="false" ht="15" hidden="false" customHeight="true" outlineLevel="0" collapsed="false">
      <c r="A889" s="28"/>
      <c r="B889" s="28"/>
      <c r="C889" s="28"/>
      <c r="D889" s="28"/>
      <c r="E889" s="28"/>
    </row>
    <row r="890" customFormat="false" ht="15" hidden="false" customHeight="true" outlineLevel="0" collapsed="false">
      <c r="A890" s="28"/>
      <c r="B890" s="28"/>
      <c r="C890" s="28"/>
      <c r="D890" s="28"/>
      <c r="E890" s="28"/>
    </row>
    <row r="891" customFormat="false" ht="15" hidden="false" customHeight="true" outlineLevel="0" collapsed="false">
      <c r="A891" s="28"/>
      <c r="B891" s="28"/>
      <c r="C891" s="28"/>
      <c r="D891" s="28"/>
      <c r="E891" s="28"/>
    </row>
    <row r="892" customFormat="false" ht="15" hidden="false" customHeight="true" outlineLevel="0" collapsed="false">
      <c r="A892" s="28"/>
      <c r="B892" s="28"/>
      <c r="C892" s="28"/>
      <c r="D892" s="28"/>
      <c r="E892" s="28"/>
    </row>
    <row r="893" customFormat="false" ht="15" hidden="false" customHeight="true" outlineLevel="0" collapsed="false">
      <c r="A893" s="28"/>
      <c r="B893" s="28"/>
      <c r="C893" s="28"/>
      <c r="D893" s="28"/>
      <c r="E893" s="28"/>
    </row>
    <row r="894" customFormat="false" ht="15" hidden="false" customHeight="true" outlineLevel="0" collapsed="false">
      <c r="A894" s="28"/>
      <c r="B894" s="28"/>
      <c r="C894" s="28"/>
      <c r="D894" s="28"/>
      <c r="E894" s="28"/>
    </row>
    <row r="895" customFormat="false" ht="15" hidden="false" customHeight="true" outlineLevel="0" collapsed="false">
      <c r="A895" s="28"/>
      <c r="B895" s="28"/>
      <c r="C895" s="28"/>
      <c r="D895" s="28"/>
      <c r="E895" s="28"/>
    </row>
    <row r="896" customFormat="false" ht="15" hidden="false" customHeight="true" outlineLevel="0" collapsed="false">
      <c r="A896" s="28"/>
      <c r="B896" s="28"/>
      <c r="C896" s="28"/>
      <c r="D896" s="28"/>
      <c r="E896" s="28"/>
    </row>
    <row r="897" customFormat="false" ht="15" hidden="false" customHeight="true" outlineLevel="0" collapsed="false">
      <c r="A897" s="28"/>
      <c r="B897" s="28"/>
      <c r="C897" s="28"/>
      <c r="D897" s="28"/>
      <c r="E897" s="28"/>
    </row>
    <row r="898" customFormat="false" ht="15" hidden="false" customHeight="true" outlineLevel="0" collapsed="false">
      <c r="A898" s="28"/>
      <c r="B898" s="28"/>
      <c r="C898" s="28"/>
      <c r="D898" s="28"/>
      <c r="E898" s="28"/>
    </row>
    <row r="899" customFormat="false" ht="15" hidden="false" customHeight="true" outlineLevel="0" collapsed="false">
      <c r="A899" s="28"/>
      <c r="B899" s="28"/>
      <c r="C899" s="28"/>
      <c r="D899" s="28"/>
      <c r="E899" s="28"/>
    </row>
    <row r="900" customFormat="false" ht="15" hidden="false" customHeight="true" outlineLevel="0" collapsed="false">
      <c r="A900" s="28"/>
      <c r="B900" s="28"/>
      <c r="C900" s="28"/>
      <c r="D900" s="28"/>
      <c r="E900" s="28"/>
    </row>
    <row r="901" customFormat="false" ht="15" hidden="false" customHeight="true" outlineLevel="0" collapsed="false">
      <c r="A901" s="28"/>
      <c r="B901" s="28"/>
      <c r="C901" s="28"/>
      <c r="D901" s="28"/>
      <c r="E901" s="28"/>
    </row>
    <row r="902" customFormat="false" ht="15" hidden="false" customHeight="true" outlineLevel="0" collapsed="false">
      <c r="A902" s="28"/>
      <c r="B902" s="28"/>
      <c r="C902" s="28"/>
      <c r="D902" s="28"/>
      <c r="E902" s="28"/>
    </row>
    <row r="903" customFormat="false" ht="15" hidden="false" customHeight="true" outlineLevel="0" collapsed="false">
      <c r="A903" s="28"/>
      <c r="B903" s="28"/>
      <c r="C903" s="28"/>
      <c r="D903" s="28"/>
      <c r="E903" s="28"/>
    </row>
    <row r="904" customFormat="false" ht="15" hidden="false" customHeight="true" outlineLevel="0" collapsed="false">
      <c r="A904" s="28"/>
      <c r="B904" s="28"/>
      <c r="C904" s="28"/>
      <c r="D904" s="28"/>
      <c r="E904" s="28"/>
    </row>
    <row r="905" customFormat="false" ht="15" hidden="false" customHeight="true" outlineLevel="0" collapsed="false">
      <c r="A905" s="28"/>
      <c r="B905" s="28"/>
      <c r="C905" s="28"/>
      <c r="D905" s="28"/>
      <c r="E905" s="28"/>
    </row>
    <row r="906" customFormat="false" ht="15" hidden="false" customHeight="true" outlineLevel="0" collapsed="false">
      <c r="A906" s="28"/>
      <c r="B906" s="28"/>
      <c r="C906" s="28"/>
      <c r="D906" s="28"/>
      <c r="E906" s="28"/>
    </row>
    <row r="907" customFormat="false" ht="15" hidden="false" customHeight="true" outlineLevel="0" collapsed="false">
      <c r="A907" s="28"/>
      <c r="B907" s="28"/>
      <c r="C907" s="28"/>
      <c r="D907" s="28"/>
      <c r="E907" s="28"/>
    </row>
    <row r="908" customFormat="false" ht="15" hidden="false" customHeight="true" outlineLevel="0" collapsed="false">
      <c r="A908" s="28"/>
      <c r="B908" s="28"/>
      <c r="C908" s="28"/>
      <c r="D908" s="28"/>
      <c r="E908" s="28"/>
    </row>
    <row r="909" customFormat="false" ht="15" hidden="false" customHeight="true" outlineLevel="0" collapsed="false">
      <c r="A909" s="28"/>
      <c r="B909" s="28"/>
      <c r="C909" s="28"/>
      <c r="D909" s="28"/>
      <c r="E909" s="28"/>
    </row>
    <row r="910" customFormat="false" ht="15" hidden="false" customHeight="true" outlineLevel="0" collapsed="false">
      <c r="A910" s="28"/>
      <c r="B910" s="28"/>
      <c r="C910" s="28"/>
      <c r="D910" s="28"/>
      <c r="E910" s="28"/>
    </row>
    <row r="911" customFormat="false" ht="15" hidden="false" customHeight="true" outlineLevel="0" collapsed="false">
      <c r="A911" s="28"/>
      <c r="B911" s="28"/>
      <c r="C911" s="28"/>
      <c r="D911" s="28"/>
      <c r="E911" s="28"/>
    </row>
    <row r="912" customFormat="false" ht="15" hidden="false" customHeight="true" outlineLevel="0" collapsed="false">
      <c r="A912" s="28"/>
      <c r="B912" s="28"/>
      <c r="C912" s="28"/>
      <c r="D912" s="28"/>
      <c r="E912" s="28"/>
    </row>
    <row r="913" customFormat="false" ht="15" hidden="false" customHeight="true" outlineLevel="0" collapsed="false">
      <c r="A913" s="28"/>
      <c r="B913" s="28"/>
      <c r="C913" s="28"/>
      <c r="D913" s="28"/>
      <c r="E913" s="28"/>
    </row>
    <row r="914" customFormat="false" ht="15" hidden="false" customHeight="true" outlineLevel="0" collapsed="false">
      <c r="A914" s="28"/>
      <c r="B914" s="28"/>
      <c r="C914" s="28"/>
      <c r="D914" s="28"/>
      <c r="E914" s="28"/>
    </row>
    <row r="915" customFormat="false" ht="15" hidden="false" customHeight="true" outlineLevel="0" collapsed="false">
      <c r="A915" s="28"/>
      <c r="B915" s="28"/>
      <c r="C915" s="28"/>
      <c r="D915" s="28"/>
      <c r="E915" s="28"/>
    </row>
    <row r="916" customFormat="false" ht="15" hidden="false" customHeight="true" outlineLevel="0" collapsed="false">
      <c r="A916" s="28"/>
      <c r="B916" s="28"/>
      <c r="C916" s="28"/>
      <c r="D916" s="28"/>
      <c r="E916" s="28"/>
    </row>
    <row r="917" customFormat="false" ht="15" hidden="false" customHeight="true" outlineLevel="0" collapsed="false">
      <c r="A917" s="28"/>
      <c r="B917" s="28"/>
      <c r="C917" s="28"/>
      <c r="D917" s="28"/>
      <c r="E917" s="28"/>
    </row>
    <row r="918" customFormat="false" ht="15" hidden="false" customHeight="true" outlineLevel="0" collapsed="false">
      <c r="A918" s="28"/>
      <c r="B918" s="28"/>
      <c r="C918" s="28"/>
      <c r="D918" s="28"/>
      <c r="E918" s="28"/>
    </row>
    <row r="919" customFormat="false" ht="15" hidden="false" customHeight="true" outlineLevel="0" collapsed="false">
      <c r="A919" s="28"/>
      <c r="B919" s="28"/>
      <c r="C919" s="28"/>
      <c r="D919" s="28"/>
      <c r="E919" s="28"/>
    </row>
    <row r="920" customFormat="false" ht="15" hidden="false" customHeight="true" outlineLevel="0" collapsed="false">
      <c r="A920" s="28"/>
      <c r="B920" s="28"/>
      <c r="C920" s="28"/>
      <c r="D920" s="28"/>
      <c r="E920" s="28"/>
    </row>
    <row r="921" customFormat="false" ht="15" hidden="false" customHeight="true" outlineLevel="0" collapsed="false">
      <c r="A921" s="28"/>
      <c r="B921" s="28"/>
      <c r="C921" s="28"/>
      <c r="D921" s="28"/>
      <c r="E921" s="28"/>
    </row>
    <row r="922" customFormat="false" ht="15" hidden="false" customHeight="true" outlineLevel="0" collapsed="false">
      <c r="A922" s="28"/>
      <c r="B922" s="28"/>
      <c r="C922" s="28"/>
      <c r="D922" s="28"/>
      <c r="E922" s="28"/>
    </row>
    <row r="923" customFormat="false" ht="15" hidden="false" customHeight="true" outlineLevel="0" collapsed="false">
      <c r="A923" s="28"/>
      <c r="B923" s="28"/>
      <c r="C923" s="28"/>
      <c r="D923" s="28"/>
      <c r="E923" s="28"/>
    </row>
    <row r="924" customFormat="false" ht="15" hidden="false" customHeight="true" outlineLevel="0" collapsed="false">
      <c r="A924" s="28"/>
      <c r="B924" s="28"/>
      <c r="C924" s="28"/>
      <c r="D924" s="28"/>
      <c r="E924" s="28"/>
    </row>
    <row r="925" customFormat="false" ht="15" hidden="false" customHeight="true" outlineLevel="0" collapsed="false">
      <c r="A925" s="28"/>
      <c r="B925" s="28"/>
      <c r="C925" s="28"/>
      <c r="D925" s="28"/>
      <c r="E925" s="28"/>
    </row>
    <row r="926" customFormat="false" ht="15" hidden="false" customHeight="true" outlineLevel="0" collapsed="false">
      <c r="A926" s="28"/>
      <c r="B926" s="28"/>
      <c r="C926" s="28"/>
      <c r="D926" s="28"/>
      <c r="E926" s="28"/>
    </row>
    <row r="927" customFormat="false" ht="15" hidden="false" customHeight="true" outlineLevel="0" collapsed="false">
      <c r="A927" s="28"/>
      <c r="B927" s="28"/>
      <c r="C927" s="28"/>
      <c r="D927" s="28"/>
      <c r="E927" s="28"/>
    </row>
    <row r="928" customFormat="false" ht="15" hidden="false" customHeight="true" outlineLevel="0" collapsed="false">
      <c r="A928" s="28"/>
      <c r="B928" s="28"/>
      <c r="C928" s="28"/>
      <c r="D928" s="28"/>
      <c r="E928" s="28"/>
    </row>
    <row r="929" customFormat="false" ht="15" hidden="false" customHeight="true" outlineLevel="0" collapsed="false">
      <c r="A929" s="28"/>
      <c r="B929" s="28"/>
      <c r="C929" s="28"/>
      <c r="D929" s="28"/>
      <c r="E929" s="28"/>
    </row>
    <row r="930" customFormat="false" ht="15" hidden="false" customHeight="true" outlineLevel="0" collapsed="false">
      <c r="A930" s="28"/>
      <c r="B930" s="28"/>
      <c r="C930" s="28"/>
      <c r="D930" s="28"/>
      <c r="E930" s="28"/>
    </row>
    <row r="931" customFormat="false" ht="15" hidden="false" customHeight="true" outlineLevel="0" collapsed="false">
      <c r="A931" s="28"/>
      <c r="B931" s="28"/>
      <c r="C931" s="28"/>
      <c r="D931" s="28"/>
      <c r="E931" s="28"/>
    </row>
    <row r="932" customFormat="false" ht="15" hidden="false" customHeight="true" outlineLevel="0" collapsed="false">
      <c r="A932" s="28"/>
      <c r="B932" s="28"/>
      <c r="C932" s="28"/>
      <c r="D932" s="28"/>
      <c r="E932" s="28"/>
    </row>
    <row r="933" customFormat="false" ht="15" hidden="false" customHeight="true" outlineLevel="0" collapsed="false">
      <c r="A933" s="28"/>
      <c r="B933" s="28"/>
      <c r="C933" s="28"/>
      <c r="D933" s="28"/>
      <c r="E933" s="28"/>
    </row>
    <row r="934" customFormat="false" ht="15" hidden="false" customHeight="true" outlineLevel="0" collapsed="false">
      <c r="A934" s="28"/>
      <c r="B934" s="28"/>
      <c r="C934" s="28"/>
      <c r="D934" s="28"/>
      <c r="E934" s="28"/>
    </row>
    <row r="935" customFormat="false" ht="15" hidden="false" customHeight="true" outlineLevel="0" collapsed="false">
      <c r="A935" s="28"/>
      <c r="B935" s="28"/>
      <c r="C935" s="28"/>
      <c r="D935" s="28"/>
      <c r="E935" s="28"/>
    </row>
    <row r="936" customFormat="false" ht="15" hidden="false" customHeight="true" outlineLevel="0" collapsed="false">
      <c r="A936" s="28"/>
      <c r="B936" s="28"/>
      <c r="C936" s="28"/>
      <c r="D936" s="28"/>
      <c r="E936" s="28"/>
    </row>
    <row r="937" customFormat="false" ht="15" hidden="false" customHeight="true" outlineLevel="0" collapsed="false">
      <c r="A937" s="28"/>
      <c r="B937" s="28"/>
      <c r="C937" s="28"/>
      <c r="D937" s="28"/>
      <c r="E937" s="28"/>
    </row>
    <row r="938" customFormat="false" ht="15" hidden="false" customHeight="true" outlineLevel="0" collapsed="false">
      <c r="A938" s="28"/>
      <c r="B938" s="28"/>
      <c r="C938" s="28"/>
      <c r="D938" s="28"/>
      <c r="E938" s="28"/>
    </row>
    <row r="939" customFormat="false" ht="15" hidden="false" customHeight="true" outlineLevel="0" collapsed="false">
      <c r="A939" s="28"/>
      <c r="B939" s="28"/>
      <c r="C939" s="28"/>
      <c r="D939" s="28"/>
      <c r="E939" s="28"/>
    </row>
    <row r="940" customFormat="false" ht="15" hidden="false" customHeight="true" outlineLevel="0" collapsed="false">
      <c r="A940" s="28"/>
      <c r="B940" s="28"/>
      <c r="C940" s="28"/>
      <c r="D940" s="28"/>
      <c r="E940" s="28"/>
    </row>
    <row r="941" customFormat="false" ht="15" hidden="false" customHeight="true" outlineLevel="0" collapsed="false">
      <c r="A941" s="28"/>
      <c r="B941" s="28"/>
      <c r="C941" s="28"/>
      <c r="D941" s="28"/>
      <c r="E941" s="28"/>
    </row>
    <row r="942" customFormat="false" ht="15" hidden="false" customHeight="true" outlineLevel="0" collapsed="false">
      <c r="A942" s="28"/>
      <c r="B942" s="28"/>
      <c r="C942" s="28"/>
      <c r="D942" s="28"/>
      <c r="E942" s="28"/>
    </row>
    <row r="943" customFormat="false" ht="15" hidden="false" customHeight="true" outlineLevel="0" collapsed="false">
      <c r="A943" s="28"/>
      <c r="B943" s="28"/>
      <c r="C943" s="28"/>
      <c r="D943" s="28"/>
      <c r="E943" s="28"/>
    </row>
    <row r="944" customFormat="false" ht="15" hidden="false" customHeight="true" outlineLevel="0" collapsed="false">
      <c r="A944" s="28"/>
      <c r="B944" s="28"/>
      <c r="C944" s="28"/>
      <c r="D944" s="28"/>
      <c r="E944" s="28"/>
    </row>
    <row r="945" customFormat="false" ht="15" hidden="false" customHeight="true" outlineLevel="0" collapsed="false">
      <c r="A945" s="28"/>
      <c r="B945" s="28"/>
      <c r="C945" s="28"/>
      <c r="D945" s="28"/>
      <c r="E945" s="28"/>
    </row>
    <row r="946" customFormat="false" ht="15" hidden="false" customHeight="true" outlineLevel="0" collapsed="false">
      <c r="A946" s="28"/>
      <c r="B946" s="28"/>
      <c r="C946" s="28"/>
      <c r="D946" s="28"/>
      <c r="E946" s="28"/>
    </row>
    <row r="947" customFormat="false" ht="15" hidden="false" customHeight="true" outlineLevel="0" collapsed="false">
      <c r="A947" s="28"/>
      <c r="B947" s="28"/>
      <c r="C947" s="28"/>
      <c r="D947" s="28"/>
      <c r="E947" s="28"/>
    </row>
    <row r="948" customFormat="false" ht="15" hidden="false" customHeight="true" outlineLevel="0" collapsed="false">
      <c r="A948" s="28"/>
      <c r="B948" s="28"/>
      <c r="C948" s="28"/>
      <c r="D948" s="28"/>
      <c r="E948" s="28"/>
    </row>
    <row r="949" customFormat="false" ht="15" hidden="false" customHeight="true" outlineLevel="0" collapsed="false">
      <c r="A949" s="28"/>
      <c r="B949" s="28"/>
      <c r="C949" s="28"/>
      <c r="D949" s="28"/>
      <c r="E949" s="28"/>
    </row>
    <row r="950" customFormat="false" ht="15" hidden="false" customHeight="true" outlineLevel="0" collapsed="false">
      <c r="A950" s="28"/>
      <c r="B950" s="28"/>
      <c r="C950" s="28"/>
      <c r="D950" s="28"/>
      <c r="E950" s="28"/>
    </row>
    <row r="951" customFormat="false" ht="15" hidden="false" customHeight="true" outlineLevel="0" collapsed="false">
      <c r="A951" s="28"/>
      <c r="B951" s="28"/>
      <c r="C951" s="28"/>
      <c r="D951" s="28"/>
      <c r="E951" s="28"/>
    </row>
    <row r="952" customFormat="false" ht="15" hidden="false" customHeight="true" outlineLevel="0" collapsed="false">
      <c r="A952" s="28"/>
      <c r="B952" s="28"/>
      <c r="C952" s="28"/>
      <c r="D952" s="28"/>
      <c r="E952" s="28"/>
    </row>
    <row r="953" customFormat="false" ht="15" hidden="false" customHeight="true" outlineLevel="0" collapsed="false">
      <c r="A953" s="28"/>
      <c r="B953" s="28"/>
      <c r="C953" s="28"/>
      <c r="D953" s="28"/>
      <c r="E953" s="28"/>
    </row>
    <row r="954" customFormat="false" ht="15" hidden="false" customHeight="true" outlineLevel="0" collapsed="false">
      <c r="A954" s="28"/>
      <c r="B954" s="28"/>
      <c r="C954" s="28"/>
      <c r="D954" s="28"/>
      <c r="E954" s="28"/>
    </row>
    <row r="955" customFormat="false" ht="15" hidden="false" customHeight="true" outlineLevel="0" collapsed="false">
      <c r="A955" s="28"/>
      <c r="B955" s="28"/>
      <c r="C955" s="28"/>
      <c r="D955" s="28"/>
      <c r="E955" s="28"/>
    </row>
    <row r="956" customFormat="false" ht="15" hidden="false" customHeight="true" outlineLevel="0" collapsed="false">
      <c r="A956" s="28"/>
      <c r="B956" s="28"/>
      <c r="C956" s="28"/>
      <c r="D956" s="28"/>
      <c r="E956" s="28"/>
    </row>
    <row r="957" customFormat="false" ht="15" hidden="false" customHeight="true" outlineLevel="0" collapsed="false">
      <c r="A957" s="28"/>
      <c r="B957" s="28"/>
      <c r="C957" s="28"/>
      <c r="D957" s="28"/>
      <c r="E957" s="28"/>
    </row>
    <row r="958" customFormat="false" ht="15" hidden="false" customHeight="true" outlineLevel="0" collapsed="false">
      <c r="A958" s="28"/>
      <c r="B958" s="28"/>
      <c r="C958" s="28"/>
      <c r="D958" s="28"/>
      <c r="E958" s="28"/>
    </row>
    <row r="959" customFormat="false" ht="15" hidden="false" customHeight="true" outlineLevel="0" collapsed="false">
      <c r="A959" s="28"/>
      <c r="B959" s="28"/>
      <c r="C959" s="28"/>
      <c r="D959" s="28"/>
      <c r="E959" s="28"/>
    </row>
    <row r="960" customFormat="false" ht="15" hidden="false" customHeight="true" outlineLevel="0" collapsed="false">
      <c r="A960" s="28"/>
      <c r="B960" s="28"/>
      <c r="C960" s="28"/>
      <c r="D960" s="28"/>
      <c r="E960" s="28"/>
    </row>
    <row r="961" customFormat="false" ht="15" hidden="false" customHeight="true" outlineLevel="0" collapsed="false">
      <c r="A961" s="28"/>
      <c r="B961" s="28"/>
      <c r="C961" s="28"/>
      <c r="D961" s="28"/>
      <c r="E961" s="28"/>
    </row>
    <row r="962" customFormat="false" ht="15" hidden="false" customHeight="true" outlineLevel="0" collapsed="false">
      <c r="A962" s="28"/>
      <c r="B962" s="28"/>
      <c r="C962" s="28"/>
      <c r="D962" s="28"/>
      <c r="E962" s="28"/>
    </row>
    <row r="963" customFormat="false" ht="15" hidden="false" customHeight="true" outlineLevel="0" collapsed="false">
      <c r="A963" s="28"/>
      <c r="B963" s="28"/>
      <c r="C963" s="28"/>
      <c r="D963" s="28"/>
      <c r="E963" s="28"/>
    </row>
    <row r="964" customFormat="false" ht="15" hidden="false" customHeight="true" outlineLevel="0" collapsed="false">
      <c r="A964" s="28"/>
      <c r="B964" s="28"/>
      <c r="C964" s="28"/>
      <c r="D964" s="28"/>
      <c r="E964" s="28"/>
    </row>
    <row r="965" customFormat="false" ht="15" hidden="false" customHeight="true" outlineLevel="0" collapsed="false">
      <c r="A965" s="28"/>
      <c r="B965" s="28"/>
      <c r="C965" s="28"/>
      <c r="D965" s="28"/>
      <c r="E965" s="28"/>
    </row>
    <row r="966" customFormat="false" ht="15" hidden="false" customHeight="true" outlineLevel="0" collapsed="false">
      <c r="A966" s="28"/>
      <c r="B966" s="28"/>
      <c r="C966" s="28"/>
      <c r="D966" s="28"/>
      <c r="E966" s="28"/>
    </row>
    <row r="967" customFormat="false" ht="15" hidden="false" customHeight="true" outlineLevel="0" collapsed="false">
      <c r="A967" s="28"/>
      <c r="B967" s="28"/>
      <c r="C967" s="28"/>
      <c r="D967" s="28"/>
      <c r="E967" s="28"/>
    </row>
    <row r="968" customFormat="false" ht="15" hidden="false" customHeight="true" outlineLevel="0" collapsed="false">
      <c r="A968" s="28"/>
      <c r="B968" s="28"/>
      <c r="C968" s="28"/>
      <c r="D968" s="28"/>
      <c r="E968" s="28"/>
    </row>
    <row r="969" customFormat="false" ht="15" hidden="false" customHeight="true" outlineLevel="0" collapsed="false">
      <c r="A969" s="28"/>
      <c r="B969" s="28"/>
      <c r="C969" s="28"/>
      <c r="D969" s="28"/>
      <c r="E969" s="28"/>
    </row>
    <row r="970" customFormat="false" ht="15" hidden="false" customHeight="true" outlineLevel="0" collapsed="false">
      <c r="A970" s="28"/>
      <c r="B970" s="28"/>
      <c r="C970" s="28"/>
      <c r="D970" s="28"/>
      <c r="E970" s="28"/>
    </row>
    <row r="971" customFormat="false" ht="15" hidden="false" customHeight="true" outlineLevel="0" collapsed="false">
      <c r="A971" s="28"/>
      <c r="B971" s="28"/>
      <c r="C971" s="28"/>
      <c r="D971" s="28"/>
      <c r="E971" s="28"/>
    </row>
    <row r="972" customFormat="false" ht="15" hidden="false" customHeight="true" outlineLevel="0" collapsed="false">
      <c r="A972" s="28"/>
      <c r="B972" s="28"/>
      <c r="C972" s="28"/>
      <c r="D972" s="28"/>
      <c r="E972" s="28"/>
    </row>
    <row r="973" customFormat="false" ht="15" hidden="false" customHeight="true" outlineLevel="0" collapsed="false">
      <c r="A973" s="28"/>
      <c r="B973" s="28"/>
      <c r="C973" s="28"/>
      <c r="D973" s="28"/>
      <c r="E973" s="28"/>
    </row>
    <row r="974" customFormat="false" ht="15" hidden="false" customHeight="true" outlineLevel="0" collapsed="false">
      <c r="A974" s="28"/>
      <c r="B974" s="28"/>
      <c r="C974" s="28"/>
      <c r="D974" s="28"/>
      <c r="E974" s="28"/>
    </row>
    <row r="975" customFormat="false" ht="15" hidden="false" customHeight="true" outlineLevel="0" collapsed="false">
      <c r="A975" s="28"/>
      <c r="B975" s="28"/>
      <c r="C975" s="28"/>
      <c r="D975" s="28"/>
      <c r="E975" s="28"/>
    </row>
    <row r="976" customFormat="false" ht="15" hidden="false" customHeight="true" outlineLevel="0" collapsed="false">
      <c r="A976" s="28"/>
      <c r="B976" s="28"/>
      <c r="C976" s="28"/>
      <c r="D976" s="28"/>
      <c r="E976" s="28"/>
    </row>
    <row r="977" customFormat="false" ht="15" hidden="false" customHeight="true" outlineLevel="0" collapsed="false">
      <c r="A977" s="28"/>
      <c r="B977" s="28"/>
      <c r="C977" s="28"/>
      <c r="D977" s="28"/>
      <c r="E977" s="28"/>
    </row>
    <row r="978" customFormat="false" ht="15" hidden="false" customHeight="true" outlineLevel="0" collapsed="false">
      <c r="A978" s="28"/>
      <c r="B978" s="28"/>
      <c r="C978" s="28"/>
      <c r="D978" s="28"/>
      <c r="E978" s="28"/>
    </row>
    <row r="979" customFormat="false" ht="15" hidden="false" customHeight="true" outlineLevel="0" collapsed="false">
      <c r="A979" s="28"/>
      <c r="B979" s="28"/>
      <c r="C979" s="28"/>
      <c r="D979" s="28"/>
      <c r="E979" s="28"/>
    </row>
    <row r="980" customFormat="false" ht="15" hidden="false" customHeight="true" outlineLevel="0" collapsed="false">
      <c r="A980" s="28"/>
      <c r="B980" s="28"/>
      <c r="C980" s="28"/>
      <c r="D980" s="28"/>
      <c r="E980" s="28"/>
    </row>
    <row r="981" customFormat="false" ht="15" hidden="false" customHeight="true" outlineLevel="0" collapsed="false">
      <c r="A981" s="28"/>
      <c r="B981" s="28"/>
      <c r="C981" s="28"/>
      <c r="D981" s="28"/>
      <c r="E981" s="28"/>
    </row>
    <row r="982" customFormat="false" ht="15" hidden="false" customHeight="true" outlineLevel="0" collapsed="false">
      <c r="A982" s="28"/>
      <c r="B982" s="28"/>
      <c r="C982" s="28"/>
      <c r="D982" s="28"/>
      <c r="E982" s="28"/>
    </row>
    <row r="983" customFormat="false" ht="15" hidden="false" customHeight="true" outlineLevel="0" collapsed="false">
      <c r="A983" s="28"/>
      <c r="B983" s="28"/>
      <c r="C983" s="28"/>
      <c r="D983" s="28"/>
      <c r="E983" s="28"/>
    </row>
    <row r="984" customFormat="false" ht="15" hidden="false" customHeight="true" outlineLevel="0" collapsed="false">
      <c r="A984" s="28"/>
      <c r="B984" s="28"/>
      <c r="C984" s="28"/>
      <c r="D984" s="28"/>
      <c r="E984" s="28"/>
    </row>
    <row r="985" customFormat="false" ht="15" hidden="false" customHeight="true" outlineLevel="0" collapsed="false">
      <c r="A985" s="28"/>
      <c r="B985" s="28"/>
      <c r="C985" s="28"/>
      <c r="D985" s="28"/>
      <c r="E985" s="28"/>
    </row>
    <row r="986" customFormat="false" ht="15" hidden="false" customHeight="true" outlineLevel="0" collapsed="false">
      <c r="A986" s="28"/>
      <c r="B986" s="28"/>
      <c r="C986" s="28"/>
      <c r="D986" s="28"/>
      <c r="E986" s="28"/>
    </row>
    <row r="987" customFormat="false" ht="15" hidden="false" customHeight="true" outlineLevel="0" collapsed="false">
      <c r="A987" s="28"/>
      <c r="B987" s="28"/>
      <c r="C987" s="28"/>
      <c r="D987" s="28"/>
      <c r="E987" s="28"/>
    </row>
    <row r="988" customFormat="false" ht="15" hidden="false" customHeight="true" outlineLevel="0" collapsed="false">
      <c r="A988" s="28"/>
      <c r="B988" s="28"/>
      <c r="C988" s="28"/>
      <c r="D988" s="28"/>
      <c r="E988" s="28"/>
    </row>
    <row r="989" customFormat="false" ht="15" hidden="false" customHeight="true" outlineLevel="0" collapsed="false">
      <c r="A989" s="28"/>
      <c r="B989" s="28"/>
      <c r="C989" s="28"/>
      <c r="D989" s="28"/>
      <c r="E989" s="28"/>
    </row>
    <row r="990" customFormat="false" ht="15" hidden="false" customHeight="true" outlineLevel="0" collapsed="false">
      <c r="A990" s="28"/>
      <c r="B990" s="28"/>
      <c r="C990" s="28"/>
      <c r="D990" s="28"/>
      <c r="E990" s="28"/>
    </row>
    <row r="991" customFormat="false" ht="15" hidden="false" customHeight="true" outlineLevel="0" collapsed="false">
      <c r="A991" s="28"/>
      <c r="B991" s="28"/>
      <c r="C991" s="28"/>
      <c r="D991" s="28"/>
      <c r="E991" s="28"/>
    </row>
    <row r="992" customFormat="false" ht="15" hidden="false" customHeight="true" outlineLevel="0" collapsed="false">
      <c r="A992" s="28"/>
      <c r="B992" s="28"/>
      <c r="C992" s="28"/>
      <c r="D992" s="28"/>
      <c r="E992" s="28"/>
    </row>
    <row r="993" customFormat="false" ht="15" hidden="false" customHeight="true" outlineLevel="0" collapsed="false">
      <c r="A993" s="28"/>
      <c r="B993" s="28"/>
      <c r="C993" s="28"/>
      <c r="D993" s="28"/>
      <c r="E993" s="28"/>
    </row>
    <row r="994" customFormat="false" ht="15" hidden="false" customHeight="true" outlineLevel="0" collapsed="false">
      <c r="A994" s="28"/>
      <c r="B994" s="28"/>
      <c r="C994" s="28"/>
      <c r="D994" s="28"/>
      <c r="E994" s="28"/>
    </row>
    <row r="995" customFormat="false" ht="15" hidden="false" customHeight="true" outlineLevel="0" collapsed="false">
      <c r="A995" s="28"/>
      <c r="B995" s="28"/>
      <c r="C995" s="28"/>
      <c r="D995" s="28"/>
      <c r="E995" s="28"/>
    </row>
    <row r="996" customFormat="false" ht="15" hidden="false" customHeight="true" outlineLevel="0" collapsed="false">
      <c r="A996" s="28"/>
      <c r="B996" s="28"/>
      <c r="C996" s="28"/>
      <c r="D996" s="28"/>
      <c r="E996" s="28"/>
    </row>
    <row r="997" customFormat="false" ht="15" hidden="false" customHeight="true" outlineLevel="0" collapsed="false">
      <c r="A997" s="28"/>
      <c r="B997" s="28"/>
      <c r="C997" s="28"/>
      <c r="D997" s="28"/>
      <c r="E997" s="28"/>
    </row>
    <row r="998" customFormat="false" ht="15" hidden="false" customHeight="true" outlineLevel="0" collapsed="false">
      <c r="A998" s="28"/>
      <c r="B998" s="28"/>
      <c r="C998" s="28"/>
      <c r="D998" s="28"/>
      <c r="E998" s="28"/>
    </row>
    <row r="999" customFormat="false" ht="15" hidden="false" customHeight="true" outlineLevel="0" collapsed="false">
      <c r="A999" s="28"/>
      <c r="B999" s="28"/>
      <c r="C999" s="28"/>
      <c r="D999" s="28"/>
      <c r="E999" s="28"/>
    </row>
    <row r="1000" customFormat="false" ht="15" hidden="false" customHeight="true" outlineLevel="0" collapsed="false">
      <c r="A1000" s="28"/>
      <c r="B1000" s="28"/>
      <c r="C1000" s="28"/>
      <c r="D1000" s="28"/>
      <c r="E1000" s="28"/>
    </row>
    <row r="1001" customFormat="false" ht="15" hidden="false" customHeight="true" outlineLevel="0" collapsed="false">
      <c r="A1001" s="28"/>
      <c r="B1001" s="28"/>
      <c r="C1001" s="28"/>
      <c r="D1001" s="28"/>
      <c r="E1001" s="28"/>
    </row>
    <row r="1002" customFormat="false" ht="15" hidden="false" customHeight="true" outlineLevel="0" collapsed="false">
      <c r="A1002" s="28"/>
      <c r="B1002" s="28"/>
      <c r="C1002" s="28"/>
      <c r="D1002" s="28"/>
      <c r="E1002" s="28"/>
    </row>
    <row r="1003" customFormat="false" ht="15" hidden="false" customHeight="true" outlineLevel="0" collapsed="false">
      <c r="A1003" s="28"/>
      <c r="B1003" s="28"/>
      <c r="C1003" s="28"/>
      <c r="D1003" s="28"/>
      <c r="E1003" s="28"/>
    </row>
    <row r="1004" customFormat="false" ht="15" hidden="false" customHeight="true" outlineLevel="0" collapsed="false">
      <c r="A1004" s="28"/>
      <c r="B1004" s="28"/>
      <c r="C1004" s="28"/>
      <c r="D1004" s="28"/>
      <c r="E1004" s="28"/>
    </row>
    <row r="1005" customFormat="false" ht="15" hidden="false" customHeight="true" outlineLevel="0" collapsed="false">
      <c r="A1005" s="28"/>
      <c r="B1005" s="28"/>
      <c r="C1005" s="28"/>
      <c r="D1005" s="28"/>
      <c r="E1005" s="28"/>
    </row>
    <row r="1006" customFormat="false" ht="15" hidden="false" customHeight="true" outlineLevel="0" collapsed="false">
      <c r="A1006" s="28"/>
      <c r="B1006" s="28"/>
      <c r="C1006" s="28"/>
      <c r="D1006" s="28"/>
      <c r="E1006" s="28"/>
    </row>
    <row r="1007" customFormat="false" ht="15" hidden="false" customHeight="true" outlineLevel="0" collapsed="false">
      <c r="A1007" s="28"/>
      <c r="B1007" s="28"/>
      <c r="C1007" s="28"/>
      <c r="D1007" s="28"/>
      <c r="E1007" s="28"/>
    </row>
    <row r="1008" customFormat="false" ht="15" hidden="false" customHeight="true" outlineLevel="0" collapsed="false">
      <c r="A1008" s="28"/>
      <c r="B1008" s="28"/>
      <c r="C1008" s="28"/>
      <c r="D1008" s="28"/>
      <c r="E1008" s="28"/>
    </row>
    <row r="1009" customFormat="false" ht="15" hidden="false" customHeight="true" outlineLevel="0" collapsed="false">
      <c r="A1009" s="28"/>
      <c r="B1009" s="28"/>
      <c r="C1009" s="28"/>
      <c r="D1009" s="28"/>
      <c r="E1009" s="28"/>
    </row>
    <row r="1010" customFormat="false" ht="15" hidden="false" customHeight="true" outlineLevel="0" collapsed="false">
      <c r="A1010" s="28"/>
      <c r="B1010" s="28"/>
      <c r="C1010" s="28"/>
      <c r="D1010" s="28"/>
      <c r="E1010" s="28"/>
    </row>
    <row r="1011" customFormat="false" ht="15" hidden="false" customHeight="true" outlineLevel="0" collapsed="false">
      <c r="A1011" s="28"/>
      <c r="B1011" s="28"/>
      <c r="C1011" s="28"/>
      <c r="D1011" s="28"/>
      <c r="E1011" s="28"/>
    </row>
    <row r="1012" customFormat="false" ht="15" hidden="false" customHeight="true" outlineLevel="0" collapsed="false">
      <c r="A1012" s="28"/>
      <c r="B1012" s="28"/>
      <c r="C1012" s="28"/>
      <c r="D1012" s="28"/>
      <c r="E1012" s="28"/>
    </row>
    <row r="1013" customFormat="false" ht="15" hidden="false" customHeight="true" outlineLevel="0" collapsed="false">
      <c r="A1013" s="28"/>
      <c r="B1013" s="28"/>
      <c r="C1013" s="28"/>
      <c r="D1013" s="28"/>
      <c r="E1013" s="28"/>
    </row>
    <row r="1014" customFormat="false" ht="15" hidden="false" customHeight="true" outlineLevel="0" collapsed="false">
      <c r="A1014" s="28"/>
      <c r="B1014" s="28"/>
      <c r="C1014" s="28"/>
      <c r="D1014" s="28"/>
      <c r="E1014" s="28"/>
    </row>
    <row r="1015" customFormat="false" ht="15" hidden="false" customHeight="true" outlineLevel="0" collapsed="false">
      <c r="A1015" s="28"/>
      <c r="B1015" s="28"/>
      <c r="C1015" s="28"/>
      <c r="D1015" s="28"/>
      <c r="E1015" s="28"/>
    </row>
    <row r="1016" customFormat="false" ht="15" hidden="false" customHeight="true" outlineLevel="0" collapsed="false">
      <c r="A1016" s="28"/>
      <c r="B1016" s="28"/>
      <c r="C1016" s="28"/>
      <c r="D1016" s="28"/>
      <c r="E1016" s="28"/>
    </row>
    <row r="1017" customFormat="false" ht="15" hidden="false" customHeight="true" outlineLevel="0" collapsed="false">
      <c r="A1017" s="28"/>
      <c r="B1017" s="28"/>
      <c r="C1017" s="28"/>
      <c r="D1017" s="28"/>
      <c r="E1017" s="28"/>
    </row>
    <row r="1018" customFormat="false" ht="15" hidden="false" customHeight="true" outlineLevel="0" collapsed="false">
      <c r="A1018" s="28"/>
      <c r="B1018" s="28"/>
      <c r="C1018" s="28"/>
      <c r="D1018" s="28"/>
      <c r="E1018" s="28"/>
    </row>
    <row r="1019" customFormat="false" ht="15" hidden="false" customHeight="true" outlineLevel="0" collapsed="false">
      <c r="A1019" s="28"/>
      <c r="B1019" s="28"/>
      <c r="C1019" s="28"/>
      <c r="D1019" s="28"/>
      <c r="E1019" s="28"/>
    </row>
    <row r="1020" customFormat="false" ht="15" hidden="false" customHeight="true" outlineLevel="0" collapsed="false">
      <c r="A1020" s="28"/>
      <c r="B1020" s="28"/>
      <c r="C1020" s="28"/>
      <c r="D1020" s="28"/>
      <c r="E1020" s="28"/>
    </row>
    <row r="1021" customFormat="false" ht="15" hidden="false" customHeight="true" outlineLevel="0" collapsed="false">
      <c r="A1021" s="28"/>
      <c r="B1021" s="28"/>
      <c r="C1021" s="28"/>
      <c r="D1021" s="28"/>
      <c r="E1021" s="28"/>
    </row>
    <row r="1022" customFormat="false" ht="15" hidden="false" customHeight="true" outlineLevel="0" collapsed="false">
      <c r="A1022" s="28"/>
      <c r="B1022" s="28"/>
      <c r="C1022" s="28"/>
      <c r="D1022" s="28"/>
      <c r="E1022" s="28"/>
    </row>
    <row r="1023" customFormat="false" ht="15" hidden="false" customHeight="true" outlineLevel="0" collapsed="false">
      <c r="A1023" s="28"/>
      <c r="B1023" s="28"/>
      <c r="C1023" s="28"/>
      <c r="D1023" s="28"/>
      <c r="E1023" s="28"/>
    </row>
    <row r="1024" customFormat="false" ht="15" hidden="false" customHeight="true" outlineLevel="0" collapsed="false">
      <c r="A1024" s="28"/>
      <c r="B1024" s="28"/>
      <c r="C1024" s="28"/>
      <c r="D1024" s="28"/>
      <c r="E1024" s="28"/>
    </row>
    <row r="1025" customFormat="false" ht="15" hidden="false" customHeight="true" outlineLevel="0" collapsed="false">
      <c r="A1025" s="28"/>
      <c r="B1025" s="28"/>
      <c r="C1025" s="28"/>
      <c r="D1025" s="28"/>
      <c r="E1025" s="28"/>
    </row>
    <row r="1026" customFormat="false" ht="15" hidden="false" customHeight="true" outlineLevel="0" collapsed="false">
      <c r="A1026" s="28"/>
      <c r="B1026" s="28"/>
      <c r="C1026" s="28"/>
      <c r="D1026" s="28"/>
      <c r="E1026" s="28"/>
    </row>
    <row r="1027" customFormat="false" ht="15" hidden="false" customHeight="true" outlineLevel="0" collapsed="false">
      <c r="A1027" s="28"/>
      <c r="B1027" s="28"/>
      <c r="C1027" s="28"/>
      <c r="D1027" s="28"/>
      <c r="E1027" s="28"/>
    </row>
    <row r="1028" customFormat="false" ht="15" hidden="false" customHeight="true" outlineLevel="0" collapsed="false">
      <c r="A1028" s="28"/>
      <c r="B1028" s="28"/>
      <c r="C1028" s="28"/>
      <c r="D1028" s="28"/>
      <c r="E1028" s="28"/>
    </row>
    <row r="1029" customFormat="false" ht="15" hidden="false" customHeight="true" outlineLevel="0" collapsed="false">
      <c r="A1029" s="28"/>
      <c r="B1029" s="28"/>
      <c r="C1029" s="28"/>
      <c r="D1029" s="28"/>
      <c r="E1029" s="28"/>
    </row>
    <row r="1030" customFormat="false" ht="15" hidden="false" customHeight="true" outlineLevel="0" collapsed="false">
      <c r="A1030" s="28"/>
      <c r="B1030" s="28"/>
      <c r="C1030" s="28"/>
      <c r="D1030" s="28"/>
      <c r="E1030" s="28"/>
    </row>
  </sheetData>
  <conditionalFormatting sqref="B2:B670">
    <cfRule type="containsText" priority="2" operator="containsText" aboveAverage="0" equalAverage="0" bottom="0" percent="0" rank="0" text="Уточняет" dxfId="28">
      <formula>NOT(ISERROR(SEARCH("Уточняет",B2)))</formula>
    </cfRule>
  </conditionalFormatting>
  <conditionalFormatting sqref="B671:B1030">
    <cfRule type="containsText" priority="3" operator="containsText" aboveAverage="0" equalAverage="0" bottom="0" percent="0" rank="0" text="Уточняет" dxfId="29">
      <formula>NOT(ISERROR(SEARCH("Уточняет",B671)))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26"/>
    <col collapsed="false" customWidth="true" hidden="false" outlineLevel="0" max="3" min="3" style="1" width="22"/>
    <col collapsed="false" customWidth="true" hidden="false" outlineLevel="0" max="4" min="4" style="1" width="12"/>
    <col collapsed="false" customWidth="true" hidden="false" outlineLevel="0" max="5" min="5" style="1" width="52"/>
    <col collapsed="false" customWidth="true" hidden="false" outlineLevel="0" max="6" min="6" style="1" width="28"/>
    <col collapsed="false" customWidth="true" hidden="false" outlineLevel="0" max="7" min="7" style="1" width="82"/>
    <col collapsed="false" customWidth="true" hidden="false" outlineLevel="0" max="8" min="8" style="1" width="20"/>
    <col collapsed="false" customWidth="true" hidden="false" outlineLevel="0" max="9" min="9" style="1" width="26"/>
  </cols>
  <sheetData>
    <row r="1" customFormat="false" ht="36" hidden="false" customHeight="true" outlineLevel="0" collapsed="false">
      <c r="A1" s="4" t="s">
        <v>61</v>
      </c>
      <c r="B1" s="5" t="s">
        <v>64</v>
      </c>
      <c r="C1" s="5" t="s">
        <v>62</v>
      </c>
      <c r="D1" s="5" t="s">
        <v>16271</v>
      </c>
      <c r="E1" s="5" t="s">
        <v>88</v>
      </c>
      <c r="F1" s="5" t="s">
        <v>89</v>
      </c>
      <c r="G1" s="5" t="s">
        <v>16272</v>
      </c>
      <c r="H1" s="5" t="s">
        <v>16273</v>
      </c>
      <c r="I1" s="6" t="s">
        <v>93</v>
      </c>
    </row>
    <row r="2" customFormat="false" ht="15" hidden="false" customHeight="false" outlineLevel="0" collapsed="false">
      <c r="A2" s="30" t="s">
        <v>95</v>
      </c>
      <c r="B2" s="30" t="s">
        <v>97</v>
      </c>
      <c r="C2" s="30" t="s">
        <v>9</v>
      </c>
      <c r="D2" s="30" t="n">
        <v>10</v>
      </c>
      <c r="E2" s="31" t="s">
        <v>113</v>
      </c>
      <c r="F2" s="31"/>
      <c r="G2" s="31"/>
      <c r="H2" s="31" t="s">
        <v>115</v>
      </c>
      <c r="I2" s="31"/>
    </row>
    <row r="3" customFormat="false" ht="15" hidden="false" customHeight="false" outlineLevel="0" collapsed="false">
      <c r="A3" s="32" t="s">
        <v>116</v>
      </c>
      <c r="B3" s="32" t="s">
        <v>97</v>
      </c>
      <c r="C3" s="32" t="s">
        <v>9</v>
      </c>
      <c r="D3" s="32" t="n">
        <v>10</v>
      </c>
      <c r="E3" s="33" t="s">
        <v>128</v>
      </c>
      <c r="F3" s="33"/>
      <c r="G3" s="33"/>
      <c r="H3" s="33" t="s">
        <v>115</v>
      </c>
      <c r="I3" s="33"/>
    </row>
    <row r="4" customFormat="false" ht="15" hidden="false" customHeight="false" outlineLevel="0" collapsed="false">
      <c r="A4" s="32" t="s">
        <v>130</v>
      </c>
      <c r="B4" s="32" t="s">
        <v>97</v>
      </c>
      <c r="C4" s="32" t="s">
        <v>9</v>
      </c>
      <c r="D4" s="32" t="n">
        <v>10</v>
      </c>
      <c r="E4" s="33" t="s">
        <v>140</v>
      </c>
      <c r="F4" s="33"/>
      <c r="G4" s="33"/>
      <c r="H4" s="33" t="s">
        <v>115</v>
      </c>
      <c r="I4" s="33"/>
    </row>
    <row r="5" customFormat="false" ht="15" hidden="false" customHeight="false" outlineLevel="0" collapsed="false">
      <c r="A5" s="32" t="s">
        <v>142</v>
      </c>
      <c r="B5" s="32" t="s">
        <v>97</v>
      </c>
      <c r="C5" s="32" t="s">
        <v>9</v>
      </c>
      <c r="D5" s="32" t="n">
        <v>10</v>
      </c>
      <c r="E5" s="33" t="s">
        <v>153</v>
      </c>
      <c r="F5" s="33"/>
      <c r="G5" s="33"/>
      <c r="H5" s="33" t="s">
        <v>115</v>
      </c>
      <c r="I5" s="33"/>
    </row>
    <row r="6" customFormat="false" ht="39.55" hidden="false" customHeight="false" outlineLevel="0" collapsed="false">
      <c r="A6" s="32" t="s">
        <v>154</v>
      </c>
      <c r="B6" s="32" t="s">
        <v>97</v>
      </c>
      <c r="C6" s="32" t="s">
        <v>9</v>
      </c>
      <c r="D6" s="32" t="n">
        <v>100</v>
      </c>
      <c r="E6" s="33" t="s">
        <v>16274</v>
      </c>
      <c r="F6" s="33" t="s">
        <v>561</v>
      </c>
      <c r="G6" s="33" t="s">
        <v>16275</v>
      </c>
      <c r="H6" s="33" t="s">
        <v>115</v>
      </c>
      <c r="I6" s="33" t="s">
        <v>545</v>
      </c>
    </row>
    <row r="7" customFormat="false" ht="15" hidden="false" customHeight="false" outlineLevel="0" collapsed="false">
      <c r="A7" s="32" t="s">
        <v>170</v>
      </c>
      <c r="B7" s="32" t="s">
        <v>97</v>
      </c>
      <c r="C7" s="32" t="s">
        <v>9</v>
      </c>
      <c r="D7" s="32" t="n">
        <v>10</v>
      </c>
      <c r="E7" s="33" t="s">
        <v>184</v>
      </c>
      <c r="F7" s="33"/>
      <c r="G7" s="33"/>
      <c r="H7" s="33" t="s">
        <v>115</v>
      </c>
      <c r="I7" s="33"/>
    </row>
    <row r="8" customFormat="false" ht="15" hidden="false" customHeight="false" outlineLevel="0" collapsed="false">
      <c r="A8" s="32" t="s">
        <v>186</v>
      </c>
      <c r="B8" s="32" t="s">
        <v>97</v>
      </c>
      <c r="C8" s="32" t="s">
        <v>9</v>
      </c>
      <c r="D8" s="32" t="n">
        <v>10</v>
      </c>
      <c r="E8" s="33" t="s">
        <v>196</v>
      </c>
      <c r="F8" s="33"/>
      <c r="G8" s="33"/>
      <c r="H8" s="33" t="s">
        <v>115</v>
      </c>
      <c r="I8" s="33"/>
    </row>
    <row r="9" customFormat="false" ht="15" hidden="false" customHeight="false" outlineLevel="0" collapsed="false">
      <c r="A9" s="32" t="s">
        <v>197</v>
      </c>
      <c r="B9" s="32" t="s">
        <v>97</v>
      </c>
      <c r="C9" s="32" t="s">
        <v>9</v>
      </c>
      <c r="D9" s="32" t="n">
        <v>10</v>
      </c>
      <c r="E9" s="33" t="s">
        <v>207</v>
      </c>
      <c r="F9" s="33"/>
      <c r="G9" s="33"/>
      <c r="H9" s="33" t="s">
        <v>115</v>
      </c>
      <c r="I9" s="33"/>
    </row>
    <row r="10" customFormat="false" ht="21.6" hidden="false" customHeight="true" outlineLevel="0" collapsed="false">
      <c r="A10" s="33" t="s">
        <v>208</v>
      </c>
      <c r="B10" s="33" t="s">
        <v>97</v>
      </c>
      <c r="C10" s="33" t="s">
        <v>12</v>
      </c>
      <c r="D10" s="33" t="n">
        <v>60</v>
      </c>
      <c r="E10" s="33" t="s">
        <v>225</v>
      </c>
      <c r="F10" s="33" t="s">
        <v>226</v>
      </c>
      <c r="G10" s="33" t="s">
        <v>16276</v>
      </c>
      <c r="H10" s="33" t="s">
        <v>168</v>
      </c>
      <c r="I10" s="33" t="s">
        <v>228</v>
      </c>
    </row>
    <row r="11" customFormat="false" ht="15" hidden="false" customHeight="false" outlineLevel="0" collapsed="false">
      <c r="A11" s="32" t="s">
        <v>229</v>
      </c>
      <c r="B11" s="32" t="s">
        <v>97</v>
      </c>
      <c r="C11" s="32" t="s">
        <v>9</v>
      </c>
      <c r="D11" s="32" t="n">
        <v>10</v>
      </c>
      <c r="E11" s="33" t="s">
        <v>243</v>
      </c>
      <c r="F11" s="33"/>
      <c r="G11" s="33"/>
      <c r="H11" s="33" t="s">
        <v>115</v>
      </c>
      <c r="I11" s="33"/>
    </row>
    <row r="12" customFormat="false" ht="15" hidden="false" customHeight="false" outlineLevel="0" collapsed="false">
      <c r="A12" s="32" t="s">
        <v>244</v>
      </c>
      <c r="B12" s="32" t="s">
        <v>97</v>
      </c>
      <c r="C12" s="32" t="s">
        <v>9</v>
      </c>
      <c r="D12" s="32" t="n">
        <v>10</v>
      </c>
      <c r="E12" s="33" t="s">
        <v>256</v>
      </c>
      <c r="F12" s="33"/>
      <c r="G12" s="33"/>
      <c r="H12" s="33" t="s">
        <v>115</v>
      </c>
      <c r="I12" s="33"/>
    </row>
    <row r="13" customFormat="false" ht="15" hidden="false" customHeight="false" outlineLevel="0" collapsed="false">
      <c r="A13" s="32" t="s">
        <v>257</v>
      </c>
      <c r="B13" s="32" t="s">
        <v>97</v>
      </c>
      <c r="C13" s="32" t="s">
        <v>9</v>
      </c>
      <c r="D13" s="32" t="n">
        <v>10</v>
      </c>
      <c r="E13" s="33" t="s">
        <v>268</v>
      </c>
      <c r="F13" s="33"/>
      <c r="G13" s="33"/>
      <c r="H13" s="33" t="s">
        <v>115</v>
      </c>
      <c r="I13" s="33"/>
    </row>
    <row r="14" customFormat="false" ht="21.6" hidden="false" customHeight="true" outlineLevel="0" collapsed="false">
      <c r="A14" s="33" t="s">
        <v>269</v>
      </c>
      <c r="B14" s="33" t="s">
        <v>97</v>
      </c>
      <c r="C14" s="33" t="s">
        <v>9</v>
      </c>
      <c r="D14" s="33" t="n">
        <v>60</v>
      </c>
      <c r="E14" s="33" t="s">
        <v>283</v>
      </c>
      <c r="F14" s="33"/>
      <c r="G14" s="33" t="s">
        <v>16276</v>
      </c>
      <c r="H14" s="33" t="s">
        <v>168</v>
      </c>
      <c r="I14" s="33" t="s">
        <v>228</v>
      </c>
    </row>
    <row r="15" customFormat="false" ht="21.6" hidden="false" customHeight="true" outlineLevel="0" collapsed="false">
      <c r="A15" s="33" t="s">
        <v>285</v>
      </c>
      <c r="B15" s="33" t="s">
        <v>97</v>
      </c>
      <c r="C15" s="33" t="s">
        <v>9</v>
      </c>
      <c r="D15" s="33" t="n">
        <v>60</v>
      </c>
      <c r="E15" s="33" t="s">
        <v>295</v>
      </c>
      <c r="F15" s="33"/>
      <c r="G15" s="33" t="s">
        <v>16276</v>
      </c>
      <c r="H15" s="33" t="s">
        <v>168</v>
      </c>
      <c r="I15" s="33" t="s">
        <v>228</v>
      </c>
    </row>
    <row r="16" customFormat="false" ht="21.6" hidden="false" customHeight="true" outlineLevel="0" collapsed="false">
      <c r="A16" s="33" t="s">
        <v>297</v>
      </c>
      <c r="B16" s="33" t="s">
        <v>97</v>
      </c>
      <c r="C16" s="33" t="s">
        <v>9</v>
      </c>
      <c r="D16" s="33" t="n">
        <v>60</v>
      </c>
      <c r="E16" s="33" t="s">
        <v>295</v>
      </c>
      <c r="F16" s="33"/>
      <c r="G16" s="33" t="s">
        <v>16276</v>
      </c>
      <c r="H16" s="33" t="s">
        <v>168</v>
      </c>
      <c r="I16" s="33" t="s">
        <v>228</v>
      </c>
    </row>
    <row r="17" customFormat="false" ht="21.6" hidden="false" customHeight="true" outlineLevel="0" collapsed="false">
      <c r="A17" s="33" t="s">
        <v>312</v>
      </c>
      <c r="B17" s="33" t="s">
        <v>97</v>
      </c>
      <c r="C17" s="33" t="s">
        <v>9</v>
      </c>
      <c r="D17" s="33" t="n">
        <v>60</v>
      </c>
      <c r="E17" s="33" t="s">
        <v>295</v>
      </c>
      <c r="F17" s="33"/>
      <c r="G17" s="33" t="s">
        <v>16276</v>
      </c>
      <c r="H17" s="33" t="s">
        <v>168</v>
      </c>
      <c r="I17" s="33" t="s">
        <v>228</v>
      </c>
    </row>
    <row r="18" customFormat="false" ht="21.6" hidden="false" customHeight="true" outlineLevel="0" collapsed="false">
      <c r="A18" s="33" t="s">
        <v>324</v>
      </c>
      <c r="B18" s="33" t="s">
        <v>97</v>
      </c>
      <c r="C18" s="33" t="s">
        <v>9</v>
      </c>
      <c r="D18" s="33" t="n">
        <v>60</v>
      </c>
      <c r="E18" s="33" t="s">
        <v>334</v>
      </c>
      <c r="F18" s="33"/>
      <c r="G18" s="33" t="s">
        <v>16276</v>
      </c>
      <c r="H18" s="33" t="s">
        <v>168</v>
      </c>
      <c r="I18" s="33" t="s">
        <v>228</v>
      </c>
    </row>
    <row r="19" customFormat="false" ht="21.6" hidden="false" customHeight="true" outlineLevel="0" collapsed="false">
      <c r="A19" s="33" t="s">
        <v>335</v>
      </c>
      <c r="B19" s="33" t="s">
        <v>97</v>
      </c>
      <c r="C19" s="33" t="s">
        <v>9</v>
      </c>
      <c r="D19" s="33" t="n">
        <v>60</v>
      </c>
      <c r="E19" s="33" t="s">
        <v>347</v>
      </c>
      <c r="F19" s="33"/>
      <c r="G19" s="33" t="s">
        <v>16276</v>
      </c>
      <c r="H19" s="33" t="s">
        <v>168</v>
      </c>
      <c r="I19" s="33" t="s">
        <v>228</v>
      </c>
    </row>
    <row r="20" customFormat="false" ht="21.6" hidden="false" customHeight="true" outlineLevel="0" collapsed="false">
      <c r="A20" s="33" t="s">
        <v>349</v>
      </c>
      <c r="B20" s="33" t="s">
        <v>97</v>
      </c>
      <c r="C20" s="33" t="s">
        <v>9</v>
      </c>
      <c r="D20" s="33" t="n">
        <v>60</v>
      </c>
      <c r="E20" s="33" t="s">
        <v>358</v>
      </c>
      <c r="F20" s="33"/>
      <c r="G20" s="33" t="s">
        <v>16276</v>
      </c>
      <c r="H20" s="33" t="s">
        <v>168</v>
      </c>
      <c r="I20" s="33" t="s">
        <v>228</v>
      </c>
    </row>
    <row r="21" customFormat="false" ht="21.6" hidden="false" customHeight="true" outlineLevel="0" collapsed="false">
      <c r="A21" s="33" t="s">
        <v>360</v>
      </c>
      <c r="B21" s="33" t="s">
        <v>97</v>
      </c>
      <c r="C21" s="33" t="s">
        <v>9</v>
      </c>
      <c r="D21" s="33" t="n">
        <v>60</v>
      </c>
      <c r="E21" s="33" t="s">
        <v>358</v>
      </c>
      <c r="F21" s="33"/>
      <c r="G21" s="33" t="s">
        <v>16276</v>
      </c>
      <c r="H21" s="33" t="s">
        <v>168</v>
      </c>
      <c r="I21" s="33" t="s">
        <v>228</v>
      </c>
    </row>
    <row r="22" customFormat="false" ht="21.6" hidden="false" customHeight="true" outlineLevel="0" collapsed="false">
      <c r="A22" s="33" t="s">
        <v>370</v>
      </c>
      <c r="B22" s="33" t="s">
        <v>97</v>
      </c>
      <c r="C22" s="33" t="s">
        <v>9</v>
      </c>
      <c r="D22" s="33" t="n">
        <v>60</v>
      </c>
      <c r="E22" s="33" t="s">
        <v>358</v>
      </c>
      <c r="F22" s="33"/>
      <c r="G22" s="33" t="s">
        <v>16276</v>
      </c>
      <c r="H22" s="33" t="s">
        <v>168</v>
      </c>
      <c r="I22" s="33" t="s">
        <v>228</v>
      </c>
    </row>
    <row r="23" customFormat="false" ht="21.6" hidden="false" customHeight="true" outlineLevel="0" collapsed="false">
      <c r="A23" s="33" t="s">
        <v>381</v>
      </c>
      <c r="B23" s="33" t="s">
        <v>97</v>
      </c>
      <c r="C23" s="33" t="s">
        <v>9</v>
      </c>
      <c r="D23" s="33" t="n">
        <v>60</v>
      </c>
      <c r="E23" s="33" t="s">
        <v>392</v>
      </c>
      <c r="F23" s="33"/>
      <c r="G23" s="33" t="s">
        <v>16276</v>
      </c>
      <c r="H23" s="33" t="s">
        <v>168</v>
      </c>
      <c r="I23" s="33" t="s">
        <v>228</v>
      </c>
    </row>
    <row r="24" customFormat="false" ht="15" hidden="false" customHeight="false" outlineLevel="0" collapsed="false">
      <c r="A24" s="32" t="s">
        <v>394</v>
      </c>
      <c r="B24" s="32" t="s">
        <v>97</v>
      </c>
      <c r="C24" s="32" t="s">
        <v>9</v>
      </c>
      <c r="D24" s="32" t="n">
        <v>10</v>
      </c>
      <c r="E24" s="33" t="s">
        <v>407</v>
      </c>
      <c r="F24" s="33"/>
      <c r="G24" s="33"/>
      <c r="H24" s="33" t="s">
        <v>115</v>
      </c>
      <c r="I24" s="33"/>
    </row>
    <row r="25" customFormat="false" ht="15" hidden="false" customHeight="false" outlineLevel="0" collapsed="false">
      <c r="A25" s="32" t="s">
        <v>409</v>
      </c>
      <c r="B25" s="32" t="s">
        <v>97</v>
      </c>
      <c r="C25" s="32" t="s">
        <v>9</v>
      </c>
      <c r="D25" s="32" t="n">
        <v>10</v>
      </c>
      <c r="E25" s="33" t="s">
        <v>420</v>
      </c>
      <c r="F25" s="33"/>
      <c r="G25" s="33"/>
      <c r="H25" s="33" t="s">
        <v>115</v>
      </c>
      <c r="I25" s="33"/>
    </row>
    <row r="26" customFormat="false" ht="15" hidden="false" customHeight="false" outlineLevel="0" collapsed="false">
      <c r="A26" s="32" t="s">
        <v>421</v>
      </c>
      <c r="B26" s="32" t="s">
        <v>97</v>
      </c>
      <c r="C26" s="32" t="s">
        <v>9</v>
      </c>
      <c r="D26" s="32" t="n">
        <v>10</v>
      </c>
      <c r="E26" s="33" t="s">
        <v>432</v>
      </c>
      <c r="F26" s="33"/>
      <c r="G26" s="33"/>
      <c r="H26" s="33" t="s">
        <v>115</v>
      </c>
      <c r="I26" s="33"/>
    </row>
    <row r="27" customFormat="false" ht="15" hidden="false" customHeight="false" outlineLevel="0" collapsed="false">
      <c r="A27" s="32" t="s">
        <v>433</v>
      </c>
      <c r="B27" s="32" t="s">
        <v>97</v>
      </c>
      <c r="C27" s="32" t="s">
        <v>9</v>
      </c>
      <c r="D27" s="32" t="n">
        <v>10</v>
      </c>
      <c r="E27" s="33" t="s">
        <v>420</v>
      </c>
      <c r="F27" s="33"/>
      <c r="G27" s="33"/>
      <c r="H27" s="33" t="s">
        <v>115</v>
      </c>
      <c r="I27" s="33"/>
    </row>
    <row r="28" customFormat="false" ht="15" hidden="false" customHeight="false" outlineLevel="0" collapsed="false">
      <c r="A28" s="32" t="s">
        <v>443</v>
      </c>
      <c r="B28" s="32" t="s">
        <v>97</v>
      </c>
      <c r="C28" s="32" t="s">
        <v>9</v>
      </c>
      <c r="D28" s="32" t="n">
        <v>10</v>
      </c>
      <c r="E28" s="33" t="s">
        <v>453</v>
      </c>
      <c r="F28" s="33"/>
      <c r="G28" s="33"/>
      <c r="H28" s="33" t="s">
        <v>115</v>
      </c>
      <c r="I28" s="33"/>
    </row>
    <row r="29" customFormat="false" ht="15" hidden="false" customHeight="false" outlineLevel="0" collapsed="false">
      <c r="A29" s="32" t="s">
        <v>454</v>
      </c>
      <c r="B29" s="32" t="s">
        <v>97</v>
      </c>
      <c r="C29" s="32" t="s">
        <v>9</v>
      </c>
      <c r="D29" s="32" t="n">
        <v>10</v>
      </c>
      <c r="E29" s="33" t="s">
        <v>467</v>
      </c>
      <c r="F29" s="33"/>
      <c r="G29" s="33"/>
      <c r="H29" s="33" t="s">
        <v>115</v>
      </c>
      <c r="I29" s="33"/>
    </row>
    <row r="30" customFormat="false" ht="15" hidden="false" customHeight="false" outlineLevel="0" collapsed="false">
      <c r="A30" s="32" t="s">
        <v>468</v>
      </c>
      <c r="B30" s="32" t="s">
        <v>97</v>
      </c>
      <c r="C30" s="32" t="s">
        <v>9</v>
      </c>
      <c r="D30" s="32" t="n">
        <v>10</v>
      </c>
      <c r="E30" s="33" t="s">
        <v>479</v>
      </c>
      <c r="F30" s="33"/>
      <c r="G30" s="33"/>
      <c r="H30" s="33" t="s">
        <v>115</v>
      </c>
      <c r="I30" s="33"/>
    </row>
    <row r="31" customFormat="false" ht="15" hidden="false" customHeight="false" outlineLevel="0" collapsed="false">
      <c r="A31" s="32" t="s">
        <v>481</v>
      </c>
      <c r="B31" s="32" t="s">
        <v>97</v>
      </c>
      <c r="C31" s="32" t="s">
        <v>9</v>
      </c>
      <c r="D31" s="32" t="n">
        <v>10</v>
      </c>
      <c r="E31" s="33" t="s">
        <v>479</v>
      </c>
      <c r="F31" s="33"/>
      <c r="G31" s="33"/>
      <c r="H31" s="33" t="s">
        <v>115</v>
      </c>
      <c r="I31" s="33"/>
    </row>
    <row r="32" customFormat="false" ht="15" hidden="false" customHeight="false" outlineLevel="0" collapsed="false">
      <c r="A32" s="32" t="s">
        <v>492</v>
      </c>
      <c r="B32" s="32" t="s">
        <v>97</v>
      </c>
      <c r="C32" s="32" t="s">
        <v>9</v>
      </c>
      <c r="D32" s="32" t="n">
        <v>10</v>
      </c>
      <c r="E32" s="33" t="s">
        <v>479</v>
      </c>
      <c r="F32" s="33"/>
      <c r="G32" s="33"/>
      <c r="H32" s="33" t="s">
        <v>115</v>
      </c>
      <c r="I32" s="33"/>
    </row>
    <row r="33" customFormat="false" ht="15" hidden="false" customHeight="false" outlineLevel="0" collapsed="false">
      <c r="A33" s="32" t="s">
        <v>503</v>
      </c>
      <c r="B33" s="32" t="s">
        <v>97</v>
      </c>
      <c r="C33" s="32" t="s">
        <v>9</v>
      </c>
      <c r="D33" s="32" t="n">
        <v>10</v>
      </c>
      <c r="E33" s="33" t="s">
        <v>479</v>
      </c>
      <c r="F33" s="33"/>
      <c r="G33" s="33"/>
      <c r="H33" s="33" t="s">
        <v>115</v>
      </c>
      <c r="I33" s="33"/>
    </row>
    <row r="34" customFormat="false" ht="15" hidden="false" customHeight="false" outlineLevel="0" collapsed="false">
      <c r="A34" s="32" t="s">
        <v>515</v>
      </c>
      <c r="B34" s="32" t="s">
        <v>97</v>
      </c>
      <c r="C34" s="32" t="s">
        <v>9</v>
      </c>
      <c r="D34" s="32" t="n">
        <v>10</v>
      </c>
      <c r="E34" s="33" t="s">
        <v>526</v>
      </c>
      <c r="F34" s="33"/>
      <c r="G34" s="33"/>
      <c r="H34" s="33" t="s">
        <v>115</v>
      </c>
      <c r="I34" s="33"/>
    </row>
    <row r="35" customFormat="false" ht="21.6" hidden="false" customHeight="true" outlineLevel="0" collapsed="false">
      <c r="A35" s="33" t="s">
        <v>527</v>
      </c>
      <c r="B35" s="33" t="s">
        <v>97</v>
      </c>
      <c r="C35" s="33" t="s">
        <v>9</v>
      </c>
      <c r="D35" s="33" t="n">
        <v>100</v>
      </c>
      <c r="E35" s="33" t="s">
        <v>542</v>
      </c>
      <c r="F35" s="33" t="s">
        <v>543</v>
      </c>
      <c r="G35" s="33" t="s">
        <v>16277</v>
      </c>
      <c r="H35" s="33" t="s">
        <v>168</v>
      </c>
      <c r="I35" s="33" t="s">
        <v>545</v>
      </c>
    </row>
    <row r="36" customFormat="false" ht="39.55" hidden="false" customHeight="false" outlineLevel="0" collapsed="false">
      <c r="A36" s="32" t="s">
        <v>546</v>
      </c>
      <c r="B36" s="32" t="s">
        <v>97</v>
      </c>
      <c r="C36" s="32" t="s">
        <v>9</v>
      </c>
      <c r="D36" s="32" t="n">
        <v>100</v>
      </c>
      <c r="E36" s="33" t="s">
        <v>560</v>
      </c>
      <c r="F36" s="33" t="s">
        <v>561</v>
      </c>
      <c r="G36" s="33" t="s">
        <v>16275</v>
      </c>
      <c r="H36" s="33" t="s">
        <v>115</v>
      </c>
      <c r="I36" s="33" t="s">
        <v>545</v>
      </c>
    </row>
    <row r="37" customFormat="false" ht="32.4" hidden="false" customHeight="true" outlineLevel="0" collapsed="false">
      <c r="A37" s="33" t="s">
        <v>563</v>
      </c>
      <c r="B37" s="33" t="s">
        <v>97</v>
      </c>
      <c r="C37" s="33" t="s">
        <v>9</v>
      </c>
      <c r="D37" s="33" t="n">
        <v>100</v>
      </c>
      <c r="E37" s="33" t="s">
        <v>576</v>
      </c>
      <c r="F37" s="33" t="s">
        <v>577</v>
      </c>
      <c r="G37" s="33" t="s">
        <v>16278</v>
      </c>
      <c r="H37" s="33" t="s">
        <v>168</v>
      </c>
      <c r="I37" s="33" t="s">
        <v>545</v>
      </c>
    </row>
    <row r="38" customFormat="false" ht="15" hidden="false" customHeight="false" outlineLevel="0" collapsed="false">
      <c r="A38" s="32" t="s">
        <v>579</v>
      </c>
      <c r="B38" s="32" t="s">
        <v>97</v>
      </c>
      <c r="C38" s="32" t="s">
        <v>9</v>
      </c>
      <c r="D38" s="32" t="n">
        <v>10</v>
      </c>
      <c r="E38" s="33" t="s">
        <v>590</v>
      </c>
      <c r="F38" s="33"/>
      <c r="G38" s="33"/>
      <c r="H38" s="33" t="s">
        <v>115</v>
      </c>
      <c r="I38" s="33"/>
    </row>
    <row r="39" customFormat="false" ht="15" hidden="false" customHeight="false" outlineLevel="0" collapsed="false">
      <c r="A39" s="32" t="s">
        <v>591</v>
      </c>
      <c r="B39" s="32" t="s">
        <v>97</v>
      </c>
      <c r="C39" s="32" t="s">
        <v>9</v>
      </c>
      <c r="D39" s="32" t="n">
        <v>10</v>
      </c>
      <c r="E39" s="33" t="s">
        <v>590</v>
      </c>
      <c r="F39" s="33"/>
      <c r="G39" s="33"/>
      <c r="H39" s="33" t="s">
        <v>115</v>
      </c>
      <c r="I39" s="33"/>
    </row>
    <row r="40" customFormat="false" ht="15" hidden="false" customHeight="false" outlineLevel="0" collapsed="false">
      <c r="A40" s="32" t="s">
        <v>602</v>
      </c>
      <c r="B40" s="32" t="s">
        <v>97</v>
      </c>
      <c r="C40" s="32" t="s">
        <v>9</v>
      </c>
      <c r="D40" s="32" t="n">
        <v>10</v>
      </c>
      <c r="E40" s="33" t="s">
        <v>612</v>
      </c>
      <c r="F40" s="33"/>
      <c r="G40" s="33"/>
      <c r="H40" s="33" t="s">
        <v>115</v>
      </c>
      <c r="I40" s="33"/>
    </row>
    <row r="41" customFormat="false" ht="15" hidden="false" customHeight="false" outlineLevel="0" collapsed="false">
      <c r="A41" s="32" t="s">
        <v>613</v>
      </c>
      <c r="B41" s="32" t="s">
        <v>97</v>
      </c>
      <c r="C41" s="32" t="s">
        <v>9</v>
      </c>
      <c r="D41" s="32" t="n">
        <v>10</v>
      </c>
      <c r="E41" s="33" t="s">
        <v>623</v>
      </c>
      <c r="F41" s="33"/>
      <c r="G41" s="33"/>
      <c r="H41" s="33" t="s">
        <v>115</v>
      </c>
      <c r="I41" s="33"/>
    </row>
    <row r="42" customFormat="false" ht="32.4" hidden="false" customHeight="true" outlineLevel="0" collapsed="false">
      <c r="A42" s="33" t="s">
        <v>624</v>
      </c>
      <c r="B42" s="33" t="s">
        <v>97</v>
      </c>
      <c r="C42" s="33" t="s">
        <v>9</v>
      </c>
      <c r="D42" s="33" t="n">
        <v>100</v>
      </c>
      <c r="E42" s="33" t="s">
        <v>638</v>
      </c>
      <c r="F42" s="33" t="s">
        <v>639</v>
      </c>
      <c r="G42" s="33" t="s">
        <v>16279</v>
      </c>
      <c r="H42" s="33" t="s">
        <v>168</v>
      </c>
      <c r="I42" s="33" t="s">
        <v>545</v>
      </c>
    </row>
    <row r="43" customFormat="false" ht="21.6" hidden="false" customHeight="true" outlineLevel="0" collapsed="false">
      <c r="A43" s="33" t="s">
        <v>641</v>
      </c>
      <c r="B43" s="33" t="s">
        <v>97</v>
      </c>
      <c r="C43" s="33" t="s">
        <v>9</v>
      </c>
      <c r="D43" s="33" t="n">
        <v>100</v>
      </c>
      <c r="E43" s="33" t="s">
        <v>654</v>
      </c>
      <c r="F43" s="33" t="s">
        <v>543</v>
      </c>
      <c r="G43" s="33" t="s">
        <v>16277</v>
      </c>
      <c r="H43" s="33" t="s">
        <v>168</v>
      </c>
      <c r="I43" s="33" t="s">
        <v>545</v>
      </c>
    </row>
    <row r="44" customFormat="false" ht="21.6" hidden="false" customHeight="true" outlineLevel="0" collapsed="false">
      <c r="A44" s="33" t="s">
        <v>656</v>
      </c>
      <c r="B44" s="33" t="s">
        <v>97</v>
      </c>
      <c r="C44" s="33" t="s">
        <v>9</v>
      </c>
      <c r="D44" s="33" t="n">
        <v>100</v>
      </c>
      <c r="E44" s="33" t="s">
        <v>654</v>
      </c>
      <c r="F44" s="33" t="s">
        <v>543</v>
      </c>
      <c r="G44" s="33" t="s">
        <v>16277</v>
      </c>
      <c r="H44" s="33" t="s">
        <v>168</v>
      </c>
      <c r="I44" s="33" t="s">
        <v>545</v>
      </c>
    </row>
    <row r="45" customFormat="false" ht="15" hidden="false" customHeight="false" outlineLevel="0" collapsed="false">
      <c r="A45" s="32" t="s">
        <v>668</v>
      </c>
      <c r="B45" s="32" t="s">
        <v>97</v>
      </c>
      <c r="C45" s="32" t="s">
        <v>9</v>
      </c>
      <c r="D45" s="32" t="n">
        <v>10</v>
      </c>
      <c r="E45" s="33" t="s">
        <v>682</v>
      </c>
      <c r="F45" s="33"/>
      <c r="G45" s="33"/>
      <c r="H45" s="33" t="s">
        <v>115</v>
      </c>
      <c r="I45" s="33"/>
    </row>
    <row r="46" customFormat="false" ht="39.55" hidden="false" customHeight="false" outlineLevel="0" collapsed="false">
      <c r="A46" s="32" t="s">
        <v>683</v>
      </c>
      <c r="B46" s="32" t="s">
        <v>97</v>
      </c>
      <c r="C46" s="32" t="s">
        <v>9</v>
      </c>
      <c r="D46" s="32" t="n">
        <v>100</v>
      </c>
      <c r="E46" s="33" t="s">
        <v>696</v>
      </c>
      <c r="F46" s="33" t="s">
        <v>561</v>
      </c>
      <c r="G46" s="33" t="s">
        <v>16275</v>
      </c>
      <c r="H46" s="33" t="s">
        <v>115</v>
      </c>
      <c r="I46" s="33" t="s">
        <v>545</v>
      </c>
    </row>
    <row r="47" customFormat="false" ht="15" hidden="false" customHeight="false" outlineLevel="0" collapsed="false">
      <c r="A47" s="32" t="s">
        <v>698</v>
      </c>
      <c r="B47" s="32" t="s">
        <v>97</v>
      </c>
      <c r="C47" s="32" t="s">
        <v>9</v>
      </c>
      <c r="D47" s="32" t="n">
        <v>10</v>
      </c>
      <c r="E47" s="33" t="s">
        <v>710</v>
      </c>
      <c r="F47" s="33"/>
      <c r="G47" s="33"/>
      <c r="H47" s="33" t="s">
        <v>115</v>
      </c>
      <c r="I47" s="33"/>
    </row>
    <row r="48" customFormat="false" ht="39.55" hidden="false" customHeight="false" outlineLevel="0" collapsed="false">
      <c r="A48" s="32" t="s">
        <v>712</v>
      </c>
      <c r="B48" s="32" t="s">
        <v>97</v>
      </c>
      <c r="C48" s="32" t="s">
        <v>9</v>
      </c>
      <c r="D48" s="32" t="n">
        <v>100</v>
      </c>
      <c r="E48" s="33" t="s">
        <v>725</v>
      </c>
      <c r="F48" s="33" t="s">
        <v>561</v>
      </c>
      <c r="G48" s="33" t="s">
        <v>16275</v>
      </c>
      <c r="H48" s="33" t="s">
        <v>115</v>
      </c>
      <c r="I48" s="33" t="s">
        <v>545</v>
      </c>
    </row>
    <row r="49" customFormat="false" ht="15" hidden="false" customHeight="false" outlineLevel="0" collapsed="false">
      <c r="A49" s="32" t="s">
        <v>726</v>
      </c>
      <c r="B49" s="32" t="s">
        <v>97</v>
      </c>
      <c r="C49" s="32" t="s">
        <v>9</v>
      </c>
      <c r="D49" s="32" t="n">
        <v>10</v>
      </c>
      <c r="E49" s="33" t="s">
        <v>739</v>
      </c>
      <c r="F49" s="33"/>
      <c r="G49" s="33"/>
      <c r="H49" s="33" t="s">
        <v>115</v>
      </c>
      <c r="I49" s="33"/>
    </row>
    <row r="50" customFormat="false" ht="15" hidden="false" customHeight="false" outlineLevel="0" collapsed="false">
      <c r="A50" s="32" t="s">
        <v>741</v>
      </c>
      <c r="B50" s="32" t="s">
        <v>97</v>
      </c>
      <c r="C50" s="32" t="s">
        <v>9</v>
      </c>
      <c r="D50" s="32" t="n">
        <v>10</v>
      </c>
      <c r="E50" s="33" t="s">
        <v>755</v>
      </c>
      <c r="F50" s="33"/>
      <c r="G50" s="33"/>
      <c r="H50" s="33" t="s">
        <v>115</v>
      </c>
      <c r="I50" s="33"/>
    </row>
    <row r="51" customFormat="false" ht="15" hidden="false" customHeight="false" outlineLevel="0" collapsed="false">
      <c r="A51" s="32" t="s">
        <v>757</v>
      </c>
      <c r="B51" s="32" t="s">
        <v>97</v>
      </c>
      <c r="C51" s="32" t="s">
        <v>9</v>
      </c>
      <c r="D51" s="32" t="n">
        <v>10</v>
      </c>
      <c r="E51" s="33" t="s">
        <v>755</v>
      </c>
      <c r="F51" s="33"/>
      <c r="G51" s="33"/>
      <c r="H51" s="33" t="s">
        <v>115</v>
      </c>
      <c r="I51" s="33"/>
    </row>
    <row r="52" customFormat="false" ht="15" hidden="false" customHeight="false" outlineLevel="0" collapsed="false">
      <c r="A52" s="32" t="s">
        <v>769</v>
      </c>
      <c r="B52" s="32" t="s">
        <v>97</v>
      </c>
      <c r="C52" s="32" t="s">
        <v>9</v>
      </c>
      <c r="D52" s="32" t="n">
        <v>10</v>
      </c>
      <c r="E52" s="33" t="s">
        <v>755</v>
      </c>
      <c r="F52" s="33"/>
      <c r="G52" s="33"/>
      <c r="H52" s="33" t="s">
        <v>115</v>
      </c>
      <c r="I52" s="33"/>
    </row>
    <row r="53" customFormat="false" ht="15" hidden="false" customHeight="false" outlineLevel="0" collapsed="false">
      <c r="A53" s="32" t="s">
        <v>780</v>
      </c>
      <c r="B53" s="32" t="s">
        <v>97</v>
      </c>
      <c r="C53" s="32" t="s">
        <v>9</v>
      </c>
      <c r="D53" s="32" t="n">
        <v>10</v>
      </c>
      <c r="E53" s="33" t="s">
        <v>792</v>
      </c>
      <c r="F53" s="33"/>
      <c r="G53" s="33"/>
      <c r="H53" s="33" t="s">
        <v>115</v>
      </c>
      <c r="I53" s="33"/>
    </row>
    <row r="54" customFormat="false" ht="15" hidden="false" customHeight="false" outlineLevel="0" collapsed="false">
      <c r="A54" s="32" t="s">
        <v>793</v>
      </c>
      <c r="B54" s="32" t="s">
        <v>97</v>
      </c>
      <c r="C54" s="32" t="s">
        <v>9</v>
      </c>
      <c r="D54" s="32" t="n">
        <v>10</v>
      </c>
      <c r="E54" s="33" t="s">
        <v>792</v>
      </c>
      <c r="F54" s="33"/>
      <c r="G54" s="33"/>
      <c r="H54" s="33" t="s">
        <v>115</v>
      </c>
      <c r="I54" s="33"/>
    </row>
    <row r="55" customFormat="false" ht="15" hidden="false" customHeight="false" outlineLevel="0" collapsed="false">
      <c r="A55" s="32" t="s">
        <v>805</v>
      </c>
      <c r="B55" s="32" t="s">
        <v>97</v>
      </c>
      <c r="C55" s="32" t="s">
        <v>9</v>
      </c>
      <c r="D55" s="32" t="n">
        <v>10</v>
      </c>
      <c r="E55" s="33" t="s">
        <v>815</v>
      </c>
      <c r="F55" s="33"/>
      <c r="G55" s="33"/>
      <c r="H55" s="33" t="s">
        <v>115</v>
      </c>
      <c r="I55" s="33"/>
    </row>
    <row r="56" customFormat="false" ht="15" hidden="false" customHeight="false" outlineLevel="0" collapsed="false">
      <c r="A56" s="32" t="s">
        <v>740</v>
      </c>
      <c r="B56" s="32" t="s">
        <v>97</v>
      </c>
      <c r="C56" s="32" t="s">
        <v>9</v>
      </c>
      <c r="D56" s="32" t="n">
        <v>10</v>
      </c>
      <c r="E56" s="33" t="s">
        <v>825</v>
      </c>
      <c r="F56" s="33"/>
      <c r="G56" s="33"/>
      <c r="H56" s="33" t="s">
        <v>115</v>
      </c>
      <c r="I56" s="33"/>
    </row>
    <row r="57" customFormat="false" ht="15" hidden="false" customHeight="false" outlineLevel="0" collapsed="false">
      <c r="A57" s="32" t="s">
        <v>826</v>
      </c>
      <c r="B57" s="32" t="s">
        <v>97</v>
      </c>
      <c r="C57" s="32" t="s">
        <v>9</v>
      </c>
      <c r="D57" s="32" t="n">
        <v>10</v>
      </c>
      <c r="E57" s="33" t="s">
        <v>838</v>
      </c>
      <c r="F57" s="33"/>
      <c r="G57" s="33"/>
      <c r="H57" s="33" t="s">
        <v>115</v>
      </c>
      <c r="I57" s="33"/>
    </row>
    <row r="58" customFormat="false" ht="39.55" hidden="false" customHeight="false" outlineLevel="0" collapsed="false">
      <c r="A58" s="32" t="s">
        <v>839</v>
      </c>
      <c r="B58" s="32" t="s">
        <v>97</v>
      </c>
      <c r="C58" s="32" t="s">
        <v>9</v>
      </c>
      <c r="D58" s="32" t="n">
        <v>100</v>
      </c>
      <c r="E58" s="33" t="s">
        <v>849</v>
      </c>
      <c r="F58" s="33" t="s">
        <v>561</v>
      </c>
      <c r="G58" s="33" t="s">
        <v>16275</v>
      </c>
      <c r="H58" s="33" t="s">
        <v>115</v>
      </c>
      <c r="I58" s="33" t="s">
        <v>545</v>
      </c>
    </row>
    <row r="59" customFormat="false" ht="15" hidden="false" customHeight="false" outlineLevel="0" collapsed="false">
      <c r="A59" s="32" t="s">
        <v>851</v>
      </c>
      <c r="B59" s="32" t="s">
        <v>97</v>
      </c>
      <c r="C59" s="32" t="s">
        <v>9</v>
      </c>
      <c r="D59" s="32" t="n">
        <v>10</v>
      </c>
      <c r="E59" s="33" t="s">
        <v>863</v>
      </c>
      <c r="F59" s="33"/>
      <c r="G59" s="33"/>
      <c r="H59" s="33" t="s">
        <v>115</v>
      </c>
      <c r="I59" s="33"/>
    </row>
    <row r="60" customFormat="false" ht="15" hidden="false" customHeight="false" outlineLevel="0" collapsed="false">
      <c r="A60" s="32" t="s">
        <v>865</v>
      </c>
      <c r="B60" s="32" t="s">
        <v>97</v>
      </c>
      <c r="C60" s="32" t="s">
        <v>9</v>
      </c>
      <c r="D60" s="32" t="n">
        <v>10</v>
      </c>
      <c r="E60" s="33" t="s">
        <v>877</v>
      </c>
      <c r="F60" s="33"/>
      <c r="G60" s="33"/>
      <c r="H60" s="33" t="s">
        <v>115</v>
      </c>
      <c r="I60" s="33"/>
    </row>
    <row r="61" customFormat="false" ht="15" hidden="false" customHeight="false" outlineLevel="0" collapsed="false">
      <c r="A61" s="32" t="s">
        <v>879</v>
      </c>
      <c r="B61" s="32" t="s">
        <v>97</v>
      </c>
      <c r="C61" s="32" t="s">
        <v>9</v>
      </c>
      <c r="D61" s="32" t="n">
        <v>10</v>
      </c>
      <c r="E61" s="33" t="s">
        <v>888</v>
      </c>
      <c r="F61" s="33"/>
      <c r="G61" s="33"/>
      <c r="H61" s="33" t="s">
        <v>115</v>
      </c>
      <c r="I61" s="33"/>
    </row>
    <row r="62" customFormat="false" ht="15" hidden="false" customHeight="false" outlineLevel="0" collapsed="false">
      <c r="A62" s="32" t="s">
        <v>889</v>
      </c>
      <c r="B62" s="32" t="s">
        <v>97</v>
      </c>
      <c r="C62" s="32" t="s">
        <v>9</v>
      </c>
      <c r="D62" s="32" t="n">
        <v>10</v>
      </c>
      <c r="E62" s="33" t="s">
        <v>900</v>
      </c>
      <c r="F62" s="33"/>
      <c r="G62" s="33"/>
      <c r="H62" s="33" t="s">
        <v>115</v>
      </c>
      <c r="I62" s="33"/>
    </row>
    <row r="63" customFormat="false" ht="15" hidden="false" customHeight="false" outlineLevel="0" collapsed="false">
      <c r="A63" s="32" t="s">
        <v>901</v>
      </c>
      <c r="B63" s="32" t="s">
        <v>97</v>
      </c>
      <c r="C63" s="32" t="s">
        <v>12</v>
      </c>
      <c r="D63" s="32" t="n">
        <v>10</v>
      </c>
      <c r="E63" s="33" t="s">
        <v>914</v>
      </c>
      <c r="F63" s="33" t="s">
        <v>915</v>
      </c>
      <c r="G63" s="33"/>
      <c r="H63" s="33" t="s">
        <v>115</v>
      </c>
      <c r="I63" s="33"/>
    </row>
    <row r="64" customFormat="false" ht="15" hidden="false" customHeight="false" outlineLevel="0" collapsed="false">
      <c r="A64" s="32" t="s">
        <v>916</v>
      </c>
      <c r="B64" s="32" t="s">
        <v>97</v>
      </c>
      <c r="C64" s="32" t="s">
        <v>9</v>
      </c>
      <c r="D64" s="32" t="n">
        <v>10</v>
      </c>
      <c r="E64" s="33" t="s">
        <v>926</v>
      </c>
      <c r="F64" s="33"/>
      <c r="G64" s="33"/>
      <c r="H64" s="33" t="s">
        <v>115</v>
      </c>
      <c r="I64" s="33"/>
    </row>
    <row r="65" customFormat="false" ht="21.6" hidden="false" customHeight="true" outlineLevel="0" collapsed="false">
      <c r="A65" s="33" t="s">
        <v>864</v>
      </c>
      <c r="B65" s="33" t="s">
        <v>97</v>
      </c>
      <c r="C65" s="33" t="s">
        <v>9</v>
      </c>
      <c r="D65" s="33" t="n">
        <v>80</v>
      </c>
      <c r="E65" s="33" t="s">
        <v>938</v>
      </c>
      <c r="F65" s="33" t="s">
        <v>939</v>
      </c>
      <c r="G65" s="33" t="s">
        <v>16280</v>
      </c>
      <c r="H65" s="33" t="s">
        <v>168</v>
      </c>
      <c r="I65" s="33" t="s">
        <v>941</v>
      </c>
    </row>
    <row r="66" customFormat="false" ht="39.55" hidden="false" customHeight="false" outlineLevel="0" collapsed="false">
      <c r="A66" s="32" t="s">
        <v>942</v>
      </c>
      <c r="B66" s="32" t="s">
        <v>97</v>
      </c>
      <c r="C66" s="32" t="s">
        <v>9</v>
      </c>
      <c r="D66" s="32" t="n">
        <v>80</v>
      </c>
      <c r="E66" s="33" t="s">
        <v>954</v>
      </c>
      <c r="F66" s="33" t="s">
        <v>955</v>
      </c>
      <c r="G66" s="33" t="s">
        <v>941</v>
      </c>
      <c r="H66" s="33" t="s">
        <v>168</v>
      </c>
      <c r="I66" s="33" t="s">
        <v>941</v>
      </c>
    </row>
    <row r="67" customFormat="false" ht="15" hidden="false" customHeight="false" outlineLevel="0" collapsed="false">
      <c r="A67" s="32" t="s">
        <v>957</v>
      </c>
      <c r="B67" s="32" t="s">
        <v>97</v>
      </c>
      <c r="C67" s="32" t="s">
        <v>9</v>
      </c>
      <c r="D67" s="32" t="n">
        <v>10</v>
      </c>
      <c r="E67" s="33" t="s">
        <v>969</v>
      </c>
      <c r="F67" s="33"/>
      <c r="G67" s="33"/>
      <c r="H67" s="33" t="s">
        <v>115</v>
      </c>
      <c r="I67" s="33"/>
    </row>
    <row r="68" customFormat="false" ht="54" hidden="false" customHeight="true" outlineLevel="0" collapsed="false">
      <c r="A68" s="33" t="s">
        <v>970</v>
      </c>
      <c r="B68" s="33" t="s">
        <v>97</v>
      </c>
      <c r="C68" s="33" t="s">
        <v>9</v>
      </c>
      <c r="D68" s="33" t="n">
        <v>100</v>
      </c>
      <c r="E68" s="33" t="s">
        <v>983</v>
      </c>
      <c r="F68" s="33" t="s">
        <v>984</v>
      </c>
      <c r="G68" s="33" t="s">
        <v>16281</v>
      </c>
      <c r="H68" s="33" t="s">
        <v>168</v>
      </c>
      <c r="I68" s="33" t="s">
        <v>545</v>
      </c>
    </row>
    <row r="69" customFormat="false" ht="32.4" hidden="false" customHeight="true" outlineLevel="0" collapsed="false">
      <c r="A69" s="33" t="s">
        <v>986</v>
      </c>
      <c r="B69" s="33" t="s">
        <v>97</v>
      </c>
      <c r="C69" s="33" t="s">
        <v>9</v>
      </c>
      <c r="D69" s="33" t="n">
        <v>80</v>
      </c>
      <c r="E69" s="33" t="s">
        <v>997</v>
      </c>
      <c r="F69" s="33" t="s">
        <v>939</v>
      </c>
      <c r="G69" s="33" t="s">
        <v>16282</v>
      </c>
      <c r="H69" s="33" t="s">
        <v>168</v>
      </c>
      <c r="I69" s="33" t="s">
        <v>941</v>
      </c>
    </row>
    <row r="70" customFormat="false" ht="15" hidden="false" customHeight="false" outlineLevel="0" collapsed="false">
      <c r="A70" s="32" t="s">
        <v>999</v>
      </c>
      <c r="B70" s="32" t="s">
        <v>97</v>
      </c>
      <c r="C70" s="32" t="s">
        <v>9</v>
      </c>
      <c r="D70" s="32" t="n">
        <v>10</v>
      </c>
      <c r="E70" s="33" t="s">
        <v>1011</v>
      </c>
      <c r="F70" s="33"/>
      <c r="G70" s="33"/>
      <c r="H70" s="33" t="s">
        <v>115</v>
      </c>
      <c r="I70" s="33"/>
    </row>
    <row r="71" customFormat="false" ht="21.6" hidden="false" customHeight="true" outlineLevel="0" collapsed="false">
      <c r="A71" s="33" t="s">
        <v>1012</v>
      </c>
      <c r="B71" s="33" t="s">
        <v>97</v>
      </c>
      <c r="C71" s="33" t="s">
        <v>9</v>
      </c>
      <c r="D71" s="33" t="n">
        <v>80</v>
      </c>
      <c r="E71" s="33" t="s">
        <v>1022</v>
      </c>
      <c r="F71" s="33" t="s">
        <v>939</v>
      </c>
      <c r="G71" s="33" t="s">
        <v>16280</v>
      </c>
      <c r="H71" s="33" t="s">
        <v>168</v>
      </c>
      <c r="I71" s="33" t="s">
        <v>941</v>
      </c>
    </row>
    <row r="72" customFormat="false" ht="15" hidden="false" customHeight="false" outlineLevel="0" collapsed="false">
      <c r="A72" s="32" t="s">
        <v>1024</v>
      </c>
      <c r="B72" s="32" t="s">
        <v>97</v>
      </c>
      <c r="C72" s="32" t="s">
        <v>9</v>
      </c>
      <c r="D72" s="32" t="n">
        <v>10</v>
      </c>
      <c r="E72" s="33" t="s">
        <v>1035</v>
      </c>
      <c r="F72" s="33"/>
      <c r="G72" s="33"/>
      <c r="H72" s="33" t="s">
        <v>115</v>
      </c>
      <c r="I72" s="33"/>
    </row>
    <row r="73" customFormat="false" ht="21.6" hidden="false" customHeight="true" outlineLevel="0" collapsed="false">
      <c r="A73" s="33" t="s">
        <v>1036</v>
      </c>
      <c r="B73" s="33" t="s">
        <v>97</v>
      </c>
      <c r="C73" s="33" t="s">
        <v>9</v>
      </c>
      <c r="D73" s="33" t="n">
        <v>70</v>
      </c>
      <c r="E73" s="33" t="s">
        <v>1047</v>
      </c>
      <c r="F73" s="33" t="s">
        <v>1048</v>
      </c>
      <c r="G73" s="33" t="s">
        <v>16283</v>
      </c>
      <c r="H73" s="33" t="s">
        <v>168</v>
      </c>
      <c r="I73" s="33" t="s">
        <v>1050</v>
      </c>
    </row>
    <row r="74" customFormat="false" ht="32.4" hidden="false" customHeight="true" outlineLevel="0" collapsed="false">
      <c r="A74" s="33" t="s">
        <v>1051</v>
      </c>
      <c r="B74" s="33" t="s">
        <v>97</v>
      </c>
      <c r="C74" s="33" t="s">
        <v>9</v>
      </c>
      <c r="D74" s="33" t="n">
        <v>80</v>
      </c>
      <c r="E74" s="33" t="s">
        <v>1062</v>
      </c>
      <c r="F74" s="33" t="s">
        <v>1063</v>
      </c>
      <c r="G74" s="33" t="s">
        <v>16282</v>
      </c>
      <c r="H74" s="33" t="s">
        <v>168</v>
      </c>
      <c r="I74" s="33" t="s">
        <v>941</v>
      </c>
    </row>
    <row r="75" customFormat="false" ht="21.6" hidden="false" customHeight="true" outlineLevel="0" collapsed="false">
      <c r="A75" s="33" t="s">
        <v>1065</v>
      </c>
      <c r="B75" s="33" t="s">
        <v>97</v>
      </c>
      <c r="C75" s="33" t="s">
        <v>9</v>
      </c>
      <c r="D75" s="33" t="n">
        <v>70</v>
      </c>
      <c r="E75" s="33" t="s">
        <v>1076</v>
      </c>
      <c r="F75" s="33" t="s">
        <v>1077</v>
      </c>
      <c r="G75" s="33" t="s">
        <v>16283</v>
      </c>
      <c r="H75" s="33" t="s">
        <v>168</v>
      </c>
      <c r="I75" s="33" t="s">
        <v>1050</v>
      </c>
    </row>
    <row r="76" customFormat="false" ht="15" hidden="false" customHeight="false" outlineLevel="0" collapsed="false">
      <c r="A76" s="32" t="s">
        <v>1079</v>
      </c>
      <c r="B76" s="32" t="s">
        <v>97</v>
      </c>
      <c r="C76" s="32" t="s">
        <v>9</v>
      </c>
      <c r="D76" s="32" t="n">
        <v>10</v>
      </c>
      <c r="E76" s="33" t="s">
        <v>1089</v>
      </c>
      <c r="F76" s="33"/>
      <c r="G76" s="33"/>
      <c r="H76" s="33" t="s">
        <v>115</v>
      </c>
      <c r="I76" s="33"/>
    </row>
    <row r="77" customFormat="false" ht="15" hidden="false" customHeight="false" outlineLevel="0" collapsed="false">
      <c r="A77" s="32" t="s">
        <v>878</v>
      </c>
      <c r="B77" s="32" t="s">
        <v>97</v>
      </c>
      <c r="C77" s="32" t="s">
        <v>9</v>
      </c>
      <c r="D77" s="32" t="n">
        <v>10</v>
      </c>
      <c r="E77" s="33" t="s">
        <v>1099</v>
      </c>
      <c r="F77" s="33"/>
      <c r="G77" s="33"/>
      <c r="H77" s="33" t="s">
        <v>115</v>
      </c>
      <c r="I77" s="33"/>
    </row>
    <row r="78" customFormat="false" ht="21.6" hidden="false" customHeight="true" outlineLevel="0" collapsed="false">
      <c r="A78" s="33" t="s">
        <v>1100</v>
      </c>
      <c r="B78" s="33" t="s">
        <v>97</v>
      </c>
      <c r="C78" s="33" t="s">
        <v>9</v>
      </c>
      <c r="D78" s="33" t="n">
        <v>100</v>
      </c>
      <c r="E78" s="33" t="s">
        <v>1112</v>
      </c>
      <c r="F78" s="33" t="s">
        <v>543</v>
      </c>
      <c r="G78" s="33" t="s">
        <v>16277</v>
      </c>
      <c r="H78" s="33" t="s">
        <v>168</v>
      </c>
      <c r="I78" s="33" t="s">
        <v>545</v>
      </c>
    </row>
    <row r="79" customFormat="false" ht="21.6" hidden="false" customHeight="true" outlineLevel="0" collapsed="false">
      <c r="A79" s="33" t="s">
        <v>1114</v>
      </c>
      <c r="B79" s="33" t="s">
        <v>97</v>
      </c>
      <c r="C79" s="33" t="s">
        <v>9</v>
      </c>
      <c r="D79" s="33" t="n">
        <v>100</v>
      </c>
      <c r="E79" s="33" t="s">
        <v>1126</v>
      </c>
      <c r="F79" s="33" t="s">
        <v>543</v>
      </c>
      <c r="G79" s="33" t="s">
        <v>16277</v>
      </c>
      <c r="H79" s="33" t="s">
        <v>168</v>
      </c>
      <c r="I79" s="33" t="s">
        <v>545</v>
      </c>
    </row>
    <row r="80" customFormat="false" ht="21.6" hidden="false" customHeight="true" outlineLevel="0" collapsed="false">
      <c r="A80" s="33" t="s">
        <v>1128</v>
      </c>
      <c r="B80" s="33" t="s">
        <v>97</v>
      </c>
      <c r="C80" s="33" t="s">
        <v>9</v>
      </c>
      <c r="D80" s="33" t="n">
        <v>100</v>
      </c>
      <c r="E80" s="33" t="s">
        <v>1138</v>
      </c>
      <c r="F80" s="33" t="s">
        <v>543</v>
      </c>
      <c r="G80" s="33" t="s">
        <v>16277</v>
      </c>
      <c r="H80" s="33" t="s">
        <v>168</v>
      </c>
      <c r="I80" s="33" t="s">
        <v>545</v>
      </c>
    </row>
    <row r="81" customFormat="false" ht="32.4" hidden="false" customHeight="true" outlineLevel="0" collapsed="false">
      <c r="A81" s="33" t="s">
        <v>1140</v>
      </c>
      <c r="B81" s="33" t="s">
        <v>97</v>
      </c>
      <c r="C81" s="33" t="s">
        <v>9</v>
      </c>
      <c r="D81" s="33" t="n">
        <v>100</v>
      </c>
      <c r="E81" s="33" t="s">
        <v>1152</v>
      </c>
      <c r="F81" s="33" t="s">
        <v>1153</v>
      </c>
      <c r="G81" s="33" t="s">
        <v>16284</v>
      </c>
      <c r="H81" s="33" t="s">
        <v>168</v>
      </c>
      <c r="I81" s="33" t="s">
        <v>545</v>
      </c>
    </row>
    <row r="82" customFormat="false" ht="15" hidden="false" customHeight="false" outlineLevel="0" collapsed="false">
      <c r="A82" s="32" t="s">
        <v>1155</v>
      </c>
      <c r="B82" s="32" t="s">
        <v>97</v>
      </c>
      <c r="C82" s="32" t="s">
        <v>9</v>
      </c>
      <c r="D82" s="32" t="n">
        <v>10</v>
      </c>
      <c r="E82" s="33" t="s">
        <v>1169</v>
      </c>
      <c r="F82" s="33"/>
      <c r="G82" s="33"/>
      <c r="H82" s="33" t="s">
        <v>115</v>
      </c>
      <c r="I82" s="33"/>
    </row>
    <row r="83" customFormat="false" ht="15" hidden="false" customHeight="false" outlineLevel="0" collapsed="false">
      <c r="A83" s="32" t="s">
        <v>480</v>
      </c>
      <c r="B83" s="32" t="s">
        <v>97</v>
      </c>
      <c r="C83" s="32" t="s">
        <v>9</v>
      </c>
      <c r="D83" s="32" t="n">
        <v>10</v>
      </c>
      <c r="E83" s="33" t="s">
        <v>1169</v>
      </c>
      <c r="F83" s="33"/>
      <c r="G83" s="33"/>
      <c r="H83" s="33" t="s">
        <v>115</v>
      </c>
      <c r="I83" s="33"/>
    </row>
    <row r="84" customFormat="false" ht="15" hidden="false" customHeight="false" outlineLevel="0" collapsed="false">
      <c r="A84" s="32" t="s">
        <v>1180</v>
      </c>
      <c r="B84" s="32" t="s">
        <v>97</v>
      </c>
      <c r="C84" s="32" t="s">
        <v>9</v>
      </c>
      <c r="D84" s="32" t="n">
        <v>10</v>
      </c>
      <c r="E84" s="33" t="s">
        <v>1169</v>
      </c>
      <c r="F84" s="33"/>
      <c r="G84" s="33"/>
      <c r="H84" s="33" t="s">
        <v>115</v>
      </c>
      <c r="I84" s="33"/>
    </row>
    <row r="85" customFormat="false" ht="15" hidden="false" customHeight="false" outlineLevel="0" collapsed="false">
      <c r="A85" s="32" t="s">
        <v>1192</v>
      </c>
      <c r="B85" s="32" t="s">
        <v>97</v>
      </c>
      <c r="C85" s="32" t="s">
        <v>9</v>
      </c>
      <c r="D85" s="32" t="n">
        <v>10</v>
      </c>
      <c r="E85" s="33" t="s">
        <v>1169</v>
      </c>
      <c r="F85" s="33"/>
      <c r="G85" s="33"/>
      <c r="H85" s="33" t="s">
        <v>115</v>
      </c>
      <c r="I85" s="33"/>
    </row>
    <row r="86" customFormat="false" ht="21.6" hidden="false" customHeight="true" outlineLevel="0" collapsed="false">
      <c r="A86" s="33" t="s">
        <v>114</v>
      </c>
      <c r="B86" s="33" t="s">
        <v>97</v>
      </c>
      <c r="C86" s="33" t="s">
        <v>9</v>
      </c>
      <c r="D86" s="33" t="n">
        <v>70</v>
      </c>
      <c r="E86" s="33" t="s">
        <v>1213</v>
      </c>
      <c r="F86" s="33" t="s">
        <v>1214</v>
      </c>
      <c r="G86" s="33" t="s">
        <v>16283</v>
      </c>
      <c r="H86" s="33" t="s">
        <v>168</v>
      </c>
      <c r="I86" s="33" t="s">
        <v>1050</v>
      </c>
    </row>
    <row r="87" customFormat="false" ht="15" hidden="false" customHeight="false" outlineLevel="0" collapsed="false">
      <c r="A87" s="32" t="s">
        <v>1216</v>
      </c>
      <c r="B87" s="32" t="s">
        <v>97</v>
      </c>
      <c r="C87" s="32" t="s">
        <v>9</v>
      </c>
      <c r="D87" s="32" t="n">
        <v>10</v>
      </c>
      <c r="E87" s="33" t="s">
        <v>1227</v>
      </c>
      <c r="F87" s="33"/>
      <c r="G87" s="33"/>
      <c r="H87" s="33" t="s">
        <v>115</v>
      </c>
      <c r="I87" s="33"/>
    </row>
    <row r="88" customFormat="false" ht="15" hidden="false" customHeight="false" outlineLevel="0" collapsed="false">
      <c r="A88" s="32" t="s">
        <v>1228</v>
      </c>
      <c r="B88" s="32" t="s">
        <v>97</v>
      </c>
      <c r="C88" s="32" t="s">
        <v>9</v>
      </c>
      <c r="D88" s="32" t="n">
        <v>10</v>
      </c>
      <c r="E88" s="33" t="s">
        <v>1240</v>
      </c>
      <c r="F88" s="33"/>
      <c r="G88" s="33"/>
      <c r="H88" s="33" t="s">
        <v>115</v>
      </c>
      <c r="I88" s="33"/>
    </row>
    <row r="89" customFormat="false" ht="15" hidden="false" customHeight="false" outlineLevel="0" collapsed="false">
      <c r="A89" s="32" t="s">
        <v>1242</v>
      </c>
      <c r="B89" s="32" t="s">
        <v>97</v>
      </c>
      <c r="C89" s="32" t="s">
        <v>9</v>
      </c>
      <c r="D89" s="32" t="n">
        <v>10</v>
      </c>
      <c r="E89" s="33" t="s">
        <v>1253</v>
      </c>
      <c r="F89" s="33"/>
      <c r="G89" s="33"/>
      <c r="H89" s="33" t="s">
        <v>115</v>
      </c>
      <c r="I89" s="33"/>
    </row>
    <row r="90" customFormat="false" ht="15" hidden="false" customHeight="false" outlineLevel="0" collapsed="false">
      <c r="A90" s="32" t="s">
        <v>1255</v>
      </c>
      <c r="B90" s="32" t="s">
        <v>97</v>
      </c>
      <c r="C90" s="32" t="s">
        <v>9</v>
      </c>
      <c r="D90" s="32" t="n">
        <v>10</v>
      </c>
      <c r="E90" s="33" t="s">
        <v>1266</v>
      </c>
      <c r="F90" s="33"/>
      <c r="G90" s="33"/>
      <c r="H90" s="33" t="s">
        <v>115</v>
      </c>
      <c r="I90" s="33"/>
    </row>
    <row r="91" customFormat="false" ht="15" hidden="false" customHeight="false" outlineLevel="0" collapsed="false">
      <c r="A91" s="32" t="s">
        <v>141</v>
      </c>
      <c r="B91" s="32" t="s">
        <v>97</v>
      </c>
      <c r="C91" s="32" t="s">
        <v>9</v>
      </c>
      <c r="D91" s="32" t="n">
        <v>10</v>
      </c>
      <c r="E91" s="33" t="s">
        <v>1277</v>
      </c>
      <c r="F91" s="33"/>
      <c r="G91" s="33"/>
      <c r="H91" s="33" t="s">
        <v>115</v>
      </c>
      <c r="I91" s="33"/>
    </row>
    <row r="92" customFormat="false" ht="15" hidden="false" customHeight="false" outlineLevel="0" collapsed="false">
      <c r="A92" s="32" t="s">
        <v>1278</v>
      </c>
      <c r="B92" s="32" t="s">
        <v>97</v>
      </c>
      <c r="C92" s="32" t="s">
        <v>9</v>
      </c>
      <c r="D92" s="32" t="n">
        <v>10</v>
      </c>
      <c r="E92" s="33" t="s">
        <v>1288</v>
      </c>
      <c r="F92" s="33"/>
      <c r="G92" s="33"/>
      <c r="H92" s="33" t="s">
        <v>115</v>
      </c>
      <c r="I92" s="33"/>
    </row>
    <row r="93" customFormat="false" ht="21.6" hidden="false" customHeight="true" outlineLevel="0" collapsed="false">
      <c r="A93" s="33" t="s">
        <v>1289</v>
      </c>
      <c r="B93" s="33" t="s">
        <v>97</v>
      </c>
      <c r="C93" s="33" t="s">
        <v>9</v>
      </c>
      <c r="D93" s="33" t="n">
        <v>60</v>
      </c>
      <c r="E93" s="33" t="s">
        <v>1302</v>
      </c>
      <c r="F93" s="33"/>
      <c r="G93" s="33" t="s">
        <v>16276</v>
      </c>
      <c r="H93" s="33" t="s">
        <v>168</v>
      </c>
      <c r="I93" s="33" t="s">
        <v>228</v>
      </c>
    </row>
    <row r="94" customFormat="false" ht="15" hidden="false" customHeight="false" outlineLevel="0" collapsed="false">
      <c r="A94" s="32" t="s">
        <v>1304</v>
      </c>
      <c r="B94" s="32" t="s">
        <v>97</v>
      </c>
      <c r="C94" s="32" t="s">
        <v>9</v>
      </c>
      <c r="D94" s="32" t="n">
        <v>10</v>
      </c>
      <c r="E94" s="33" t="s">
        <v>1313</v>
      </c>
      <c r="F94" s="33"/>
      <c r="G94" s="33"/>
      <c r="H94" s="33" t="s">
        <v>115</v>
      </c>
      <c r="I94" s="33"/>
    </row>
    <row r="95" customFormat="false" ht="15" hidden="false" customHeight="false" outlineLevel="0" collapsed="false">
      <c r="A95" s="32" t="s">
        <v>1314</v>
      </c>
      <c r="B95" s="32" t="s">
        <v>97</v>
      </c>
      <c r="C95" s="32" t="s">
        <v>9</v>
      </c>
      <c r="D95" s="32" t="n">
        <v>10</v>
      </c>
      <c r="E95" s="33" t="s">
        <v>1326</v>
      </c>
      <c r="F95" s="33"/>
      <c r="G95" s="33"/>
      <c r="H95" s="33" t="s">
        <v>115</v>
      </c>
      <c r="I95" s="33"/>
    </row>
    <row r="96" customFormat="false" ht="15" hidden="false" customHeight="false" outlineLevel="0" collapsed="false">
      <c r="A96" s="32" t="s">
        <v>1327</v>
      </c>
      <c r="B96" s="32" t="s">
        <v>97</v>
      </c>
      <c r="C96" s="32" t="s">
        <v>9</v>
      </c>
      <c r="D96" s="32" t="n">
        <v>10</v>
      </c>
      <c r="E96" s="33" t="s">
        <v>1341</v>
      </c>
      <c r="F96" s="33" t="s">
        <v>1342</v>
      </c>
      <c r="G96" s="33"/>
      <c r="H96" s="33" t="s">
        <v>115</v>
      </c>
      <c r="I96" s="33"/>
    </row>
    <row r="97" customFormat="false" ht="15" hidden="false" customHeight="false" outlineLevel="0" collapsed="false">
      <c r="A97" s="32" t="s">
        <v>1343</v>
      </c>
      <c r="B97" s="32" t="s">
        <v>97</v>
      </c>
      <c r="C97" s="32" t="s">
        <v>9</v>
      </c>
      <c r="D97" s="32" t="n">
        <v>10</v>
      </c>
      <c r="E97" s="33" t="s">
        <v>1356</v>
      </c>
      <c r="F97" s="33"/>
      <c r="G97" s="33"/>
      <c r="H97" s="33" t="s">
        <v>115</v>
      </c>
      <c r="I97" s="33"/>
    </row>
    <row r="98" customFormat="false" ht="15" hidden="false" customHeight="false" outlineLevel="0" collapsed="false">
      <c r="A98" s="32" t="s">
        <v>1357</v>
      </c>
      <c r="B98" s="32" t="s">
        <v>97</v>
      </c>
      <c r="C98" s="32" t="s">
        <v>9</v>
      </c>
      <c r="D98" s="32" t="n">
        <v>10</v>
      </c>
      <c r="E98" s="33" t="s">
        <v>1367</v>
      </c>
      <c r="F98" s="33"/>
      <c r="G98" s="33"/>
      <c r="H98" s="33" t="s">
        <v>115</v>
      </c>
      <c r="I98" s="33"/>
    </row>
    <row r="99" customFormat="false" ht="15" hidden="false" customHeight="false" outlineLevel="0" collapsed="false">
      <c r="A99" s="32" t="s">
        <v>1369</v>
      </c>
      <c r="B99" s="32" t="s">
        <v>97</v>
      </c>
      <c r="C99" s="32" t="s">
        <v>9</v>
      </c>
      <c r="D99" s="32" t="n">
        <v>10</v>
      </c>
      <c r="E99" s="33" t="s">
        <v>1356</v>
      </c>
      <c r="F99" s="33"/>
      <c r="G99" s="33"/>
      <c r="H99" s="33" t="s">
        <v>115</v>
      </c>
      <c r="I99" s="33"/>
    </row>
    <row r="100" customFormat="false" ht="15" hidden="false" customHeight="false" outlineLevel="0" collapsed="false">
      <c r="A100" s="32" t="s">
        <v>1383</v>
      </c>
      <c r="B100" s="32" t="s">
        <v>97</v>
      </c>
      <c r="C100" s="32" t="s">
        <v>9</v>
      </c>
      <c r="D100" s="32" t="n">
        <v>10</v>
      </c>
      <c r="E100" s="33" t="s">
        <v>1356</v>
      </c>
      <c r="F100" s="33"/>
      <c r="G100" s="33"/>
      <c r="H100" s="33" t="s">
        <v>115</v>
      </c>
      <c r="I100" s="33"/>
    </row>
    <row r="101" customFormat="false" ht="15" hidden="false" customHeight="false" outlineLevel="0" collapsed="false">
      <c r="A101" s="32" t="s">
        <v>1395</v>
      </c>
      <c r="B101" s="32" t="s">
        <v>97</v>
      </c>
      <c r="C101" s="32" t="s">
        <v>9</v>
      </c>
      <c r="D101" s="32" t="n">
        <v>10</v>
      </c>
      <c r="E101" s="33" t="s">
        <v>1356</v>
      </c>
      <c r="F101" s="33"/>
      <c r="G101" s="33"/>
      <c r="H101" s="33" t="s">
        <v>115</v>
      </c>
      <c r="I101" s="33"/>
    </row>
    <row r="102" customFormat="false" ht="15" hidden="false" customHeight="false" outlineLevel="0" collapsed="false">
      <c r="A102" s="32" t="s">
        <v>1406</v>
      </c>
      <c r="B102" s="32" t="s">
        <v>97</v>
      </c>
      <c r="C102" s="32" t="s">
        <v>9</v>
      </c>
      <c r="D102" s="32" t="n">
        <v>10</v>
      </c>
      <c r="E102" s="33" t="s">
        <v>1356</v>
      </c>
      <c r="F102" s="33"/>
      <c r="G102" s="33"/>
      <c r="H102" s="33" t="s">
        <v>115</v>
      </c>
      <c r="I102" s="33"/>
    </row>
    <row r="103" customFormat="false" ht="39.55" hidden="false" customHeight="false" outlineLevel="0" collapsed="false">
      <c r="A103" s="32" t="s">
        <v>1420</v>
      </c>
      <c r="B103" s="32" t="s">
        <v>97</v>
      </c>
      <c r="C103" s="32" t="s">
        <v>9</v>
      </c>
      <c r="D103" s="32" t="n">
        <v>100</v>
      </c>
      <c r="E103" s="33" t="s">
        <v>1431</v>
      </c>
      <c r="F103" s="33" t="s">
        <v>561</v>
      </c>
      <c r="G103" s="33" t="s">
        <v>16275</v>
      </c>
      <c r="H103" s="33" t="s">
        <v>115</v>
      </c>
      <c r="I103" s="33" t="s">
        <v>545</v>
      </c>
    </row>
    <row r="104" customFormat="false" ht="15" hidden="false" customHeight="false" outlineLevel="0" collapsed="false">
      <c r="A104" s="32" t="s">
        <v>1432</v>
      </c>
      <c r="B104" s="32" t="s">
        <v>97</v>
      </c>
      <c r="C104" s="32" t="s">
        <v>9</v>
      </c>
      <c r="D104" s="32" t="n">
        <v>10</v>
      </c>
      <c r="E104" s="33" t="s">
        <v>1356</v>
      </c>
      <c r="F104" s="33"/>
      <c r="G104" s="33"/>
      <c r="H104" s="33" t="s">
        <v>115</v>
      </c>
      <c r="I104" s="33"/>
    </row>
    <row r="105" customFormat="false" ht="15" hidden="false" customHeight="false" outlineLevel="0" collapsed="false">
      <c r="A105" s="32" t="s">
        <v>1442</v>
      </c>
      <c r="B105" s="32" t="s">
        <v>97</v>
      </c>
      <c r="C105" s="32" t="s">
        <v>9</v>
      </c>
      <c r="D105" s="32" t="n">
        <v>10</v>
      </c>
      <c r="E105" s="33" t="s">
        <v>1356</v>
      </c>
      <c r="F105" s="33"/>
      <c r="G105" s="33"/>
      <c r="H105" s="33" t="s">
        <v>115</v>
      </c>
      <c r="I105" s="33"/>
    </row>
    <row r="106" customFormat="false" ht="15" hidden="false" customHeight="false" outlineLevel="0" collapsed="false">
      <c r="A106" s="32" t="s">
        <v>1452</v>
      </c>
      <c r="B106" s="32" t="s">
        <v>97</v>
      </c>
      <c r="C106" s="32" t="s">
        <v>9</v>
      </c>
      <c r="D106" s="32" t="n">
        <v>10</v>
      </c>
      <c r="E106" s="33" t="s">
        <v>1461</v>
      </c>
      <c r="F106" s="33"/>
      <c r="G106" s="33"/>
      <c r="H106" s="33" t="s">
        <v>115</v>
      </c>
      <c r="I106" s="33"/>
    </row>
    <row r="107" customFormat="false" ht="15" hidden="false" customHeight="false" outlineLevel="0" collapsed="false">
      <c r="A107" s="32" t="s">
        <v>1462</v>
      </c>
      <c r="B107" s="32" t="s">
        <v>97</v>
      </c>
      <c r="C107" s="32" t="s">
        <v>9</v>
      </c>
      <c r="D107" s="32" t="n">
        <v>10</v>
      </c>
      <c r="E107" s="33" t="s">
        <v>1461</v>
      </c>
      <c r="F107" s="33"/>
      <c r="G107" s="33"/>
      <c r="H107" s="33" t="s">
        <v>115</v>
      </c>
      <c r="I107" s="33"/>
    </row>
    <row r="108" customFormat="false" ht="39.55" hidden="false" customHeight="false" outlineLevel="0" collapsed="false">
      <c r="A108" s="32" t="s">
        <v>1472</v>
      </c>
      <c r="B108" s="32" t="s">
        <v>97</v>
      </c>
      <c r="C108" s="32" t="s">
        <v>9</v>
      </c>
      <c r="D108" s="32" t="n">
        <v>100</v>
      </c>
      <c r="E108" s="33" t="s">
        <v>1483</v>
      </c>
      <c r="F108" s="33" t="s">
        <v>561</v>
      </c>
      <c r="G108" s="33" t="s">
        <v>16275</v>
      </c>
      <c r="H108" s="33" t="s">
        <v>115</v>
      </c>
      <c r="I108" s="33" t="s">
        <v>545</v>
      </c>
    </row>
    <row r="109" customFormat="false" ht="21.6" hidden="false" customHeight="true" outlineLevel="0" collapsed="false">
      <c r="A109" s="33" t="s">
        <v>1484</v>
      </c>
      <c r="B109" s="33" t="s">
        <v>97</v>
      </c>
      <c r="C109" s="33" t="s">
        <v>9</v>
      </c>
      <c r="D109" s="33" t="n">
        <v>70</v>
      </c>
      <c r="E109" s="33" t="s">
        <v>1495</v>
      </c>
      <c r="F109" s="33" t="s">
        <v>1496</v>
      </c>
      <c r="G109" s="33" t="s">
        <v>16283</v>
      </c>
      <c r="H109" s="33" t="s">
        <v>168</v>
      </c>
      <c r="I109" s="33" t="s">
        <v>1050</v>
      </c>
    </row>
    <row r="110" customFormat="false" ht="21.6" hidden="false" customHeight="true" outlineLevel="0" collapsed="false">
      <c r="A110" s="33" t="s">
        <v>1498</v>
      </c>
      <c r="B110" s="33" t="s">
        <v>97</v>
      </c>
      <c r="C110" s="33" t="s">
        <v>9</v>
      </c>
      <c r="D110" s="33" t="n">
        <v>100</v>
      </c>
      <c r="E110" s="33" t="s">
        <v>1512</v>
      </c>
      <c r="F110" s="33" t="s">
        <v>543</v>
      </c>
      <c r="G110" s="33" t="s">
        <v>16277</v>
      </c>
      <c r="H110" s="33" t="s">
        <v>168</v>
      </c>
      <c r="I110" s="33" t="s">
        <v>545</v>
      </c>
    </row>
    <row r="111" customFormat="false" ht="39.55" hidden="false" customHeight="false" outlineLevel="0" collapsed="false">
      <c r="A111" s="32" t="s">
        <v>1514</v>
      </c>
      <c r="B111" s="32" t="s">
        <v>97</v>
      </c>
      <c r="C111" s="32" t="s">
        <v>9</v>
      </c>
      <c r="D111" s="32" t="n">
        <v>100</v>
      </c>
      <c r="E111" s="33" t="s">
        <v>1526</v>
      </c>
      <c r="F111" s="33" t="s">
        <v>561</v>
      </c>
      <c r="G111" s="33" t="s">
        <v>16275</v>
      </c>
      <c r="H111" s="33" t="s">
        <v>115</v>
      </c>
      <c r="I111" s="33" t="s">
        <v>545</v>
      </c>
    </row>
    <row r="112" customFormat="false" ht="15" hidden="false" customHeight="false" outlineLevel="0" collapsed="false">
      <c r="A112" s="32" t="s">
        <v>1528</v>
      </c>
      <c r="B112" s="32" t="s">
        <v>97</v>
      </c>
      <c r="C112" s="32" t="s">
        <v>9</v>
      </c>
      <c r="D112" s="32" t="n">
        <v>10</v>
      </c>
      <c r="E112" s="33" t="s">
        <v>1538</v>
      </c>
      <c r="F112" s="33"/>
      <c r="G112" s="33"/>
      <c r="H112" s="33" t="s">
        <v>115</v>
      </c>
      <c r="I112" s="33"/>
    </row>
    <row r="113" customFormat="false" ht="21.6" hidden="false" customHeight="true" outlineLevel="0" collapsed="false">
      <c r="A113" s="33" t="s">
        <v>1539</v>
      </c>
      <c r="B113" s="33" t="s">
        <v>97</v>
      </c>
      <c r="C113" s="33" t="s">
        <v>9</v>
      </c>
      <c r="D113" s="33" t="n">
        <v>70</v>
      </c>
      <c r="E113" s="33" t="s">
        <v>1550</v>
      </c>
      <c r="F113" s="33" t="s">
        <v>1496</v>
      </c>
      <c r="G113" s="33" t="s">
        <v>16283</v>
      </c>
      <c r="H113" s="33" t="s">
        <v>168</v>
      </c>
      <c r="I113" s="33" t="s">
        <v>1050</v>
      </c>
    </row>
    <row r="114" customFormat="false" ht="15" hidden="false" customHeight="false" outlineLevel="0" collapsed="false">
      <c r="A114" s="32" t="s">
        <v>1552</v>
      </c>
      <c r="B114" s="32" t="s">
        <v>97</v>
      </c>
      <c r="C114" s="32" t="s">
        <v>9</v>
      </c>
      <c r="D114" s="32" t="n">
        <v>10</v>
      </c>
      <c r="E114" s="33" t="s">
        <v>1562</v>
      </c>
      <c r="F114" s="33"/>
      <c r="G114" s="33"/>
      <c r="H114" s="33" t="s">
        <v>115</v>
      </c>
      <c r="I114" s="33"/>
    </row>
    <row r="115" customFormat="false" ht="15" hidden="false" customHeight="false" outlineLevel="0" collapsed="false">
      <c r="A115" s="32" t="s">
        <v>1563</v>
      </c>
      <c r="B115" s="32" t="s">
        <v>97</v>
      </c>
      <c r="C115" s="32" t="s">
        <v>9</v>
      </c>
      <c r="D115" s="32" t="n">
        <v>10</v>
      </c>
      <c r="E115" s="33" t="s">
        <v>1574</v>
      </c>
      <c r="F115" s="33"/>
      <c r="G115" s="33"/>
      <c r="H115" s="33" t="s">
        <v>115</v>
      </c>
      <c r="I115" s="33"/>
    </row>
    <row r="116" customFormat="false" ht="15" hidden="false" customHeight="false" outlineLevel="0" collapsed="false">
      <c r="A116" s="32" t="s">
        <v>1576</v>
      </c>
      <c r="B116" s="32" t="s">
        <v>97</v>
      </c>
      <c r="C116" s="32" t="s">
        <v>9</v>
      </c>
      <c r="D116" s="32" t="n">
        <v>10</v>
      </c>
      <c r="E116" s="33" t="s">
        <v>1589</v>
      </c>
      <c r="F116" s="33"/>
      <c r="G116" s="33"/>
      <c r="H116" s="33" t="s">
        <v>115</v>
      </c>
      <c r="I116" s="33"/>
    </row>
    <row r="117" customFormat="false" ht="15" hidden="false" customHeight="false" outlineLevel="0" collapsed="false">
      <c r="A117" s="32" t="s">
        <v>1590</v>
      </c>
      <c r="B117" s="32" t="s">
        <v>97</v>
      </c>
      <c r="C117" s="32" t="s">
        <v>9</v>
      </c>
      <c r="D117" s="32" t="n">
        <v>10</v>
      </c>
      <c r="E117" s="33" t="s">
        <v>1604</v>
      </c>
      <c r="F117" s="33"/>
      <c r="G117" s="33"/>
      <c r="H117" s="33" t="s">
        <v>115</v>
      </c>
      <c r="I117" s="33"/>
    </row>
    <row r="118" customFormat="false" ht="15" hidden="false" customHeight="false" outlineLevel="0" collapsed="false">
      <c r="A118" s="32" t="s">
        <v>1605</v>
      </c>
      <c r="B118" s="32" t="s">
        <v>97</v>
      </c>
      <c r="C118" s="32" t="s">
        <v>9</v>
      </c>
      <c r="D118" s="32" t="n">
        <v>10</v>
      </c>
      <c r="E118" s="33" t="s">
        <v>1618</v>
      </c>
      <c r="F118" s="33"/>
      <c r="G118" s="33"/>
      <c r="H118" s="33" t="s">
        <v>115</v>
      </c>
      <c r="I118" s="33"/>
    </row>
    <row r="119" customFormat="false" ht="15" hidden="false" customHeight="false" outlineLevel="0" collapsed="false">
      <c r="A119" s="32" t="s">
        <v>1619</v>
      </c>
      <c r="B119" s="32" t="s">
        <v>97</v>
      </c>
      <c r="C119" s="32" t="s">
        <v>9</v>
      </c>
      <c r="D119" s="32" t="n">
        <v>10</v>
      </c>
      <c r="E119" s="33" t="s">
        <v>1631</v>
      </c>
      <c r="F119" s="33"/>
      <c r="G119" s="33"/>
      <c r="H119" s="33" t="s">
        <v>115</v>
      </c>
      <c r="I119" s="33"/>
    </row>
    <row r="120" customFormat="false" ht="15" hidden="false" customHeight="false" outlineLevel="0" collapsed="false">
      <c r="A120" s="32" t="s">
        <v>1632</v>
      </c>
      <c r="B120" s="32" t="s">
        <v>97</v>
      </c>
      <c r="C120" s="32" t="s">
        <v>9</v>
      </c>
      <c r="D120" s="32" t="n">
        <v>10</v>
      </c>
      <c r="E120" s="33" t="s">
        <v>1640</v>
      </c>
      <c r="F120" s="33"/>
      <c r="G120" s="33"/>
      <c r="H120" s="33" t="s">
        <v>115</v>
      </c>
      <c r="I120" s="33"/>
    </row>
    <row r="121" customFormat="false" ht="15" hidden="false" customHeight="false" outlineLevel="0" collapsed="false">
      <c r="A121" s="32" t="s">
        <v>1642</v>
      </c>
      <c r="B121" s="32" t="s">
        <v>97</v>
      </c>
      <c r="C121" s="32" t="s">
        <v>9</v>
      </c>
      <c r="D121" s="32" t="n">
        <v>10</v>
      </c>
      <c r="E121" s="33" t="s">
        <v>1651</v>
      </c>
      <c r="F121" s="33"/>
      <c r="G121" s="33"/>
      <c r="H121" s="33" t="s">
        <v>115</v>
      </c>
      <c r="I121" s="33"/>
    </row>
    <row r="122" customFormat="false" ht="15" hidden="false" customHeight="false" outlineLevel="0" collapsed="false">
      <c r="A122" s="32" t="s">
        <v>1653</v>
      </c>
      <c r="B122" s="32" t="s">
        <v>97</v>
      </c>
      <c r="C122" s="32" t="s">
        <v>9</v>
      </c>
      <c r="D122" s="32" t="n">
        <v>10</v>
      </c>
      <c r="E122" s="33" t="s">
        <v>1663</v>
      </c>
      <c r="F122" s="33"/>
      <c r="G122" s="33"/>
      <c r="H122" s="33" t="s">
        <v>115</v>
      </c>
      <c r="I122" s="33"/>
    </row>
    <row r="123" customFormat="false" ht="15" hidden="false" customHeight="false" outlineLevel="0" collapsed="false">
      <c r="A123" s="32" t="s">
        <v>1664</v>
      </c>
      <c r="B123" s="32" t="s">
        <v>97</v>
      </c>
      <c r="C123" s="32" t="s">
        <v>9</v>
      </c>
      <c r="D123" s="32" t="n">
        <v>10</v>
      </c>
      <c r="E123" s="33" t="s">
        <v>1675</v>
      </c>
      <c r="F123" s="33"/>
      <c r="G123" s="33"/>
      <c r="H123" s="33" t="s">
        <v>115</v>
      </c>
      <c r="I123" s="33"/>
    </row>
    <row r="124" customFormat="false" ht="15" hidden="false" customHeight="false" outlineLevel="0" collapsed="false">
      <c r="A124" s="32" t="s">
        <v>1676</v>
      </c>
      <c r="B124" s="32" t="s">
        <v>97</v>
      </c>
      <c r="C124" s="32" t="s">
        <v>9</v>
      </c>
      <c r="D124" s="32" t="n">
        <v>10</v>
      </c>
      <c r="E124" s="33" t="s">
        <v>1683</v>
      </c>
      <c r="F124" s="33"/>
      <c r="G124" s="33"/>
      <c r="H124" s="33" t="s">
        <v>115</v>
      </c>
      <c r="I124" s="33"/>
    </row>
    <row r="125" customFormat="false" ht="15" hidden="false" customHeight="false" outlineLevel="0" collapsed="false">
      <c r="A125" s="32" t="s">
        <v>1684</v>
      </c>
      <c r="B125" s="32" t="s">
        <v>97</v>
      </c>
      <c r="C125" s="32" t="s">
        <v>9</v>
      </c>
      <c r="D125" s="32" t="n">
        <v>10</v>
      </c>
      <c r="E125" s="33" t="s">
        <v>1693</v>
      </c>
      <c r="F125" s="33"/>
      <c r="G125" s="33"/>
      <c r="H125" s="33" t="s">
        <v>115</v>
      </c>
      <c r="I125" s="33"/>
    </row>
    <row r="126" customFormat="false" ht="15" hidden="false" customHeight="false" outlineLevel="0" collapsed="false">
      <c r="A126" s="32" t="s">
        <v>1694</v>
      </c>
      <c r="B126" s="32" t="s">
        <v>97</v>
      </c>
      <c r="C126" s="32" t="s">
        <v>9</v>
      </c>
      <c r="D126" s="32" t="n">
        <v>10</v>
      </c>
      <c r="E126" s="33" t="s">
        <v>1701</v>
      </c>
      <c r="F126" s="33"/>
      <c r="G126" s="33"/>
      <c r="H126" s="33" t="s">
        <v>115</v>
      </c>
      <c r="I126" s="33"/>
    </row>
    <row r="127" customFormat="false" ht="15" hidden="false" customHeight="false" outlineLevel="0" collapsed="false">
      <c r="A127" s="32" t="s">
        <v>1702</v>
      </c>
      <c r="B127" s="32" t="s">
        <v>97</v>
      </c>
      <c r="C127" s="32" t="s">
        <v>9</v>
      </c>
      <c r="D127" s="32" t="n">
        <v>10</v>
      </c>
      <c r="E127" s="33" t="s">
        <v>1712</v>
      </c>
      <c r="F127" s="33"/>
      <c r="G127" s="33"/>
      <c r="H127" s="33" t="s">
        <v>115</v>
      </c>
      <c r="I127" s="33"/>
    </row>
    <row r="128" customFormat="false" ht="39.55" hidden="false" customHeight="false" outlineLevel="0" collapsed="false">
      <c r="A128" s="32" t="s">
        <v>1713</v>
      </c>
      <c r="B128" s="32" t="s">
        <v>97</v>
      </c>
      <c r="C128" s="32" t="s">
        <v>9</v>
      </c>
      <c r="D128" s="32" t="n">
        <v>100</v>
      </c>
      <c r="E128" s="33" t="s">
        <v>1728</v>
      </c>
      <c r="F128" s="33" t="s">
        <v>1729</v>
      </c>
      <c r="G128" s="33" t="s">
        <v>16275</v>
      </c>
      <c r="H128" s="33" t="s">
        <v>115</v>
      </c>
      <c r="I128" s="33" t="s">
        <v>545</v>
      </c>
    </row>
    <row r="129" customFormat="false" ht="15" hidden="false" customHeight="false" outlineLevel="0" collapsed="false">
      <c r="A129" s="32" t="s">
        <v>1731</v>
      </c>
      <c r="B129" s="32" t="s">
        <v>97</v>
      </c>
      <c r="C129" s="32" t="s">
        <v>9</v>
      </c>
      <c r="D129" s="32" t="n">
        <v>10</v>
      </c>
      <c r="E129" s="33" t="s">
        <v>1742</v>
      </c>
      <c r="F129" s="33"/>
      <c r="G129" s="33"/>
      <c r="H129" s="33" t="s">
        <v>115</v>
      </c>
      <c r="I129" s="33"/>
    </row>
    <row r="130" customFormat="false" ht="15" hidden="false" customHeight="false" outlineLevel="0" collapsed="false">
      <c r="A130" s="32" t="s">
        <v>1743</v>
      </c>
      <c r="B130" s="32" t="s">
        <v>97</v>
      </c>
      <c r="C130" s="32" t="s">
        <v>9</v>
      </c>
      <c r="D130" s="32" t="n">
        <v>10</v>
      </c>
      <c r="E130" s="33" t="s">
        <v>1754</v>
      </c>
      <c r="F130" s="33"/>
      <c r="G130" s="33"/>
      <c r="H130" s="33" t="s">
        <v>115</v>
      </c>
      <c r="I130" s="33"/>
    </row>
    <row r="131" customFormat="false" ht="15" hidden="false" customHeight="false" outlineLevel="0" collapsed="false">
      <c r="A131" s="32" t="s">
        <v>1755</v>
      </c>
      <c r="B131" s="32" t="s">
        <v>97</v>
      </c>
      <c r="C131" s="32" t="s">
        <v>9</v>
      </c>
      <c r="D131" s="32" t="n">
        <v>10</v>
      </c>
      <c r="E131" s="33" t="s">
        <v>1762</v>
      </c>
      <c r="F131" s="33"/>
      <c r="G131" s="33"/>
      <c r="H131" s="33" t="s">
        <v>115</v>
      </c>
      <c r="I131" s="33"/>
    </row>
    <row r="132" customFormat="false" ht="15" hidden="false" customHeight="false" outlineLevel="0" collapsed="false">
      <c r="A132" s="32" t="s">
        <v>1763</v>
      </c>
      <c r="B132" s="32" t="s">
        <v>97</v>
      </c>
      <c r="C132" s="32" t="s">
        <v>9</v>
      </c>
      <c r="D132" s="32" t="n">
        <v>10</v>
      </c>
      <c r="E132" s="33" t="s">
        <v>1774</v>
      </c>
      <c r="F132" s="33"/>
      <c r="G132" s="33"/>
      <c r="H132" s="33" t="s">
        <v>115</v>
      </c>
      <c r="I132" s="33"/>
    </row>
    <row r="133" customFormat="false" ht="15" hidden="false" customHeight="false" outlineLevel="0" collapsed="false">
      <c r="A133" s="32" t="s">
        <v>1775</v>
      </c>
      <c r="B133" s="32" t="s">
        <v>97</v>
      </c>
      <c r="C133" s="32" t="s">
        <v>9</v>
      </c>
      <c r="D133" s="32" t="n">
        <v>10</v>
      </c>
      <c r="E133" s="33" t="s">
        <v>1783</v>
      </c>
      <c r="F133" s="33"/>
      <c r="G133" s="33"/>
      <c r="H133" s="33" t="s">
        <v>115</v>
      </c>
      <c r="I133" s="33"/>
    </row>
    <row r="134" customFormat="false" ht="15" hidden="false" customHeight="false" outlineLevel="0" collapsed="false">
      <c r="A134" s="32" t="s">
        <v>1784</v>
      </c>
      <c r="B134" s="32" t="s">
        <v>97</v>
      </c>
      <c r="C134" s="32" t="s">
        <v>9</v>
      </c>
      <c r="D134" s="32" t="n">
        <v>10</v>
      </c>
      <c r="E134" s="33" t="s">
        <v>1794</v>
      </c>
      <c r="F134" s="33"/>
      <c r="G134" s="33"/>
      <c r="H134" s="33" t="s">
        <v>115</v>
      </c>
      <c r="I134" s="33"/>
    </row>
    <row r="135" customFormat="false" ht="15" hidden="false" customHeight="false" outlineLevel="0" collapsed="false">
      <c r="A135" s="32" t="s">
        <v>1795</v>
      </c>
      <c r="B135" s="32" t="s">
        <v>97</v>
      </c>
      <c r="C135" s="32" t="s">
        <v>9</v>
      </c>
      <c r="D135" s="32" t="n">
        <v>10</v>
      </c>
      <c r="E135" s="33" t="s">
        <v>1803</v>
      </c>
      <c r="F135" s="33"/>
      <c r="G135" s="33"/>
      <c r="H135" s="33" t="s">
        <v>115</v>
      </c>
      <c r="I135" s="33"/>
    </row>
    <row r="136" customFormat="false" ht="15" hidden="false" customHeight="false" outlineLevel="0" collapsed="false">
      <c r="A136" s="32" t="s">
        <v>1804</v>
      </c>
      <c r="B136" s="32" t="s">
        <v>97</v>
      </c>
      <c r="C136" s="32" t="s">
        <v>9</v>
      </c>
      <c r="D136" s="32" t="n">
        <v>10</v>
      </c>
      <c r="E136" s="33" t="s">
        <v>1812</v>
      </c>
      <c r="F136" s="33"/>
      <c r="G136" s="33"/>
      <c r="H136" s="33" t="s">
        <v>115</v>
      </c>
      <c r="I136" s="33"/>
    </row>
    <row r="137" customFormat="false" ht="15" hidden="false" customHeight="false" outlineLevel="0" collapsed="false">
      <c r="A137" s="32" t="s">
        <v>1813</v>
      </c>
      <c r="B137" s="32" t="s">
        <v>97</v>
      </c>
      <c r="C137" s="32" t="s">
        <v>9</v>
      </c>
      <c r="D137" s="32" t="n">
        <v>10</v>
      </c>
      <c r="E137" s="33" t="s">
        <v>1818</v>
      </c>
      <c r="F137" s="33"/>
      <c r="G137" s="33"/>
      <c r="H137" s="33" t="s">
        <v>115</v>
      </c>
      <c r="I137" s="33"/>
    </row>
    <row r="138" customFormat="false" ht="15" hidden="false" customHeight="false" outlineLevel="0" collapsed="false">
      <c r="A138" s="32" t="s">
        <v>1819</v>
      </c>
      <c r="B138" s="32" t="s">
        <v>97</v>
      </c>
      <c r="C138" s="32" t="s">
        <v>9</v>
      </c>
      <c r="D138" s="32" t="n">
        <v>10</v>
      </c>
      <c r="E138" s="33" t="s">
        <v>1830</v>
      </c>
      <c r="F138" s="33"/>
      <c r="G138" s="33"/>
      <c r="H138" s="33" t="s">
        <v>115</v>
      </c>
      <c r="I138" s="33"/>
    </row>
    <row r="139" customFormat="false" ht="15" hidden="false" customHeight="false" outlineLevel="0" collapsed="false">
      <c r="A139" s="32" t="s">
        <v>1831</v>
      </c>
      <c r="B139" s="32" t="s">
        <v>97</v>
      </c>
      <c r="C139" s="32" t="s">
        <v>9</v>
      </c>
      <c r="D139" s="32" t="n">
        <v>10</v>
      </c>
      <c r="E139" s="33" t="s">
        <v>1839</v>
      </c>
      <c r="F139" s="33"/>
      <c r="G139" s="33"/>
      <c r="H139" s="33" t="s">
        <v>115</v>
      </c>
      <c r="I139" s="33"/>
    </row>
    <row r="140" customFormat="false" ht="15" hidden="false" customHeight="false" outlineLevel="0" collapsed="false">
      <c r="A140" s="32" t="s">
        <v>1840</v>
      </c>
      <c r="B140" s="32" t="s">
        <v>97</v>
      </c>
      <c r="C140" s="32" t="s">
        <v>9</v>
      </c>
      <c r="D140" s="32" t="n">
        <v>10</v>
      </c>
      <c r="E140" s="33" t="s">
        <v>1851</v>
      </c>
      <c r="F140" s="33"/>
      <c r="G140" s="33"/>
      <c r="H140" s="33" t="s">
        <v>115</v>
      </c>
      <c r="I140" s="33"/>
    </row>
    <row r="141" customFormat="false" ht="15" hidden="false" customHeight="false" outlineLevel="0" collapsed="false">
      <c r="A141" s="32" t="s">
        <v>1852</v>
      </c>
      <c r="B141" s="32" t="s">
        <v>97</v>
      </c>
      <c r="C141" s="32" t="s">
        <v>9</v>
      </c>
      <c r="D141" s="32" t="n">
        <v>10</v>
      </c>
      <c r="E141" s="33" t="s">
        <v>1862</v>
      </c>
      <c r="F141" s="33"/>
      <c r="G141" s="33"/>
      <c r="H141" s="33" t="s">
        <v>115</v>
      </c>
      <c r="I141" s="33"/>
    </row>
    <row r="142" customFormat="false" ht="21.6" hidden="false" customHeight="true" outlineLevel="0" collapsed="false">
      <c r="A142" s="33" t="s">
        <v>1863</v>
      </c>
      <c r="B142" s="33" t="s">
        <v>97</v>
      </c>
      <c r="C142" s="33" t="s">
        <v>9</v>
      </c>
      <c r="D142" s="33" t="n">
        <v>100</v>
      </c>
      <c r="E142" s="33" t="s">
        <v>1872</v>
      </c>
      <c r="F142" s="33" t="s">
        <v>543</v>
      </c>
      <c r="G142" s="33" t="s">
        <v>16277</v>
      </c>
      <c r="H142" s="33" t="s">
        <v>168</v>
      </c>
      <c r="I142" s="33" t="s">
        <v>545</v>
      </c>
    </row>
    <row r="143" customFormat="false" ht="15" hidden="false" customHeight="false" outlineLevel="0" collapsed="false">
      <c r="A143" s="32" t="s">
        <v>1874</v>
      </c>
      <c r="B143" s="32" t="s">
        <v>97</v>
      </c>
      <c r="C143" s="32" t="s">
        <v>9</v>
      </c>
      <c r="D143" s="32" t="n">
        <v>10</v>
      </c>
      <c r="E143" s="33" t="s">
        <v>1881</v>
      </c>
      <c r="F143" s="33"/>
      <c r="G143" s="33"/>
      <c r="H143" s="33" t="s">
        <v>115</v>
      </c>
      <c r="I143" s="33"/>
    </row>
    <row r="144" customFormat="false" ht="15" hidden="false" customHeight="false" outlineLevel="0" collapsed="false">
      <c r="A144" s="32" t="s">
        <v>1882</v>
      </c>
      <c r="B144" s="32" t="s">
        <v>97</v>
      </c>
      <c r="C144" s="32" t="s">
        <v>9</v>
      </c>
      <c r="D144" s="32" t="n">
        <v>10</v>
      </c>
      <c r="E144" s="33" t="s">
        <v>1894</v>
      </c>
      <c r="F144" s="33"/>
      <c r="G144" s="33"/>
      <c r="H144" s="33" t="s">
        <v>115</v>
      </c>
      <c r="I144" s="33"/>
    </row>
    <row r="145" customFormat="false" ht="15" hidden="false" customHeight="false" outlineLevel="0" collapsed="false">
      <c r="A145" s="32" t="s">
        <v>1895</v>
      </c>
      <c r="B145" s="32" t="s">
        <v>97</v>
      </c>
      <c r="C145" s="32" t="s">
        <v>9</v>
      </c>
      <c r="D145" s="32" t="n">
        <v>10</v>
      </c>
      <c r="E145" s="33" t="s">
        <v>1908</v>
      </c>
      <c r="F145" s="33"/>
      <c r="G145" s="33"/>
      <c r="H145" s="33" t="s">
        <v>115</v>
      </c>
      <c r="I145" s="33"/>
    </row>
    <row r="146" customFormat="false" ht="15" hidden="false" customHeight="false" outlineLevel="0" collapsed="false">
      <c r="A146" s="32" t="s">
        <v>1909</v>
      </c>
      <c r="B146" s="32" t="s">
        <v>97</v>
      </c>
      <c r="C146" s="32" t="s">
        <v>9</v>
      </c>
      <c r="D146" s="32" t="n">
        <v>10</v>
      </c>
      <c r="E146" s="33" t="s">
        <v>1918</v>
      </c>
      <c r="F146" s="33"/>
      <c r="G146" s="33"/>
      <c r="H146" s="33" t="s">
        <v>115</v>
      </c>
      <c r="I146" s="33"/>
    </row>
    <row r="147" customFormat="false" ht="15" hidden="false" customHeight="false" outlineLevel="0" collapsed="false">
      <c r="A147" s="32" t="s">
        <v>1919</v>
      </c>
      <c r="B147" s="32" t="s">
        <v>97</v>
      </c>
      <c r="C147" s="32" t="s">
        <v>9</v>
      </c>
      <c r="D147" s="32" t="n">
        <v>10</v>
      </c>
      <c r="E147" s="33" t="s">
        <v>1929</v>
      </c>
      <c r="F147" s="33"/>
      <c r="G147" s="33"/>
      <c r="H147" s="33" t="s">
        <v>115</v>
      </c>
      <c r="I147" s="33"/>
    </row>
    <row r="148" customFormat="false" ht="15" hidden="false" customHeight="false" outlineLevel="0" collapsed="false">
      <c r="A148" s="32" t="s">
        <v>1931</v>
      </c>
      <c r="B148" s="32" t="s">
        <v>97</v>
      </c>
      <c r="C148" s="32" t="s">
        <v>9</v>
      </c>
      <c r="D148" s="32" t="n">
        <v>10</v>
      </c>
      <c r="E148" s="33" t="s">
        <v>1937</v>
      </c>
      <c r="F148" s="33"/>
      <c r="G148" s="33"/>
      <c r="H148" s="33" t="s">
        <v>115</v>
      </c>
      <c r="I148" s="33"/>
    </row>
    <row r="149" customFormat="false" ht="15" hidden="false" customHeight="false" outlineLevel="0" collapsed="false">
      <c r="A149" s="32" t="s">
        <v>1939</v>
      </c>
      <c r="B149" s="32" t="s">
        <v>97</v>
      </c>
      <c r="C149" s="32" t="s">
        <v>9</v>
      </c>
      <c r="D149" s="32" t="n">
        <v>10</v>
      </c>
      <c r="E149" s="33" t="s">
        <v>1948</v>
      </c>
      <c r="F149" s="33"/>
      <c r="G149" s="33"/>
      <c r="H149" s="33" t="s">
        <v>115</v>
      </c>
      <c r="I149" s="33"/>
    </row>
    <row r="150" customFormat="false" ht="15" hidden="false" customHeight="false" outlineLevel="0" collapsed="false">
      <c r="A150" s="32" t="s">
        <v>1949</v>
      </c>
      <c r="B150" s="32" t="s">
        <v>97</v>
      </c>
      <c r="C150" s="32" t="s">
        <v>9</v>
      </c>
      <c r="D150" s="32" t="n">
        <v>10</v>
      </c>
      <c r="E150" s="33" t="s">
        <v>1959</v>
      </c>
      <c r="F150" s="33"/>
      <c r="G150" s="33"/>
      <c r="H150" s="33" t="s">
        <v>115</v>
      </c>
      <c r="I150" s="33"/>
    </row>
    <row r="151" customFormat="false" ht="15" hidden="false" customHeight="false" outlineLevel="0" collapsed="false">
      <c r="A151" s="32" t="s">
        <v>1960</v>
      </c>
      <c r="B151" s="32" t="s">
        <v>97</v>
      </c>
      <c r="C151" s="32" t="s">
        <v>9</v>
      </c>
      <c r="D151" s="32" t="n">
        <v>10</v>
      </c>
      <c r="E151" s="33" t="s">
        <v>1970</v>
      </c>
      <c r="F151" s="33"/>
      <c r="G151" s="33"/>
      <c r="H151" s="33" t="s">
        <v>115</v>
      </c>
      <c r="I151" s="33"/>
    </row>
    <row r="152" customFormat="false" ht="15" hidden="false" customHeight="false" outlineLevel="0" collapsed="false">
      <c r="A152" s="32" t="s">
        <v>1971</v>
      </c>
      <c r="B152" s="32" t="s">
        <v>97</v>
      </c>
      <c r="C152" s="32" t="s">
        <v>9</v>
      </c>
      <c r="D152" s="32" t="n">
        <v>10</v>
      </c>
      <c r="E152" s="33" t="s">
        <v>1977</v>
      </c>
      <c r="F152" s="33"/>
      <c r="G152" s="33"/>
      <c r="H152" s="33" t="s">
        <v>115</v>
      </c>
      <c r="I152" s="33"/>
    </row>
    <row r="153" customFormat="false" ht="15" hidden="false" customHeight="false" outlineLevel="0" collapsed="false">
      <c r="A153" s="32" t="s">
        <v>1978</v>
      </c>
      <c r="B153" s="32" t="s">
        <v>97</v>
      </c>
      <c r="C153" s="32" t="s">
        <v>9</v>
      </c>
      <c r="D153" s="32" t="n">
        <v>10</v>
      </c>
      <c r="E153" s="33" t="s">
        <v>1989</v>
      </c>
      <c r="F153" s="33"/>
      <c r="G153" s="33"/>
      <c r="H153" s="33" t="s">
        <v>115</v>
      </c>
      <c r="I153" s="33"/>
    </row>
    <row r="154" customFormat="false" ht="15" hidden="false" customHeight="false" outlineLevel="0" collapsed="false">
      <c r="A154" s="32" t="s">
        <v>1990</v>
      </c>
      <c r="B154" s="32" t="s">
        <v>97</v>
      </c>
      <c r="C154" s="32" t="s">
        <v>9</v>
      </c>
      <c r="D154" s="32" t="n">
        <v>10</v>
      </c>
      <c r="E154" s="33" t="s">
        <v>1997</v>
      </c>
      <c r="F154" s="33"/>
      <c r="G154" s="33"/>
      <c r="H154" s="33" t="s">
        <v>115</v>
      </c>
      <c r="I154" s="33"/>
    </row>
    <row r="155" customFormat="false" ht="15" hidden="false" customHeight="false" outlineLevel="0" collapsed="false">
      <c r="A155" s="32" t="s">
        <v>1998</v>
      </c>
      <c r="B155" s="32" t="s">
        <v>97</v>
      </c>
      <c r="C155" s="32" t="s">
        <v>9</v>
      </c>
      <c r="D155" s="32" t="n">
        <v>10</v>
      </c>
      <c r="E155" s="33" t="s">
        <v>2003</v>
      </c>
      <c r="F155" s="33"/>
      <c r="G155" s="33"/>
      <c r="H155" s="33" t="s">
        <v>115</v>
      </c>
      <c r="I155" s="33"/>
    </row>
    <row r="156" customFormat="false" ht="15" hidden="false" customHeight="false" outlineLevel="0" collapsed="false">
      <c r="A156" s="32" t="s">
        <v>2004</v>
      </c>
      <c r="B156" s="32" t="s">
        <v>97</v>
      </c>
      <c r="C156" s="32" t="s">
        <v>9</v>
      </c>
      <c r="D156" s="32" t="n">
        <v>10</v>
      </c>
      <c r="E156" s="33" t="s">
        <v>2014</v>
      </c>
      <c r="F156" s="33"/>
      <c r="G156" s="33"/>
      <c r="H156" s="33" t="s">
        <v>115</v>
      </c>
      <c r="I156" s="33"/>
    </row>
    <row r="157" customFormat="false" ht="15" hidden="false" customHeight="false" outlineLevel="0" collapsed="false">
      <c r="A157" s="32" t="s">
        <v>2015</v>
      </c>
      <c r="B157" s="32" t="s">
        <v>97</v>
      </c>
      <c r="C157" s="32" t="s">
        <v>9</v>
      </c>
      <c r="D157" s="32" t="n">
        <v>10</v>
      </c>
      <c r="E157" s="33" t="s">
        <v>2023</v>
      </c>
      <c r="F157" s="33"/>
      <c r="G157" s="33"/>
      <c r="H157" s="33" t="s">
        <v>115</v>
      </c>
      <c r="I157" s="33"/>
    </row>
    <row r="158" customFormat="false" ht="15" hidden="false" customHeight="false" outlineLevel="0" collapsed="false">
      <c r="A158" s="32" t="s">
        <v>2024</v>
      </c>
      <c r="B158" s="32" t="s">
        <v>97</v>
      </c>
      <c r="C158" s="32" t="s">
        <v>9</v>
      </c>
      <c r="D158" s="32" t="n">
        <v>10</v>
      </c>
      <c r="E158" s="33" t="s">
        <v>2033</v>
      </c>
      <c r="F158" s="33"/>
      <c r="G158" s="33"/>
      <c r="H158" s="33" t="s">
        <v>115</v>
      </c>
      <c r="I158" s="33"/>
    </row>
    <row r="159" customFormat="false" ht="15" hidden="false" customHeight="false" outlineLevel="0" collapsed="false">
      <c r="A159" s="32" t="s">
        <v>2034</v>
      </c>
      <c r="B159" s="32" t="s">
        <v>97</v>
      </c>
      <c r="C159" s="32" t="s">
        <v>9</v>
      </c>
      <c r="D159" s="32" t="n">
        <v>10</v>
      </c>
      <c r="E159" s="33" t="s">
        <v>2046</v>
      </c>
      <c r="F159" s="33"/>
      <c r="G159" s="33"/>
      <c r="H159" s="33" t="s">
        <v>115</v>
      </c>
      <c r="I159" s="33"/>
    </row>
    <row r="160" customFormat="false" ht="15" hidden="false" customHeight="false" outlineLevel="0" collapsed="false">
      <c r="A160" s="32" t="s">
        <v>2047</v>
      </c>
      <c r="B160" s="32" t="s">
        <v>97</v>
      </c>
      <c r="C160" s="32" t="s">
        <v>9</v>
      </c>
      <c r="D160" s="32" t="n">
        <v>10</v>
      </c>
      <c r="E160" s="33" t="s">
        <v>2053</v>
      </c>
      <c r="F160" s="33"/>
      <c r="G160" s="33"/>
      <c r="H160" s="33" t="s">
        <v>115</v>
      </c>
      <c r="I160" s="33"/>
    </row>
    <row r="161" customFormat="false" ht="15" hidden="false" customHeight="false" outlineLevel="0" collapsed="false">
      <c r="A161" s="32" t="s">
        <v>2054</v>
      </c>
      <c r="B161" s="32" t="s">
        <v>97</v>
      </c>
      <c r="C161" s="32" t="s">
        <v>9</v>
      </c>
      <c r="D161" s="32" t="n">
        <v>10</v>
      </c>
      <c r="E161" s="33" t="s">
        <v>2064</v>
      </c>
      <c r="F161" s="33"/>
      <c r="G161" s="33"/>
      <c r="H161" s="33" t="s">
        <v>115</v>
      </c>
      <c r="I161" s="33"/>
    </row>
    <row r="162" customFormat="false" ht="15" hidden="false" customHeight="false" outlineLevel="0" collapsed="false">
      <c r="A162" s="32" t="s">
        <v>2066</v>
      </c>
      <c r="B162" s="32" t="s">
        <v>97</v>
      </c>
      <c r="C162" s="32" t="s">
        <v>9</v>
      </c>
      <c r="D162" s="32" t="n">
        <v>10</v>
      </c>
      <c r="E162" s="33" t="s">
        <v>2072</v>
      </c>
      <c r="F162" s="33"/>
      <c r="G162" s="33"/>
      <c r="H162" s="33" t="s">
        <v>115</v>
      </c>
      <c r="I162" s="33"/>
    </row>
    <row r="163" customFormat="false" ht="15" hidden="false" customHeight="false" outlineLevel="0" collapsed="false">
      <c r="A163" s="32" t="s">
        <v>2073</v>
      </c>
      <c r="B163" s="32" t="s">
        <v>97</v>
      </c>
      <c r="C163" s="32" t="s">
        <v>9</v>
      </c>
      <c r="D163" s="32" t="n">
        <v>10</v>
      </c>
      <c r="E163" s="33" t="s">
        <v>2079</v>
      </c>
      <c r="F163" s="33"/>
      <c r="G163" s="33"/>
      <c r="H163" s="33" t="s">
        <v>115</v>
      </c>
      <c r="I163" s="33"/>
    </row>
    <row r="164" customFormat="false" ht="15" hidden="false" customHeight="false" outlineLevel="0" collapsed="false">
      <c r="A164" s="32" t="s">
        <v>2080</v>
      </c>
      <c r="B164" s="32" t="s">
        <v>97</v>
      </c>
      <c r="C164" s="32" t="s">
        <v>9</v>
      </c>
      <c r="D164" s="32" t="n">
        <v>10</v>
      </c>
      <c r="E164" s="33" t="s">
        <v>2093</v>
      </c>
      <c r="F164" s="33"/>
      <c r="G164" s="33"/>
      <c r="H164" s="33" t="s">
        <v>115</v>
      </c>
      <c r="I164" s="33"/>
    </row>
    <row r="165" customFormat="false" ht="15" hidden="false" customHeight="false" outlineLevel="0" collapsed="false">
      <c r="A165" s="32" t="s">
        <v>2094</v>
      </c>
      <c r="B165" s="32" t="s">
        <v>97</v>
      </c>
      <c r="C165" s="32" t="s">
        <v>9</v>
      </c>
      <c r="D165" s="32" t="n">
        <v>10</v>
      </c>
      <c r="E165" s="33" t="s">
        <v>2103</v>
      </c>
      <c r="F165" s="33"/>
      <c r="G165" s="33"/>
      <c r="H165" s="33" t="s">
        <v>115</v>
      </c>
      <c r="I165" s="33"/>
    </row>
    <row r="166" customFormat="false" ht="39.55" hidden="false" customHeight="false" outlineLevel="0" collapsed="false">
      <c r="A166" s="32" t="s">
        <v>2104</v>
      </c>
      <c r="B166" s="32" t="s">
        <v>97</v>
      </c>
      <c r="C166" s="32" t="s">
        <v>9</v>
      </c>
      <c r="D166" s="32" t="n">
        <v>100</v>
      </c>
      <c r="E166" s="33" t="s">
        <v>2111</v>
      </c>
      <c r="F166" s="33" t="s">
        <v>561</v>
      </c>
      <c r="G166" s="33" t="s">
        <v>16275</v>
      </c>
      <c r="H166" s="33" t="s">
        <v>115</v>
      </c>
      <c r="I166" s="33" t="s">
        <v>545</v>
      </c>
    </row>
    <row r="167" customFormat="false" ht="15" hidden="false" customHeight="false" outlineLevel="0" collapsed="false">
      <c r="A167" s="32" t="s">
        <v>2113</v>
      </c>
      <c r="B167" s="32" t="s">
        <v>97</v>
      </c>
      <c r="C167" s="32" t="s">
        <v>9</v>
      </c>
      <c r="D167" s="32" t="n">
        <v>10</v>
      </c>
      <c r="E167" s="33" t="s">
        <v>2117</v>
      </c>
      <c r="F167" s="33"/>
      <c r="G167" s="33"/>
      <c r="H167" s="33" t="s">
        <v>115</v>
      </c>
      <c r="I167" s="33"/>
    </row>
    <row r="168" customFormat="false" ht="15" hidden="false" customHeight="false" outlineLevel="0" collapsed="false">
      <c r="A168" s="32" t="s">
        <v>2118</v>
      </c>
      <c r="B168" s="32" t="s">
        <v>97</v>
      </c>
      <c r="C168" s="32" t="s">
        <v>9</v>
      </c>
      <c r="D168" s="32" t="n">
        <v>10</v>
      </c>
      <c r="E168" s="33" t="s">
        <v>2129</v>
      </c>
      <c r="F168" s="33"/>
      <c r="G168" s="33"/>
      <c r="H168" s="33" t="s">
        <v>115</v>
      </c>
      <c r="I168" s="33"/>
    </row>
    <row r="169" customFormat="false" ht="15" hidden="false" customHeight="false" outlineLevel="0" collapsed="false">
      <c r="A169" s="32" t="s">
        <v>2130</v>
      </c>
      <c r="B169" s="32" t="s">
        <v>97</v>
      </c>
      <c r="C169" s="32" t="s">
        <v>9</v>
      </c>
      <c r="D169" s="32" t="n">
        <v>10</v>
      </c>
      <c r="E169" s="33" t="s">
        <v>2144</v>
      </c>
      <c r="F169" s="33"/>
      <c r="G169" s="33"/>
      <c r="H169" s="33" t="s">
        <v>115</v>
      </c>
      <c r="I169" s="33"/>
    </row>
    <row r="170" customFormat="false" ht="15" hidden="false" customHeight="false" outlineLevel="0" collapsed="false">
      <c r="A170" s="32" t="s">
        <v>2146</v>
      </c>
      <c r="B170" s="32" t="s">
        <v>97</v>
      </c>
      <c r="C170" s="32" t="s">
        <v>9</v>
      </c>
      <c r="D170" s="32" t="n">
        <v>10</v>
      </c>
      <c r="E170" s="33" t="s">
        <v>2159</v>
      </c>
      <c r="F170" s="33"/>
      <c r="G170" s="33"/>
      <c r="H170" s="33" t="s">
        <v>115</v>
      </c>
      <c r="I170" s="33"/>
    </row>
    <row r="171" customFormat="false" ht="15" hidden="false" customHeight="false" outlineLevel="0" collapsed="false">
      <c r="A171" s="32" t="s">
        <v>2160</v>
      </c>
      <c r="B171" s="32" t="s">
        <v>97</v>
      </c>
      <c r="C171" s="32" t="s">
        <v>9</v>
      </c>
      <c r="D171" s="32" t="n">
        <v>10</v>
      </c>
      <c r="E171" s="33" t="s">
        <v>2167</v>
      </c>
      <c r="F171" s="33"/>
      <c r="G171" s="33"/>
      <c r="H171" s="33" t="s">
        <v>115</v>
      </c>
      <c r="I171" s="33"/>
    </row>
    <row r="172" customFormat="false" ht="15" hidden="false" customHeight="false" outlineLevel="0" collapsed="false">
      <c r="A172" s="32" t="s">
        <v>2168</v>
      </c>
      <c r="B172" s="32" t="s">
        <v>97</v>
      </c>
      <c r="C172" s="32" t="s">
        <v>9</v>
      </c>
      <c r="D172" s="32" t="n">
        <v>10</v>
      </c>
      <c r="E172" s="33" t="s">
        <v>2178</v>
      </c>
      <c r="F172" s="33"/>
      <c r="G172" s="33"/>
      <c r="H172" s="33" t="s">
        <v>115</v>
      </c>
      <c r="I172" s="33"/>
    </row>
    <row r="173" customFormat="false" ht="15" hidden="false" customHeight="false" outlineLevel="0" collapsed="false">
      <c r="A173" s="32" t="s">
        <v>2179</v>
      </c>
      <c r="B173" s="32" t="s">
        <v>97</v>
      </c>
      <c r="C173" s="32" t="s">
        <v>9</v>
      </c>
      <c r="D173" s="32" t="n">
        <v>10</v>
      </c>
      <c r="E173" s="33" t="s">
        <v>2191</v>
      </c>
      <c r="F173" s="33"/>
      <c r="G173" s="33"/>
      <c r="H173" s="33" t="s">
        <v>115</v>
      </c>
      <c r="I173" s="33"/>
    </row>
    <row r="174" customFormat="false" ht="15" hidden="false" customHeight="false" outlineLevel="0" collapsed="false">
      <c r="A174" s="32" t="s">
        <v>2193</v>
      </c>
      <c r="B174" s="32" t="s">
        <v>97</v>
      </c>
      <c r="C174" s="32" t="s">
        <v>9</v>
      </c>
      <c r="D174" s="32" t="n">
        <v>10</v>
      </c>
      <c r="E174" s="33" t="s">
        <v>2204</v>
      </c>
      <c r="F174" s="33"/>
      <c r="G174" s="33"/>
      <c r="H174" s="33" t="s">
        <v>115</v>
      </c>
      <c r="I174" s="33"/>
    </row>
    <row r="175" customFormat="false" ht="15" hidden="false" customHeight="false" outlineLevel="0" collapsed="false">
      <c r="A175" s="32" t="s">
        <v>2205</v>
      </c>
      <c r="B175" s="32" t="s">
        <v>97</v>
      </c>
      <c r="C175" s="32" t="s">
        <v>9</v>
      </c>
      <c r="D175" s="32" t="n">
        <v>10</v>
      </c>
      <c r="E175" s="33" t="s">
        <v>2211</v>
      </c>
      <c r="F175" s="33"/>
      <c r="G175" s="33"/>
      <c r="H175" s="33" t="s">
        <v>115</v>
      </c>
      <c r="I175" s="33"/>
    </row>
    <row r="176" customFormat="false" ht="15" hidden="false" customHeight="false" outlineLevel="0" collapsed="false">
      <c r="A176" s="32" t="s">
        <v>2212</v>
      </c>
      <c r="B176" s="32" t="s">
        <v>97</v>
      </c>
      <c r="C176" s="32" t="s">
        <v>9</v>
      </c>
      <c r="D176" s="32" t="n">
        <v>10</v>
      </c>
      <c r="E176" s="33" t="s">
        <v>2225</v>
      </c>
      <c r="F176" s="33"/>
      <c r="G176" s="33"/>
      <c r="H176" s="33" t="s">
        <v>115</v>
      </c>
      <c r="I176" s="33"/>
    </row>
    <row r="177" customFormat="false" ht="15" hidden="false" customHeight="false" outlineLevel="0" collapsed="false">
      <c r="A177" s="32" t="s">
        <v>2226</v>
      </c>
      <c r="B177" s="32" t="s">
        <v>97</v>
      </c>
      <c r="C177" s="32" t="s">
        <v>9</v>
      </c>
      <c r="D177" s="32" t="n">
        <v>10</v>
      </c>
      <c r="E177" s="33" t="s">
        <v>2232</v>
      </c>
      <c r="F177" s="33"/>
      <c r="G177" s="33"/>
      <c r="H177" s="33" t="s">
        <v>115</v>
      </c>
      <c r="I177" s="33"/>
    </row>
    <row r="178" customFormat="false" ht="39.55" hidden="false" customHeight="false" outlineLevel="0" collapsed="false">
      <c r="A178" s="32" t="s">
        <v>2233</v>
      </c>
      <c r="B178" s="32" t="s">
        <v>97</v>
      </c>
      <c r="C178" s="32" t="s">
        <v>9</v>
      </c>
      <c r="D178" s="32" t="n">
        <v>80</v>
      </c>
      <c r="E178" s="33" t="s">
        <v>2245</v>
      </c>
      <c r="F178" s="33" t="s">
        <v>2246</v>
      </c>
      <c r="G178" s="33" t="s">
        <v>941</v>
      </c>
      <c r="H178" s="33" t="s">
        <v>168</v>
      </c>
      <c r="I178" s="33" t="s">
        <v>941</v>
      </c>
    </row>
    <row r="179" customFormat="false" ht="39.55" hidden="false" customHeight="false" outlineLevel="0" collapsed="false">
      <c r="A179" s="32" t="s">
        <v>2248</v>
      </c>
      <c r="B179" s="32" t="s">
        <v>97</v>
      </c>
      <c r="C179" s="32" t="s">
        <v>9</v>
      </c>
      <c r="D179" s="32" t="n">
        <v>80</v>
      </c>
      <c r="E179" s="33" t="s">
        <v>2257</v>
      </c>
      <c r="F179" s="33" t="s">
        <v>2246</v>
      </c>
      <c r="G179" s="33" t="s">
        <v>941</v>
      </c>
      <c r="H179" s="33" t="s">
        <v>168</v>
      </c>
      <c r="I179" s="33" t="s">
        <v>941</v>
      </c>
    </row>
    <row r="180" customFormat="false" ht="15" hidden="false" customHeight="false" outlineLevel="0" collapsed="false">
      <c r="A180" s="32" t="s">
        <v>2258</v>
      </c>
      <c r="B180" s="32" t="s">
        <v>97</v>
      </c>
      <c r="C180" s="32" t="s">
        <v>9</v>
      </c>
      <c r="D180" s="32" t="n">
        <v>10</v>
      </c>
      <c r="E180" s="33" t="s">
        <v>2266</v>
      </c>
      <c r="F180" s="33"/>
      <c r="G180" s="33"/>
      <c r="H180" s="33" t="s">
        <v>115</v>
      </c>
      <c r="I180" s="33"/>
    </row>
    <row r="181" customFormat="false" ht="15" hidden="false" customHeight="false" outlineLevel="0" collapsed="false">
      <c r="A181" s="32" t="s">
        <v>2267</v>
      </c>
      <c r="B181" s="32" t="s">
        <v>97</v>
      </c>
      <c r="C181" s="32" t="s">
        <v>9</v>
      </c>
      <c r="D181" s="32" t="n">
        <v>10</v>
      </c>
      <c r="E181" s="33" t="s">
        <v>2278</v>
      </c>
      <c r="F181" s="33"/>
      <c r="G181" s="33"/>
      <c r="H181" s="33" t="s">
        <v>115</v>
      </c>
      <c r="I181" s="33"/>
    </row>
    <row r="182" customFormat="false" ht="39.55" hidden="false" customHeight="false" outlineLevel="0" collapsed="false">
      <c r="A182" s="32" t="s">
        <v>2279</v>
      </c>
      <c r="B182" s="32" t="s">
        <v>97</v>
      </c>
      <c r="C182" s="32" t="s">
        <v>9</v>
      </c>
      <c r="D182" s="32" t="n">
        <v>80</v>
      </c>
      <c r="E182" s="33" t="s">
        <v>2291</v>
      </c>
      <c r="F182" s="33" t="s">
        <v>2246</v>
      </c>
      <c r="G182" s="33" t="s">
        <v>941</v>
      </c>
      <c r="H182" s="33" t="s">
        <v>168</v>
      </c>
      <c r="I182" s="33" t="s">
        <v>941</v>
      </c>
    </row>
    <row r="183" customFormat="false" ht="15" hidden="false" customHeight="false" outlineLevel="0" collapsed="false">
      <c r="A183" s="32" t="s">
        <v>2293</v>
      </c>
      <c r="B183" s="32" t="s">
        <v>97</v>
      </c>
      <c r="C183" s="32" t="s">
        <v>9</v>
      </c>
      <c r="D183" s="32" t="n">
        <v>10</v>
      </c>
      <c r="E183" s="33" t="s">
        <v>2300</v>
      </c>
      <c r="F183" s="33"/>
      <c r="G183" s="33"/>
      <c r="H183" s="33" t="s">
        <v>115</v>
      </c>
      <c r="I183" s="33"/>
    </row>
    <row r="184" customFormat="false" ht="15" hidden="false" customHeight="false" outlineLevel="0" collapsed="false">
      <c r="A184" s="32" t="s">
        <v>2301</v>
      </c>
      <c r="B184" s="32" t="s">
        <v>97</v>
      </c>
      <c r="C184" s="32" t="s">
        <v>9</v>
      </c>
      <c r="D184" s="32" t="n">
        <v>10</v>
      </c>
      <c r="E184" s="33" t="s">
        <v>2308</v>
      </c>
      <c r="F184" s="33"/>
      <c r="G184" s="33"/>
      <c r="H184" s="33" t="s">
        <v>115</v>
      </c>
      <c r="I184" s="33"/>
    </row>
    <row r="185" customFormat="false" ht="15" hidden="false" customHeight="false" outlineLevel="0" collapsed="false">
      <c r="A185" s="32" t="s">
        <v>2309</v>
      </c>
      <c r="B185" s="32" t="s">
        <v>97</v>
      </c>
      <c r="C185" s="32" t="s">
        <v>9</v>
      </c>
      <c r="D185" s="32" t="n">
        <v>10</v>
      </c>
      <c r="E185" s="33" t="s">
        <v>2317</v>
      </c>
      <c r="F185" s="33"/>
      <c r="G185" s="33"/>
      <c r="H185" s="33" t="s">
        <v>115</v>
      </c>
      <c r="I185" s="33"/>
    </row>
    <row r="186" customFormat="false" ht="15" hidden="false" customHeight="false" outlineLevel="0" collapsed="false">
      <c r="A186" s="32" t="s">
        <v>2318</v>
      </c>
      <c r="B186" s="32" t="s">
        <v>97</v>
      </c>
      <c r="C186" s="32" t="s">
        <v>9</v>
      </c>
      <c r="D186" s="32" t="n">
        <v>10</v>
      </c>
      <c r="E186" s="33" t="s">
        <v>2328</v>
      </c>
      <c r="F186" s="33"/>
      <c r="G186" s="33"/>
      <c r="H186" s="33" t="s">
        <v>115</v>
      </c>
      <c r="I186" s="33"/>
    </row>
    <row r="187" customFormat="false" ht="15" hidden="false" customHeight="false" outlineLevel="0" collapsed="false">
      <c r="A187" s="32" t="s">
        <v>2329</v>
      </c>
      <c r="B187" s="32" t="s">
        <v>97</v>
      </c>
      <c r="C187" s="32" t="s">
        <v>9</v>
      </c>
      <c r="D187" s="32" t="n">
        <v>10</v>
      </c>
      <c r="E187" s="33" t="s">
        <v>2337</v>
      </c>
      <c r="F187" s="33"/>
      <c r="G187" s="33"/>
      <c r="H187" s="33" t="s">
        <v>115</v>
      </c>
      <c r="I187" s="33"/>
    </row>
    <row r="188" customFormat="false" ht="15" hidden="false" customHeight="false" outlineLevel="0" collapsed="false">
      <c r="A188" s="32" t="s">
        <v>2338</v>
      </c>
      <c r="B188" s="32" t="s">
        <v>97</v>
      </c>
      <c r="C188" s="32" t="s">
        <v>9</v>
      </c>
      <c r="D188" s="32" t="n">
        <v>10</v>
      </c>
      <c r="E188" s="33" t="s">
        <v>2344</v>
      </c>
      <c r="F188" s="33"/>
      <c r="G188" s="33"/>
      <c r="H188" s="33" t="s">
        <v>115</v>
      </c>
      <c r="I188" s="33"/>
    </row>
    <row r="189" customFormat="false" ht="15" hidden="false" customHeight="false" outlineLevel="0" collapsed="false">
      <c r="A189" s="32" t="s">
        <v>2345</v>
      </c>
      <c r="B189" s="32" t="s">
        <v>97</v>
      </c>
      <c r="C189" s="32" t="s">
        <v>9</v>
      </c>
      <c r="D189" s="32" t="n">
        <v>10</v>
      </c>
      <c r="E189" s="33" t="s">
        <v>2354</v>
      </c>
      <c r="F189" s="33"/>
      <c r="G189" s="33"/>
      <c r="H189" s="33" t="s">
        <v>115</v>
      </c>
      <c r="I189" s="33"/>
    </row>
    <row r="190" customFormat="false" ht="15" hidden="false" customHeight="false" outlineLevel="0" collapsed="false">
      <c r="A190" s="32" t="s">
        <v>2355</v>
      </c>
      <c r="B190" s="32" t="s">
        <v>97</v>
      </c>
      <c r="C190" s="32" t="s">
        <v>9</v>
      </c>
      <c r="D190" s="32" t="n">
        <v>10</v>
      </c>
      <c r="E190" s="33" t="s">
        <v>2364</v>
      </c>
      <c r="F190" s="33"/>
      <c r="G190" s="33"/>
      <c r="H190" s="33" t="s">
        <v>115</v>
      </c>
      <c r="I190" s="33"/>
    </row>
    <row r="191" customFormat="false" ht="15" hidden="false" customHeight="false" outlineLevel="0" collapsed="false">
      <c r="A191" s="32" t="s">
        <v>2365</v>
      </c>
      <c r="B191" s="32" t="s">
        <v>97</v>
      </c>
      <c r="C191" s="32" t="s">
        <v>9</v>
      </c>
      <c r="D191" s="32" t="n">
        <v>10</v>
      </c>
      <c r="E191" s="33" t="s">
        <v>2378</v>
      </c>
      <c r="F191" s="33"/>
      <c r="G191" s="33"/>
      <c r="H191" s="33" t="s">
        <v>115</v>
      </c>
      <c r="I191" s="33"/>
    </row>
    <row r="192" customFormat="false" ht="15" hidden="false" customHeight="false" outlineLevel="0" collapsed="false">
      <c r="A192" s="32" t="s">
        <v>2379</v>
      </c>
      <c r="B192" s="32" t="s">
        <v>97</v>
      </c>
      <c r="C192" s="32" t="s">
        <v>9</v>
      </c>
      <c r="D192" s="32" t="n">
        <v>10</v>
      </c>
      <c r="E192" s="33" t="s">
        <v>2390</v>
      </c>
      <c r="F192" s="33"/>
      <c r="G192" s="33"/>
      <c r="H192" s="33" t="s">
        <v>115</v>
      </c>
      <c r="I192" s="33"/>
    </row>
    <row r="193" customFormat="false" ht="15" hidden="false" customHeight="false" outlineLevel="0" collapsed="false">
      <c r="A193" s="32" t="s">
        <v>2391</v>
      </c>
      <c r="B193" s="32" t="s">
        <v>97</v>
      </c>
      <c r="C193" s="32" t="s">
        <v>9</v>
      </c>
      <c r="D193" s="32" t="n">
        <v>10</v>
      </c>
      <c r="E193" s="33" t="s">
        <v>2402</v>
      </c>
      <c r="F193" s="33"/>
      <c r="G193" s="33"/>
      <c r="H193" s="33" t="s">
        <v>115</v>
      </c>
      <c r="I193" s="33"/>
    </row>
    <row r="194" customFormat="false" ht="15" hidden="false" customHeight="false" outlineLevel="0" collapsed="false">
      <c r="A194" s="32" t="s">
        <v>2403</v>
      </c>
      <c r="B194" s="32" t="s">
        <v>97</v>
      </c>
      <c r="C194" s="32" t="s">
        <v>9</v>
      </c>
      <c r="D194" s="32" t="n">
        <v>10</v>
      </c>
      <c r="E194" s="33" t="s">
        <v>2417</v>
      </c>
      <c r="F194" s="33"/>
      <c r="G194" s="33"/>
      <c r="H194" s="33" t="s">
        <v>115</v>
      </c>
      <c r="I194" s="33"/>
    </row>
    <row r="195" customFormat="false" ht="15" hidden="false" customHeight="false" outlineLevel="0" collapsed="false">
      <c r="A195" s="32" t="s">
        <v>2418</v>
      </c>
      <c r="B195" s="32" t="s">
        <v>97</v>
      </c>
      <c r="C195" s="32" t="s">
        <v>9</v>
      </c>
      <c r="D195" s="32" t="n">
        <v>10</v>
      </c>
      <c r="E195" s="33" t="s">
        <v>2428</v>
      </c>
      <c r="F195" s="33"/>
      <c r="G195" s="33"/>
      <c r="H195" s="33" t="s">
        <v>115</v>
      </c>
      <c r="I195" s="33"/>
    </row>
    <row r="196" customFormat="false" ht="15" hidden="false" customHeight="false" outlineLevel="0" collapsed="false">
      <c r="A196" s="32" t="s">
        <v>2429</v>
      </c>
      <c r="B196" s="32" t="s">
        <v>97</v>
      </c>
      <c r="C196" s="32" t="s">
        <v>9</v>
      </c>
      <c r="D196" s="32" t="n">
        <v>10</v>
      </c>
      <c r="E196" s="33" t="s">
        <v>2440</v>
      </c>
      <c r="F196" s="33"/>
      <c r="G196" s="33"/>
      <c r="H196" s="33" t="s">
        <v>115</v>
      </c>
      <c r="I196" s="33"/>
    </row>
    <row r="197" customFormat="false" ht="15" hidden="false" customHeight="false" outlineLevel="0" collapsed="false">
      <c r="A197" s="32" t="s">
        <v>2441</v>
      </c>
      <c r="B197" s="32" t="s">
        <v>97</v>
      </c>
      <c r="C197" s="32" t="s">
        <v>9</v>
      </c>
      <c r="D197" s="32" t="n">
        <v>55</v>
      </c>
      <c r="E197" s="33" t="s">
        <v>2440</v>
      </c>
      <c r="F197" s="33"/>
      <c r="G197" s="33"/>
      <c r="H197" s="33" t="s">
        <v>115</v>
      </c>
      <c r="I197" s="33" t="s">
        <v>2452</v>
      </c>
    </row>
    <row r="198" customFormat="false" ht="15" hidden="false" customHeight="false" outlineLevel="0" collapsed="false">
      <c r="A198" s="32" t="s">
        <v>2453</v>
      </c>
      <c r="B198" s="32" t="s">
        <v>97</v>
      </c>
      <c r="C198" s="32" t="s">
        <v>9</v>
      </c>
      <c r="D198" s="32" t="n">
        <v>10</v>
      </c>
      <c r="E198" s="33" t="s">
        <v>2461</v>
      </c>
      <c r="F198" s="33"/>
      <c r="G198" s="33"/>
      <c r="H198" s="33" t="s">
        <v>115</v>
      </c>
      <c r="I198" s="33"/>
    </row>
    <row r="199" customFormat="false" ht="15" hidden="false" customHeight="false" outlineLevel="0" collapsed="false">
      <c r="A199" s="32" t="s">
        <v>2462</v>
      </c>
      <c r="B199" s="32" t="s">
        <v>97</v>
      </c>
      <c r="C199" s="32" t="s">
        <v>9</v>
      </c>
      <c r="D199" s="32" t="n">
        <v>10</v>
      </c>
      <c r="E199" s="33" t="s">
        <v>2471</v>
      </c>
      <c r="F199" s="33"/>
      <c r="G199" s="33"/>
      <c r="H199" s="33" t="s">
        <v>115</v>
      </c>
      <c r="I199" s="33"/>
    </row>
    <row r="200" customFormat="false" ht="15" hidden="false" customHeight="false" outlineLevel="0" collapsed="false">
      <c r="A200" s="32" t="s">
        <v>2472</v>
      </c>
      <c r="B200" s="32" t="s">
        <v>97</v>
      </c>
      <c r="C200" s="32" t="s">
        <v>9</v>
      </c>
      <c r="D200" s="32" t="n">
        <v>10</v>
      </c>
      <c r="E200" s="33" t="s">
        <v>2483</v>
      </c>
      <c r="F200" s="33"/>
      <c r="G200" s="33"/>
      <c r="H200" s="33" t="s">
        <v>115</v>
      </c>
      <c r="I200" s="33"/>
    </row>
    <row r="201" customFormat="false" ht="15" hidden="false" customHeight="false" outlineLevel="0" collapsed="false">
      <c r="A201" s="32" t="s">
        <v>2484</v>
      </c>
      <c r="B201" s="32" t="s">
        <v>97</v>
      </c>
      <c r="C201" s="32" t="s">
        <v>9</v>
      </c>
      <c r="D201" s="32" t="n">
        <v>10</v>
      </c>
      <c r="E201" s="33" t="s">
        <v>2494</v>
      </c>
      <c r="F201" s="33"/>
      <c r="G201" s="33"/>
      <c r="H201" s="33" t="s">
        <v>115</v>
      </c>
      <c r="I201" s="33"/>
    </row>
    <row r="202" customFormat="false" ht="15" hidden="false" customHeight="false" outlineLevel="0" collapsed="false">
      <c r="A202" s="32" t="s">
        <v>2495</v>
      </c>
      <c r="B202" s="32" t="s">
        <v>97</v>
      </c>
      <c r="C202" s="32" t="s">
        <v>9</v>
      </c>
      <c r="D202" s="32" t="n">
        <v>10</v>
      </c>
      <c r="E202" s="33" t="s">
        <v>2504</v>
      </c>
      <c r="F202" s="33"/>
      <c r="G202" s="33"/>
      <c r="H202" s="33" t="s">
        <v>115</v>
      </c>
      <c r="I202" s="33"/>
    </row>
    <row r="203" customFormat="false" ht="15" hidden="false" customHeight="false" outlineLevel="0" collapsed="false">
      <c r="A203" s="32" t="s">
        <v>2505</v>
      </c>
      <c r="B203" s="32" t="s">
        <v>97</v>
      </c>
      <c r="C203" s="32" t="s">
        <v>9</v>
      </c>
      <c r="D203" s="32" t="n">
        <v>10</v>
      </c>
      <c r="E203" s="33" t="s">
        <v>2515</v>
      </c>
      <c r="F203" s="33"/>
      <c r="G203" s="33"/>
      <c r="H203" s="33" t="s">
        <v>115</v>
      </c>
      <c r="I203" s="33"/>
    </row>
    <row r="204" customFormat="false" ht="15" hidden="false" customHeight="false" outlineLevel="0" collapsed="false">
      <c r="A204" s="32" t="s">
        <v>2516</v>
      </c>
      <c r="B204" s="32" t="s">
        <v>97</v>
      </c>
      <c r="C204" s="32" t="s">
        <v>9</v>
      </c>
      <c r="D204" s="32" t="n">
        <v>10</v>
      </c>
      <c r="E204" s="33" t="s">
        <v>2525</v>
      </c>
      <c r="F204" s="33"/>
      <c r="G204" s="33"/>
      <c r="H204" s="33" t="s">
        <v>115</v>
      </c>
      <c r="I204" s="33"/>
    </row>
    <row r="205" customFormat="false" ht="15" hidden="false" customHeight="false" outlineLevel="0" collapsed="false">
      <c r="A205" s="32" t="s">
        <v>2526</v>
      </c>
      <c r="B205" s="32" t="s">
        <v>97</v>
      </c>
      <c r="C205" s="32" t="s">
        <v>9</v>
      </c>
      <c r="D205" s="32" t="n">
        <v>10</v>
      </c>
      <c r="E205" s="33" t="s">
        <v>2536</v>
      </c>
      <c r="F205" s="33"/>
      <c r="G205" s="33"/>
      <c r="H205" s="33" t="s">
        <v>115</v>
      </c>
      <c r="I205" s="33"/>
    </row>
    <row r="206" customFormat="false" ht="15" hidden="false" customHeight="false" outlineLevel="0" collapsed="false">
      <c r="A206" s="32" t="s">
        <v>2537</v>
      </c>
      <c r="B206" s="32" t="s">
        <v>97</v>
      </c>
      <c r="C206" s="32" t="s">
        <v>9</v>
      </c>
      <c r="D206" s="32" t="n">
        <v>10</v>
      </c>
      <c r="E206" s="33" t="s">
        <v>2547</v>
      </c>
      <c r="F206" s="33"/>
      <c r="G206" s="33"/>
      <c r="H206" s="33" t="s">
        <v>115</v>
      </c>
      <c r="I206" s="33"/>
    </row>
    <row r="207" customFormat="false" ht="15" hidden="false" customHeight="false" outlineLevel="0" collapsed="false">
      <c r="A207" s="32" t="s">
        <v>2548</v>
      </c>
      <c r="B207" s="32" t="s">
        <v>97</v>
      </c>
      <c r="C207" s="32" t="s">
        <v>9</v>
      </c>
      <c r="D207" s="32" t="n">
        <v>10</v>
      </c>
      <c r="E207" s="33" t="s">
        <v>2559</v>
      </c>
      <c r="F207" s="33"/>
      <c r="G207" s="33"/>
      <c r="H207" s="33" t="s">
        <v>115</v>
      </c>
      <c r="I207" s="33"/>
    </row>
    <row r="208" customFormat="false" ht="15" hidden="false" customHeight="false" outlineLevel="0" collapsed="false">
      <c r="A208" s="32" t="s">
        <v>2560</v>
      </c>
      <c r="B208" s="32" t="s">
        <v>97</v>
      </c>
      <c r="C208" s="32" t="s">
        <v>9</v>
      </c>
      <c r="D208" s="32" t="n">
        <v>10</v>
      </c>
      <c r="E208" s="33" t="s">
        <v>2570</v>
      </c>
      <c r="F208" s="33"/>
      <c r="G208" s="33"/>
      <c r="H208" s="33" t="s">
        <v>115</v>
      </c>
      <c r="I208" s="33"/>
    </row>
    <row r="209" customFormat="false" ht="15" hidden="false" customHeight="false" outlineLevel="0" collapsed="false">
      <c r="A209" s="32" t="s">
        <v>2571</v>
      </c>
      <c r="B209" s="32" t="s">
        <v>97</v>
      </c>
      <c r="C209" s="32" t="s">
        <v>9</v>
      </c>
      <c r="D209" s="32" t="n">
        <v>10</v>
      </c>
      <c r="E209" s="33" t="s">
        <v>2583</v>
      </c>
      <c r="F209" s="33" t="s">
        <v>2584</v>
      </c>
      <c r="G209" s="33"/>
      <c r="H209" s="33" t="s">
        <v>115</v>
      </c>
      <c r="I209" s="33"/>
    </row>
    <row r="210" customFormat="false" ht="15" hidden="false" customHeight="false" outlineLevel="0" collapsed="false">
      <c r="A210" s="32" t="s">
        <v>2585</v>
      </c>
      <c r="B210" s="32" t="s">
        <v>97</v>
      </c>
      <c r="C210" s="32" t="s">
        <v>9</v>
      </c>
      <c r="D210" s="32" t="n">
        <v>10</v>
      </c>
      <c r="E210" s="33" t="s">
        <v>2592</v>
      </c>
      <c r="F210" s="33"/>
      <c r="G210" s="33"/>
      <c r="H210" s="33" t="s">
        <v>115</v>
      </c>
      <c r="I210" s="33"/>
    </row>
    <row r="211" customFormat="false" ht="15" hidden="false" customHeight="false" outlineLevel="0" collapsed="false">
      <c r="A211" s="32" t="s">
        <v>2593</v>
      </c>
      <c r="B211" s="32" t="s">
        <v>97</v>
      </c>
      <c r="C211" s="32" t="s">
        <v>9</v>
      </c>
      <c r="D211" s="32" t="n">
        <v>10</v>
      </c>
      <c r="E211" s="33" t="s">
        <v>2603</v>
      </c>
      <c r="F211" s="33"/>
      <c r="G211" s="33"/>
      <c r="H211" s="33" t="s">
        <v>115</v>
      </c>
      <c r="I211" s="33"/>
    </row>
    <row r="212" customFormat="false" ht="15" hidden="false" customHeight="false" outlineLevel="0" collapsed="false">
      <c r="A212" s="32" t="s">
        <v>2605</v>
      </c>
      <c r="B212" s="32" t="s">
        <v>97</v>
      </c>
      <c r="C212" s="32" t="s">
        <v>9</v>
      </c>
      <c r="D212" s="32" t="n">
        <v>10</v>
      </c>
      <c r="E212" s="33" t="s">
        <v>2613</v>
      </c>
      <c r="F212" s="33"/>
      <c r="G212" s="33"/>
      <c r="H212" s="33" t="s">
        <v>115</v>
      </c>
      <c r="I212" s="33"/>
    </row>
    <row r="213" customFormat="false" ht="15" hidden="false" customHeight="false" outlineLevel="0" collapsed="false">
      <c r="A213" s="32" t="s">
        <v>2614</v>
      </c>
      <c r="B213" s="32" t="s">
        <v>97</v>
      </c>
      <c r="C213" s="32" t="s">
        <v>9</v>
      </c>
      <c r="D213" s="32" t="n">
        <v>10</v>
      </c>
      <c r="E213" s="33" t="s">
        <v>2624</v>
      </c>
      <c r="F213" s="33"/>
      <c r="G213" s="33"/>
      <c r="H213" s="33" t="s">
        <v>115</v>
      </c>
      <c r="I213" s="33"/>
    </row>
    <row r="214" customFormat="false" ht="15" hidden="false" customHeight="false" outlineLevel="0" collapsed="false">
      <c r="A214" s="32" t="s">
        <v>2625</v>
      </c>
      <c r="B214" s="32" t="s">
        <v>97</v>
      </c>
      <c r="C214" s="32" t="s">
        <v>9</v>
      </c>
      <c r="D214" s="32" t="n">
        <v>10</v>
      </c>
      <c r="E214" s="33" t="s">
        <v>2632</v>
      </c>
      <c r="F214" s="33"/>
      <c r="G214" s="33"/>
      <c r="H214" s="33" t="s">
        <v>115</v>
      </c>
      <c r="I214" s="33"/>
    </row>
    <row r="215" customFormat="false" ht="15" hidden="false" customHeight="false" outlineLevel="0" collapsed="false">
      <c r="A215" s="32" t="s">
        <v>2633</v>
      </c>
      <c r="B215" s="32" t="s">
        <v>97</v>
      </c>
      <c r="C215" s="32" t="s">
        <v>9</v>
      </c>
      <c r="D215" s="32" t="n">
        <v>10</v>
      </c>
      <c r="E215" s="33" t="s">
        <v>2642</v>
      </c>
      <c r="F215" s="33"/>
      <c r="G215" s="33"/>
      <c r="H215" s="33" t="s">
        <v>115</v>
      </c>
      <c r="I215" s="33"/>
    </row>
    <row r="216" customFormat="false" ht="15" hidden="false" customHeight="false" outlineLevel="0" collapsed="false">
      <c r="A216" s="32" t="s">
        <v>2644</v>
      </c>
      <c r="B216" s="32" t="s">
        <v>97</v>
      </c>
      <c r="C216" s="32" t="s">
        <v>9</v>
      </c>
      <c r="D216" s="32" t="n">
        <v>10</v>
      </c>
      <c r="E216" s="33" t="s">
        <v>2642</v>
      </c>
      <c r="F216" s="33"/>
      <c r="G216" s="33"/>
      <c r="H216" s="33" t="s">
        <v>115</v>
      </c>
      <c r="I216" s="33"/>
    </row>
    <row r="217" customFormat="false" ht="15" hidden="false" customHeight="false" outlineLevel="0" collapsed="false">
      <c r="A217" s="32" t="s">
        <v>2657</v>
      </c>
      <c r="B217" s="32" t="s">
        <v>97</v>
      </c>
      <c r="C217" s="32" t="s">
        <v>9</v>
      </c>
      <c r="D217" s="32" t="n">
        <v>10</v>
      </c>
      <c r="E217" s="33" t="s">
        <v>2667</v>
      </c>
      <c r="F217" s="33"/>
      <c r="G217" s="33"/>
      <c r="H217" s="33" t="s">
        <v>115</v>
      </c>
      <c r="I217" s="33"/>
    </row>
    <row r="218" customFormat="false" ht="15" hidden="false" customHeight="false" outlineLevel="0" collapsed="false">
      <c r="A218" s="32" t="s">
        <v>2668</v>
      </c>
      <c r="B218" s="32" t="s">
        <v>97</v>
      </c>
      <c r="C218" s="32" t="s">
        <v>9</v>
      </c>
      <c r="D218" s="32" t="n">
        <v>10</v>
      </c>
      <c r="E218" s="33" t="s">
        <v>2679</v>
      </c>
      <c r="F218" s="33"/>
      <c r="G218" s="33"/>
      <c r="H218" s="33" t="s">
        <v>115</v>
      </c>
      <c r="I218" s="33"/>
    </row>
    <row r="219" customFormat="false" ht="15" hidden="false" customHeight="false" outlineLevel="0" collapsed="false">
      <c r="A219" s="32" t="s">
        <v>2680</v>
      </c>
      <c r="B219" s="32" t="s">
        <v>97</v>
      </c>
      <c r="C219" s="32" t="s">
        <v>9</v>
      </c>
      <c r="D219" s="32" t="n">
        <v>10</v>
      </c>
      <c r="E219" s="33" t="s">
        <v>2688</v>
      </c>
      <c r="F219" s="33"/>
      <c r="G219" s="33"/>
      <c r="H219" s="33" t="s">
        <v>115</v>
      </c>
      <c r="I219" s="33"/>
    </row>
    <row r="220" customFormat="false" ht="15" hidden="false" customHeight="false" outlineLevel="0" collapsed="false">
      <c r="A220" s="32" t="s">
        <v>2689</v>
      </c>
      <c r="B220" s="32" t="s">
        <v>97</v>
      </c>
      <c r="C220" s="32" t="s">
        <v>9</v>
      </c>
      <c r="D220" s="32" t="n">
        <v>10</v>
      </c>
      <c r="E220" s="33" t="s">
        <v>2698</v>
      </c>
      <c r="F220" s="33"/>
      <c r="G220" s="33"/>
      <c r="H220" s="33" t="s">
        <v>115</v>
      </c>
      <c r="I220" s="33"/>
    </row>
    <row r="221" customFormat="false" ht="15" hidden="false" customHeight="false" outlineLevel="0" collapsed="false">
      <c r="A221" s="32" t="s">
        <v>2699</v>
      </c>
      <c r="B221" s="32" t="s">
        <v>97</v>
      </c>
      <c r="C221" s="32" t="s">
        <v>9</v>
      </c>
      <c r="D221" s="32" t="n">
        <v>10</v>
      </c>
      <c r="E221" s="33" t="s">
        <v>2709</v>
      </c>
      <c r="F221" s="33"/>
      <c r="G221" s="33"/>
      <c r="H221" s="33" t="s">
        <v>115</v>
      </c>
      <c r="I221" s="33"/>
    </row>
    <row r="222" customFormat="false" ht="15" hidden="false" customHeight="false" outlineLevel="0" collapsed="false">
      <c r="A222" s="32" t="s">
        <v>2711</v>
      </c>
      <c r="B222" s="32" t="s">
        <v>97</v>
      </c>
      <c r="C222" s="32" t="s">
        <v>9</v>
      </c>
      <c r="D222" s="32" t="n">
        <v>10</v>
      </c>
      <c r="E222" s="33" t="s">
        <v>2709</v>
      </c>
      <c r="F222" s="33"/>
      <c r="G222" s="33"/>
      <c r="H222" s="33" t="s">
        <v>115</v>
      </c>
      <c r="I222" s="33"/>
    </row>
    <row r="223" customFormat="false" ht="15" hidden="false" customHeight="false" outlineLevel="0" collapsed="false">
      <c r="A223" s="32" t="s">
        <v>2719</v>
      </c>
      <c r="B223" s="32" t="s">
        <v>97</v>
      </c>
      <c r="C223" s="32" t="s">
        <v>9</v>
      </c>
      <c r="D223" s="32" t="n">
        <v>10</v>
      </c>
      <c r="E223" s="33" t="s">
        <v>2729</v>
      </c>
      <c r="F223" s="33"/>
      <c r="G223" s="33"/>
      <c r="H223" s="33" t="s">
        <v>115</v>
      </c>
      <c r="I223" s="33"/>
    </row>
    <row r="224" customFormat="false" ht="15" hidden="false" customHeight="false" outlineLevel="0" collapsed="false">
      <c r="A224" s="32" t="s">
        <v>2730</v>
      </c>
      <c r="B224" s="32" t="s">
        <v>97</v>
      </c>
      <c r="C224" s="32" t="s">
        <v>9</v>
      </c>
      <c r="D224" s="32" t="n">
        <v>10</v>
      </c>
      <c r="E224" s="33" t="s">
        <v>2741</v>
      </c>
      <c r="F224" s="33"/>
      <c r="G224" s="33"/>
      <c r="H224" s="33" t="s">
        <v>115</v>
      </c>
      <c r="I224" s="33"/>
    </row>
    <row r="225" customFormat="false" ht="15" hidden="false" customHeight="false" outlineLevel="0" collapsed="false">
      <c r="A225" s="32" t="s">
        <v>2742</v>
      </c>
      <c r="B225" s="32" t="s">
        <v>97</v>
      </c>
      <c r="C225" s="32" t="s">
        <v>9</v>
      </c>
      <c r="D225" s="32" t="n">
        <v>10</v>
      </c>
      <c r="E225" s="33" t="s">
        <v>2741</v>
      </c>
      <c r="F225" s="33"/>
      <c r="G225" s="33"/>
      <c r="H225" s="33" t="s">
        <v>115</v>
      </c>
      <c r="I225" s="33"/>
    </row>
    <row r="226" customFormat="false" ht="15" hidden="false" customHeight="false" outlineLevel="0" collapsed="false">
      <c r="A226" s="32" t="s">
        <v>2752</v>
      </c>
      <c r="B226" s="32" t="s">
        <v>97</v>
      </c>
      <c r="C226" s="32" t="s">
        <v>12</v>
      </c>
      <c r="D226" s="32" t="n">
        <v>10</v>
      </c>
      <c r="E226" s="33" t="s">
        <v>2761</v>
      </c>
      <c r="F226" s="33" t="s">
        <v>2762</v>
      </c>
      <c r="G226" s="33"/>
      <c r="H226" s="33" t="s">
        <v>115</v>
      </c>
      <c r="I226" s="33"/>
    </row>
    <row r="227" customFormat="false" ht="15" hidden="false" customHeight="false" outlineLevel="0" collapsed="false">
      <c r="A227" s="32" t="s">
        <v>2764</v>
      </c>
      <c r="B227" s="32" t="s">
        <v>97</v>
      </c>
      <c r="C227" s="32" t="s">
        <v>9</v>
      </c>
      <c r="D227" s="32" t="n">
        <v>10</v>
      </c>
      <c r="E227" s="33" t="s">
        <v>2773</v>
      </c>
      <c r="F227" s="33"/>
      <c r="G227" s="33"/>
      <c r="H227" s="33" t="s">
        <v>115</v>
      </c>
      <c r="I227" s="33"/>
    </row>
    <row r="228" customFormat="false" ht="15" hidden="false" customHeight="false" outlineLevel="0" collapsed="false">
      <c r="A228" s="32" t="s">
        <v>2774</v>
      </c>
      <c r="B228" s="32" t="s">
        <v>97</v>
      </c>
      <c r="C228" s="32" t="s">
        <v>12</v>
      </c>
      <c r="D228" s="32" t="n">
        <v>10</v>
      </c>
      <c r="E228" s="33" t="s">
        <v>2786</v>
      </c>
      <c r="F228" s="33" t="s">
        <v>2787</v>
      </c>
      <c r="G228" s="33"/>
      <c r="H228" s="33" t="s">
        <v>115</v>
      </c>
      <c r="I228" s="33"/>
    </row>
    <row r="229" customFormat="false" ht="15" hidden="false" customHeight="false" outlineLevel="0" collapsed="false">
      <c r="A229" s="32" t="s">
        <v>2788</v>
      </c>
      <c r="B229" s="32" t="s">
        <v>97</v>
      </c>
      <c r="C229" s="32" t="s">
        <v>9</v>
      </c>
      <c r="D229" s="32" t="n">
        <v>10</v>
      </c>
      <c r="E229" s="33" t="s">
        <v>2797</v>
      </c>
      <c r="F229" s="33"/>
      <c r="G229" s="33"/>
      <c r="H229" s="33" t="s">
        <v>115</v>
      </c>
      <c r="I229" s="33"/>
    </row>
    <row r="230" customFormat="false" ht="15" hidden="false" customHeight="false" outlineLevel="0" collapsed="false">
      <c r="A230" s="32" t="s">
        <v>2798</v>
      </c>
      <c r="B230" s="32" t="s">
        <v>97</v>
      </c>
      <c r="C230" s="32" t="s">
        <v>9</v>
      </c>
      <c r="D230" s="32" t="n">
        <v>10</v>
      </c>
      <c r="E230" s="33" t="s">
        <v>2808</v>
      </c>
      <c r="F230" s="33"/>
      <c r="G230" s="33"/>
      <c r="H230" s="33" t="s">
        <v>115</v>
      </c>
      <c r="I230" s="33"/>
    </row>
    <row r="231" customFormat="false" ht="15" hidden="false" customHeight="false" outlineLevel="0" collapsed="false">
      <c r="A231" s="32" t="s">
        <v>2810</v>
      </c>
      <c r="B231" s="32" t="s">
        <v>97</v>
      </c>
      <c r="C231" s="32" t="s">
        <v>9</v>
      </c>
      <c r="D231" s="32" t="n">
        <v>10</v>
      </c>
      <c r="E231" s="33" t="s">
        <v>2808</v>
      </c>
      <c r="F231" s="33"/>
      <c r="G231" s="33"/>
      <c r="H231" s="33" t="s">
        <v>115</v>
      </c>
      <c r="I231" s="33"/>
    </row>
    <row r="232" customFormat="false" ht="15" hidden="false" customHeight="false" outlineLevel="0" collapsed="false">
      <c r="A232" s="32" t="s">
        <v>2819</v>
      </c>
      <c r="B232" s="32" t="s">
        <v>97</v>
      </c>
      <c r="C232" s="32" t="s">
        <v>9</v>
      </c>
      <c r="D232" s="32" t="n">
        <v>10</v>
      </c>
      <c r="E232" s="33" t="s">
        <v>2808</v>
      </c>
      <c r="F232" s="33"/>
      <c r="G232" s="33"/>
      <c r="H232" s="33" t="s">
        <v>115</v>
      </c>
      <c r="I232" s="33"/>
    </row>
    <row r="233" customFormat="false" ht="15" hidden="false" customHeight="false" outlineLevel="0" collapsed="false">
      <c r="A233" s="32" t="s">
        <v>2823</v>
      </c>
      <c r="B233" s="32" t="s">
        <v>97</v>
      </c>
      <c r="C233" s="32" t="s">
        <v>9</v>
      </c>
      <c r="D233" s="32" t="n">
        <v>10</v>
      </c>
      <c r="E233" s="33" t="s">
        <v>2808</v>
      </c>
      <c r="F233" s="33"/>
      <c r="G233" s="33"/>
      <c r="H233" s="33" t="s">
        <v>115</v>
      </c>
      <c r="I233" s="33"/>
    </row>
    <row r="234" customFormat="false" ht="15" hidden="false" customHeight="false" outlineLevel="0" collapsed="false">
      <c r="A234" s="32" t="s">
        <v>2830</v>
      </c>
      <c r="B234" s="32" t="s">
        <v>97</v>
      </c>
      <c r="C234" s="32" t="s">
        <v>9</v>
      </c>
      <c r="D234" s="32" t="n">
        <v>10</v>
      </c>
      <c r="E234" s="33" t="s">
        <v>2808</v>
      </c>
      <c r="F234" s="33"/>
      <c r="G234" s="33"/>
      <c r="H234" s="33" t="s">
        <v>115</v>
      </c>
      <c r="I234" s="33"/>
    </row>
    <row r="235" customFormat="false" ht="15" hidden="false" customHeight="false" outlineLevel="0" collapsed="false">
      <c r="A235" s="32" t="s">
        <v>2841</v>
      </c>
      <c r="B235" s="32" t="s">
        <v>97</v>
      </c>
      <c r="C235" s="32" t="s">
        <v>9</v>
      </c>
      <c r="D235" s="32" t="n">
        <v>10</v>
      </c>
      <c r="E235" s="33" t="s">
        <v>2808</v>
      </c>
      <c r="F235" s="33"/>
      <c r="G235" s="33"/>
      <c r="H235" s="33" t="s">
        <v>115</v>
      </c>
      <c r="I235" s="33"/>
    </row>
    <row r="236" customFormat="false" ht="15" hidden="false" customHeight="false" outlineLevel="0" collapsed="false">
      <c r="A236" s="32" t="s">
        <v>2846</v>
      </c>
      <c r="B236" s="32" t="s">
        <v>97</v>
      </c>
      <c r="C236" s="32" t="s">
        <v>9</v>
      </c>
      <c r="D236" s="32" t="n">
        <v>10</v>
      </c>
      <c r="E236" s="33" t="s">
        <v>2808</v>
      </c>
      <c r="F236" s="33"/>
      <c r="G236" s="33"/>
      <c r="H236" s="33" t="s">
        <v>115</v>
      </c>
      <c r="I236" s="33"/>
    </row>
    <row r="237" customFormat="false" ht="15" hidden="false" customHeight="false" outlineLevel="0" collapsed="false">
      <c r="A237" s="32" t="s">
        <v>2851</v>
      </c>
      <c r="B237" s="32" t="s">
        <v>97</v>
      </c>
      <c r="C237" s="32" t="s">
        <v>9</v>
      </c>
      <c r="D237" s="32" t="n">
        <v>10</v>
      </c>
      <c r="E237" s="33" t="s">
        <v>2808</v>
      </c>
      <c r="F237" s="33"/>
      <c r="G237" s="33"/>
      <c r="H237" s="33" t="s">
        <v>115</v>
      </c>
      <c r="I237" s="33"/>
    </row>
    <row r="238" customFormat="false" ht="15" hidden="false" customHeight="false" outlineLevel="0" collapsed="false">
      <c r="A238" s="32" t="s">
        <v>2856</v>
      </c>
      <c r="B238" s="32" t="s">
        <v>97</v>
      </c>
      <c r="C238" s="32" t="s">
        <v>9</v>
      </c>
      <c r="D238" s="32" t="n">
        <v>10</v>
      </c>
      <c r="E238" s="33" t="s">
        <v>2808</v>
      </c>
      <c r="F238" s="33"/>
      <c r="G238" s="33"/>
      <c r="H238" s="33" t="s">
        <v>115</v>
      </c>
      <c r="I238" s="33"/>
    </row>
    <row r="239" customFormat="false" ht="15" hidden="false" customHeight="false" outlineLevel="0" collapsed="false">
      <c r="A239" s="32" t="s">
        <v>2860</v>
      </c>
      <c r="B239" s="32" t="s">
        <v>97</v>
      </c>
      <c r="C239" s="32" t="s">
        <v>9</v>
      </c>
      <c r="D239" s="32" t="n">
        <v>10</v>
      </c>
      <c r="E239" s="33" t="s">
        <v>2871</v>
      </c>
      <c r="F239" s="33"/>
      <c r="G239" s="33"/>
      <c r="H239" s="33" t="s">
        <v>115</v>
      </c>
      <c r="I239" s="33"/>
    </row>
    <row r="240" customFormat="false" ht="21.6" hidden="false" customHeight="true" outlineLevel="0" collapsed="false">
      <c r="A240" s="33" t="s">
        <v>2872</v>
      </c>
      <c r="B240" s="33" t="s">
        <v>97</v>
      </c>
      <c r="C240" s="33" t="s">
        <v>9</v>
      </c>
      <c r="D240" s="33" t="n">
        <v>70</v>
      </c>
      <c r="E240" s="33" t="s">
        <v>2886</v>
      </c>
      <c r="F240" s="33" t="s">
        <v>2887</v>
      </c>
      <c r="G240" s="33" t="s">
        <v>16283</v>
      </c>
      <c r="H240" s="33" t="s">
        <v>168</v>
      </c>
      <c r="I240" s="33" t="s">
        <v>1050</v>
      </c>
    </row>
    <row r="241" customFormat="false" ht="21.6" hidden="false" customHeight="true" outlineLevel="0" collapsed="false">
      <c r="A241" s="33" t="s">
        <v>2889</v>
      </c>
      <c r="B241" s="33" t="s">
        <v>97</v>
      </c>
      <c r="C241" s="33" t="s">
        <v>9</v>
      </c>
      <c r="D241" s="33" t="n">
        <v>80</v>
      </c>
      <c r="E241" s="33" t="s">
        <v>2900</v>
      </c>
      <c r="F241" s="33" t="s">
        <v>2901</v>
      </c>
      <c r="G241" s="33" t="s">
        <v>16280</v>
      </c>
      <c r="H241" s="33" t="s">
        <v>168</v>
      </c>
      <c r="I241" s="33" t="s">
        <v>941</v>
      </c>
    </row>
    <row r="242" customFormat="false" ht="32.4" hidden="false" customHeight="true" outlineLevel="0" collapsed="false">
      <c r="A242" s="33" t="s">
        <v>2903</v>
      </c>
      <c r="B242" s="33" t="s">
        <v>97</v>
      </c>
      <c r="C242" s="33" t="s">
        <v>9</v>
      </c>
      <c r="D242" s="33" t="n">
        <v>70</v>
      </c>
      <c r="E242" s="33" t="s">
        <v>2886</v>
      </c>
      <c r="F242" s="33" t="s">
        <v>2914</v>
      </c>
      <c r="G242" s="33" t="s">
        <v>16283</v>
      </c>
      <c r="H242" s="33" t="s">
        <v>168</v>
      </c>
      <c r="I242" s="33" t="s">
        <v>1050</v>
      </c>
    </row>
    <row r="243" customFormat="false" ht="21.6" hidden="false" customHeight="true" outlineLevel="0" collapsed="false">
      <c r="A243" s="33" t="s">
        <v>2916</v>
      </c>
      <c r="B243" s="33" t="s">
        <v>97</v>
      </c>
      <c r="C243" s="33" t="s">
        <v>9</v>
      </c>
      <c r="D243" s="33" t="n">
        <v>70</v>
      </c>
      <c r="E243" s="33" t="s">
        <v>2928</v>
      </c>
      <c r="F243" s="33" t="s">
        <v>2929</v>
      </c>
      <c r="G243" s="33" t="s">
        <v>16283</v>
      </c>
      <c r="H243" s="33" t="s">
        <v>168</v>
      </c>
      <c r="I243" s="33" t="s">
        <v>1050</v>
      </c>
    </row>
    <row r="244" customFormat="false" ht="15" hidden="false" customHeight="false" outlineLevel="0" collapsed="false">
      <c r="A244" s="32" t="s">
        <v>2931</v>
      </c>
      <c r="B244" s="32" t="s">
        <v>97</v>
      </c>
      <c r="C244" s="32" t="s">
        <v>9</v>
      </c>
      <c r="D244" s="32" t="n">
        <v>10</v>
      </c>
      <c r="E244" s="33" t="s">
        <v>2939</v>
      </c>
      <c r="F244" s="33"/>
      <c r="G244" s="33"/>
      <c r="H244" s="33" t="s">
        <v>115</v>
      </c>
      <c r="I244" s="33"/>
    </row>
    <row r="245" customFormat="false" ht="15" hidden="false" customHeight="false" outlineLevel="0" collapsed="false">
      <c r="A245" s="32" t="s">
        <v>2941</v>
      </c>
      <c r="B245" s="32" t="s">
        <v>97</v>
      </c>
      <c r="C245" s="32" t="s">
        <v>9</v>
      </c>
      <c r="D245" s="32" t="n">
        <v>10</v>
      </c>
      <c r="E245" s="33" t="s">
        <v>2951</v>
      </c>
      <c r="F245" s="33"/>
      <c r="G245" s="33"/>
      <c r="H245" s="33" t="s">
        <v>115</v>
      </c>
      <c r="I245" s="33"/>
    </row>
    <row r="246" customFormat="false" ht="21.6" hidden="false" customHeight="true" outlineLevel="0" collapsed="false">
      <c r="A246" s="33" t="s">
        <v>2952</v>
      </c>
      <c r="B246" s="33" t="s">
        <v>97</v>
      </c>
      <c r="C246" s="33" t="s">
        <v>9</v>
      </c>
      <c r="D246" s="33" t="n">
        <v>70</v>
      </c>
      <c r="E246" s="33" t="s">
        <v>2963</v>
      </c>
      <c r="F246" s="33" t="s">
        <v>2964</v>
      </c>
      <c r="G246" s="33" t="s">
        <v>16283</v>
      </c>
      <c r="H246" s="33" t="s">
        <v>168</v>
      </c>
      <c r="I246" s="33" t="s">
        <v>1050</v>
      </c>
    </row>
    <row r="247" customFormat="false" ht="15" hidden="false" customHeight="false" outlineLevel="0" collapsed="false">
      <c r="A247" s="32" t="s">
        <v>2966</v>
      </c>
      <c r="B247" s="32" t="s">
        <v>97</v>
      </c>
      <c r="C247" s="32" t="s">
        <v>9</v>
      </c>
      <c r="D247" s="32" t="n">
        <v>10</v>
      </c>
      <c r="E247" s="33" t="s">
        <v>2974</v>
      </c>
      <c r="F247" s="33"/>
      <c r="G247" s="33"/>
      <c r="H247" s="33" t="s">
        <v>115</v>
      </c>
      <c r="I247" s="33"/>
    </row>
    <row r="248" customFormat="false" ht="15" hidden="false" customHeight="false" outlineLevel="0" collapsed="false">
      <c r="A248" s="32" t="s">
        <v>2976</v>
      </c>
      <c r="B248" s="32" t="s">
        <v>97</v>
      </c>
      <c r="C248" s="32" t="s">
        <v>9</v>
      </c>
      <c r="D248" s="32" t="n">
        <v>10</v>
      </c>
      <c r="E248" s="33" t="s">
        <v>2982</v>
      </c>
      <c r="F248" s="33"/>
      <c r="G248" s="33"/>
      <c r="H248" s="33" t="s">
        <v>115</v>
      </c>
      <c r="I248" s="33"/>
    </row>
    <row r="249" customFormat="false" ht="15" hidden="false" customHeight="false" outlineLevel="0" collapsed="false">
      <c r="A249" s="32" t="s">
        <v>2984</v>
      </c>
      <c r="B249" s="32" t="s">
        <v>97</v>
      </c>
      <c r="C249" s="32" t="s">
        <v>9</v>
      </c>
      <c r="D249" s="32" t="n">
        <v>10</v>
      </c>
      <c r="E249" s="33" t="s">
        <v>2982</v>
      </c>
      <c r="F249" s="33"/>
      <c r="G249" s="33"/>
      <c r="H249" s="33" t="s">
        <v>115</v>
      </c>
      <c r="I249" s="33"/>
    </row>
    <row r="250" customFormat="false" ht="39.55" hidden="false" customHeight="false" outlineLevel="0" collapsed="false">
      <c r="A250" s="32" t="s">
        <v>2994</v>
      </c>
      <c r="B250" s="32" t="s">
        <v>97</v>
      </c>
      <c r="C250" s="32" t="s">
        <v>9</v>
      </c>
      <c r="D250" s="32" t="n">
        <v>80</v>
      </c>
      <c r="E250" s="33" t="s">
        <v>3004</v>
      </c>
      <c r="F250" s="33" t="s">
        <v>3005</v>
      </c>
      <c r="G250" s="33" t="s">
        <v>941</v>
      </c>
      <c r="H250" s="33" t="s">
        <v>168</v>
      </c>
      <c r="I250" s="33" t="s">
        <v>941</v>
      </c>
    </row>
    <row r="251" customFormat="false" ht="15" hidden="false" customHeight="false" outlineLevel="0" collapsed="false">
      <c r="A251" s="32" t="s">
        <v>3007</v>
      </c>
      <c r="B251" s="32" t="s">
        <v>97</v>
      </c>
      <c r="C251" s="32" t="s">
        <v>9</v>
      </c>
      <c r="D251" s="32" t="n">
        <v>10</v>
      </c>
      <c r="E251" s="33" t="s">
        <v>2982</v>
      </c>
      <c r="F251" s="33"/>
      <c r="G251" s="33"/>
      <c r="H251" s="33" t="s">
        <v>115</v>
      </c>
      <c r="I251" s="33"/>
    </row>
    <row r="252" customFormat="false" ht="15" hidden="false" customHeight="false" outlineLevel="0" collapsed="false">
      <c r="A252" s="32" t="s">
        <v>3017</v>
      </c>
      <c r="B252" s="32" t="s">
        <v>97</v>
      </c>
      <c r="C252" s="32" t="s">
        <v>9</v>
      </c>
      <c r="D252" s="32" t="n">
        <v>10</v>
      </c>
      <c r="E252" s="33" t="s">
        <v>2982</v>
      </c>
      <c r="F252" s="33"/>
      <c r="G252" s="33"/>
      <c r="H252" s="33" t="s">
        <v>115</v>
      </c>
      <c r="I252" s="33"/>
    </row>
    <row r="253" customFormat="false" ht="15" hidden="false" customHeight="false" outlineLevel="0" collapsed="false">
      <c r="A253" s="32" t="s">
        <v>3029</v>
      </c>
      <c r="B253" s="32" t="s">
        <v>97</v>
      </c>
      <c r="C253" s="32" t="s">
        <v>9</v>
      </c>
      <c r="D253" s="32" t="n">
        <v>10</v>
      </c>
      <c r="E253" s="33" t="s">
        <v>3035</v>
      </c>
      <c r="F253" s="33"/>
      <c r="G253" s="33"/>
      <c r="H253" s="33" t="s">
        <v>115</v>
      </c>
      <c r="I253" s="33"/>
    </row>
    <row r="254" customFormat="false" ht="15" hidden="false" customHeight="false" outlineLevel="0" collapsed="false">
      <c r="A254" s="32" t="s">
        <v>3036</v>
      </c>
      <c r="B254" s="32" t="s">
        <v>97</v>
      </c>
      <c r="C254" s="32" t="s">
        <v>9</v>
      </c>
      <c r="D254" s="32" t="n">
        <v>10</v>
      </c>
      <c r="E254" s="33" t="s">
        <v>3035</v>
      </c>
      <c r="F254" s="33"/>
      <c r="G254" s="33"/>
      <c r="H254" s="33" t="s">
        <v>115</v>
      </c>
      <c r="I254" s="33"/>
    </row>
    <row r="255" customFormat="false" ht="15" hidden="false" customHeight="false" outlineLevel="0" collapsed="false">
      <c r="A255" s="32" t="s">
        <v>3043</v>
      </c>
      <c r="B255" s="32" t="s">
        <v>97</v>
      </c>
      <c r="C255" s="32" t="s">
        <v>9</v>
      </c>
      <c r="D255" s="32" t="n">
        <v>10</v>
      </c>
      <c r="E255" s="33" t="s">
        <v>3035</v>
      </c>
      <c r="F255" s="33"/>
      <c r="G255" s="33"/>
      <c r="H255" s="33" t="s">
        <v>115</v>
      </c>
      <c r="I255" s="33"/>
    </row>
    <row r="256" customFormat="false" ht="15" hidden="false" customHeight="false" outlineLevel="0" collapsed="false">
      <c r="A256" s="32" t="s">
        <v>3051</v>
      </c>
      <c r="B256" s="32" t="s">
        <v>97</v>
      </c>
      <c r="C256" s="32" t="s">
        <v>9</v>
      </c>
      <c r="D256" s="32" t="n">
        <v>10</v>
      </c>
      <c r="E256" s="33" t="s">
        <v>3057</v>
      </c>
      <c r="F256" s="33"/>
      <c r="G256" s="33"/>
      <c r="H256" s="33" t="s">
        <v>115</v>
      </c>
      <c r="I256" s="33"/>
    </row>
    <row r="257" customFormat="false" ht="15" hidden="false" customHeight="false" outlineLevel="0" collapsed="false">
      <c r="A257" s="32" t="s">
        <v>3058</v>
      </c>
      <c r="B257" s="32" t="s">
        <v>97</v>
      </c>
      <c r="C257" s="32" t="s">
        <v>9</v>
      </c>
      <c r="D257" s="32" t="n">
        <v>10</v>
      </c>
      <c r="E257" s="33" t="s">
        <v>3057</v>
      </c>
      <c r="F257" s="33"/>
      <c r="G257" s="33"/>
      <c r="H257" s="33" t="s">
        <v>115</v>
      </c>
      <c r="I257" s="33"/>
    </row>
    <row r="258" customFormat="false" ht="15" hidden="false" customHeight="false" outlineLevel="0" collapsed="false">
      <c r="A258" s="32" t="s">
        <v>3064</v>
      </c>
      <c r="B258" s="32" t="s">
        <v>97</v>
      </c>
      <c r="C258" s="32" t="s">
        <v>9</v>
      </c>
      <c r="D258" s="32" t="n">
        <v>10</v>
      </c>
      <c r="E258" s="33" t="s">
        <v>3070</v>
      </c>
      <c r="F258" s="33"/>
      <c r="G258" s="33"/>
      <c r="H258" s="33" t="s">
        <v>115</v>
      </c>
      <c r="I258" s="33"/>
    </row>
    <row r="259" customFormat="false" ht="39.55" hidden="false" customHeight="false" outlineLevel="0" collapsed="false">
      <c r="A259" s="32" t="s">
        <v>3072</v>
      </c>
      <c r="B259" s="32" t="s">
        <v>97</v>
      </c>
      <c r="C259" s="32" t="s">
        <v>9</v>
      </c>
      <c r="D259" s="32" t="n">
        <v>80</v>
      </c>
      <c r="E259" s="33" t="s">
        <v>3082</v>
      </c>
      <c r="F259" s="33" t="s">
        <v>3083</v>
      </c>
      <c r="G259" s="33" t="s">
        <v>941</v>
      </c>
      <c r="H259" s="33" t="s">
        <v>168</v>
      </c>
      <c r="I259" s="33" t="s">
        <v>941</v>
      </c>
    </row>
    <row r="260" customFormat="false" ht="15" hidden="false" customHeight="false" outlineLevel="0" collapsed="false">
      <c r="A260" s="32" t="s">
        <v>3085</v>
      </c>
      <c r="B260" s="32" t="s">
        <v>97</v>
      </c>
      <c r="C260" s="32" t="s">
        <v>9</v>
      </c>
      <c r="D260" s="32" t="n">
        <v>10</v>
      </c>
      <c r="E260" s="33" t="s">
        <v>3070</v>
      </c>
      <c r="F260" s="33"/>
      <c r="G260" s="33"/>
      <c r="H260" s="33" t="s">
        <v>115</v>
      </c>
      <c r="I260" s="33"/>
    </row>
    <row r="261" customFormat="false" ht="15" hidden="false" customHeight="false" outlineLevel="0" collapsed="false">
      <c r="A261" s="32" t="s">
        <v>3096</v>
      </c>
      <c r="B261" s="32" t="s">
        <v>97</v>
      </c>
      <c r="C261" s="32" t="s">
        <v>9</v>
      </c>
      <c r="D261" s="32" t="n">
        <v>10</v>
      </c>
      <c r="E261" s="33" t="s">
        <v>3101</v>
      </c>
      <c r="F261" s="33"/>
      <c r="G261" s="33"/>
      <c r="H261" s="33" t="s">
        <v>115</v>
      </c>
      <c r="I261" s="33"/>
    </row>
    <row r="262" customFormat="false" ht="15" hidden="false" customHeight="false" outlineLevel="0" collapsed="false">
      <c r="A262" s="32" t="s">
        <v>3102</v>
      </c>
      <c r="B262" s="32" t="s">
        <v>97</v>
      </c>
      <c r="C262" s="32" t="s">
        <v>9</v>
      </c>
      <c r="D262" s="32" t="n">
        <v>10</v>
      </c>
      <c r="E262" s="33" t="s">
        <v>3101</v>
      </c>
      <c r="F262" s="33"/>
      <c r="G262" s="33"/>
      <c r="H262" s="33" t="s">
        <v>115</v>
      </c>
      <c r="I262" s="33"/>
    </row>
    <row r="263" customFormat="false" ht="15" hidden="false" customHeight="false" outlineLevel="0" collapsed="false">
      <c r="A263" s="32" t="s">
        <v>3108</v>
      </c>
      <c r="B263" s="32" t="s">
        <v>97</v>
      </c>
      <c r="C263" s="32" t="s">
        <v>9</v>
      </c>
      <c r="D263" s="32" t="n">
        <v>10</v>
      </c>
      <c r="E263" s="33" t="s">
        <v>3101</v>
      </c>
      <c r="F263" s="33"/>
      <c r="G263" s="33"/>
      <c r="H263" s="33" t="s">
        <v>115</v>
      </c>
      <c r="I263" s="33"/>
    </row>
    <row r="264" customFormat="false" ht="15" hidden="false" customHeight="false" outlineLevel="0" collapsed="false">
      <c r="A264" s="32" t="s">
        <v>3120</v>
      </c>
      <c r="B264" s="32" t="s">
        <v>97</v>
      </c>
      <c r="C264" s="32" t="s">
        <v>9</v>
      </c>
      <c r="D264" s="32" t="n">
        <v>10</v>
      </c>
      <c r="E264" s="33" t="s">
        <v>3101</v>
      </c>
      <c r="F264" s="33"/>
      <c r="G264" s="33"/>
      <c r="H264" s="33" t="s">
        <v>115</v>
      </c>
      <c r="I264" s="33"/>
    </row>
    <row r="265" customFormat="false" ht="39.55" hidden="false" customHeight="false" outlineLevel="0" collapsed="false">
      <c r="A265" s="32" t="s">
        <v>3131</v>
      </c>
      <c r="B265" s="32" t="s">
        <v>97</v>
      </c>
      <c r="C265" s="32" t="s">
        <v>9</v>
      </c>
      <c r="D265" s="32" t="n">
        <v>80</v>
      </c>
      <c r="E265" s="33" t="s">
        <v>3141</v>
      </c>
      <c r="F265" s="33" t="s">
        <v>955</v>
      </c>
      <c r="G265" s="33" t="s">
        <v>941</v>
      </c>
      <c r="H265" s="33" t="s">
        <v>168</v>
      </c>
      <c r="I265" s="33" t="s">
        <v>941</v>
      </c>
    </row>
    <row r="266" customFormat="false" ht="15" hidden="false" customHeight="false" outlineLevel="0" collapsed="false">
      <c r="A266" s="32" t="s">
        <v>3143</v>
      </c>
      <c r="B266" s="32" t="s">
        <v>97</v>
      </c>
      <c r="C266" s="32" t="s">
        <v>9</v>
      </c>
      <c r="D266" s="32" t="n">
        <v>10</v>
      </c>
      <c r="E266" s="33" t="s">
        <v>3152</v>
      </c>
      <c r="F266" s="33"/>
      <c r="G266" s="33"/>
      <c r="H266" s="33" t="s">
        <v>115</v>
      </c>
      <c r="I266" s="33"/>
    </row>
    <row r="267" customFormat="false" ht="15" hidden="false" customHeight="false" outlineLevel="0" collapsed="false">
      <c r="A267" s="32" t="s">
        <v>3153</v>
      </c>
      <c r="B267" s="32" t="s">
        <v>97</v>
      </c>
      <c r="C267" s="32" t="s">
        <v>9</v>
      </c>
      <c r="D267" s="32" t="n">
        <v>10</v>
      </c>
      <c r="E267" s="33" t="s">
        <v>3152</v>
      </c>
      <c r="F267" s="33"/>
      <c r="G267" s="33"/>
      <c r="H267" s="33" t="s">
        <v>115</v>
      </c>
      <c r="I267" s="33"/>
    </row>
    <row r="268" customFormat="false" ht="39.55" hidden="false" customHeight="false" outlineLevel="0" collapsed="false">
      <c r="A268" s="32" t="s">
        <v>3163</v>
      </c>
      <c r="B268" s="32" t="s">
        <v>97</v>
      </c>
      <c r="C268" s="32" t="s">
        <v>9</v>
      </c>
      <c r="D268" s="32" t="n">
        <v>80</v>
      </c>
      <c r="E268" s="33" t="s">
        <v>3141</v>
      </c>
      <c r="F268" s="33" t="s">
        <v>955</v>
      </c>
      <c r="G268" s="33" t="s">
        <v>941</v>
      </c>
      <c r="H268" s="33" t="s">
        <v>168</v>
      </c>
      <c r="I268" s="33" t="s">
        <v>941</v>
      </c>
    </row>
    <row r="269" customFormat="false" ht="15" hidden="false" customHeight="false" outlineLevel="0" collapsed="false">
      <c r="A269" s="32" t="s">
        <v>3174</v>
      </c>
      <c r="B269" s="32" t="s">
        <v>97</v>
      </c>
      <c r="C269" s="32" t="s">
        <v>9</v>
      </c>
      <c r="D269" s="32" t="n">
        <v>10</v>
      </c>
      <c r="E269" s="33" t="s">
        <v>3152</v>
      </c>
      <c r="F269" s="33"/>
      <c r="G269" s="33"/>
      <c r="H269" s="33" t="s">
        <v>115</v>
      </c>
      <c r="I269" s="33"/>
    </row>
    <row r="270" customFormat="false" ht="15" hidden="false" customHeight="false" outlineLevel="0" collapsed="false">
      <c r="A270" s="32" t="s">
        <v>3187</v>
      </c>
      <c r="B270" s="32" t="s">
        <v>97</v>
      </c>
      <c r="C270" s="32" t="s">
        <v>9</v>
      </c>
      <c r="D270" s="32" t="n">
        <v>10</v>
      </c>
      <c r="E270" s="33" t="s">
        <v>3192</v>
      </c>
      <c r="F270" s="33"/>
      <c r="G270" s="33"/>
      <c r="H270" s="33" t="s">
        <v>115</v>
      </c>
      <c r="I270" s="33"/>
    </row>
    <row r="271" customFormat="false" ht="15" hidden="false" customHeight="false" outlineLevel="0" collapsed="false">
      <c r="A271" s="32" t="s">
        <v>3193</v>
      </c>
      <c r="B271" s="32" t="s">
        <v>97</v>
      </c>
      <c r="C271" s="32" t="s">
        <v>9</v>
      </c>
      <c r="D271" s="32" t="n">
        <v>10</v>
      </c>
      <c r="E271" s="33" t="s">
        <v>3192</v>
      </c>
      <c r="F271" s="33"/>
      <c r="G271" s="33"/>
      <c r="H271" s="33" t="s">
        <v>115</v>
      </c>
      <c r="I271" s="33"/>
    </row>
    <row r="272" customFormat="false" ht="15" hidden="false" customHeight="false" outlineLevel="0" collapsed="false">
      <c r="A272" s="32" t="s">
        <v>3198</v>
      </c>
      <c r="B272" s="32" t="s">
        <v>97</v>
      </c>
      <c r="C272" s="32" t="s">
        <v>9</v>
      </c>
      <c r="D272" s="32" t="n">
        <v>10</v>
      </c>
      <c r="E272" s="33" t="s">
        <v>3192</v>
      </c>
      <c r="F272" s="33"/>
      <c r="G272" s="33"/>
      <c r="H272" s="33" t="s">
        <v>115</v>
      </c>
      <c r="I272" s="33"/>
    </row>
    <row r="273" customFormat="false" ht="15" hidden="false" customHeight="false" outlineLevel="0" collapsed="false">
      <c r="A273" s="32" t="s">
        <v>3208</v>
      </c>
      <c r="B273" s="32" t="s">
        <v>97</v>
      </c>
      <c r="C273" s="32" t="s">
        <v>9</v>
      </c>
      <c r="D273" s="32" t="n">
        <v>10</v>
      </c>
      <c r="E273" s="33" t="s">
        <v>3192</v>
      </c>
      <c r="F273" s="33"/>
      <c r="G273" s="33"/>
      <c r="H273" s="33" t="s">
        <v>115</v>
      </c>
      <c r="I273" s="33"/>
    </row>
    <row r="274" customFormat="false" ht="15" hidden="false" customHeight="false" outlineLevel="0" collapsed="false">
      <c r="A274" s="32" t="s">
        <v>3218</v>
      </c>
      <c r="B274" s="32" t="s">
        <v>97</v>
      </c>
      <c r="C274" s="32" t="s">
        <v>9</v>
      </c>
      <c r="D274" s="32" t="n">
        <v>10</v>
      </c>
      <c r="E274" s="33" t="s">
        <v>3223</v>
      </c>
      <c r="F274" s="33"/>
      <c r="G274" s="33"/>
      <c r="H274" s="33" t="s">
        <v>115</v>
      </c>
      <c r="I274" s="33"/>
    </row>
    <row r="275" customFormat="false" ht="15" hidden="false" customHeight="false" outlineLevel="0" collapsed="false">
      <c r="A275" s="32" t="s">
        <v>3224</v>
      </c>
      <c r="B275" s="32" t="s">
        <v>97</v>
      </c>
      <c r="C275" s="32" t="s">
        <v>9</v>
      </c>
      <c r="D275" s="32" t="n">
        <v>10</v>
      </c>
      <c r="E275" s="33" t="s">
        <v>3223</v>
      </c>
      <c r="F275" s="33"/>
      <c r="G275" s="33"/>
      <c r="H275" s="33" t="s">
        <v>115</v>
      </c>
      <c r="I275" s="33"/>
    </row>
    <row r="276" customFormat="false" ht="15" hidden="false" customHeight="false" outlineLevel="0" collapsed="false">
      <c r="A276" s="32" t="s">
        <v>3229</v>
      </c>
      <c r="B276" s="32" t="s">
        <v>97</v>
      </c>
      <c r="C276" s="32" t="s">
        <v>9</v>
      </c>
      <c r="D276" s="32" t="n">
        <v>10</v>
      </c>
      <c r="E276" s="33" t="s">
        <v>3223</v>
      </c>
      <c r="F276" s="33"/>
      <c r="G276" s="33"/>
      <c r="H276" s="33" t="s">
        <v>115</v>
      </c>
      <c r="I276" s="33"/>
    </row>
    <row r="277" customFormat="false" ht="15" hidden="false" customHeight="false" outlineLevel="0" collapsed="false">
      <c r="A277" s="32" t="s">
        <v>3241</v>
      </c>
      <c r="B277" s="32" t="s">
        <v>97</v>
      </c>
      <c r="C277" s="32" t="s">
        <v>9</v>
      </c>
      <c r="D277" s="32" t="n">
        <v>10</v>
      </c>
      <c r="E277" s="33" t="s">
        <v>3223</v>
      </c>
      <c r="F277" s="33"/>
      <c r="G277" s="33"/>
      <c r="H277" s="33" t="s">
        <v>115</v>
      </c>
      <c r="I277" s="33"/>
    </row>
    <row r="278" customFormat="false" ht="39.55" hidden="false" customHeight="false" outlineLevel="0" collapsed="false">
      <c r="A278" s="32" t="s">
        <v>3251</v>
      </c>
      <c r="B278" s="32" t="s">
        <v>97</v>
      </c>
      <c r="C278" s="32" t="s">
        <v>9</v>
      </c>
      <c r="D278" s="32" t="n">
        <v>80</v>
      </c>
      <c r="E278" s="33" t="s">
        <v>3260</v>
      </c>
      <c r="F278" s="33" t="s">
        <v>955</v>
      </c>
      <c r="G278" s="33" t="s">
        <v>941</v>
      </c>
      <c r="H278" s="33" t="s">
        <v>168</v>
      </c>
      <c r="I278" s="33" t="s">
        <v>941</v>
      </c>
    </row>
    <row r="279" customFormat="false" ht="15" hidden="false" customHeight="false" outlineLevel="0" collapsed="false">
      <c r="A279" s="32" t="s">
        <v>3262</v>
      </c>
      <c r="B279" s="32" t="s">
        <v>97</v>
      </c>
      <c r="C279" s="32" t="s">
        <v>9</v>
      </c>
      <c r="D279" s="32" t="n">
        <v>10</v>
      </c>
      <c r="E279" s="33" t="s">
        <v>3266</v>
      </c>
      <c r="F279" s="33"/>
      <c r="G279" s="33"/>
      <c r="H279" s="33" t="s">
        <v>115</v>
      </c>
      <c r="I279" s="33"/>
    </row>
    <row r="280" customFormat="false" ht="39.55" hidden="false" customHeight="false" outlineLevel="0" collapsed="false">
      <c r="A280" s="32" t="s">
        <v>3267</v>
      </c>
      <c r="B280" s="32" t="s">
        <v>97</v>
      </c>
      <c r="C280" s="32" t="s">
        <v>9</v>
      </c>
      <c r="D280" s="32" t="n">
        <v>80</v>
      </c>
      <c r="E280" s="33" t="s">
        <v>3279</v>
      </c>
      <c r="F280" s="33" t="s">
        <v>955</v>
      </c>
      <c r="G280" s="33" t="s">
        <v>941</v>
      </c>
      <c r="H280" s="33" t="s">
        <v>168</v>
      </c>
      <c r="I280" s="33" t="s">
        <v>941</v>
      </c>
    </row>
    <row r="281" customFormat="false" ht="15" hidden="false" customHeight="false" outlineLevel="0" collapsed="false">
      <c r="A281" s="32" t="s">
        <v>3280</v>
      </c>
      <c r="B281" s="32" t="s">
        <v>97</v>
      </c>
      <c r="C281" s="32" t="s">
        <v>9</v>
      </c>
      <c r="D281" s="32" t="n">
        <v>10</v>
      </c>
      <c r="E281" s="33" t="s">
        <v>3266</v>
      </c>
      <c r="F281" s="33"/>
      <c r="G281" s="33"/>
      <c r="H281" s="33" t="s">
        <v>115</v>
      </c>
      <c r="I281" s="33"/>
    </row>
    <row r="282" customFormat="false" ht="15" hidden="false" customHeight="false" outlineLevel="0" collapsed="false">
      <c r="A282" s="32" t="s">
        <v>3289</v>
      </c>
      <c r="B282" s="32" t="s">
        <v>97</v>
      </c>
      <c r="C282" s="32" t="s">
        <v>12</v>
      </c>
      <c r="D282" s="32" t="n">
        <v>10</v>
      </c>
      <c r="E282" s="33" t="s">
        <v>3295</v>
      </c>
      <c r="F282" s="33" t="s">
        <v>3296</v>
      </c>
      <c r="G282" s="33"/>
      <c r="H282" s="33" t="s">
        <v>115</v>
      </c>
      <c r="I282" s="33"/>
    </row>
    <row r="283" customFormat="false" ht="15" hidden="false" customHeight="false" outlineLevel="0" collapsed="false">
      <c r="A283" s="32" t="s">
        <v>3298</v>
      </c>
      <c r="B283" s="32" t="s">
        <v>97</v>
      </c>
      <c r="C283" s="32" t="s">
        <v>12</v>
      </c>
      <c r="D283" s="32" t="n">
        <v>10</v>
      </c>
      <c r="E283" s="33" t="s">
        <v>3295</v>
      </c>
      <c r="F283" s="33" t="s">
        <v>3296</v>
      </c>
      <c r="G283" s="33"/>
      <c r="H283" s="33" t="s">
        <v>115</v>
      </c>
      <c r="I283" s="33"/>
    </row>
    <row r="284" customFormat="false" ht="15" hidden="false" customHeight="false" outlineLevel="0" collapsed="false">
      <c r="A284" s="32" t="s">
        <v>3307</v>
      </c>
      <c r="B284" s="32" t="s">
        <v>97</v>
      </c>
      <c r="C284" s="32" t="s">
        <v>12</v>
      </c>
      <c r="D284" s="32" t="n">
        <v>10</v>
      </c>
      <c r="E284" s="33" t="s">
        <v>3295</v>
      </c>
      <c r="F284" s="33" t="s">
        <v>3296</v>
      </c>
      <c r="G284" s="33"/>
      <c r="H284" s="33" t="s">
        <v>115</v>
      </c>
      <c r="I284" s="33"/>
    </row>
    <row r="285" customFormat="false" ht="15" hidden="false" customHeight="false" outlineLevel="0" collapsed="false">
      <c r="A285" s="32" t="s">
        <v>3317</v>
      </c>
      <c r="B285" s="32" t="s">
        <v>97</v>
      </c>
      <c r="C285" s="32" t="s">
        <v>9</v>
      </c>
      <c r="D285" s="32" t="n">
        <v>10</v>
      </c>
      <c r="E285" s="33" t="s">
        <v>3323</v>
      </c>
      <c r="F285" s="33"/>
      <c r="G285" s="33"/>
      <c r="H285" s="33" t="s">
        <v>115</v>
      </c>
      <c r="I285" s="33"/>
    </row>
    <row r="286" customFormat="false" ht="15" hidden="false" customHeight="false" outlineLevel="0" collapsed="false">
      <c r="A286" s="32" t="s">
        <v>3324</v>
      </c>
      <c r="B286" s="32" t="s">
        <v>97</v>
      </c>
      <c r="C286" s="32" t="s">
        <v>9</v>
      </c>
      <c r="D286" s="32" t="n">
        <v>10</v>
      </c>
      <c r="E286" s="33" t="s">
        <v>3323</v>
      </c>
      <c r="F286" s="33"/>
      <c r="G286" s="33"/>
      <c r="H286" s="33" t="s">
        <v>115</v>
      </c>
      <c r="I286" s="33"/>
    </row>
    <row r="287" customFormat="false" ht="15" hidden="false" customHeight="false" outlineLevel="0" collapsed="false">
      <c r="A287" s="32" t="s">
        <v>3334</v>
      </c>
      <c r="B287" s="32" t="s">
        <v>97</v>
      </c>
      <c r="C287" s="32" t="s">
        <v>9</v>
      </c>
      <c r="D287" s="32" t="n">
        <v>10</v>
      </c>
      <c r="E287" s="33" t="s">
        <v>3345</v>
      </c>
      <c r="F287" s="33"/>
      <c r="G287" s="33"/>
      <c r="H287" s="33" t="s">
        <v>115</v>
      </c>
      <c r="I287" s="33"/>
    </row>
    <row r="288" customFormat="false" ht="15" hidden="false" customHeight="false" outlineLevel="0" collapsed="false">
      <c r="A288" s="32" t="s">
        <v>3346</v>
      </c>
      <c r="B288" s="32" t="s">
        <v>97</v>
      </c>
      <c r="C288" s="32" t="s">
        <v>9</v>
      </c>
      <c r="D288" s="32" t="n">
        <v>10</v>
      </c>
      <c r="E288" s="33" t="s">
        <v>3351</v>
      </c>
      <c r="F288" s="33"/>
      <c r="G288" s="33"/>
      <c r="H288" s="33" t="s">
        <v>115</v>
      </c>
      <c r="I288" s="33"/>
    </row>
    <row r="289" customFormat="false" ht="15" hidden="false" customHeight="false" outlineLevel="0" collapsed="false">
      <c r="A289" s="32" t="s">
        <v>3352</v>
      </c>
      <c r="B289" s="32" t="s">
        <v>97</v>
      </c>
      <c r="C289" s="32" t="s">
        <v>9</v>
      </c>
      <c r="D289" s="32" t="n">
        <v>10</v>
      </c>
      <c r="E289" s="33" t="s">
        <v>3351</v>
      </c>
      <c r="F289" s="33"/>
      <c r="G289" s="33"/>
      <c r="H289" s="33" t="s">
        <v>115</v>
      </c>
      <c r="I289" s="33"/>
    </row>
    <row r="290" customFormat="false" ht="15" hidden="false" customHeight="false" outlineLevel="0" collapsed="false">
      <c r="A290" s="32" t="s">
        <v>3355</v>
      </c>
      <c r="B290" s="32" t="s">
        <v>97</v>
      </c>
      <c r="C290" s="32" t="s">
        <v>9</v>
      </c>
      <c r="D290" s="32" t="n">
        <v>10</v>
      </c>
      <c r="E290" s="33" t="s">
        <v>3351</v>
      </c>
      <c r="F290" s="33"/>
      <c r="G290" s="33"/>
      <c r="H290" s="33" t="s">
        <v>115</v>
      </c>
      <c r="I290" s="33"/>
    </row>
    <row r="291" customFormat="false" ht="39.55" hidden="false" customHeight="false" outlineLevel="0" collapsed="false">
      <c r="A291" s="32" t="s">
        <v>3363</v>
      </c>
      <c r="B291" s="32" t="s">
        <v>97</v>
      </c>
      <c r="C291" s="32" t="s">
        <v>9</v>
      </c>
      <c r="D291" s="32" t="n">
        <v>80</v>
      </c>
      <c r="E291" s="33" t="s">
        <v>3369</v>
      </c>
      <c r="F291" s="33" t="s">
        <v>3005</v>
      </c>
      <c r="G291" s="33" t="s">
        <v>941</v>
      </c>
      <c r="H291" s="33" t="s">
        <v>168</v>
      </c>
      <c r="I291" s="33" t="s">
        <v>941</v>
      </c>
    </row>
    <row r="292" customFormat="false" ht="15" hidden="false" customHeight="false" outlineLevel="0" collapsed="false">
      <c r="A292" s="32" t="s">
        <v>3370</v>
      </c>
      <c r="B292" s="32" t="s">
        <v>97</v>
      </c>
      <c r="C292" s="32" t="s">
        <v>9</v>
      </c>
      <c r="D292" s="32" t="n">
        <v>10</v>
      </c>
      <c r="E292" s="33" t="s">
        <v>3375</v>
      </c>
      <c r="F292" s="33"/>
      <c r="G292" s="33"/>
      <c r="H292" s="33" t="s">
        <v>115</v>
      </c>
      <c r="I292" s="33"/>
    </row>
    <row r="293" customFormat="false" ht="15" hidden="false" customHeight="false" outlineLevel="0" collapsed="false">
      <c r="A293" s="32" t="s">
        <v>3376</v>
      </c>
      <c r="B293" s="32" t="s">
        <v>97</v>
      </c>
      <c r="C293" s="32" t="s">
        <v>9</v>
      </c>
      <c r="D293" s="32" t="n">
        <v>10</v>
      </c>
      <c r="E293" s="33" t="s">
        <v>3375</v>
      </c>
      <c r="F293" s="33"/>
      <c r="G293" s="33"/>
      <c r="H293" s="33" t="s">
        <v>115</v>
      </c>
      <c r="I293" s="33"/>
    </row>
    <row r="294" customFormat="false" ht="15" hidden="false" customHeight="false" outlineLevel="0" collapsed="false">
      <c r="A294" s="32" t="s">
        <v>3379</v>
      </c>
      <c r="B294" s="32" t="s">
        <v>97</v>
      </c>
      <c r="C294" s="32" t="s">
        <v>9</v>
      </c>
      <c r="D294" s="32" t="n">
        <v>10</v>
      </c>
      <c r="E294" s="33" t="s">
        <v>3375</v>
      </c>
      <c r="F294" s="33"/>
      <c r="G294" s="33"/>
      <c r="H294" s="33" t="s">
        <v>115</v>
      </c>
      <c r="I294" s="33"/>
    </row>
    <row r="295" customFormat="false" ht="15" hidden="false" customHeight="false" outlineLevel="0" collapsed="false">
      <c r="A295" s="32" t="s">
        <v>3389</v>
      </c>
      <c r="B295" s="32" t="s">
        <v>97</v>
      </c>
      <c r="C295" s="32" t="s">
        <v>9</v>
      </c>
      <c r="D295" s="32" t="n">
        <v>10</v>
      </c>
      <c r="E295" s="33" t="s">
        <v>3395</v>
      </c>
      <c r="F295" s="33"/>
      <c r="G295" s="33"/>
      <c r="H295" s="33" t="s">
        <v>115</v>
      </c>
      <c r="I295" s="33"/>
    </row>
    <row r="296" customFormat="false" ht="15" hidden="false" customHeight="false" outlineLevel="0" collapsed="false">
      <c r="A296" s="32" t="s">
        <v>3396</v>
      </c>
      <c r="B296" s="32" t="s">
        <v>97</v>
      </c>
      <c r="C296" s="32" t="s">
        <v>9</v>
      </c>
      <c r="D296" s="32" t="n">
        <v>10</v>
      </c>
      <c r="E296" s="33" t="s">
        <v>3395</v>
      </c>
      <c r="F296" s="33"/>
      <c r="G296" s="33"/>
      <c r="H296" s="33" t="s">
        <v>115</v>
      </c>
      <c r="I296" s="33"/>
    </row>
    <row r="297" customFormat="false" ht="15" hidden="false" customHeight="false" outlineLevel="0" collapsed="false">
      <c r="A297" s="32" t="s">
        <v>3403</v>
      </c>
      <c r="B297" s="32" t="s">
        <v>97</v>
      </c>
      <c r="C297" s="32" t="s">
        <v>9</v>
      </c>
      <c r="D297" s="32" t="n">
        <v>10</v>
      </c>
      <c r="E297" s="33" t="s">
        <v>3395</v>
      </c>
      <c r="F297" s="33"/>
      <c r="G297" s="33"/>
      <c r="H297" s="33" t="s">
        <v>115</v>
      </c>
      <c r="I297" s="33"/>
    </row>
    <row r="298" customFormat="false" ht="15" hidden="false" customHeight="false" outlineLevel="0" collapsed="false">
      <c r="A298" s="32" t="s">
        <v>3410</v>
      </c>
      <c r="B298" s="32" t="s">
        <v>97</v>
      </c>
      <c r="C298" s="32" t="s">
        <v>9</v>
      </c>
      <c r="D298" s="32" t="n">
        <v>10</v>
      </c>
      <c r="E298" s="33" t="s">
        <v>3413</v>
      </c>
      <c r="F298" s="33"/>
      <c r="G298" s="33"/>
      <c r="H298" s="33" t="s">
        <v>115</v>
      </c>
      <c r="I298" s="33"/>
    </row>
    <row r="299" customFormat="false" ht="15" hidden="false" customHeight="false" outlineLevel="0" collapsed="false">
      <c r="A299" s="32" t="s">
        <v>3414</v>
      </c>
      <c r="B299" s="32" t="s">
        <v>97</v>
      </c>
      <c r="C299" s="32" t="s">
        <v>9</v>
      </c>
      <c r="D299" s="32" t="n">
        <v>10</v>
      </c>
      <c r="E299" s="33" t="s">
        <v>3413</v>
      </c>
      <c r="F299" s="33"/>
      <c r="G299" s="33"/>
      <c r="H299" s="33" t="s">
        <v>115</v>
      </c>
      <c r="I299" s="33"/>
    </row>
    <row r="300" customFormat="false" ht="15" hidden="false" customHeight="false" outlineLevel="0" collapsed="false">
      <c r="A300" s="32" t="s">
        <v>3417</v>
      </c>
      <c r="B300" s="32" t="s">
        <v>97</v>
      </c>
      <c r="C300" s="32" t="s">
        <v>9</v>
      </c>
      <c r="D300" s="32" t="n">
        <v>10</v>
      </c>
      <c r="E300" s="33" t="s">
        <v>3413</v>
      </c>
      <c r="F300" s="33"/>
      <c r="G300" s="33"/>
      <c r="H300" s="33" t="s">
        <v>115</v>
      </c>
      <c r="I300" s="33"/>
    </row>
    <row r="301" customFormat="false" ht="15" hidden="false" customHeight="false" outlineLevel="0" collapsed="false">
      <c r="A301" s="32" t="s">
        <v>3421</v>
      </c>
      <c r="B301" s="32" t="s">
        <v>97</v>
      </c>
      <c r="C301" s="32" t="s">
        <v>12</v>
      </c>
      <c r="D301" s="32" t="n">
        <v>10</v>
      </c>
      <c r="E301" s="33" t="s">
        <v>3434</v>
      </c>
      <c r="F301" s="33" t="s">
        <v>3435</v>
      </c>
      <c r="G301" s="33"/>
      <c r="H301" s="33" t="s">
        <v>115</v>
      </c>
      <c r="I301" s="33"/>
    </row>
    <row r="302" customFormat="false" ht="15" hidden="false" customHeight="false" outlineLevel="0" collapsed="false">
      <c r="A302" s="32" t="s">
        <v>3436</v>
      </c>
      <c r="B302" s="32" t="s">
        <v>97</v>
      </c>
      <c r="C302" s="32" t="s">
        <v>12</v>
      </c>
      <c r="D302" s="32" t="n">
        <v>10</v>
      </c>
      <c r="E302" s="33" t="s">
        <v>3434</v>
      </c>
      <c r="F302" s="33" t="s">
        <v>3435</v>
      </c>
      <c r="G302" s="33"/>
      <c r="H302" s="33" t="s">
        <v>115</v>
      </c>
      <c r="I302" s="33"/>
    </row>
    <row r="303" customFormat="false" ht="15" hidden="false" customHeight="false" outlineLevel="0" collapsed="false">
      <c r="A303" s="32" t="s">
        <v>3447</v>
      </c>
      <c r="B303" s="32" t="s">
        <v>97</v>
      </c>
      <c r="C303" s="32" t="s">
        <v>12</v>
      </c>
      <c r="D303" s="32" t="n">
        <v>10</v>
      </c>
      <c r="E303" s="33" t="s">
        <v>3457</v>
      </c>
      <c r="F303" s="33" t="s">
        <v>3435</v>
      </c>
      <c r="G303" s="33"/>
      <c r="H303" s="33" t="s">
        <v>115</v>
      </c>
      <c r="I303" s="33"/>
    </row>
    <row r="304" customFormat="false" ht="39.55" hidden="false" customHeight="false" outlineLevel="0" collapsed="false">
      <c r="A304" s="32" t="s">
        <v>3458</v>
      </c>
      <c r="B304" s="32" t="s">
        <v>3459</v>
      </c>
      <c r="C304" s="32" t="s">
        <v>9</v>
      </c>
      <c r="D304" s="32" t="n">
        <v>80</v>
      </c>
      <c r="E304" s="33" t="s">
        <v>3475</v>
      </c>
      <c r="F304" s="33" t="s">
        <v>3476</v>
      </c>
      <c r="G304" s="33" t="s">
        <v>16285</v>
      </c>
      <c r="H304" s="33" t="s">
        <v>168</v>
      </c>
      <c r="I304" s="33" t="s">
        <v>941</v>
      </c>
    </row>
    <row r="305" customFormat="false" ht="39.55" hidden="false" customHeight="false" outlineLevel="0" collapsed="false">
      <c r="A305" s="32" t="s">
        <v>3478</v>
      </c>
      <c r="B305" s="32" t="s">
        <v>3459</v>
      </c>
      <c r="C305" s="32" t="s">
        <v>9</v>
      </c>
      <c r="D305" s="32" t="n">
        <v>30</v>
      </c>
      <c r="E305" s="33" t="s">
        <v>3489</v>
      </c>
      <c r="F305" s="33" t="s">
        <v>3490</v>
      </c>
      <c r="G305" s="33" t="s">
        <v>3479</v>
      </c>
      <c r="H305" s="33" t="s">
        <v>115</v>
      </c>
      <c r="I305" s="33"/>
    </row>
    <row r="306" customFormat="false" ht="15" hidden="false" customHeight="false" outlineLevel="0" collapsed="false">
      <c r="A306" s="32" t="s">
        <v>3491</v>
      </c>
      <c r="B306" s="32" t="s">
        <v>3459</v>
      </c>
      <c r="C306" s="32" t="s">
        <v>9</v>
      </c>
      <c r="D306" s="32" t="n">
        <v>30</v>
      </c>
      <c r="E306" s="33" t="s">
        <v>3501</v>
      </c>
      <c r="F306" s="33" t="s">
        <v>3502</v>
      </c>
      <c r="G306" s="33" t="s">
        <v>3492</v>
      </c>
      <c r="H306" s="33" t="s">
        <v>115</v>
      </c>
      <c r="I306" s="33"/>
    </row>
    <row r="307" customFormat="false" ht="26.85" hidden="false" customHeight="false" outlineLevel="0" collapsed="false">
      <c r="A307" s="32" t="s">
        <v>3503</v>
      </c>
      <c r="B307" s="32" t="s">
        <v>3459</v>
      </c>
      <c r="C307" s="32" t="s">
        <v>9</v>
      </c>
      <c r="D307" s="32" t="n">
        <v>30</v>
      </c>
      <c r="E307" s="33" t="s">
        <v>3515</v>
      </c>
      <c r="F307" s="33" t="s">
        <v>3516</v>
      </c>
      <c r="G307" s="33" t="s">
        <v>3504</v>
      </c>
      <c r="H307" s="33" t="s">
        <v>115</v>
      </c>
      <c r="I307" s="33"/>
    </row>
    <row r="308" customFormat="false" ht="26.85" hidden="false" customHeight="false" outlineLevel="0" collapsed="false">
      <c r="A308" s="32" t="s">
        <v>3517</v>
      </c>
      <c r="B308" s="32" t="s">
        <v>3459</v>
      </c>
      <c r="C308" s="32" t="s">
        <v>9</v>
      </c>
      <c r="D308" s="32" t="n">
        <v>30</v>
      </c>
      <c r="E308" s="33" t="s">
        <v>3530</v>
      </c>
      <c r="F308" s="33" t="s">
        <v>3531</v>
      </c>
      <c r="G308" s="33" t="s">
        <v>3518</v>
      </c>
      <c r="H308" s="33" t="s">
        <v>115</v>
      </c>
      <c r="I308" s="33"/>
    </row>
    <row r="309" customFormat="false" ht="26.85" hidden="false" customHeight="false" outlineLevel="0" collapsed="false">
      <c r="A309" s="32" t="s">
        <v>3532</v>
      </c>
      <c r="B309" s="32" t="s">
        <v>3459</v>
      </c>
      <c r="C309" s="32" t="s">
        <v>9</v>
      </c>
      <c r="D309" s="32" t="n">
        <v>30</v>
      </c>
      <c r="E309" s="33" t="s">
        <v>3543</v>
      </c>
      <c r="F309" s="33" t="s">
        <v>3544</v>
      </c>
      <c r="G309" s="33" t="s">
        <v>3533</v>
      </c>
      <c r="H309" s="33" t="s">
        <v>115</v>
      </c>
      <c r="I309" s="33"/>
    </row>
    <row r="310" customFormat="false" ht="26.85" hidden="false" customHeight="false" outlineLevel="0" collapsed="false">
      <c r="A310" s="32" t="s">
        <v>3545</v>
      </c>
      <c r="B310" s="32" t="s">
        <v>3459</v>
      </c>
      <c r="C310" s="32" t="s">
        <v>9</v>
      </c>
      <c r="D310" s="32" t="n">
        <v>30</v>
      </c>
      <c r="E310" s="33" t="s">
        <v>3557</v>
      </c>
      <c r="F310" s="33" t="s">
        <v>3558</v>
      </c>
      <c r="G310" s="33" t="s">
        <v>3546</v>
      </c>
      <c r="H310" s="33" t="s">
        <v>115</v>
      </c>
      <c r="I310" s="33"/>
    </row>
    <row r="311" customFormat="false" ht="26.85" hidden="false" customHeight="false" outlineLevel="0" collapsed="false">
      <c r="A311" s="32" t="s">
        <v>3559</v>
      </c>
      <c r="B311" s="32" t="s">
        <v>3459</v>
      </c>
      <c r="C311" s="32" t="s">
        <v>9</v>
      </c>
      <c r="D311" s="32" t="n">
        <v>30</v>
      </c>
      <c r="E311" s="33" t="s">
        <v>3568</v>
      </c>
      <c r="F311" s="33" t="s">
        <v>3569</v>
      </c>
      <c r="G311" s="33" t="s">
        <v>3560</v>
      </c>
      <c r="H311" s="33" t="s">
        <v>115</v>
      </c>
      <c r="I311" s="33"/>
    </row>
    <row r="312" customFormat="false" ht="26.85" hidden="false" customHeight="false" outlineLevel="0" collapsed="false">
      <c r="A312" s="32" t="s">
        <v>3570</v>
      </c>
      <c r="B312" s="32" t="s">
        <v>3459</v>
      </c>
      <c r="C312" s="32" t="s">
        <v>9</v>
      </c>
      <c r="D312" s="32" t="n">
        <v>30</v>
      </c>
      <c r="E312" s="33" t="s">
        <v>3581</v>
      </c>
      <c r="F312" s="33" t="s">
        <v>3582</v>
      </c>
      <c r="G312" s="33" t="s">
        <v>3571</v>
      </c>
      <c r="H312" s="33" t="s">
        <v>115</v>
      </c>
      <c r="I312" s="33"/>
    </row>
    <row r="313" customFormat="false" ht="26.85" hidden="false" customHeight="false" outlineLevel="0" collapsed="false">
      <c r="A313" s="32" t="s">
        <v>3583</v>
      </c>
      <c r="B313" s="32" t="s">
        <v>3459</v>
      </c>
      <c r="C313" s="32" t="s">
        <v>9</v>
      </c>
      <c r="D313" s="32" t="n">
        <v>30</v>
      </c>
      <c r="E313" s="33" t="s">
        <v>3594</v>
      </c>
      <c r="F313" s="33" t="s">
        <v>3595</v>
      </c>
      <c r="G313" s="33" t="s">
        <v>3584</v>
      </c>
      <c r="H313" s="33" t="s">
        <v>115</v>
      </c>
      <c r="I313" s="33"/>
    </row>
    <row r="314" customFormat="false" ht="26.85" hidden="false" customHeight="false" outlineLevel="0" collapsed="false">
      <c r="A314" s="32" t="s">
        <v>3596</v>
      </c>
      <c r="B314" s="32" t="s">
        <v>3459</v>
      </c>
      <c r="C314" s="32" t="s">
        <v>9</v>
      </c>
      <c r="D314" s="32" t="n">
        <v>30</v>
      </c>
      <c r="E314" s="33" t="s">
        <v>3607</v>
      </c>
      <c r="F314" s="33" t="s">
        <v>3608</v>
      </c>
      <c r="G314" s="33" t="s">
        <v>3597</v>
      </c>
      <c r="H314" s="33" t="s">
        <v>115</v>
      </c>
      <c r="I314" s="33"/>
    </row>
    <row r="315" customFormat="false" ht="26.85" hidden="false" customHeight="false" outlineLevel="0" collapsed="false">
      <c r="A315" s="32" t="s">
        <v>3609</v>
      </c>
      <c r="B315" s="32" t="s">
        <v>3459</v>
      </c>
      <c r="C315" s="32" t="s">
        <v>9</v>
      </c>
      <c r="D315" s="32" t="n">
        <v>30</v>
      </c>
      <c r="E315" s="33" t="s">
        <v>3621</v>
      </c>
      <c r="F315" s="33" t="s">
        <v>3622</v>
      </c>
      <c r="G315" s="33" t="s">
        <v>3610</v>
      </c>
      <c r="H315" s="33" t="s">
        <v>115</v>
      </c>
      <c r="I315" s="33"/>
    </row>
    <row r="316" customFormat="false" ht="26.85" hidden="false" customHeight="false" outlineLevel="0" collapsed="false">
      <c r="A316" s="32" t="s">
        <v>3623</v>
      </c>
      <c r="B316" s="32" t="s">
        <v>3459</v>
      </c>
      <c r="C316" s="32" t="s">
        <v>9</v>
      </c>
      <c r="D316" s="32" t="n">
        <v>30</v>
      </c>
      <c r="E316" s="33" t="s">
        <v>3635</v>
      </c>
      <c r="F316" s="33" t="s">
        <v>3636</v>
      </c>
      <c r="G316" s="33" t="s">
        <v>3624</v>
      </c>
      <c r="H316" s="33" t="s">
        <v>115</v>
      </c>
      <c r="I316" s="33"/>
    </row>
    <row r="317" customFormat="false" ht="26.85" hidden="false" customHeight="false" outlineLevel="0" collapsed="false">
      <c r="A317" s="32" t="s">
        <v>3637</v>
      </c>
      <c r="B317" s="32" t="s">
        <v>3459</v>
      </c>
      <c r="C317" s="32" t="s">
        <v>9</v>
      </c>
      <c r="D317" s="32" t="n">
        <v>30</v>
      </c>
      <c r="E317" s="33" t="s">
        <v>3647</v>
      </c>
      <c r="F317" s="33" t="s">
        <v>3648</v>
      </c>
      <c r="G317" s="33" t="s">
        <v>3638</v>
      </c>
      <c r="H317" s="33" t="s">
        <v>115</v>
      </c>
      <c r="I317" s="33"/>
    </row>
    <row r="318" customFormat="false" ht="26.85" hidden="false" customHeight="false" outlineLevel="0" collapsed="false">
      <c r="A318" s="32" t="s">
        <v>3649</v>
      </c>
      <c r="B318" s="32" t="s">
        <v>3459</v>
      </c>
      <c r="C318" s="32" t="s">
        <v>9</v>
      </c>
      <c r="D318" s="32" t="n">
        <v>30</v>
      </c>
      <c r="E318" s="33" t="s">
        <v>3661</v>
      </c>
      <c r="F318" s="33" t="s">
        <v>3662</v>
      </c>
      <c r="G318" s="33" t="s">
        <v>3650</v>
      </c>
      <c r="H318" s="33" t="s">
        <v>115</v>
      </c>
      <c r="I318" s="33"/>
    </row>
    <row r="319" customFormat="false" ht="26.85" hidden="false" customHeight="false" outlineLevel="0" collapsed="false">
      <c r="A319" s="32" t="s">
        <v>3664</v>
      </c>
      <c r="B319" s="32" t="s">
        <v>3459</v>
      </c>
      <c r="C319" s="32" t="s">
        <v>9</v>
      </c>
      <c r="D319" s="32" t="n">
        <v>30</v>
      </c>
      <c r="E319" s="33" t="s">
        <v>3676</v>
      </c>
      <c r="F319" s="33" t="s">
        <v>3677</v>
      </c>
      <c r="G319" s="33" t="s">
        <v>3665</v>
      </c>
      <c r="H319" s="33" t="s">
        <v>115</v>
      </c>
      <c r="I319" s="33"/>
    </row>
    <row r="320" customFormat="false" ht="64.9" hidden="false" customHeight="false" outlineLevel="0" collapsed="false">
      <c r="A320" s="32" t="s">
        <v>3678</v>
      </c>
      <c r="B320" s="32" t="s">
        <v>3459</v>
      </c>
      <c r="C320" s="32" t="s">
        <v>9</v>
      </c>
      <c r="D320" s="32" t="n">
        <v>30</v>
      </c>
      <c r="E320" s="33" t="s">
        <v>3691</v>
      </c>
      <c r="F320" s="33" t="s">
        <v>3692</v>
      </c>
      <c r="G320" s="33" t="s">
        <v>3679</v>
      </c>
      <c r="H320" s="33" t="s">
        <v>115</v>
      </c>
      <c r="I320" s="33"/>
    </row>
    <row r="321" customFormat="false" ht="26.85" hidden="false" customHeight="false" outlineLevel="0" collapsed="false">
      <c r="A321" s="32" t="s">
        <v>3693</v>
      </c>
      <c r="B321" s="32" t="s">
        <v>3459</v>
      </c>
      <c r="C321" s="32" t="s">
        <v>9</v>
      </c>
      <c r="D321" s="32" t="n">
        <v>30</v>
      </c>
      <c r="E321" s="33" t="s">
        <v>3701</v>
      </c>
      <c r="F321" s="33" t="s">
        <v>3702</v>
      </c>
      <c r="G321" s="33" t="s">
        <v>3694</v>
      </c>
      <c r="H321" s="33" t="s">
        <v>115</v>
      </c>
      <c r="I321" s="33"/>
    </row>
    <row r="322" customFormat="false" ht="26.85" hidden="false" customHeight="false" outlineLevel="0" collapsed="false">
      <c r="A322" s="32" t="s">
        <v>3703</v>
      </c>
      <c r="B322" s="32" t="s">
        <v>3459</v>
      </c>
      <c r="C322" s="32" t="s">
        <v>9</v>
      </c>
      <c r="D322" s="32" t="n">
        <v>30</v>
      </c>
      <c r="E322" s="33" t="s">
        <v>3714</v>
      </c>
      <c r="F322" s="33" t="s">
        <v>3715</v>
      </c>
      <c r="G322" s="33" t="s">
        <v>3704</v>
      </c>
      <c r="H322" s="33" t="s">
        <v>115</v>
      </c>
      <c r="I322" s="33"/>
    </row>
    <row r="323" customFormat="false" ht="26.85" hidden="false" customHeight="false" outlineLevel="0" collapsed="false">
      <c r="A323" s="32" t="s">
        <v>3716</v>
      </c>
      <c r="B323" s="32" t="s">
        <v>3459</v>
      </c>
      <c r="C323" s="32" t="s">
        <v>9</v>
      </c>
      <c r="D323" s="32" t="n">
        <v>30</v>
      </c>
      <c r="E323" s="33" t="s">
        <v>3727</v>
      </c>
      <c r="F323" s="33" t="s">
        <v>3728</v>
      </c>
      <c r="G323" s="33" t="s">
        <v>3717</v>
      </c>
      <c r="H323" s="33" t="s">
        <v>115</v>
      </c>
      <c r="I323" s="33"/>
    </row>
    <row r="324" customFormat="false" ht="64.9" hidden="false" customHeight="false" outlineLevel="0" collapsed="false">
      <c r="A324" s="32" t="s">
        <v>3729</v>
      </c>
      <c r="B324" s="32" t="s">
        <v>3459</v>
      </c>
      <c r="C324" s="32" t="s">
        <v>9</v>
      </c>
      <c r="D324" s="32" t="n">
        <v>30</v>
      </c>
      <c r="E324" s="33" t="s">
        <v>3740</v>
      </c>
      <c r="F324" s="33" t="s">
        <v>3741</v>
      </c>
      <c r="G324" s="33" t="s">
        <v>3730</v>
      </c>
      <c r="H324" s="33" t="s">
        <v>115</v>
      </c>
      <c r="I324" s="33"/>
    </row>
    <row r="325" customFormat="false" ht="52.2" hidden="false" customHeight="false" outlineLevel="0" collapsed="false">
      <c r="A325" s="32" t="s">
        <v>3743</v>
      </c>
      <c r="B325" s="32" t="s">
        <v>3459</v>
      </c>
      <c r="C325" s="32" t="s">
        <v>9</v>
      </c>
      <c r="D325" s="32" t="n">
        <v>30</v>
      </c>
      <c r="E325" s="33" t="s">
        <v>3756</v>
      </c>
      <c r="F325" s="33" t="s">
        <v>3757</v>
      </c>
      <c r="G325" s="33" t="s">
        <v>3744</v>
      </c>
      <c r="H325" s="33" t="s">
        <v>115</v>
      </c>
      <c r="I325" s="33"/>
    </row>
    <row r="326" customFormat="false" ht="64.9" hidden="false" customHeight="false" outlineLevel="0" collapsed="false">
      <c r="A326" s="32" t="s">
        <v>3758</v>
      </c>
      <c r="B326" s="32" t="s">
        <v>3459</v>
      </c>
      <c r="C326" s="32" t="s">
        <v>9</v>
      </c>
      <c r="D326" s="32" t="n">
        <v>30</v>
      </c>
      <c r="E326" s="33" t="s">
        <v>3772</v>
      </c>
      <c r="F326" s="33" t="s">
        <v>3773</v>
      </c>
      <c r="G326" s="33" t="s">
        <v>3759</v>
      </c>
      <c r="H326" s="33" t="s">
        <v>115</v>
      </c>
      <c r="I326" s="33"/>
    </row>
    <row r="327" customFormat="false" ht="26.85" hidden="false" customHeight="false" outlineLevel="0" collapsed="false">
      <c r="A327" s="32" t="s">
        <v>3774</v>
      </c>
      <c r="B327" s="32" t="s">
        <v>3459</v>
      </c>
      <c r="C327" s="32" t="s">
        <v>9</v>
      </c>
      <c r="D327" s="32" t="n">
        <v>30</v>
      </c>
      <c r="E327" s="33" t="s">
        <v>3787</v>
      </c>
      <c r="F327" s="33" t="s">
        <v>3788</v>
      </c>
      <c r="G327" s="33" t="s">
        <v>3775</v>
      </c>
      <c r="H327" s="33" t="s">
        <v>115</v>
      </c>
      <c r="I327" s="33"/>
    </row>
    <row r="328" customFormat="false" ht="64.9" hidden="false" customHeight="false" outlineLevel="0" collapsed="false">
      <c r="A328" s="32" t="s">
        <v>3789</v>
      </c>
      <c r="B328" s="32" t="s">
        <v>3459</v>
      </c>
      <c r="C328" s="32" t="s">
        <v>9</v>
      </c>
      <c r="D328" s="32" t="n">
        <v>30</v>
      </c>
      <c r="E328" s="33" t="s">
        <v>3802</v>
      </c>
      <c r="F328" s="33" t="s">
        <v>3803</v>
      </c>
      <c r="G328" s="33" t="s">
        <v>3790</v>
      </c>
      <c r="H328" s="33" t="s">
        <v>115</v>
      </c>
      <c r="I328" s="33"/>
    </row>
    <row r="329" customFormat="false" ht="26.85" hidden="false" customHeight="false" outlineLevel="0" collapsed="false">
      <c r="A329" s="32" t="s">
        <v>3804</v>
      </c>
      <c r="B329" s="32" t="s">
        <v>3459</v>
      </c>
      <c r="C329" s="32" t="s">
        <v>9</v>
      </c>
      <c r="D329" s="32" t="n">
        <v>30</v>
      </c>
      <c r="E329" s="33" t="s">
        <v>3816</v>
      </c>
      <c r="F329" s="33" t="s">
        <v>3817</v>
      </c>
      <c r="G329" s="33" t="s">
        <v>3805</v>
      </c>
      <c r="H329" s="33" t="s">
        <v>115</v>
      </c>
      <c r="I329" s="33"/>
    </row>
    <row r="330" customFormat="false" ht="26.85" hidden="false" customHeight="false" outlineLevel="0" collapsed="false">
      <c r="A330" s="32" t="s">
        <v>3818</v>
      </c>
      <c r="B330" s="32" t="s">
        <v>3459</v>
      </c>
      <c r="C330" s="32" t="s">
        <v>9</v>
      </c>
      <c r="D330" s="32" t="n">
        <v>30</v>
      </c>
      <c r="E330" s="33" t="s">
        <v>3831</v>
      </c>
      <c r="F330" s="33" t="s">
        <v>3832</v>
      </c>
      <c r="G330" s="33" t="s">
        <v>3819</v>
      </c>
      <c r="H330" s="33" t="s">
        <v>115</v>
      </c>
      <c r="I330" s="33"/>
    </row>
    <row r="331" customFormat="false" ht="26.85" hidden="false" customHeight="false" outlineLevel="0" collapsed="false">
      <c r="A331" s="32" t="s">
        <v>3833</v>
      </c>
      <c r="B331" s="32" t="s">
        <v>3459</v>
      </c>
      <c r="C331" s="32" t="s">
        <v>9</v>
      </c>
      <c r="D331" s="32" t="n">
        <v>30</v>
      </c>
      <c r="E331" s="33" t="s">
        <v>3844</v>
      </c>
      <c r="F331" s="33" t="s">
        <v>3845</v>
      </c>
      <c r="G331" s="33" t="s">
        <v>3834</v>
      </c>
      <c r="H331" s="33" t="s">
        <v>115</v>
      </c>
      <c r="I331" s="33"/>
    </row>
    <row r="332" customFormat="false" ht="77.6" hidden="false" customHeight="false" outlineLevel="0" collapsed="false">
      <c r="A332" s="32" t="s">
        <v>3846</v>
      </c>
      <c r="B332" s="32" t="s">
        <v>3459</v>
      </c>
      <c r="C332" s="32" t="s">
        <v>9</v>
      </c>
      <c r="D332" s="32" t="n">
        <v>30</v>
      </c>
      <c r="E332" s="33" t="s">
        <v>3859</v>
      </c>
      <c r="F332" s="33" t="s">
        <v>3860</v>
      </c>
      <c r="G332" s="33" t="s">
        <v>3847</v>
      </c>
      <c r="H332" s="33" t="s">
        <v>115</v>
      </c>
      <c r="I332" s="33"/>
    </row>
    <row r="333" customFormat="false" ht="26.85" hidden="false" customHeight="false" outlineLevel="0" collapsed="false">
      <c r="A333" s="32" t="s">
        <v>3861</v>
      </c>
      <c r="B333" s="32" t="s">
        <v>3459</v>
      </c>
      <c r="C333" s="32" t="s">
        <v>9</v>
      </c>
      <c r="D333" s="32" t="n">
        <v>30</v>
      </c>
      <c r="E333" s="33" t="s">
        <v>3872</v>
      </c>
      <c r="F333" s="33" t="s">
        <v>3873</v>
      </c>
      <c r="G333" s="33" t="s">
        <v>3862</v>
      </c>
      <c r="H333" s="33" t="s">
        <v>115</v>
      </c>
      <c r="I333" s="33"/>
    </row>
    <row r="334" customFormat="false" ht="26.85" hidden="false" customHeight="false" outlineLevel="0" collapsed="false">
      <c r="A334" s="32" t="s">
        <v>3874</v>
      </c>
      <c r="B334" s="32" t="s">
        <v>3459</v>
      </c>
      <c r="C334" s="32" t="s">
        <v>9</v>
      </c>
      <c r="D334" s="32" t="n">
        <v>30</v>
      </c>
      <c r="E334" s="33" t="s">
        <v>3883</v>
      </c>
      <c r="F334" s="33" t="s">
        <v>3884</v>
      </c>
      <c r="G334" s="33" t="s">
        <v>3875</v>
      </c>
      <c r="H334" s="33" t="s">
        <v>115</v>
      </c>
      <c r="I334" s="33"/>
    </row>
    <row r="335" customFormat="false" ht="26.85" hidden="false" customHeight="false" outlineLevel="0" collapsed="false">
      <c r="A335" s="32" t="s">
        <v>3885</v>
      </c>
      <c r="B335" s="32" t="s">
        <v>3459</v>
      </c>
      <c r="C335" s="32" t="s">
        <v>9</v>
      </c>
      <c r="D335" s="32" t="n">
        <v>30</v>
      </c>
      <c r="E335" s="33" t="s">
        <v>3896</v>
      </c>
      <c r="F335" s="33" t="s">
        <v>3897</v>
      </c>
      <c r="G335" s="33" t="s">
        <v>3886</v>
      </c>
      <c r="H335" s="33" t="s">
        <v>115</v>
      </c>
      <c r="I335" s="33"/>
    </row>
    <row r="336" customFormat="false" ht="26.85" hidden="false" customHeight="false" outlineLevel="0" collapsed="false">
      <c r="A336" s="32" t="s">
        <v>3898</v>
      </c>
      <c r="B336" s="32" t="s">
        <v>3459</v>
      </c>
      <c r="C336" s="32" t="s">
        <v>9</v>
      </c>
      <c r="D336" s="32" t="n">
        <v>30</v>
      </c>
      <c r="E336" s="33" t="s">
        <v>3909</v>
      </c>
      <c r="F336" s="33" t="s">
        <v>3910</v>
      </c>
      <c r="G336" s="33" t="s">
        <v>3899</v>
      </c>
      <c r="H336" s="33" t="s">
        <v>115</v>
      </c>
      <c r="I336" s="33"/>
    </row>
    <row r="337" customFormat="false" ht="64.9" hidden="false" customHeight="false" outlineLevel="0" collapsed="false">
      <c r="A337" s="32" t="s">
        <v>3911</v>
      </c>
      <c r="B337" s="32" t="s">
        <v>3459</v>
      </c>
      <c r="C337" s="32" t="s">
        <v>9</v>
      </c>
      <c r="D337" s="32" t="n">
        <v>30</v>
      </c>
      <c r="E337" s="33" t="s">
        <v>3921</v>
      </c>
      <c r="F337" s="33" t="s">
        <v>3922</v>
      </c>
      <c r="G337" s="33" t="s">
        <v>3912</v>
      </c>
      <c r="H337" s="33" t="s">
        <v>115</v>
      </c>
      <c r="I337" s="33"/>
    </row>
    <row r="338" customFormat="false" ht="26.85" hidden="false" customHeight="false" outlineLevel="0" collapsed="false">
      <c r="A338" s="32" t="s">
        <v>3923</v>
      </c>
      <c r="B338" s="32" t="s">
        <v>3459</v>
      </c>
      <c r="C338" s="32" t="s">
        <v>9</v>
      </c>
      <c r="D338" s="32" t="n">
        <v>30</v>
      </c>
      <c r="E338" s="33" t="s">
        <v>3935</v>
      </c>
      <c r="F338" s="33" t="s">
        <v>3936</v>
      </c>
      <c r="G338" s="33" t="s">
        <v>3924</v>
      </c>
      <c r="H338" s="33" t="s">
        <v>115</v>
      </c>
      <c r="I338" s="33"/>
    </row>
    <row r="339" customFormat="false" ht="26.85" hidden="false" customHeight="false" outlineLevel="0" collapsed="false">
      <c r="A339" s="32" t="s">
        <v>3937</v>
      </c>
      <c r="B339" s="32" t="s">
        <v>3459</v>
      </c>
      <c r="C339" s="32" t="s">
        <v>9</v>
      </c>
      <c r="D339" s="32" t="n">
        <v>30</v>
      </c>
      <c r="E339" s="33" t="s">
        <v>3947</v>
      </c>
      <c r="F339" s="33" t="s">
        <v>3948</v>
      </c>
      <c r="G339" s="33" t="s">
        <v>3938</v>
      </c>
      <c r="H339" s="33" t="s">
        <v>115</v>
      </c>
      <c r="I339" s="33"/>
    </row>
    <row r="340" customFormat="false" ht="26.85" hidden="false" customHeight="false" outlineLevel="0" collapsed="false">
      <c r="A340" s="32" t="s">
        <v>3949</v>
      </c>
      <c r="B340" s="32" t="s">
        <v>3459</v>
      </c>
      <c r="C340" s="32" t="s">
        <v>9</v>
      </c>
      <c r="D340" s="32" t="n">
        <v>30</v>
      </c>
      <c r="E340" s="33" t="s">
        <v>3959</v>
      </c>
      <c r="F340" s="33" t="s">
        <v>3960</v>
      </c>
      <c r="G340" s="33" t="s">
        <v>3950</v>
      </c>
      <c r="H340" s="33" t="s">
        <v>115</v>
      </c>
      <c r="I340" s="33"/>
    </row>
    <row r="341" customFormat="false" ht="15" hidden="false" customHeight="false" outlineLevel="0" collapsed="false">
      <c r="A341" s="32" t="s">
        <v>3961</v>
      </c>
      <c r="B341" s="32" t="s">
        <v>3459</v>
      </c>
      <c r="C341" s="32" t="s">
        <v>9</v>
      </c>
      <c r="D341" s="32" t="n">
        <v>30</v>
      </c>
      <c r="E341" s="33" t="s">
        <v>3969</v>
      </c>
      <c r="F341" s="33" t="s">
        <v>3970</v>
      </c>
      <c r="G341" s="33" t="s">
        <v>3962</v>
      </c>
      <c r="H341" s="33" t="s">
        <v>115</v>
      </c>
      <c r="I341" s="33"/>
    </row>
    <row r="342" customFormat="false" ht="26.85" hidden="false" customHeight="false" outlineLevel="0" collapsed="false">
      <c r="A342" s="32" t="s">
        <v>3971</v>
      </c>
      <c r="B342" s="32" t="s">
        <v>3459</v>
      </c>
      <c r="C342" s="32" t="s">
        <v>9</v>
      </c>
      <c r="D342" s="32" t="n">
        <v>30</v>
      </c>
      <c r="E342" s="33" t="s">
        <v>3982</v>
      </c>
      <c r="F342" s="33" t="s">
        <v>3983</v>
      </c>
      <c r="G342" s="33" t="s">
        <v>3972</v>
      </c>
      <c r="H342" s="33" t="s">
        <v>115</v>
      </c>
      <c r="I342" s="33"/>
    </row>
    <row r="343" customFormat="false" ht="52.2" hidden="false" customHeight="false" outlineLevel="0" collapsed="false">
      <c r="A343" s="32" t="s">
        <v>3984</v>
      </c>
      <c r="B343" s="32" t="s">
        <v>3459</v>
      </c>
      <c r="C343" s="32" t="s">
        <v>9</v>
      </c>
      <c r="D343" s="32" t="n">
        <v>30</v>
      </c>
      <c r="E343" s="33" t="s">
        <v>3996</v>
      </c>
      <c r="F343" s="33" t="s">
        <v>3997</v>
      </c>
      <c r="G343" s="33" t="s">
        <v>3985</v>
      </c>
      <c r="H343" s="33" t="s">
        <v>115</v>
      </c>
      <c r="I343" s="33"/>
    </row>
    <row r="344" customFormat="false" ht="26.85" hidden="false" customHeight="false" outlineLevel="0" collapsed="false">
      <c r="A344" s="32" t="s">
        <v>3998</v>
      </c>
      <c r="B344" s="32" t="s">
        <v>3459</v>
      </c>
      <c r="C344" s="32" t="s">
        <v>9</v>
      </c>
      <c r="D344" s="32" t="n">
        <v>30</v>
      </c>
      <c r="E344" s="33" t="s">
        <v>4011</v>
      </c>
      <c r="F344" s="33" t="s">
        <v>4012</v>
      </c>
      <c r="G344" s="33" t="s">
        <v>3999</v>
      </c>
      <c r="H344" s="33" t="s">
        <v>115</v>
      </c>
      <c r="I344" s="33"/>
    </row>
    <row r="345" customFormat="false" ht="52.2" hidden="false" customHeight="false" outlineLevel="0" collapsed="false">
      <c r="A345" s="32" t="s">
        <v>4013</v>
      </c>
      <c r="B345" s="32" t="s">
        <v>3459</v>
      </c>
      <c r="C345" s="32" t="s">
        <v>9</v>
      </c>
      <c r="D345" s="32" t="n">
        <v>30</v>
      </c>
      <c r="E345" s="33" t="s">
        <v>4024</v>
      </c>
      <c r="F345" s="33" t="s">
        <v>4025</v>
      </c>
      <c r="G345" s="33" t="s">
        <v>4014</v>
      </c>
      <c r="H345" s="33" t="s">
        <v>115</v>
      </c>
      <c r="I345" s="33"/>
    </row>
    <row r="346" customFormat="false" ht="26.85" hidden="false" customHeight="false" outlineLevel="0" collapsed="false">
      <c r="A346" s="32" t="s">
        <v>4026</v>
      </c>
      <c r="B346" s="32" t="s">
        <v>3459</v>
      </c>
      <c r="C346" s="32" t="s">
        <v>9</v>
      </c>
      <c r="D346" s="32" t="n">
        <v>30</v>
      </c>
      <c r="E346" s="33" t="s">
        <v>4035</v>
      </c>
      <c r="F346" s="33" t="s">
        <v>4036</v>
      </c>
      <c r="G346" s="33" t="s">
        <v>4027</v>
      </c>
      <c r="H346" s="33" t="s">
        <v>115</v>
      </c>
      <c r="I346" s="33"/>
    </row>
    <row r="347" customFormat="false" ht="26.85" hidden="false" customHeight="false" outlineLevel="0" collapsed="false">
      <c r="A347" s="32" t="s">
        <v>4037</v>
      </c>
      <c r="B347" s="32" t="s">
        <v>3459</v>
      </c>
      <c r="C347" s="32" t="s">
        <v>9</v>
      </c>
      <c r="D347" s="32" t="n">
        <v>30</v>
      </c>
      <c r="E347" s="33" t="s">
        <v>4049</v>
      </c>
      <c r="F347" s="33" t="s">
        <v>4050</v>
      </c>
      <c r="G347" s="33" t="s">
        <v>4038</v>
      </c>
      <c r="H347" s="33" t="s">
        <v>115</v>
      </c>
      <c r="I347" s="33"/>
    </row>
    <row r="348" customFormat="false" ht="26.85" hidden="false" customHeight="false" outlineLevel="0" collapsed="false">
      <c r="A348" s="32" t="s">
        <v>4051</v>
      </c>
      <c r="B348" s="32" t="s">
        <v>3459</v>
      </c>
      <c r="C348" s="32" t="s">
        <v>9</v>
      </c>
      <c r="D348" s="32" t="n">
        <v>30</v>
      </c>
      <c r="E348" s="33" t="s">
        <v>4063</v>
      </c>
      <c r="F348" s="33" t="s">
        <v>4064</v>
      </c>
      <c r="G348" s="33" t="s">
        <v>4052</v>
      </c>
      <c r="H348" s="33" t="s">
        <v>115</v>
      </c>
      <c r="I348" s="33"/>
    </row>
    <row r="349" customFormat="false" ht="26.85" hidden="false" customHeight="false" outlineLevel="0" collapsed="false">
      <c r="A349" s="32" t="s">
        <v>4065</v>
      </c>
      <c r="B349" s="32" t="s">
        <v>3459</v>
      </c>
      <c r="C349" s="32" t="s">
        <v>9</v>
      </c>
      <c r="D349" s="32" t="n">
        <v>30</v>
      </c>
      <c r="E349" s="33" t="s">
        <v>4074</v>
      </c>
      <c r="F349" s="33" t="s">
        <v>4075</v>
      </c>
      <c r="G349" s="33" t="s">
        <v>4066</v>
      </c>
      <c r="H349" s="33" t="s">
        <v>115</v>
      </c>
      <c r="I349" s="33"/>
    </row>
    <row r="350" customFormat="false" ht="26.85" hidden="false" customHeight="false" outlineLevel="0" collapsed="false">
      <c r="A350" s="32" t="s">
        <v>4076</v>
      </c>
      <c r="B350" s="32" t="s">
        <v>3459</v>
      </c>
      <c r="C350" s="32" t="s">
        <v>9</v>
      </c>
      <c r="D350" s="32" t="n">
        <v>30</v>
      </c>
      <c r="E350" s="33" t="s">
        <v>4084</v>
      </c>
      <c r="F350" s="33" t="s">
        <v>4085</v>
      </c>
      <c r="G350" s="33" t="s">
        <v>4077</v>
      </c>
      <c r="H350" s="33" t="s">
        <v>115</v>
      </c>
      <c r="I350" s="33"/>
    </row>
    <row r="351" customFormat="false" ht="26.85" hidden="false" customHeight="false" outlineLevel="0" collapsed="false">
      <c r="A351" s="32" t="s">
        <v>4086</v>
      </c>
      <c r="B351" s="32" t="s">
        <v>3459</v>
      </c>
      <c r="C351" s="32" t="s">
        <v>9</v>
      </c>
      <c r="D351" s="32" t="n">
        <v>30</v>
      </c>
      <c r="E351" s="33" t="s">
        <v>4093</v>
      </c>
      <c r="F351" s="33" t="s">
        <v>4094</v>
      </c>
      <c r="G351" s="33" t="s">
        <v>4087</v>
      </c>
      <c r="H351" s="33" t="s">
        <v>115</v>
      </c>
      <c r="I351" s="33"/>
    </row>
    <row r="352" customFormat="false" ht="39.55" hidden="false" customHeight="false" outlineLevel="0" collapsed="false">
      <c r="A352" s="32" t="s">
        <v>4095</v>
      </c>
      <c r="B352" s="32" t="s">
        <v>3459</v>
      </c>
      <c r="C352" s="32" t="s">
        <v>9</v>
      </c>
      <c r="D352" s="32" t="n">
        <v>80</v>
      </c>
      <c r="E352" s="33" t="s">
        <v>4106</v>
      </c>
      <c r="F352" s="33" t="s">
        <v>4107</v>
      </c>
      <c r="G352" s="33" t="s">
        <v>16286</v>
      </c>
      <c r="H352" s="33" t="s">
        <v>168</v>
      </c>
      <c r="I352" s="33" t="s">
        <v>941</v>
      </c>
    </row>
    <row r="353" customFormat="false" ht="26.85" hidden="false" customHeight="false" outlineLevel="0" collapsed="false">
      <c r="A353" s="32" t="s">
        <v>4109</v>
      </c>
      <c r="B353" s="32" t="s">
        <v>3459</v>
      </c>
      <c r="C353" s="32" t="s">
        <v>9</v>
      </c>
      <c r="D353" s="32" t="n">
        <v>30</v>
      </c>
      <c r="E353" s="33" t="s">
        <v>4118</v>
      </c>
      <c r="F353" s="33" t="s">
        <v>2584</v>
      </c>
      <c r="G353" s="33" t="s">
        <v>4110</v>
      </c>
      <c r="H353" s="33" t="s">
        <v>115</v>
      </c>
      <c r="I353" s="33"/>
    </row>
    <row r="354" customFormat="false" ht="26.85" hidden="false" customHeight="false" outlineLevel="0" collapsed="false">
      <c r="A354" s="32" t="s">
        <v>4119</v>
      </c>
      <c r="B354" s="32" t="s">
        <v>3459</v>
      </c>
      <c r="C354" s="32" t="s">
        <v>9</v>
      </c>
      <c r="D354" s="32" t="n">
        <v>30</v>
      </c>
      <c r="E354" s="33" t="s">
        <v>4125</v>
      </c>
      <c r="F354" s="33" t="s">
        <v>4126</v>
      </c>
      <c r="G354" s="33" t="s">
        <v>4120</v>
      </c>
      <c r="H354" s="33" t="s">
        <v>115</v>
      </c>
      <c r="I354" s="33"/>
    </row>
    <row r="355" customFormat="false" ht="26.85" hidden="false" customHeight="false" outlineLevel="0" collapsed="false">
      <c r="A355" s="32" t="s">
        <v>4127</v>
      </c>
      <c r="B355" s="32" t="s">
        <v>3459</v>
      </c>
      <c r="C355" s="32" t="s">
        <v>9</v>
      </c>
      <c r="D355" s="32" t="n">
        <v>30</v>
      </c>
      <c r="E355" s="33" t="s">
        <v>4139</v>
      </c>
      <c r="F355" s="33" t="s">
        <v>4140</v>
      </c>
      <c r="G355" s="33" t="s">
        <v>4128</v>
      </c>
      <c r="H355" s="33" t="s">
        <v>115</v>
      </c>
      <c r="I355" s="33"/>
    </row>
    <row r="356" customFormat="false" ht="26.85" hidden="false" customHeight="false" outlineLevel="0" collapsed="false">
      <c r="A356" s="32" t="s">
        <v>4141</v>
      </c>
      <c r="B356" s="32" t="s">
        <v>3459</v>
      </c>
      <c r="C356" s="32" t="s">
        <v>9</v>
      </c>
      <c r="D356" s="32" t="n">
        <v>30</v>
      </c>
      <c r="E356" s="33" t="s">
        <v>4151</v>
      </c>
      <c r="F356" s="33" t="s">
        <v>4152</v>
      </c>
      <c r="G356" s="33" t="s">
        <v>4142</v>
      </c>
      <c r="H356" s="33" t="s">
        <v>115</v>
      </c>
      <c r="I356" s="33"/>
    </row>
    <row r="357" customFormat="false" ht="77.6" hidden="false" customHeight="false" outlineLevel="0" collapsed="false">
      <c r="A357" s="32" t="s">
        <v>4153</v>
      </c>
      <c r="B357" s="32" t="s">
        <v>3459</v>
      </c>
      <c r="C357" s="32" t="s">
        <v>9</v>
      </c>
      <c r="D357" s="32" t="n">
        <v>30</v>
      </c>
      <c r="E357" s="33" t="s">
        <v>4163</v>
      </c>
      <c r="F357" s="33" t="s">
        <v>4164</v>
      </c>
      <c r="G357" s="33" t="s">
        <v>4154</v>
      </c>
      <c r="H357" s="33" t="s">
        <v>115</v>
      </c>
      <c r="I357" s="33"/>
    </row>
    <row r="358" customFormat="false" ht="39.55" hidden="false" customHeight="false" outlineLevel="0" collapsed="false">
      <c r="A358" s="32" t="s">
        <v>4165</v>
      </c>
      <c r="B358" s="32" t="s">
        <v>3459</v>
      </c>
      <c r="C358" s="32" t="s">
        <v>9</v>
      </c>
      <c r="D358" s="32" t="n">
        <v>30</v>
      </c>
      <c r="E358" s="33" t="s">
        <v>4177</v>
      </c>
      <c r="F358" s="33" t="s">
        <v>4178</v>
      </c>
      <c r="G358" s="33" t="s">
        <v>4166</v>
      </c>
      <c r="H358" s="33" t="s">
        <v>115</v>
      </c>
      <c r="I358" s="33"/>
    </row>
    <row r="359" customFormat="false" ht="15" hidden="false" customHeight="false" outlineLevel="0" collapsed="false">
      <c r="A359" s="32" t="s">
        <v>4179</v>
      </c>
      <c r="B359" s="32" t="s">
        <v>3459</v>
      </c>
      <c r="C359" s="32" t="s">
        <v>9</v>
      </c>
      <c r="D359" s="32" t="n">
        <v>30</v>
      </c>
      <c r="E359" s="33" t="s">
        <v>4189</v>
      </c>
      <c r="F359" s="33" t="s">
        <v>4190</v>
      </c>
      <c r="G359" s="33" t="s">
        <v>4180</v>
      </c>
      <c r="H359" s="33" t="s">
        <v>115</v>
      </c>
      <c r="I359" s="33"/>
    </row>
    <row r="360" customFormat="false" ht="26.85" hidden="false" customHeight="false" outlineLevel="0" collapsed="false">
      <c r="A360" s="32" t="s">
        <v>4191</v>
      </c>
      <c r="B360" s="32" t="s">
        <v>3459</v>
      </c>
      <c r="C360" s="32" t="s">
        <v>9</v>
      </c>
      <c r="D360" s="32" t="n">
        <v>30</v>
      </c>
      <c r="E360" s="33" t="s">
        <v>4202</v>
      </c>
      <c r="F360" s="33" t="s">
        <v>4203</v>
      </c>
      <c r="G360" s="33" t="s">
        <v>4192</v>
      </c>
      <c r="H360" s="33" t="s">
        <v>115</v>
      </c>
      <c r="I360" s="33"/>
    </row>
    <row r="361" customFormat="false" ht="26.85" hidden="false" customHeight="false" outlineLevel="0" collapsed="false">
      <c r="A361" s="32" t="s">
        <v>4204</v>
      </c>
      <c r="B361" s="32" t="s">
        <v>3459</v>
      </c>
      <c r="C361" s="32" t="s">
        <v>9</v>
      </c>
      <c r="D361" s="32" t="n">
        <v>30</v>
      </c>
      <c r="E361" s="33" t="s">
        <v>4215</v>
      </c>
      <c r="F361" s="33" t="s">
        <v>4216</v>
      </c>
      <c r="G361" s="33" t="s">
        <v>4205</v>
      </c>
      <c r="H361" s="33" t="s">
        <v>115</v>
      </c>
      <c r="I361" s="33"/>
    </row>
    <row r="362" customFormat="false" ht="26.85" hidden="false" customHeight="false" outlineLevel="0" collapsed="false">
      <c r="A362" s="32" t="s">
        <v>4217</v>
      </c>
      <c r="B362" s="32" t="s">
        <v>3459</v>
      </c>
      <c r="C362" s="32" t="s">
        <v>9</v>
      </c>
      <c r="D362" s="32" t="n">
        <v>30</v>
      </c>
      <c r="E362" s="33" t="s">
        <v>4226</v>
      </c>
      <c r="F362" s="33" t="s">
        <v>4227</v>
      </c>
      <c r="G362" s="33" t="s">
        <v>4218</v>
      </c>
      <c r="H362" s="33" t="s">
        <v>115</v>
      </c>
      <c r="I362" s="33"/>
    </row>
    <row r="363" customFormat="false" ht="26.85" hidden="false" customHeight="false" outlineLevel="0" collapsed="false">
      <c r="A363" s="32" t="s">
        <v>4229</v>
      </c>
      <c r="B363" s="32" t="s">
        <v>3459</v>
      </c>
      <c r="C363" s="32" t="s">
        <v>9</v>
      </c>
      <c r="D363" s="32" t="n">
        <v>30</v>
      </c>
      <c r="E363" s="33" t="s">
        <v>4241</v>
      </c>
      <c r="F363" s="33" t="s">
        <v>4242</v>
      </c>
      <c r="G363" s="33" t="s">
        <v>4230</v>
      </c>
      <c r="H363" s="33" t="s">
        <v>115</v>
      </c>
      <c r="I363" s="33"/>
    </row>
    <row r="364" customFormat="false" ht="21.6" hidden="false" customHeight="true" outlineLevel="0" collapsed="false">
      <c r="A364" s="33" t="s">
        <v>4243</v>
      </c>
      <c r="B364" s="33" t="s">
        <v>3459</v>
      </c>
      <c r="C364" s="33" t="s">
        <v>9</v>
      </c>
      <c r="D364" s="33" t="n">
        <v>70</v>
      </c>
      <c r="E364" s="33" t="s">
        <v>4257</v>
      </c>
      <c r="F364" s="33" t="s">
        <v>4258</v>
      </c>
      <c r="G364" s="33" t="s">
        <v>16287</v>
      </c>
      <c r="H364" s="33" t="s">
        <v>168</v>
      </c>
      <c r="I364" s="33" t="s">
        <v>1050</v>
      </c>
    </row>
    <row r="365" customFormat="false" ht="32.4" hidden="false" customHeight="true" outlineLevel="0" collapsed="false">
      <c r="A365" s="33" t="s">
        <v>4260</v>
      </c>
      <c r="B365" s="33" t="s">
        <v>3459</v>
      </c>
      <c r="C365" s="33" t="s">
        <v>9</v>
      </c>
      <c r="D365" s="33" t="n">
        <v>70</v>
      </c>
      <c r="E365" s="33" t="s">
        <v>4273</v>
      </c>
      <c r="F365" s="33" t="s">
        <v>4274</v>
      </c>
      <c r="G365" s="33" t="s">
        <v>16288</v>
      </c>
      <c r="H365" s="33" t="s">
        <v>168</v>
      </c>
      <c r="I365" s="33" t="s">
        <v>1050</v>
      </c>
    </row>
    <row r="366" customFormat="false" ht="32.4" hidden="false" customHeight="true" outlineLevel="0" collapsed="false">
      <c r="A366" s="33" t="s">
        <v>4276</v>
      </c>
      <c r="B366" s="33" t="s">
        <v>3459</v>
      </c>
      <c r="C366" s="33" t="s">
        <v>9</v>
      </c>
      <c r="D366" s="33" t="n">
        <v>70</v>
      </c>
      <c r="E366" s="33" t="s">
        <v>4289</v>
      </c>
      <c r="F366" s="33" t="s">
        <v>4290</v>
      </c>
      <c r="G366" s="33" t="s">
        <v>16289</v>
      </c>
      <c r="H366" s="33" t="s">
        <v>168</v>
      </c>
      <c r="I366" s="33" t="s">
        <v>1050</v>
      </c>
    </row>
    <row r="367" customFormat="false" ht="26.85" hidden="false" customHeight="false" outlineLevel="0" collapsed="false">
      <c r="A367" s="32" t="s">
        <v>4292</v>
      </c>
      <c r="B367" s="32" t="s">
        <v>3459</v>
      </c>
      <c r="C367" s="32" t="s">
        <v>9</v>
      </c>
      <c r="D367" s="32" t="n">
        <v>30</v>
      </c>
      <c r="E367" s="33" t="s">
        <v>4304</v>
      </c>
      <c r="F367" s="33" t="s">
        <v>4305</v>
      </c>
      <c r="G367" s="33" t="s">
        <v>4293</v>
      </c>
      <c r="H367" s="33" t="s">
        <v>115</v>
      </c>
      <c r="I367" s="33"/>
    </row>
    <row r="368" customFormat="false" ht="43.2" hidden="false" customHeight="true" outlineLevel="0" collapsed="false">
      <c r="A368" s="33" t="s">
        <v>4306</v>
      </c>
      <c r="B368" s="33" t="s">
        <v>3459</v>
      </c>
      <c r="C368" s="33" t="s">
        <v>9</v>
      </c>
      <c r="D368" s="33" t="n">
        <v>70</v>
      </c>
      <c r="E368" s="33" t="s">
        <v>4320</v>
      </c>
      <c r="F368" s="33" t="s">
        <v>4321</v>
      </c>
      <c r="G368" s="33" t="s">
        <v>16290</v>
      </c>
      <c r="H368" s="33" t="s">
        <v>168</v>
      </c>
      <c r="I368" s="33" t="s">
        <v>1050</v>
      </c>
    </row>
    <row r="369" customFormat="false" ht="26.85" hidden="false" customHeight="false" outlineLevel="0" collapsed="false">
      <c r="A369" s="32" t="s">
        <v>4323</v>
      </c>
      <c r="B369" s="32" t="s">
        <v>3459</v>
      </c>
      <c r="C369" s="32" t="s">
        <v>9</v>
      </c>
      <c r="D369" s="32" t="n">
        <v>30</v>
      </c>
      <c r="E369" s="33" t="s">
        <v>4336</v>
      </c>
      <c r="F369" s="33" t="s">
        <v>4337</v>
      </c>
      <c r="G369" s="33" t="s">
        <v>4324</v>
      </c>
      <c r="H369" s="33" t="s">
        <v>115</v>
      </c>
      <c r="I369" s="33"/>
    </row>
    <row r="370" customFormat="false" ht="26.85" hidden="false" customHeight="false" outlineLevel="0" collapsed="false">
      <c r="A370" s="32" t="s">
        <v>4339</v>
      </c>
      <c r="B370" s="32" t="s">
        <v>3459</v>
      </c>
      <c r="C370" s="32" t="s">
        <v>9</v>
      </c>
      <c r="D370" s="32" t="n">
        <v>30</v>
      </c>
      <c r="E370" s="33" t="s">
        <v>4350</v>
      </c>
      <c r="F370" s="33" t="s">
        <v>4351</v>
      </c>
      <c r="G370" s="33" t="s">
        <v>4340</v>
      </c>
      <c r="H370" s="33" t="s">
        <v>115</v>
      </c>
      <c r="I370" s="33"/>
    </row>
    <row r="371" customFormat="false" ht="32.4" hidden="false" customHeight="true" outlineLevel="0" collapsed="false">
      <c r="A371" s="33" t="s">
        <v>4353</v>
      </c>
      <c r="B371" s="33" t="s">
        <v>3459</v>
      </c>
      <c r="C371" s="33" t="s">
        <v>9</v>
      </c>
      <c r="D371" s="33" t="n">
        <v>80</v>
      </c>
      <c r="E371" s="33" t="s">
        <v>4365</v>
      </c>
      <c r="F371" s="33" t="s">
        <v>4366</v>
      </c>
      <c r="G371" s="33" t="s">
        <v>16291</v>
      </c>
      <c r="H371" s="33" t="s">
        <v>168</v>
      </c>
      <c r="I371" s="33" t="s">
        <v>941</v>
      </c>
    </row>
    <row r="372" customFormat="false" ht="32.4" hidden="false" customHeight="true" outlineLevel="0" collapsed="false">
      <c r="A372" s="33" t="s">
        <v>4368</v>
      </c>
      <c r="B372" s="33" t="s">
        <v>3459</v>
      </c>
      <c r="C372" s="33" t="s">
        <v>9</v>
      </c>
      <c r="D372" s="33" t="n">
        <v>70</v>
      </c>
      <c r="E372" s="33" t="s">
        <v>4380</v>
      </c>
      <c r="F372" s="33" t="s">
        <v>4381</v>
      </c>
      <c r="G372" s="33" t="s">
        <v>16292</v>
      </c>
      <c r="H372" s="33" t="s">
        <v>168</v>
      </c>
      <c r="I372" s="33" t="s">
        <v>1050</v>
      </c>
    </row>
    <row r="373" customFormat="false" ht="21.6" hidden="false" customHeight="true" outlineLevel="0" collapsed="false">
      <c r="A373" s="33" t="s">
        <v>4383</v>
      </c>
      <c r="B373" s="33" t="s">
        <v>3459</v>
      </c>
      <c r="C373" s="33" t="s">
        <v>9</v>
      </c>
      <c r="D373" s="33" t="n">
        <v>70</v>
      </c>
      <c r="E373" s="33" t="s">
        <v>4393</v>
      </c>
      <c r="F373" s="33" t="s">
        <v>4394</v>
      </c>
      <c r="G373" s="33" t="s">
        <v>16293</v>
      </c>
      <c r="H373" s="33" t="s">
        <v>168</v>
      </c>
      <c r="I373" s="33" t="s">
        <v>1050</v>
      </c>
    </row>
    <row r="374" customFormat="false" ht="32.4" hidden="false" customHeight="true" outlineLevel="0" collapsed="false">
      <c r="A374" s="33" t="s">
        <v>4396</v>
      </c>
      <c r="B374" s="33" t="s">
        <v>3459</v>
      </c>
      <c r="C374" s="33" t="s">
        <v>9</v>
      </c>
      <c r="D374" s="33" t="n">
        <v>60</v>
      </c>
      <c r="E374" s="33" t="s">
        <v>4406</v>
      </c>
      <c r="F374" s="33" t="s">
        <v>4407</v>
      </c>
      <c r="G374" s="33" t="s">
        <v>16294</v>
      </c>
      <c r="H374" s="33" t="s">
        <v>168</v>
      </c>
      <c r="I374" s="33" t="s">
        <v>228</v>
      </c>
    </row>
    <row r="375" customFormat="false" ht="32.4" hidden="false" customHeight="true" outlineLevel="0" collapsed="false">
      <c r="A375" s="33" t="s">
        <v>4409</v>
      </c>
      <c r="B375" s="33" t="s">
        <v>3459</v>
      </c>
      <c r="C375" s="33" t="s">
        <v>9</v>
      </c>
      <c r="D375" s="33" t="n">
        <v>60</v>
      </c>
      <c r="E375" s="33" t="s">
        <v>4419</v>
      </c>
      <c r="F375" s="33" t="s">
        <v>4420</v>
      </c>
      <c r="G375" s="33" t="s">
        <v>16295</v>
      </c>
      <c r="H375" s="33" t="s">
        <v>168</v>
      </c>
      <c r="I375" s="33" t="s">
        <v>228</v>
      </c>
    </row>
    <row r="376" customFormat="false" ht="26.85" hidden="false" customHeight="false" outlineLevel="0" collapsed="false">
      <c r="A376" s="32" t="s">
        <v>4422</v>
      </c>
      <c r="B376" s="32" t="s">
        <v>3459</v>
      </c>
      <c r="C376" s="32" t="s">
        <v>9</v>
      </c>
      <c r="D376" s="32" t="n">
        <v>30</v>
      </c>
      <c r="E376" s="33" t="s">
        <v>4428</v>
      </c>
      <c r="F376" s="33" t="s">
        <v>4429</v>
      </c>
      <c r="G376" s="33" t="s">
        <v>4423</v>
      </c>
      <c r="H376" s="33" t="s">
        <v>115</v>
      </c>
      <c r="I376" s="33"/>
    </row>
    <row r="377" customFormat="false" ht="26.85" hidden="false" customHeight="false" outlineLevel="0" collapsed="false">
      <c r="A377" s="32" t="s">
        <v>4431</v>
      </c>
      <c r="B377" s="32" t="s">
        <v>3459</v>
      </c>
      <c r="C377" s="32" t="s">
        <v>9</v>
      </c>
      <c r="D377" s="32" t="n">
        <v>30</v>
      </c>
      <c r="E377" s="33" t="s">
        <v>4443</v>
      </c>
      <c r="F377" s="33" t="s">
        <v>4444</v>
      </c>
      <c r="G377" s="33" t="s">
        <v>4432</v>
      </c>
      <c r="H377" s="33" t="s">
        <v>115</v>
      </c>
      <c r="I377" s="33"/>
    </row>
    <row r="378" customFormat="false" ht="32.4" hidden="false" customHeight="true" outlineLevel="0" collapsed="false">
      <c r="A378" s="33" t="s">
        <v>4446</v>
      </c>
      <c r="B378" s="33" t="s">
        <v>3459</v>
      </c>
      <c r="C378" s="33" t="s">
        <v>9</v>
      </c>
      <c r="D378" s="33" t="n">
        <v>70</v>
      </c>
      <c r="E378" s="33" t="s">
        <v>4458</v>
      </c>
      <c r="F378" s="33" t="s">
        <v>4459</v>
      </c>
      <c r="G378" s="33" t="s">
        <v>16296</v>
      </c>
      <c r="H378" s="33" t="s">
        <v>168</v>
      </c>
      <c r="I378" s="33" t="s">
        <v>1050</v>
      </c>
    </row>
    <row r="379" customFormat="false" ht="32.4" hidden="false" customHeight="true" outlineLevel="0" collapsed="false">
      <c r="A379" s="33" t="s">
        <v>4461</v>
      </c>
      <c r="B379" s="33" t="s">
        <v>3459</v>
      </c>
      <c r="C379" s="33" t="s">
        <v>9</v>
      </c>
      <c r="D379" s="33" t="n">
        <v>70</v>
      </c>
      <c r="E379" s="33" t="s">
        <v>4472</v>
      </c>
      <c r="F379" s="33" t="s">
        <v>4473</v>
      </c>
      <c r="G379" s="33" t="s">
        <v>16297</v>
      </c>
      <c r="H379" s="33" t="s">
        <v>168</v>
      </c>
      <c r="I379" s="33" t="s">
        <v>1050</v>
      </c>
    </row>
    <row r="380" customFormat="false" ht="26.85" hidden="false" customHeight="false" outlineLevel="0" collapsed="false">
      <c r="A380" s="32" t="s">
        <v>4475</v>
      </c>
      <c r="B380" s="32" t="s">
        <v>3459</v>
      </c>
      <c r="C380" s="32" t="s">
        <v>9</v>
      </c>
      <c r="D380" s="32" t="n">
        <v>30</v>
      </c>
      <c r="E380" s="33" t="s">
        <v>4486</v>
      </c>
      <c r="F380" s="33" t="s">
        <v>4487</v>
      </c>
      <c r="G380" s="33" t="s">
        <v>4476</v>
      </c>
      <c r="H380" s="33" t="s">
        <v>115</v>
      </c>
      <c r="I380" s="33"/>
    </row>
    <row r="381" customFormat="false" ht="32.4" hidden="false" customHeight="true" outlineLevel="0" collapsed="false">
      <c r="A381" s="33" t="s">
        <v>4488</v>
      </c>
      <c r="B381" s="33" t="s">
        <v>3459</v>
      </c>
      <c r="C381" s="33" t="s">
        <v>9</v>
      </c>
      <c r="D381" s="33" t="n">
        <v>70</v>
      </c>
      <c r="E381" s="33" t="s">
        <v>4500</v>
      </c>
      <c r="F381" s="33" t="s">
        <v>4501</v>
      </c>
      <c r="G381" s="33" t="s">
        <v>16298</v>
      </c>
      <c r="H381" s="33" t="s">
        <v>168</v>
      </c>
      <c r="I381" s="33" t="s">
        <v>1050</v>
      </c>
    </row>
    <row r="382" customFormat="false" ht="26.85" hidden="false" customHeight="false" outlineLevel="0" collapsed="false">
      <c r="A382" s="32" t="s">
        <v>4503</v>
      </c>
      <c r="B382" s="32" t="s">
        <v>3459</v>
      </c>
      <c r="C382" s="32" t="s">
        <v>9</v>
      </c>
      <c r="D382" s="32" t="n">
        <v>30</v>
      </c>
      <c r="E382" s="33" t="s">
        <v>4514</v>
      </c>
      <c r="F382" s="33" t="s">
        <v>4515</v>
      </c>
      <c r="G382" s="33" t="s">
        <v>4504</v>
      </c>
      <c r="H382" s="33" t="s">
        <v>115</v>
      </c>
      <c r="I382" s="33"/>
    </row>
    <row r="383" customFormat="false" ht="26.85" hidden="false" customHeight="false" outlineLevel="0" collapsed="false">
      <c r="A383" s="32" t="s">
        <v>4516</v>
      </c>
      <c r="B383" s="32" t="s">
        <v>3459</v>
      </c>
      <c r="C383" s="32" t="s">
        <v>9</v>
      </c>
      <c r="D383" s="32" t="n">
        <v>30</v>
      </c>
      <c r="E383" s="33" t="s">
        <v>4528</v>
      </c>
      <c r="F383" s="33" t="s">
        <v>4529</v>
      </c>
      <c r="G383" s="33" t="s">
        <v>4517</v>
      </c>
      <c r="H383" s="33" t="s">
        <v>115</v>
      </c>
      <c r="I383" s="33"/>
    </row>
    <row r="384" customFormat="false" ht="26.85" hidden="false" customHeight="false" outlineLevel="0" collapsed="false">
      <c r="A384" s="32" t="s">
        <v>4530</v>
      </c>
      <c r="B384" s="32" t="s">
        <v>3459</v>
      </c>
      <c r="C384" s="32" t="s">
        <v>9</v>
      </c>
      <c r="D384" s="32" t="n">
        <v>30</v>
      </c>
      <c r="E384" s="33" t="s">
        <v>4540</v>
      </c>
      <c r="F384" s="33" t="s">
        <v>4541</v>
      </c>
      <c r="G384" s="33" t="s">
        <v>4531</v>
      </c>
      <c r="H384" s="33" t="s">
        <v>115</v>
      </c>
      <c r="I384" s="33"/>
    </row>
    <row r="385" customFormat="false" ht="32.4" hidden="false" customHeight="true" outlineLevel="0" collapsed="false">
      <c r="A385" s="33" t="s">
        <v>4542</v>
      </c>
      <c r="B385" s="33" t="s">
        <v>3459</v>
      </c>
      <c r="C385" s="33" t="s">
        <v>9</v>
      </c>
      <c r="D385" s="33" t="n">
        <v>70</v>
      </c>
      <c r="E385" s="33" t="s">
        <v>4555</v>
      </c>
      <c r="F385" s="33" t="s">
        <v>4556</v>
      </c>
      <c r="G385" s="33" t="s">
        <v>16299</v>
      </c>
      <c r="H385" s="33" t="s">
        <v>168</v>
      </c>
      <c r="I385" s="33" t="s">
        <v>1050</v>
      </c>
    </row>
    <row r="386" customFormat="false" ht="26.85" hidden="false" customHeight="false" outlineLevel="0" collapsed="false">
      <c r="A386" s="32" t="s">
        <v>4558</v>
      </c>
      <c r="B386" s="32" t="s">
        <v>3459</v>
      </c>
      <c r="C386" s="32" t="s">
        <v>9</v>
      </c>
      <c r="D386" s="32" t="n">
        <v>30</v>
      </c>
      <c r="E386" s="33" t="s">
        <v>4570</v>
      </c>
      <c r="F386" s="33" t="s">
        <v>4571</v>
      </c>
      <c r="G386" s="33" t="s">
        <v>4559</v>
      </c>
      <c r="H386" s="33" t="s">
        <v>115</v>
      </c>
      <c r="I386" s="33"/>
    </row>
    <row r="387" customFormat="false" ht="26.85" hidden="false" customHeight="false" outlineLevel="0" collapsed="false">
      <c r="A387" s="32" t="s">
        <v>4572</v>
      </c>
      <c r="B387" s="32" t="s">
        <v>3459</v>
      </c>
      <c r="C387" s="32" t="s">
        <v>9</v>
      </c>
      <c r="D387" s="32" t="n">
        <v>30</v>
      </c>
      <c r="E387" s="33" t="s">
        <v>4583</v>
      </c>
      <c r="F387" s="33" t="s">
        <v>4584</v>
      </c>
      <c r="G387" s="33" t="s">
        <v>4573</v>
      </c>
      <c r="H387" s="33" t="s">
        <v>115</v>
      </c>
      <c r="I387" s="33"/>
    </row>
    <row r="388" customFormat="false" ht="26.85" hidden="false" customHeight="false" outlineLevel="0" collapsed="false">
      <c r="A388" s="32" t="s">
        <v>4586</v>
      </c>
      <c r="B388" s="32" t="s">
        <v>3459</v>
      </c>
      <c r="C388" s="32" t="s">
        <v>9</v>
      </c>
      <c r="D388" s="32" t="n">
        <v>30</v>
      </c>
      <c r="E388" s="33" t="s">
        <v>4600</v>
      </c>
      <c r="F388" s="33" t="s">
        <v>4601</v>
      </c>
      <c r="G388" s="33" t="s">
        <v>4587</v>
      </c>
      <c r="H388" s="33" t="s">
        <v>115</v>
      </c>
      <c r="I388" s="33"/>
    </row>
    <row r="389" customFormat="false" ht="26.85" hidden="false" customHeight="false" outlineLevel="0" collapsed="false">
      <c r="A389" s="32" t="s">
        <v>4602</v>
      </c>
      <c r="B389" s="32" t="s">
        <v>3459</v>
      </c>
      <c r="C389" s="32" t="s">
        <v>9</v>
      </c>
      <c r="D389" s="32" t="n">
        <v>30</v>
      </c>
      <c r="E389" s="33" t="s">
        <v>4612</v>
      </c>
      <c r="F389" s="33" t="s">
        <v>4613</v>
      </c>
      <c r="G389" s="33" t="s">
        <v>4603</v>
      </c>
      <c r="H389" s="33" t="s">
        <v>115</v>
      </c>
      <c r="I389" s="33"/>
    </row>
    <row r="390" customFormat="false" ht="39.55" hidden="false" customHeight="false" outlineLevel="0" collapsed="false">
      <c r="A390" s="32" t="s">
        <v>4615</v>
      </c>
      <c r="B390" s="32" t="s">
        <v>3459</v>
      </c>
      <c r="C390" s="32" t="s">
        <v>9</v>
      </c>
      <c r="D390" s="32" t="n">
        <v>100</v>
      </c>
      <c r="E390" s="33" t="s">
        <v>4627</v>
      </c>
      <c r="F390" s="33" t="s">
        <v>4628</v>
      </c>
      <c r="G390" s="33" t="s">
        <v>16300</v>
      </c>
      <c r="H390" s="33" t="s">
        <v>115</v>
      </c>
      <c r="I390" s="33" t="s">
        <v>545</v>
      </c>
    </row>
    <row r="391" customFormat="false" ht="43.2" hidden="false" customHeight="true" outlineLevel="0" collapsed="false">
      <c r="A391" s="33" t="s">
        <v>4630</v>
      </c>
      <c r="B391" s="33" t="s">
        <v>3459</v>
      </c>
      <c r="C391" s="33" t="s">
        <v>9</v>
      </c>
      <c r="D391" s="33" t="n">
        <v>70</v>
      </c>
      <c r="E391" s="33" t="s">
        <v>4645</v>
      </c>
      <c r="F391" s="33" t="s">
        <v>4646</v>
      </c>
      <c r="G391" s="33" t="s">
        <v>16301</v>
      </c>
      <c r="H391" s="33" t="s">
        <v>168</v>
      </c>
      <c r="I391" s="33" t="s">
        <v>1050</v>
      </c>
    </row>
    <row r="392" customFormat="false" ht="26.85" hidden="false" customHeight="false" outlineLevel="0" collapsed="false">
      <c r="A392" s="32" t="s">
        <v>4648</v>
      </c>
      <c r="B392" s="32" t="s">
        <v>3459</v>
      </c>
      <c r="C392" s="32" t="s">
        <v>9</v>
      </c>
      <c r="D392" s="32" t="n">
        <v>30</v>
      </c>
      <c r="E392" s="33" t="s">
        <v>4657</v>
      </c>
      <c r="F392" s="33" t="s">
        <v>4658</v>
      </c>
      <c r="G392" s="33" t="s">
        <v>4649</v>
      </c>
      <c r="H392" s="33" t="s">
        <v>115</v>
      </c>
      <c r="I392" s="33"/>
    </row>
    <row r="393" customFormat="false" ht="26.85" hidden="false" customHeight="false" outlineLevel="0" collapsed="false">
      <c r="A393" s="32" t="s">
        <v>4659</v>
      </c>
      <c r="B393" s="32" t="s">
        <v>3459</v>
      </c>
      <c r="C393" s="32" t="s">
        <v>9</v>
      </c>
      <c r="D393" s="32" t="n">
        <v>30</v>
      </c>
      <c r="E393" s="33" t="s">
        <v>4671</v>
      </c>
      <c r="F393" s="33" t="s">
        <v>4672</v>
      </c>
      <c r="G393" s="33" t="s">
        <v>4660</v>
      </c>
      <c r="H393" s="33" t="s">
        <v>115</v>
      </c>
      <c r="I393" s="33"/>
    </row>
    <row r="394" customFormat="false" ht="26.85" hidden="false" customHeight="false" outlineLevel="0" collapsed="false">
      <c r="A394" s="32" t="s">
        <v>4673</v>
      </c>
      <c r="B394" s="32" t="s">
        <v>3459</v>
      </c>
      <c r="C394" s="32" t="s">
        <v>9</v>
      </c>
      <c r="D394" s="32" t="n">
        <v>30</v>
      </c>
      <c r="E394" s="33" t="s">
        <v>4685</v>
      </c>
      <c r="F394" s="33" t="s">
        <v>4686</v>
      </c>
      <c r="G394" s="33" t="s">
        <v>4674</v>
      </c>
      <c r="H394" s="33" t="s">
        <v>115</v>
      </c>
      <c r="I394" s="33"/>
    </row>
    <row r="395" customFormat="false" ht="32.4" hidden="false" customHeight="true" outlineLevel="0" collapsed="false">
      <c r="A395" s="33" t="s">
        <v>4687</v>
      </c>
      <c r="B395" s="33" t="s">
        <v>3459</v>
      </c>
      <c r="C395" s="33" t="s">
        <v>9</v>
      </c>
      <c r="D395" s="33" t="n">
        <v>80</v>
      </c>
      <c r="E395" s="33" t="s">
        <v>4700</v>
      </c>
      <c r="F395" s="33" t="s">
        <v>4701</v>
      </c>
      <c r="G395" s="33" t="s">
        <v>16302</v>
      </c>
      <c r="H395" s="33" t="s">
        <v>168</v>
      </c>
      <c r="I395" s="33" t="s">
        <v>941</v>
      </c>
    </row>
    <row r="396" customFormat="false" ht="32.4" hidden="false" customHeight="true" outlineLevel="0" collapsed="false">
      <c r="A396" s="33" t="s">
        <v>4703</v>
      </c>
      <c r="B396" s="33" t="s">
        <v>3459</v>
      </c>
      <c r="C396" s="33" t="s">
        <v>9</v>
      </c>
      <c r="D396" s="33" t="n">
        <v>80</v>
      </c>
      <c r="E396" s="33" t="s">
        <v>4714</v>
      </c>
      <c r="F396" s="33" t="s">
        <v>4715</v>
      </c>
      <c r="G396" s="33" t="s">
        <v>16303</v>
      </c>
      <c r="H396" s="33" t="s">
        <v>168</v>
      </c>
      <c r="I396" s="33" t="s">
        <v>941</v>
      </c>
    </row>
    <row r="397" customFormat="false" ht="32.4" hidden="false" customHeight="true" outlineLevel="0" collapsed="false">
      <c r="A397" s="33" t="s">
        <v>4717</v>
      </c>
      <c r="B397" s="33" t="s">
        <v>3459</v>
      </c>
      <c r="C397" s="33" t="s">
        <v>9</v>
      </c>
      <c r="D397" s="33" t="n">
        <v>80</v>
      </c>
      <c r="E397" s="33" t="s">
        <v>4729</v>
      </c>
      <c r="F397" s="33" t="s">
        <v>4730</v>
      </c>
      <c r="G397" s="33" t="s">
        <v>16304</v>
      </c>
      <c r="H397" s="33" t="s">
        <v>168</v>
      </c>
      <c r="I397" s="33" t="s">
        <v>941</v>
      </c>
    </row>
    <row r="398" customFormat="false" ht="43.2" hidden="false" customHeight="true" outlineLevel="0" collapsed="false">
      <c r="A398" s="33" t="s">
        <v>4732</v>
      </c>
      <c r="B398" s="33" t="s">
        <v>3459</v>
      </c>
      <c r="C398" s="33" t="s">
        <v>9</v>
      </c>
      <c r="D398" s="33" t="n">
        <v>70</v>
      </c>
      <c r="E398" s="33" t="s">
        <v>4742</v>
      </c>
      <c r="F398" s="33" t="s">
        <v>4743</v>
      </c>
      <c r="G398" s="33" t="s">
        <v>16305</v>
      </c>
      <c r="H398" s="33" t="s">
        <v>168</v>
      </c>
      <c r="I398" s="33" t="s">
        <v>1050</v>
      </c>
    </row>
    <row r="399" customFormat="false" ht="21.6" hidden="false" customHeight="true" outlineLevel="0" collapsed="false">
      <c r="A399" s="33" t="s">
        <v>4745</v>
      </c>
      <c r="B399" s="33" t="s">
        <v>3459</v>
      </c>
      <c r="C399" s="33" t="s">
        <v>9</v>
      </c>
      <c r="D399" s="33" t="n">
        <v>70</v>
      </c>
      <c r="E399" s="33" t="s">
        <v>4756</v>
      </c>
      <c r="F399" s="33" t="s">
        <v>4757</v>
      </c>
      <c r="G399" s="33" t="s">
        <v>16306</v>
      </c>
      <c r="H399" s="33" t="s">
        <v>168</v>
      </c>
      <c r="I399" s="33" t="s">
        <v>1050</v>
      </c>
    </row>
    <row r="400" customFormat="false" ht="26.85" hidden="false" customHeight="false" outlineLevel="0" collapsed="false">
      <c r="A400" s="32" t="s">
        <v>4759</v>
      </c>
      <c r="B400" s="32" t="s">
        <v>3459</v>
      </c>
      <c r="C400" s="32" t="s">
        <v>9</v>
      </c>
      <c r="D400" s="32" t="n">
        <v>30</v>
      </c>
      <c r="E400" s="33" t="s">
        <v>4770</v>
      </c>
      <c r="F400" s="33" t="s">
        <v>4771</v>
      </c>
      <c r="G400" s="33" t="s">
        <v>4760</v>
      </c>
      <c r="H400" s="33" t="s">
        <v>115</v>
      </c>
      <c r="I400" s="33"/>
    </row>
    <row r="401" customFormat="false" ht="15" hidden="false" customHeight="false" outlineLevel="0" collapsed="false">
      <c r="A401" s="32" t="s">
        <v>4773</v>
      </c>
      <c r="B401" s="32" t="s">
        <v>3459</v>
      </c>
      <c r="C401" s="32" t="s">
        <v>9</v>
      </c>
      <c r="D401" s="32" t="n">
        <v>30</v>
      </c>
      <c r="E401" s="33" t="s">
        <v>4784</v>
      </c>
      <c r="F401" s="33" t="s">
        <v>4785</v>
      </c>
      <c r="G401" s="33" t="s">
        <v>4774</v>
      </c>
      <c r="H401" s="33" t="s">
        <v>115</v>
      </c>
      <c r="I401" s="33"/>
    </row>
    <row r="402" customFormat="false" ht="39.55" hidden="false" customHeight="false" outlineLevel="0" collapsed="false">
      <c r="A402" s="32" t="s">
        <v>4786</v>
      </c>
      <c r="B402" s="32" t="s">
        <v>3459</v>
      </c>
      <c r="C402" s="32" t="s">
        <v>9</v>
      </c>
      <c r="D402" s="32" t="n">
        <v>100</v>
      </c>
      <c r="E402" s="33" t="s">
        <v>4797</v>
      </c>
      <c r="F402" s="33" t="s">
        <v>4798</v>
      </c>
      <c r="G402" s="33" t="s">
        <v>16307</v>
      </c>
      <c r="H402" s="33" t="s">
        <v>115</v>
      </c>
      <c r="I402" s="33" t="s">
        <v>545</v>
      </c>
    </row>
    <row r="403" customFormat="false" ht="32.4" hidden="false" customHeight="true" outlineLevel="0" collapsed="false">
      <c r="A403" s="33" t="s">
        <v>4799</v>
      </c>
      <c r="B403" s="33" t="s">
        <v>3459</v>
      </c>
      <c r="C403" s="33" t="s">
        <v>9</v>
      </c>
      <c r="D403" s="33" t="n">
        <v>80</v>
      </c>
      <c r="E403" s="33" t="s">
        <v>4811</v>
      </c>
      <c r="F403" s="33" t="s">
        <v>4812</v>
      </c>
      <c r="G403" s="33" t="s">
        <v>16308</v>
      </c>
      <c r="H403" s="33" t="s">
        <v>168</v>
      </c>
      <c r="I403" s="33" t="s">
        <v>941</v>
      </c>
    </row>
    <row r="404" customFormat="false" ht="39.55" hidden="false" customHeight="false" outlineLevel="0" collapsed="false">
      <c r="A404" s="32" t="s">
        <v>4814</v>
      </c>
      <c r="B404" s="32" t="s">
        <v>3459</v>
      </c>
      <c r="C404" s="32" t="s">
        <v>9</v>
      </c>
      <c r="D404" s="32" t="n">
        <v>30</v>
      </c>
      <c r="E404" s="33" t="s">
        <v>4827</v>
      </c>
      <c r="F404" s="33" t="s">
        <v>4828</v>
      </c>
      <c r="G404" s="33" t="s">
        <v>4815</v>
      </c>
      <c r="H404" s="33" t="s">
        <v>115</v>
      </c>
      <c r="I404" s="33"/>
    </row>
    <row r="405" customFormat="false" ht="26.85" hidden="false" customHeight="false" outlineLevel="0" collapsed="false">
      <c r="A405" s="32" t="s">
        <v>4829</v>
      </c>
      <c r="B405" s="32" t="s">
        <v>3459</v>
      </c>
      <c r="C405" s="32" t="s">
        <v>9</v>
      </c>
      <c r="D405" s="32" t="n">
        <v>30</v>
      </c>
      <c r="E405" s="33" t="s">
        <v>4842</v>
      </c>
      <c r="F405" s="33" t="s">
        <v>4843</v>
      </c>
      <c r="G405" s="33" t="s">
        <v>4830</v>
      </c>
      <c r="H405" s="33" t="s">
        <v>115</v>
      </c>
      <c r="I405" s="33"/>
    </row>
    <row r="406" customFormat="false" ht="32.4" hidden="false" customHeight="true" outlineLevel="0" collapsed="false">
      <c r="A406" s="33" t="s">
        <v>4844</v>
      </c>
      <c r="B406" s="33" t="s">
        <v>3459</v>
      </c>
      <c r="C406" s="33" t="s">
        <v>9</v>
      </c>
      <c r="D406" s="33" t="n">
        <v>80</v>
      </c>
      <c r="E406" s="33" t="s">
        <v>4857</v>
      </c>
      <c r="F406" s="33" t="s">
        <v>4858</v>
      </c>
      <c r="G406" s="33" t="s">
        <v>16309</v>
      </c>
      <c r="H406" s="33" t="s">
        <v>168</v>
      </c>
      <c r="I406" s="33" t="s">
        <v>941</v>
      </c>
    </row>
    <row r="407" customFormat="false" ht="26.85" hidden="false" customHeight="false" outlineLevel="0" collapsed="false">
      <c r="A407" s="32" t="s">
        <v>2656</v>
      </c>
      <c r="B407" s="32" t="s">
        <v>3459</v>
      </c>
      <c r="C407" s="32" t="s">
        <v>9</v>
      </c>
      <c r="D407" s="32" t="n">
        <v>40</v>
      </c>
      <c r="E407" s="33" t="s">
        <v>4872</v>
      </c>
      <c r="F407" s="33" t="s">
        <v>4873</v>
      </c>
      <c r="G407" s="33" t="s">
        <v>4861</v>
      </c>
      <c r="H407" s="33" t="s">
        <v>115</v>
      </c>
      <c r="I407" s="33"/>
    </row>
    <row r="408" customFormat="false" ht="39.55" hidden="false" customHeight="false" outlineLevel="0" collapsed="false">
      <c r="A408" s="32" t="s">
        <v>4875</v>
      </c>
      <c r="B408" s="32" t="s">
        <v>3459</v>
      </c>
      <c r="C408" s="32" t="s">
        <v>9</v>
      </c>
      <c r="D408" s="32" t="n">
        <v>40</v>
      </c>
      <c r="E408" s="33" t="s">
        <v>4886</v>
      </c>
      <c r="F408" s="33" t="s">
        <v>4887</v>
      </c>
      <c r="G408" s="33" t="s">
        <v>4876</v>
      </c>
      <c r="H408" s="33" t="s">
        <v>115</v>
      </c>
      <c r="I408" s="33"/>
    </row>
    <row r="409" customFormat="false" ht="32.4" hidden="false" customHeight="true" outlineLevel="0" collapsed="false">
      <c r="A409" s="33" t="s">
        <v>4888</v>
      </c>
      <c r="B409" s="33" t="s">
        <v>3459</v>
      </c>
      <c r="C409" s="33" t="s">
        <v>9</v>
      </c>
      <c r="D409" s="33" t="n">
        <v>60</v>
      </c>
      <c r="E409" s="33" t="s">
        <v>4898</v>
      </c>
      <c r="F409" s="33" t="s">
        <v>4899</v>
      </c>
      <c r="G409" s="33" t="s">
        <v>16310</v>
      </c>
      <c r="H409" s="33" t="s">
        <v>168</v>
      </c>
      <c r="I409" s="33" t="s">
        <v>228</v>
      </c>
    </row>
    <row r="410" customFormat="false" ht="32.4" hidden="false" customHeight="true" outlineLevel="0" collapsed="false">
      <c r="A410" s="33" t="s">
        <v>4901</v>
      </c>
      <c r="B410" s="33" t="s">
        <v>3459</v>
      </c>
      <c r="C410" s="33" t="s">
        <v>9</v>
      </c>
      <c r="D410" s="33" t="n">
        <v>60</v>
      </c>
      <c r="E410" s="33" t="s">
        <v>4913</v>
      </c>
      <c r="F410" s="33" t="s">
        <v>4914</v>
      </c>
      <c r="G410" s="33" t="s">
        <v>16311</v>
      </c>
      <c r="H410" s="33" t="s">
        <v>168</v>
      </c>
      <c r="I410" s="33" t="s">
        <v>228</v>
      </c>
    </row>
    <row r="411" customFormat="false" ht="15" hidden="false" customHeight="false" outlineLevel="0" collapsed="false">
      <c r="A411" s="32" t="s">
        <v>4916</v>
      </c>
      <c r="B411" s="32" t="s">
        <v>3459</v>
      </c>
      <c r="C411" s="32" t="s">
        <v>9</v>
      </c>
      <c r="D411" s="32" t="n">
        <v>40</v>
      </c>
      <c r="E411" s="33" t="s">
        <v>4927</v>
      </c>
      <c r="F411" s="33" t="s">
        <v>4928</v>
      </c>
      <c r="G411" s="33" t="s">
        <v>4917</v>
      </c>
      <c r="H411" s="33" t="s">
        <v>115</v>
      </c>
      <c r="I411" s="33"/>
    </row>
    <row r="412" customFormat="false" ht="26.85" hidden="false" customHeight="false" outlineLevel="0" collapsed="false">
      <c r="A412" s="32" t="s">
        <v>4929</v>
      </c>
      <c r="B412" s="32" t="s">
        <v>3459</v>
      </c>
      <c r="C412" s="32" t="s">
        <v>9</v>
      </c>
      <c r="D412" s="32" t="n">
        <v>40</v>
      </c>
      <c r="E412" s="33" t="s">
        <v>4942</v>
      </c>
      <c r="F412" s="33" t="s">
        <v>4943</v>
      </c>
      <c r="G412" s="33" t="s">
        <v>4930</v>
      </c>
      <c r="H412" s="33" t="s">
        <v>115</v>
      </c>
      <c r="I412" s="33"/>
    </row>
    <row r="413" customFormat="false" ht="26.85" hidden="false" customHeight="false" outlineLevel="0" collapsed="false">
      <c r="A413" s="32" t="s">
        <v>4944</v>
      </c>
      <c r="B413" s="32" t="s">
        <v>3459</v>
      </c>
      <c r="C413" s="32" t="s">
        <v>9</v>
      </c>
      <c r="D413" s="32" t="n">
        <v>40</v>
      </c>
      <c r="E413" s="33" t="s">
        <v>4952</v>
      </c>
      <c r="F413" s="33" t="s">
        <v>4953</v>
      </c>
      <c r="G413" s="33" t="s">
        <v>4945</v>
      </c>
      <c r="H413" s="33" t="s">
        <v>115</v>
      </c>
      <c r="I413" s="33"/>
    </row>
    <row r="414" customFormat="false" ht="26.85" hidden="false" customHeight="false" outlineLevel="0" collapsed="false">
      <c r="A414" s="32" t="s">
        <v>4954</v>
      </c>
      <c r="B414" s="32" t="s">
        <v>3459</v>
      </c>
      <c r="C414" s="32" t="s">
        <v>9</v>
      </c>
      <c r="D414" s="32" t="n">
        <v>40</v>
      </c>
      <c r="E414" s="33" t="s">
        <v>4963</v>
      </c>
      <c r="F414" s="33" t="s">
        <v>4964</v>
      </c>
      <c r="G414" s="33" t="s">
        <v>4955</v>
      </c>
      <c r="H414" s="33" t="s">
        <v>115</v>
      </c>
      <c r="I414" s="33"/>
    </row>
    <row r="415" customFormat="false" ht="26.85" hidden="false" customHeight="false" outlineLevel="0" collapsed="false">
      <c r="A415" s="32" t="s">
        <v>4965</v>
      </c>
      <c r="B415" s="32" t="s">
        <v>3459</v>
      </c>
      <c r="C415" s="32" t="s">
        <v>9</v>
      </c>
      <c r="D415" s="32" t="n">
        <v>40</v>
      </c>
      <c r="E415" s="33" t="s">
        <v>4976</v>
      </c>
      <c r="F415" s="33" t="s">
        <v>4977</v>
      </c>
      <c r="G415" s="33" t="s">
        <v>4966</v>
      </c>
      <c r="H415" s="33" t="s">
        <v>115</v>
      </c>
      <c r="I415" s="33"/>
    </row>
    <row r="416" customFormat="false" ht="26.85" hidden="false" customHeight="false" outlineLevel="0" collapsed="false">
      <c r="A416" s="32" t="s">
        <v>4978</v>
      </c>
      <c r="B416" s="32" t="s">
        <v>3459</v>
      </c>
      <c r="C416" s="32" t="s">
        <v>9</v>
      </c>
      <c r="D416" s="32" t="n">
        <v>40</v>
      </c>
      <c r="E416" s="33" t="s">
        <v>4988</v>
      </c>
      <c r="F416" s="33" t="s">
        <v>4989</v>
      </c>
      <c r="G416" s="33" t="s">
        <v>4979</v>
      </c>
      <c r="H416" s="33" t="s">
        <v>115</v>
      </c>
      <c r="I416" s="33"/>
    </row>
    <row r="417" customFormat="false" ht="39.55" hidden="false" customHeight="false" outlineLevel="0" collapsed="false">
      <c r="A417" s="32" t="s">
        <v>4990</v>
      </c>
      <c r="B417" s="32" t="s">
        <v>3459</v>
      </c>
      <c r="C417" s="32" t="s">
        <v>9</v>
      </c>
      <c r="D417" s="32" t="n">
        <v>40</v>
      </c>
      <c r="E417" s="33" t="s">
        <v>5004</v>
      </c>
      <c r="F417" s="33" t="s">
        <v>5005</v>
      </c>
      <c r="G417" s="33" t="s">
        <v>4991</v>
      </c>
      <c r="H417" s="33" t="s">
        <v>115</v>
      </c>
      <c r="I417" s="33"/>
    </row>
    <row r="418" customFormat="false" ht="26.85" hidden="false" customHeight="false" outlineLevel="0" collapsed="false">
      <c r="A418" s="32" t="s">
        <v>5006</v>
      </c>
      <c r="B418" s="32" t="s">
        <v>3459</v>
      </c>
      <c r="C418" s="32" t="s">
        <v>9</v>
      </c>
      <c r="D418" s="32" t="n">
        <v>40</v>
      </c>
      <c r="E418" s="33" t="s">
        <v>5016</v>
      </c>
      <c r="F418" s="33" t="s">
        <v>5017</v>
      </c>
      <c r="G418" s="33" t="s">
        <v>5007</v>
      </c>
      <c r="H418" s="33" t="s">
        <v>115</v>
      </c>
      <c r="I418" s="33"/>
    </row>
    <row r="419" customFormat="false" ht="39.55" hidden="false" customHeight="false" outlineLevel="0" collapsed="false">
      <c r="A419" s="32" t="s">
        <v>5019</v>
      </c>
      <c r="B419" s="32" t="s">
        <v>3459</v>
      </c>
      <c r="C419" s="32" t="s">
        <v>9</v>
      </c>
      <c r="D419" s="32" t="n">
        <v>40</v>
      </c>
      <c r="E419" s="33" t="s">
        <v>5031</v>
      </c>
      <c r="F419" s="33" t="s">
        <v>5032</v>
      </c>
      <c r="G419" s="33" t="s">
        <v>5020</v>
      </c>
      <c r="H419" s="33" t="s">
        <v>115</v>
      </c>
      <c r="I419" s="33"/>
    </row>
    <row r="420" customFormat="false" ht="21.6" hidden="false" customHeight="true" outlineLevel="0" collapsed="false">
      <c r="A420" s="33" t="s">
        <v>5033</v>
      </c>
      <c r="B420" s="33" t="s">
        <v>3459</v>
      </c>
      <c r="C420" s="33" t="s">
        <v>9</v>
      </c>
      <c r="D420" s="33" t="n">
        <v>70</v>
      </c>
      <c r="E420" s="33" t="s">
        <v>5044</v>
      </c>
      <c r="F420" s="33" t="s">
        <v>5045</v>
      </c>
      <c r="G420" s="33" t="s">
        <v>16312</v>
      </c>
      <c r="H420" s="33" t="s">
        <v>168</v>
      </c>
      <c r="I420" s="33" t="s">
        <v>1050</v>
      </c>
    </row>
    <row r="421" customFormat="false" ht="39.55" hidden="false" customHeight="false" outlineLevel="0" collapsed="false">
      <c r="A421" s="32" t="s">
        <v>5047</v>
      </c>
      <c r="B421" s="32" t="s">
        <v>3459</v>
      </c>
      <c r="C421" s="32" t="s">
        <v>9</v>
      </c>
      <c r="D421" s="32" t="n">
        <v>40</v>
      </c>
      <c r="E421" s="33" t="s">
        <v>5060</v>
      </c>
      <c r="F421" s="33" t="s">
        <v>5061</v>
      </c>
      <c r="G421" s="33" t="s">
        <v>5048</v>
      </c>
      <c r="H421" s="33" t="s">
        <v>115</v>
      </c>
      <c r="I421" s="33"/>
    </row>
    <row r="422" customFormat="false" ht="32.4" hidden="false" customHeight="true" outlineLevel="0" collapsed="false">
      <c r="A422" s="33" t="s">
        <v>5062</v>
      </c>
      <c r="B422" s="33" t="s">
        <v>3459</v>
      </c>
      <c r="C422" s="33" t="s">
        <v>9</v>
      </c>
      <c r="D422" s="33" t="n">
        <v>70</v>
      </c>
      <c r="E422" s="33" t="s">
        <v>5072</v>
      </c>
      <c r="F422" s="33" t="s">
        <v>5073</v>
      </c>
      <c r="G422" s="33" t="s">
        <v>16313</v>
      </c>
      <c r="H422" s="33" t="s">
        <v>168</v>
      </c>
      <c r="I422" s="33" t="s">
        <v>1050</v>
      </c>
    </row>
    <row r="423" customFormat="false" ht="26.85" hidden="false" customHeight="false" outlineLevel="0" collapsed="false">
      <c r="A423" s="32" t="s">
        <v>5075</v>
      </c>
      <c r="B423" s="32" t="s">
        <v>3459</v>
      </c>
      <c r="C423" s="32" t="s">
        <v>9</v>
      </c>
      <c r="D423" s="32" t="n">
        <v>40</v>
      </c>
      <c r="E423" s="33" t="s">
        <v>5086</v>
      </c>
      <c r="F423" s="33" t="s">
        <v>5087</v>
      </c>
      <c r="G423" s="33" t="s">
        <v>5076</v>
      </c>
      <c r="H423" s="33" t="s">
        <v>115</v>
      </c>
      <c r="I423" s="33"/>
    </row>
    <row r="424" customFormat="false" ht="21.6" hidden="false" customHeight="true" outlineLevel="0" collapsed="false">
      <c r="A424" s="33" t="s">
        <v>5089</v>
      </c>
      <c r="B424" s="33" t="s">
        <v>3459</v>
      </c>
      <c r="C424" s="33" t="s">
        <v>9</v>
      </c>
      <c r="D424" s="33" t="n">
        <v>70</v>
      </c>
      <c r="E424" s="33" t="s">
        <v>5101</v>
      </c>
      <c r="F424" s="33" t="s">
        <v>5102</v>
      </c>
      <c r="G424" s="33" t="s">
        <v>16314</v>
      </c>
      <c r="H424" s="33" t="s">
        <v>168</v>
      </c>
      <c r="I424" s="33" t="s">
        <v>1050</v>
      </c>
    </row>
    <row r="425" customFormat="false" ht="26.85" hidden="false" customHeight="false" outlineLevel="0" collapsed="false">
      <c r="A425" s="32" t="s">
        <v>5104</v>
      </c>
      <c r="B425" s="32" t="s">
        <v>3459</v>
      </c>
      <c r="C425" s="32" t="s">
        <v>9</v>
      </c>
      <c r="D425" s="32" t="n">
        <v>40</v>
      </c>
      <c r="E425" s="33" t="s">
        <v>5115</v>
      </c>
      <c r="F425" s="33" t="s">
        <v>5116</v>
      </c>
      <c r="G425" s="33" t="s">
        <v>5105</v>
      </c>
      <c r="H425" s="33" t="s">
        <v>115</v>
      </c>
      <c r="I425" s="33"/>
    </row>
    <row r="426" customFormat="false" ht="26.85" hidden="false" customHeight="false" outlineLevel="0" collapsed="false">
      <c r="A426" s="32" t="s">
        <v>5118</v>
      </c>
      <c r="B426" s="32" t="s">
        <v>3459</v>
      </c>
      <c r="C426" s="32" t="s">
        <v>9</v>
      </c>
      <c r="D426" s="32" t="n">
        <v>40</v>
      </c>
      <c r="E426" s="33" t="s">
        <v>5128</v>
      </c>
      <c r="F426" s="33" t="s">
        <v>5129</v>
      </c>
      <c r="G426" s="33" t="s">
        <v>5119</v>
      </c>
      <c r="H426" s="33" t="s">
        <v>115</v>
      </c>
      <c r="I426" s="33"/>
    </row>
    <row r="427" customFormat="false" ht="26.85" hidden="false" customHeight="false" outlineLevel="0" collapsed="false">
      <c r="A427" s="32" t="s">
        <v>5131</v>
      </c>
      <c r="B427" s="32" t="s">
        <v>3459</v>
      </c>
      <c r="C427" s="32" t="s">
        <v>9</v>
      </c>
      <c r="D427" s="32" t="n">
        <v>40</v>
      </c>
      <c r="E427" s="33" t="s">
        <v>5141</v>
      </c>
      <c r="F427" s="33" t="s">
        <v>5142</v>
      </c>
      <c r="G427" s="33" t="s">
        <v>5132</v>
      </c>
      <c r="H427" s="33" t="s">
        <v>115</v>
      </c>
      <c r="I427" s="33"/>
    </row>
    <row r="428" customFormat="false" ht="26.85" hidden="false" customHeight="false" outlineLevel="0" collapsed="false">
      <c r="A428" s="32" t="s">
        <v>5144</v>
      </c>
      <c r="B428" s="32" t="s">
        <v>3459</v>
      </c>
      <c r="C428" s="32" t="s">
        <v>9</v>
      </c>
      <c r="D428" s="32" t="n">
        <v>40</v>
      </c>
      <c r="E428" s="33" t="s">
        <v>5155</v>
      </c>
      <c r="F428" s="33" t="s">
        <v>5156</v>
      </c>
      <c r="G428" s="33" t="s">
        <v>5145</v>
      </c>
      <c r="H428" s="33" t="s">
        <v>115</v>
      </c>
      <c r="I428" s="33"/>
    </row>
    <row r="429" customFormat="false" ht="26.85" hidden="false" customHeight="false" outlineLevel="0" collapsed="false">
      <c r="A429" s="32" t="s">
        <v>5158</v>
      </c>
      <c r="B429" s="32" t="s">
        <v>3459</v>
      </c>
      <c r="C429" s="32" t="s">
        <v>9</v>
      </c>
      <c r="D429" s="32" t="n">
        <v>40</v>
      </c>
      <c r="E429" s="33" t="s">
        <v>5173</v>
      </c>
      <c r="F429" s="33" t="s">
        <v>5174</v>
      </c>
      <c r="G429" s="33" t="s">
        <v>5160</v>
      </c>
      <c r="H429" s="33" t="s">
        <v>115</v>
      </c>
      <c r="I429" s="33"/>
    </row>
    <row r="430" customFormat="false" ht="26.85" hidden="false" customHeight="false" outlineLevel="0" collapsed="false">
      <c r="A430" s="32" t="s">
        <v>5175</v>
      </c>
      <c r="B430" s="32" t="s">
        <v>3459</v>
      </c>
      <c r="C430" s="32" t="s">
        <v>9</v>
      </c>
      <c r="D430" s="32" t="n">
        <v>40</v>
      </c>
      <c r="E430" s="33" t="s">
        <v>5185</v>
      </c>
      <c r="F430" s="33" t="s">
        <v>5186</v>
      </c>
      <c r="G430" s="33" t="s">
        <v>5176</v>
      </c>
      <c r="H430" s="33" t="s">
        <v>115</v>
      </c>
      <c r="I430" s="33"/>
    </row>
    <row r="431" customFormat="false" ht="26.85" hidden="false" customHeight="false" outlineLevel="0" collapsed="false">
      <c r="A431" s="32" t="s">
        <v>5187</v>
      </c>
      <c r="B431" s="32" t="s">
        <v>3459</v>
      </c>
      <c r="C431" s="32" t="s">
        <v>9</v>
      </c>
      <c r="D431" s="32" t="n">
        <v>40</v>
      </c>
      <c r="E431" s="33" t="s">
        <v>5201</v>
      </c>
      <c r="F431" s="33" t="s">
        <v>5202</v>
      </c>
      <c r="G431" s="33" t="s">
        <v>5188</v>
      </c>
      <c r="H431" s="33" t="s">
        <v>115</v>
      </c>
      <c r="I431" s="33"/>
    </row>
    <row r="432" customFormat="false" ht="26.85" hidden="false" customHeight="false" outlineLevel="0" collapsed="false">
      <c r="A432" s="32" t="s">
        <v>5203</v>
      </c>
      <c r="B432" s="32" t="s">
        <v>3459</v>
      </c>
      <c r="C432" s="32" t="s">
        <v>9</v>
      </c>
      <c r="D432" s="32" t="n">
        <v>40</v>
      </c>
      <c r="E432" s="33" t="s">
        <v>5215</v>
      </c>
      <c r="F432" s="33" t="s">
        <v>5216</v>
      </c>
      <c r="G432" s="33" t="s">
        <v>5204</v>
      </c>
      <c r="H432" s="33" t="s">
        <v>115</v>
      </c>
      <c r="I432" s="33"/>
    </row>
    <row r="433" customFormat="false" ht="15" hidden="false" customHeight="false" outlineLevel="0" collapsed="false">
      <c r="A433" s="32" t="s">
        <v>5217</v>
      </c>
      <c r="B433" s="32" t="s">
        <v>3459</v>
      </c>
      <c r="C433" s="32" t="s">
        <v>9</v>
      </c>
      <c r="D433" s="32" t="n">
        <v>40</v>
      </c>
      <c r="E433" s="33" t="s">
        <v>5230</v>
      </c>
      <c r="F433" s="33" t="s">
        <v>5231</v>
      </c>
      <c r="G433" s="33" t="s">
        <v>5218</v>
      </c>
      <c r="H433" s="33" t="s">
        <v>115</v>
      </c>
      <c r="I433" s="33"/>
    </row>
    <row r="434" customFormat="false" ht="15" hidden="false" customHeight="false" outlineLevel="0" collapsed="false">
      <c r="A434" s="32" t="s">
        <v>5232</v>
      </c>
      <c r="B434" s="32" t="s">
        <v>3459</v>
      </c>
      <c r="C434" s="32" t="s">
        <v>9</v>
      </c>
      <c r="D434" s="32" t="n">
        <v>40</v>
      </c>
      <c r="E434" s="33" t="s">
        <v>5243</v>
      </c>
      <c r="F434" s="33" t="s">
        <v>5244</v>
      </c>
      <c r="G434" s="33" t="s">
        <v>5233</v>
      </c>
      <c r="H434" s="33" t="s">
        <v>115</v>
      </c>
      <c r="I434" s="33"/>
    </row>
    <row r="435" customFormat="false" ht="26.85" hidden="false" customHeight="false" outlineLevel="0" collapsed="false">
      <c r="A435" s="32" t="s">
        <v>5245</v>
      </c>
      <c r="B435" s="32" t="s">
        <v>3459</v>
      </c>
      <c r="C435" s="32" t="s">
        <v>9</v>
      </c>
      <c r="D435" s="32" t="n">
        <v>40</v>
      </c>
      <c r="E435" s="33" t="s">
        <v>5255</v>
      </c>
      <c r="F435" s="33" t="s">
        <v>5256</v>
      </c>
      <c r="G435" s="33" t="s">
        <v>5246</v>
      </c>
      <c r="H435" s="33" t="s">
        <v>115</v>
      </c>
      <c r="I435" s="33"/>
    </row>
    <row r="436" customFormat="false" ht="26.85" hidden="false" customHeight="false" outlineLevel="0" collapsed="false">
      <c r="A436" s="32" t="s">
        <v>5257</v>
      </c>
      <c r="B436" s="32" t="s">
        <v>3459</v>
      </c>
      <c r="C436" s="32" t="s">
        <v>9</v>
      </c>
      <c r="D436" s="32" t="n">
        <v>40</v>
      </c>
      <c r="E436" s="33" t="s">
        <v>5269</v>
      </c>
      <c r="F436" s="33" t="s">
        <v>5270</v>
      </c>
      <c r="G436" s="33" t="s">
        <v>5258</v>
      </c>
      <c r="H436" s="33" t="s">
        <v>115</v>
      </c>
      <c r="I436" s="33"/>
    </row>
    <row r="437" customFormat="false" ht="39.55" hidden="false" customHeight="false" outlineLevel="0" collapsed="false">
      <c r="A437" s="32" t="s">
        <v>5271</v>
      </c>
      <c r="B437" s="32" t="s">
        <v>3459</v>
      </c>
      <c r="C437" s="32" t="s">
        <v>9</v>
      </c>
      <c r="D437" s="32" t="n">
        <v>40</v>
      </c>
      <c r="E437" s="33" t="s">
        <v>5283</v>
      </c>
      <c r="F437" s="33" t="s">
        <v>5284</v>
      </c>
      <c r="G437" s="33" t="s">
        <v>5272</v>
      </c>
      <c r="H437" s="33" t="s">
        <v>115</v>
      </c>
      <c r="I437" s="33"/>
    </row>
    <row r="438" customFormat="false" ht="26.85" hidden="false" customHeight="false" outlineLevel="0" collapsed="false">
      <c r="A438" s="32" t="s">
        <v>5285</v>
      </c>
      <c r="B438" s="32" t="s">
        <v>3459</v>
      </c>
      <c r="C438" s="32" t="s">
        <v>9</v>
      </c>
      <c r="D438" s="32" t="n">
        <v>40</v>
      </c>
      <c r="E438" s="33" t="s">
        <v>5298</v>
      </c>
      <c r="F438" s="33" t="s">
        <v>5299</v>
      </c>
      <c r="G438" s="33" t="s">
        <v>5286</v>
      </c>
      <c r="H438" s="33" t="s">
        <v>115</v>
      </c>
      <c r="I438" s="33"/>
    </row>
    <row r="439" customFormat="false" ht="26.85" hidden="false" customHeight="false" outlineLevel="0" collapsed="false">
      <c r="A439" s="32" t="s">
        <v>5300</v>
      </c>
      <c r="B439" s="32" t="s">
        <v>3459</v>
      </c>
      <c r="C439" s="32" t="s">
        <v>9</v>
      </c>
      <c r="D439" s="32" t="n">
        <v>40</v>
      </c>
      <c r="E439" s="33" t="s">
        <v>5312</v>
      </c>
      <c r="F439" s="33" t="s">
        <v>5313</v>
      </c>
      <c r="G439" s="33" t="s">
        <v>5301</v>
      </c>
      <c r="H439" s="33" t="s">
        <v>115</v>
      </c>
      <c r="I439" s="33"/>
    </row>
    <row r="440" customFormat="false" ht="39.55" hidden="false" customHeight="false" outlineLevel="0" collapsed="false">
      <c r="A440" s="32" t="s">
        <v>5314</v>
      </c>
      <c r="B440" s="32" t="s">
        <v>3459</v>
      </c>
      <c r="C440" s="32" t="s">
        <v>9</v>
      </c>
      <c r="D440" s="32" t="n">
        <v>50</v>
      </c>
      <c r="E440" s="33" t="s">
        <v>5327</v>
      </c>
      <c r="F440" s="33" t="s">
        <v>5328</v>
      </c>
      <c r="G440" s="33" t="s">
        <v>5316</v>
      </c>
      <c r="H440" s="33" t="s">
        <v>115</v>
      </c>
      <c r="I440" s="33"/>
    </row>
    <row r="441" customFormat="false" ht="26.85" hidden="false" customHeight="false" outlineLevel="0" collapsed="false">
      <c r="A441" s="32" t="s">
        <v>5330</v>
      </c>
      <c r="B441" s="32" t="s">
        <v>3459</v>
      </c>
      <c r="C441" s="32" t="s">
        <v>9</v>
      </c>
      <c r="D441" s="32" t="n">
        <v>50</v>
      </c>
      <c r="E441" s="33" t="s">
        <v>5342</v>
      </c>
      <c r="F441" s="33" t="s">
        <v>5343</v>
      </c>
      <c r="G441" s="33" t="s">
        <v>5331</v>
      </c>
      <c r="H441" s="33" t="s">
        <v>115</v>
      </c>
      <c r="I441" s="33"/>
    </row>
    <row r="442" customFormat="false" ht="39.55" hidden="false" customHeight="false" outlineLevel="0" collapsed="false">
      <c r="A442" s="32" t="s">
        <v>5345</v>
      </c>
      <c r="B442" s="32" t="s">
        <v>3459</v>
      </c>
      <c r="C442" s="32" t="s">
        <v>9</v>
      </c>
      <c r="D442" s="32" t="n">
        <v>50</v>
      </c>
      <c r="E442" s="33" t="s">
        <v>5359</v>
      </c>
      <c r="F442" s="33" t="s">
        <v>5360</v>
      </c>
      <c r="G442" s="33" t="s">
        <v>5346</v>
      </c>
      <c r="H442" s="33" t="s">
        <v>115</v>
      </c>
      <c r="I442" s="33"/>
    </row>
    <row r="443" customFormat="false" ht="15" hidden="false" customHeight="false" outlineLevel="0" collapsed="false">
      <c r="A443" s="32" t="s">
        <v>5361</v>
      </c>
      <c r="B443" s="32" t="s">
        <v>97</v>
      </c>
      <c r="C443" s="32" t="s">
        <v>12</v>
      </c>
      <c r="D443" s="32" t="n">
        <v>10</v>
      </c>
      <c r="E443" s="33" t="s">
        <v>5376</v>
      </c>
      <c r="F443" s="33" t="s">
        <v>5377</v>
      </c>
      <c r="G443" s="33"/>
      <c r="H443" s="33" t="s">
        <v>168</v>
      </c>
      <c r="I443" s="33"/>
    </row>
    <row r="444" customFormat="false" ht="15" hidden="false" customHeight="false" outlineLevel="0" collapsed="false">
      <c r="A444" s="32" t="s">
        <v>5378</v>
      </c>
      <c r="B444" s="32" t="s">
        <v>97</v>
      </c>
      <c r="C444" s="32" t="s">
        <v>12</v>
      </c>
      <c r="D444" s="32" t="n">
        <v>10</v>
      </c>
      <c r="E444" s="33" t="s">
        <v>5376</v>
      </c>
      <c r="F444" s="33" t="s">
        <v>5377</v>
      </c>
      <c r="G444" s="33"/>
      <c r="H444" s="33" t="s">
        <v>168</v>
      </c>
      <c r="I444" s="33"/>
    </row>
    <row r="445" customFormat="false" ht="15" hidden="false" customHeight="false" outlineLevel="0" collapsed="false">
      <c r="A445" s="32" t="s">
        <v>5391</v>
      </c>
      <c r="B445" s="32" t="s">
        <v>97</v>
      </c>
      <c r="C445" s="32" t="s">
        <v>9</v>
      </c>
      <c r="D445" s="32" t="n">
        <v>10</v>
      </c>
      <c r="E445" s="33" t="s">
        <v>5401</v>
      </c>
      <c r="F445" s="33" t="s">
        <v>5402</v>
      </c>
      <c r="G445" s="33"/>
      <c r="H445" s="33" t="s">
        <v>168</v>
      </c>
      <c r="I445" s="33"/>
    </row>
    <row r="446" customFormat="false" ht="15" hidden="false" customHeight="false" outlineLevel="0" collapsed="false">
      <c r="A446" s="32" t="s">
        <v>5403</v>
      </c>
      <c r="B446" s="32" t="s">
        <v>97</v>
      </c>
      <c r="C446" s="32" t="s">
        <v>12</v>
      </c>
      <c r="D446" s="32" t="n">
        <v>10</v>
      </c>
      <c r="E446" s="33" t="s">
        <v>5416</v>
      </c>
      <c r="F446" s="33" t="s">
        <v>5417</v>
      </c>
      <c r="G446" s="33"/>
      <c r="H446" s="33" t="s">
        <v>168</v>
      </c>
      <c r="I446" s="33"/>
    </row>
    <row r="447" customFormat="false" ht="15" hidden="false" customHeight="false" outlineLevel="0" collapsed="false">
      <c r="A447" s="32" t="s">
        <v>5418</v>
      </c>
      <c r="B447" s="32" t="s">
        <v>97</v>
      </c>
      <c r="C447" s="32" t="s">
        <v>12</v>
      </c>
      <c r="D447" s="32" t="n">
        <v>10</v>
      </c>
      <c r="E447" s="33" t="s">
        <v>5416</v>
      </c>
      <c r="F447" s="33" t="s">
        <v>5417</v>
      </c>
      <c r="G447" s="33"/>
      <c r="H447" s="33" t="s">
        <v>168</v>
      </c>
      <c r="I447" s="33"/>
    </row>
    <row r="448" customFormat="false" ht="21.6" hidden="false" customHeight="true" outlineLevel="0" collapsed="false">
      <c r="A448" s="33" t="s">
        <v>5427</v>
      </c>
      <c r="B448" s="33" t="s">
        <v>97</v>
      </c>
      <c r="C448" s="33" t="s">
        <v>12</v>
      </c>
      <c r="D448" s="33" t="n">
        <v>60</v>
      </c>
      <c r="E448" s="33" t="s">
        <v>5438</v>
      </c>
      <c r="F448" s="33" t="s">
        <v>226</v>
      </c>
      <c r="G448" s="33" t="s">
        <v>16276</v>
      </c>
      <c r="H448" s="33" t="s">
        <v>168</v>
      </c>
      <c r="I448" s="33" t="s">
        <v>228</v>
      </c>
    </row>
    <row r="449" customFormat="false" ht="21.6" hidden="false" customHeight="true" outlineLevel="0" collapsed="false">
      <c r="A449" s="33" t="s">
        <v>5440</v>
      </c>
      <c r="B449" s="33" t="s">
        <v>97</v>
      </c>
      <c r="C449" s="33" t="s">
        <v>9</v>
      </c>
      <c r="D449" s="33" t="n">
        <v>60</v>
      </c>
      <c r="E449" s="33" t="s">
        <v>5453</v>
      </c>
      <c r="F449" s="33" t="s">
        <v>5454</v>
      </c>
      <c r="G449" s="33" t="s">
        <v>16276</v>
      </c>
      <c r="H449" s="33" t="s">
        <v>168</v>
      </c>
      <c r="I449" s="33" t="s">
        <v>228</v>
      </c>
    </row>
    <row r="450" customFormat="false" ht="21.6" hidden="false" customHeight="true" outlineLevel="0" collapsed="false">
      <c r="A450" s="33" t="s">
        <v>5456</v>
      </c>
      <c r="B450" s="33" t="s">
        <v>97</v>
      </c>
      <c r="C450" s="33" t="s">
        <v>9</v>
      </c>
      <c r="D450" s="33" t="n">
        <v>60</v>
      </c>
      <c r="E450" s="33" t="s">
        <v>5466</v>
      </c>
      <c r="F450" s="33" t="s">
        <v>5467</v>
      </c>
      <c r="G450" s="33" t="s">
        <v>16276</v>
      </c>
      <c r="H450" s="33" t="s">
        <v>168</v>
      </c>
      <c r="I450" s="33" t="s">
        <v>228</v>
      </c>
    </row>
    <row r="451" customFormat="false" ht="32.4" hidden="false" customHeight="true" outlineLevel="0" collapsed="false">
      <c r="A451" s="33" t="s">
        <v>5469</v>
      </c>
      <c r="B451" s="33" t="s">
        <v>97</v>
      </c>
      <c r="C451" s="33" t="s">
        <v>9</v>
      </c>
      <c r="D451" s="33" t="n">
        <v>60</v>
      </c>
      <c r="E451" s="33" t="s">
        <v>334</v>
      </c>
      <c r="F451" s="33" t="s">
        <v>5482</v>
      </c>
      <c r="G451" s="33" t="s">
        <v>16276</v>
      </c>
      <c r="H451" s="33" t="s">
        <v>168</v>
      </c>
      <c r="I451" s="33" t="s">
        <v>228</v>
      </c>
    </row>
    <row r="452" customFormat="false" ht="21.6" hidden="false" customHeight="true" outlineLevel="0" collapsed="false">
      <c r="A452" s="33" t="s">
        <v>5483</v>
      </c>
      <c r="B452" s="33" t="s">
        <v>97</v>
      </c>
      <c r="C452" s="33" t="s">
        <v>9</v>
      </c>
      <c r="D452" s="33" t="n">
        <v>60</v>
      </c>
      <c r="E452" s="33" t="s">
        <v>5494</v>
      </c>
      <c r="F452" s="33" t="s">
        <v>5495</v>
      </c>
      <c r="G452" s="33" t="s">
        <v>16276</v>
      </c>
      <c r="H452" s="33" t="s">
        <v>168</v>
      </c>
      <c r="I452" s="33" t="s">
        <v>228</v>
      </c>
    </row>
    <row r="453" customFormat="false" ht="21.6" hidden="false" customHeight="true" outlineLevel="0" collapsed="false">
      <c r="A453" s="33" t="s">
        <v>5496</v>
      </c>
      <c r="B453" s="33" t="s">
        <v>97</v>
      </c>
      <c r="C453" s="33" t="s">
        <v>9</v>
      </c>
      <c r="D453" s="33" t="n">
        <v>60</v>
      </c>
      <c r="E453" s="33" t="s">
        <v>5494</v>
      </c>
      <c r="F453" s="33" t="s">
        <v>5495</v>
      </c>
      <c r="G453" s="33" t="s">
        <v>16276</v>
      </c>
      <c r="H453" s="33" t="s">
        <v>168</v>
      </c>
      <c r="I453" s="33" t="s">
        <v>228</v>
      </c>
    </row>
    <row r="454" customFormat="false" ht="21.6" hidden="false" customHeight="true" outlineLevel="0" collapsed="false">
      <c r="A454" s="33" t="s">
        <v>5507</v>
      </c>
      <c r="B454" s="33" t="s">
        <v>97</v>
      </c>
      <c r="C454" s="33" t="s">
        <v>9</v>
      </c>
      <c r="D454" s="33" t="n">
        <v>60</v>
      </c>
      <c r="E454" s="33" t="s">
        <v>5513</v>
      </c>
      <c r="F454" s="33" t="s">
        <v>5495</v>
      </c>
      <c r="G454" s="33" t="s">
        <v>16276</v>
      </c>
      <c r="H454" s="33" t="s">
        <v>168</v>
      </c>
      <c r="I454" s="33" t="s">
        <v>228</v>
      </c>
    </row>
    <row r="455" customFormat="false" ht="21.6" hidden="false" customHeight="true" outlineLevel="0" collapsed="false">
      <c r="A455" s="33" t="s">
        <v>2710</v>
      </c>
      <c r="B455" s="33" t="s">
        <v>97</v>
      </c>
      <c r="C455" s="33" t="s">
        <v>9</v>
      </c>
      <c r="D455" s="33" t="n">
        <v>60</v>
      </c>
      <c r="E455" s="33" t="s">
        <v>5523</v>
      </c>
      <c r="F455" s="33" t="s">
        <v>5524</v>
      </c>
      <c r="G455" s="33" t="s">
        <v>16276</v>
      </c>
      <c r="H455" s="33" t="s">
        <v>168</v>
      </c>
      <c r="I455" s="33" t="s">
        <v>228</v>
      </c>
    </row>
    <row r="456" customFormat="false" ht="21.6" hidden="false" customHeight="true" outlineLevel="0" collapsed="false">
      <c r="A456" s="33" t="s">
        <v>5525</v>
      </c>
      <c r="B456" s="33" t="s">
        <v>97</v>
      </c>
      <c r="C456" s="33" t="s">
        <v>9</v>
      </c>
      <c r="D456" s="33" t="n">
        <v>60</v>
      </c>
      <c r="E456" s="33" t="s">
        <v>347</v>
      </c>
      <c r="F456" s="33" t="s">
        <v>5535</v>
      </c>
      <c r="G456" s="33" t="s">
        <v>16276</v>
      </c>
      <c r="H456" s="33" t="s">
        <v>168</v>
      </c>
      <c r="I456" s="33" t="s">
        <v>228</v>
      </c>
    </row>
    <row r="457" customFormat="false" ht="21.6" hidden="false" customHeight="true" outlineLevel="0" collapsed="false">
      <c r="A457" s="33" t="s">
        <v>5536</v>
      </c>
      <c r="B457" s="33" t="s">
        <v>97</v>
      </c>
      <c r="C457" s="33" t="s">
        <v>9</v>
      </c>
      <c r="D457" s="33" t="n">
        <v>60</v>
      </c>
      <c r="E457" s="33" t="s">
        <v>347</v>
      </c>
      <c r="F457" s="33" t="s">
        <v>5547</v>
      </c>
      <c r="G457" s="33" t="s">
        <v>16276</v>
      </c>
      <c r="H457" s="33" t="s">
        <v>168</v>
      </c>
      <c r="I457" s="33" t="s">
        <v>228</v>
      </c>
    </row>
    <row r="458" customFormat="false" ht="21.6" hidden="false" customHeight="true" outlineLevel="0" collapsed="false">
      <c r="A458" s="33" t="s">
        <v>5548</v>
      </c>
      <c r="B458" s="33" t="s">
        <v>97</v>
      </c>
      <c r="C458" s="33" t="s">
        <v>9</v>
      </c>
      <c r="D458" s="33" t="n">
        <v>60</v>
      </c>
      <c r="E458" s="33" t="s">
        <v>358</v>
      </c>
      <c r="F458" s="33" t="s">
        <v>5559</v>
      </c>
      <c r="G458" s="33" t="s">
        <v>16276</v>
      </c>
      <c r="H458" s="33" t="s">
        <v>168</v>
      </c>
      <c r="I458" s="33" t="s">
        <v>228</v>
      </c>
    </row>
    <row r="459" customFormat="false" ht="21.6" hidden="false" customHeight="true" outlineLevel="0" collapsed="false">
      <c r="A459" s="33" t="s">
        <v>5560</v>
      </c>
      <c r="B459" s="33" t="s">
        <v>97</v>
      </c>
      <c r="C459" s="33" t="s">
        <v>9</v>
      </c>
      <c r="D459" s="33" t="n">
        <v>60</v>
      </c>
      <c r="E459" s="33" t="s">
        <v>5567</v>
      </c>
      <c r="F459" s="33" t="s">
        <v>5559</v>
      </c>
      <c r="G459" s="33" t="s">
        <v>16276</v>
      </c>
      <c r="H459" s="33" t="s">
        <v>168</v>
      </c>
      <c r="I459" s="33" t="s">
        <v>228</v>
      </c>
    </row>
    <row r="460" customFormat="false" ht="21.6" hidden="false" customHeight="true" outlineLevel="0" collapsed="false">
      <c r="A460" s="33" t="s">
        <v>5568</v>
      </c>
      <c r="B460" s="33" t="s">
        <v>97</v>
      </c>
      <c r="C460" s="33" t="s">
        <v>9</v>
      </c>
      <c r="D460" s="33" t="n">
        <v>60</v>
      </c>
      <c r="E460" s="33" t="s">
        <v>5567</v>
      </c>
      <c r="F460" s="33" t="s">
        <v>5559</v>
      </c>
      <c r="G460" s="33" t="s">
        <v>16276</v>
      </c>
      <c r="H460" s="33" t="s">
        <v>168</v>
      </c>
      <c r="I460" s="33" t="s">
        <v>228</v>
      </c>
    </row>
    <row r="461" customFormat="false" ht="21.6" hidden="false" customHeight="true" outlineLevel="0" collapsed="false">
      <c r="A461" s="33" t="s">
        <v>5574</v>
      </c>
      <c r="B461" s="33" t="s">
        <v>97</v>
      </c>
      <c r="C461" s="33" t="s">
        <v>9</v>
      </c>
      <c r="D461" s="33" t="n">
        <v>60</v>
      </c>
      <c r="E461" s="33" t="s">
        <v>5567</v>
      </c>
      <c r="F461" s="33" t="s">
        <v>5559</v>
      </c>
      <c r="G461" s="33" t="s">
        <v>16276</v>
      </c>
      <c r="H461" s="33" t="s">
        <v>168</v>
      </c>
      <c r="I461" s="33" t="s">
        <v>228</v>
      </c>
    </row>
    <row r="462" customFormat="false" ht="21.6" hidden="false" customHeight="true" outlineLevel="0" collapsed="false">
      <c r="A462" s="33" t="s">
        <v>5579</v>
      </c>
      <c r="B462" s="33" t="s">
        <v>97</v>
      </c>
      <c r="C462" s="33" t="s">
        <v>9</v>
      </c>
      <c r="D462" s="33" t="n">
        <v>60</v>
      </c>
      <c r="E462" s="33" t="s">
        <v>5567</v>
      </c>
      <c r="F462" s="33" t="s">
        <v>5559</v>
      </c>
      <c r="G462" s="33" t="s">
        <v>16276</v>
      </c>
      <c r="H462" s="33" t="s">
        <v>168</v>
      </c>
      <c r="I462" s="33" t="s">
        <v>228</v>
      </c>
    </row>
    <row r="463" customFormat="false" ht="21.6" hidden="false" customHeight="true" outlineLevel="0" collapsed="false">
      <c r="A463" s="33" t="s">
        <v>5584</v>
      </c>
      <c r="B463" s="33" t="s">
        <v>97</v>
      </c>
      <c r="C463" s="33" t="s">
        <v>9</v>
      </c>
      <c r="D463" s="33" t="n">
        <v>60</v>
      </c>
      <c r="E463" s="33" t="s">
        <v>5595</v>
      </c>
      <c r="F463" s="33" t="s">
        <v>5559</v>
      </c>
      <c r="G463" s="33" t="s">
        <v>16276</v>
      </c>
      <c r="H463" s="33" t="s">
        <v>168</v>
      </c>
      <c r="I463" s="33" t="s">
        <v>228</v>
      </c>
    </row>
    <row r="464" customFormat="false" ht="21.6" hidden="false" customHeight="true" outlineLevel="0" collapsed="false">
      <c r="A464" s="33" t="s">
        <v>5597</v>
      </c>
      <c r="B464" s="33" t="s">
        <v>97</v>
      </c>
      <c r="C464" s="33" t="s">
        <v>9</v>
      </c>
      <c r="D464" s="33" t="n">
        <v>60</v>
      </c>
      <c r="E464" s="33" t="s">
        <v>5595</v>
      </c>
      <c r="F464" s="33" t="s">
        <v>5559</v>
      </c>
      <c r="G464" s="33" t="s">
        <v>16276</v>
      </c>
      <c r="H464" s="33" t="s">
        <v>168</v>
      </c>
      <c r="I464" s="33" t="s">
        <v>228</v>
      </c>
    </row>
    <row r="465" customFormat="false" ht="21.6" hidden="false" customHeight="true" outlineLevel="0" collapsed="false">
      <c r="A465" s="33" t="s">
        <v>5604</v>
      </c>
      <c r="B465" s="33" t="s">
        <v>97</v>
      </c>
      <c r="C465" s="33" t="s">
        <v>9</v>
      </c>
      <c r="D465" s="33" t="n">
        <v>60</v>
      </c>
      <c r="E465" s="33" t="s">
        <v>5611</v>
      </c>
      <c r="F465" s="33" t="s">
        <v>5559</v>
      </c>
      <c r="G465" s="33" t="s">
        <v>16276</v>
      </c>
      <c r="H465" s="33" t="s">
        <v>168</v>
      </c>
      <c r="I465" s="33" t="s">
        <v>228</v>
      </c>
    </row>
    <row r="466" customFormat="false" ht="21.6" hidden="false" customHeight="true" outlineLevel="0" collapsed="false">
      <c r="A466" s="33" t="s">
        <v>5612</v>
      </c>
      <c r="B466" s="33" t="s">
        <v>97</v>
      </c>
      <c r="C466" s="33" t="s">
        <v>9</v>
      </c>
      <c r="D466" s="33" t="n">
        <v>60</v>
      </c>
      <c r="E466" s="33" t="s">
        <v>5611</v>
      </c>
      <c r="F466" s="33" t="s">
        <v>5559</v>
      </c>
      <c r="G466" s="33" t="s">
        <v>16276</v>
      </c>
      <c r="H466" s="33" t="s">
        <v>168</v>
      </c>
      <c r="I466" s="33" t="s">
        <v>228</v>
      </c>
    </row>
    <row r="467" customFormat="false" ht="21.6" hidden="false" customHeight="true" outlineLevel="0" collapsed="false">
      <c r="A467" s="33" t="s">
        <v>5617</v>
      </c>
      <c r="B467" s="33" t="s">
        <v>97</v>
      </c>
      <c r="C467" s="33" t="s">
        <v>9</v>
      </c>
      <c r="D467" s="33" t="n">
        <v>60</v>
      </c>
      <c r="E467" s="33" t="s">
        <v>5630</v>
      </c>
      <c r="F467" s="33" t="s">
        <v>5631</v>
      </c>
      <c r="G467" s="33" t="s">
        <v>16276</v>
      </c>
      <c r="H467" s="33" t="s">
        <v>168</v>
      </c>
      <c r="I467" s="33" t="s">
        <v>228</v>
      </c>
    </row>
    <row r="468" customFormat="false" ht="21.6" hidden="false" customHeight="true" outlineLevel="0" collapsed="false">
      <c r="A468" s="33" t="s">
        <v>5633</v>
      </c>
      <c r="B468" s="33" t="s">
        <v>97</v>
      </c>
      <c r="C468" s="33" t="s">
        <v>9</v>
      </c>
      <c r="D468" s="33" t="n">
        <v>60</v>
      </c>
      <c r="E468" s="33" t="s">
        <v>5647</v>
      </c>
      <c r="F468" s="33" t="s">
        <v>5648</v>
      </c>
      <c r="G468" s="33" t="s">
        <v>16276</v>
      </c>
      <c r="H468" s="33" t="s">
        <v>168</v>
      </c>
      <c r="I468" s="33" t="s">
        <v>228</v>
      </c>
    </row>
    <row r="469" customFormat="false" ht="15" hidden="false" customHeight="false" outlineLevel="0" collapsed="false">
      <c r="A469" s="32" t="s">
        <v>5649</v>
      </c>
      <c r="B469" s="32" t="s">
        <v>97</v>
      </c>
      <c r="C469" s="32" t="s">
        <v>9</v>
      </c>
      <c r="D469" s="32" t="n">
        <v>10</v>
      </c>
      <c r="E469" s="33" t="s">
        <v>407</v>
      </c>
      <c r="F469" s="33" t="s">
        <v>5660</v>
      </c>
      <c r="G469" s="33"/>
      <c r="H469" s="33" t="s">
        <v>168</v>
      </c>
      <c r="I469" s="33"/>
    </row>
    <row r="470" customFormat="false" ht="15" hidden="false" customHeight="false" outlineLevel="0" collapsed="false">
      <c r="A470" s="32" t="s">
        <v>5661</v>
      </c>
      <c r="B470" s="32" t="s">
        <v>97</v>
      </c>
      <c r="C470" s="32" t="s">
        <v>9</v>
      </c>
      <c r="D470" s="32" t="n">
        <v>10</v>
      </c>
      <c r="E470" s="33" t="s">
        <v>407</v>
      </c>
      <c r="F470" s="33" t="s">
        <v>5660</v>
      </c>
      <c r="G470" s="33"/>
      <c r="H470" s="33" t="s">
        <v>168</v>
      </c>
      <c r="I470" s="33"/>
    </row>
    <row r="471" customFormat="false" ht="15" hidden="false" customHeight="false" outlineLevel="0" collapsed="false">
      <c r="A471" s="32" t="s">
        <v>5671</v>
      </c>
      <c r="B471" s="32" t="s">
        <v>97</v>
      </c>
      <c r="C471" s="32" t="s">
        <v>9</v>
      </c>
      <c r="D471" s="32" t="n">
        <v>10</v>
      </c>
      <c r="E471" s="33" t="s">
        <v>5683</v>
      </c>
      <c r="F471" s="33" t="s">
        <v>5684</v>
      </c>
      <c r="G471" s="33"/>
      <c r="H471" s="33" t="s">
        <v>168</v>
      </c>
      <c r="I471" s="33"/>
    </row>
    <row r="472" customFormat="false" ht="15" hidden="false" customHeight="false" outlineLevel="0" collapsed="false">
      <c r="A472" s="32" t="s">
        <v>5685</v>
      </c>
      <c r="B472" s="32" t="s">
        <v>97</v>
      </c>
      <c r="C472" s="32" t="s">
        <v>9</v>
      </c>
      <c r="D472" s="32" t="n">
        <v>10</v>
      </c>
      <c r="E472" s="33" t="s">
        <v>5696</v>
      </c>
      <c r="F472" s="33" t="s">
        <v>5697</v>
      </c>
      <c r="G472" s="33"/>
      <c r="H472" s="33" t="s">
        <v>168</v>
      </c>
      <c r="I472" s="33"/>
    </row>
    <row r="473" customFormat="false" ht="26.85" hidden="false" customHeight="false" outlineLevel="0" collapsed="false">
      <c r="A473" s="32" t="s">
        <v>5698</v>
      </c>
      <c r="B473" s="32" t="s">
        <v>97</v>
      </c>
      <c r="C473" s="32" t="s">
        <v>9</v>
      </c>
      <c r="D473" s="32" t="n">
        <v>10</v>
      </c>
      <c r="E473" s="33" t="s">
        <v>5715</v>
      </c>
      <c r="F473" s="33" t="s">
        <v>5716</v>
      </c>
      <c r="G473" s="33"/>
      <c r="H473" s="33" t="s">
        <v>168</v>
      </c>
      <c r="I473" s="33"/>
    </row>
    <row r="474" customFormat="false" ht="15" hidden="false" customHeight="false" outlineLevel="0" collapsed="false">
      <c r="A474" s="32" t="s">
        <v>185</v>
      </c>
      <c r="B474" s="32" t="s">
        <v>97</v>
      </c>
      <c r="C474" s="32" t="s">
        <v>9</v>
      </c>
      <c r="D474" s="32" t="n">
        <v>10</v>
      </c>
      <c r="E474" s="33" t="s">
        <v>5730</v>
      </c>
      <c r="F474" s="33" t="s">
        <v>5731</v>
      </c>
      <c r="G474" s="33"/>
      <c r="H474" s="33" t="s">
        <v>168</v>
      </c>
      <c r="I474" s="33"/>
    </row>
    <row r="475" customFormat="false" ht="15" hidden="false" customHeight="false" outlineLevel="0" collapsed="false">
      <c r="A475" s="32" t="s">
        <v>5732</v>
      </c>
      <c r="B475" s="32" t="s">
        <v>97</v>
      </c>
      <c r="C475" s="32" t="s">
        <v>9</v>
      </c>
      <c r="D475" s="32" t="n">
        <v>10</v>
      </c>
      <c r="E475" s="33" t="s">
        <v>479</v>
      </c>
      <c r="F475" s="33" t="s">
        <v>5747</v>
      </c>
      <c r="G475" s="33"/>
      <c r="H475" s="33" t="s">
        <v>168</v>
      </c>
      <c r="I475" s="33"/>
    </row>
    <row r="476" customFormat="false" ht="15" hidden="false" customHeight="false" outlineLevel="0" collapsed="false">
      <c r="A476" s="32" t="s">
        <v>5748</v>
      </c>
      <c r="B476" s="32" t="s">
        <v>97</v>
      </c>
      <c r="C476" s="32" t="s">
        <v>9</v>
      </c>
      <c r="D476" s="32" t="n">
        <v>10</v>
      </c>
      <c r="E476" s="33" t="s">
        <v>479</v>
      </c>
      <c r="F476" s="33" t="s">
        <v>5747</v>
      </c>
      <c r="G476" s="33"/>
      <c r="H476" s="33" t="s">
        <v>168</v>
      </c>
      <c r="I476" s="33"/>
    </row>
    <row r="477" customFormat="false" ht="15" hidden="false" customHeight="false" outlineLevel="0" collapsed="false">
      <c r="A477" s="32" t="s">
        <v>5759</v>
      </c>
      <c r="B477" s="32" t="s">
        <v>97</v>
      </c>
      <c r="C477" s="32" t="s">
        <v>9</v>
      </c>
      <c r="D477" s="32" t="n">
        <v>10</v>
      </c>
      <c r="E477" s="33" t="s">
        <v>479</v>
      </c>
      <c r="F477" s="33" t="s">
        <v>5769</v>
      </c>
      <c r="G477" s="33"/>
      <c r="H477" s="33" t="s">
        <v>168</v>
      </c>
      <c r="I477" s="33"/>
    </row>
    <row r="478" customFormat="false" ht="15" hidden="false" customHeight="false" outlineLevel="0" collapsed="false">
      <c r="A478" s="32" t="s">
        <v>5770</v>
      </c>
      <c r="B478" s="32" t="s">
        <v>97</v>
      </c>
      <c r="C478" s="32" t="s">
        <v>9</v>
      </c>
      <c r="D478" s="32" t="n">
        <v>10</v>
      </c>
      <c r="E478" s="33" t="s">
        <v>479</v>
      </c>
      <c r="F478" s="33" t="s">
        <v>5781</v>
      </c>
      <c r="G478" s="33"/>
      <c r="H478" s="33" t="s">
        <v>168</v>
      </c>
      <c r="I478" s="33"/>
    </row>
    <row r="479" customFormat="false" ht="15" hidden="false" customHeight="false" outlineLevel="0" collapsed="false">
      <c r="A479" s="32" t="s">
        <v>5782</v>
      </c>
      <c r="B479" s="32" t="s">
        <v>97</v>
      </c>
      <c r="C479" s="32" t="s">
        <v>9</v>
      </c>
      <c r="D479" s="32" t="n">
        <v>10</v>
      </c>
      <c r="E479" s="33" t="s">
        <v>479</v>
      </c>
      <c r="F479" s="33" t="s">
        <v>5792</v>
      </c>
      <c r="G479" s="33"/>
      <c r="H479" s="33" t="s">
        <v>168</v>
      </c>
      <c r="I479" s="33"/>
    </row>
    <row r="480" customFormat="false" ht="15" hidden="false" customHeight="false" outlineLevel="0" collapsed="false">
      <c r="A480" s="32" t="s">
        <v>5793</v>
      </c>
      <c r="B480" s="32" t="s">
        <v>97</v>
      </c>
      <c r="C480" s="32" t="s">
        <v>9</v>
      </c>
      <c r="D480" s="32" t="n">
        <v>10</v>
      </c>
      <c r="E480" s="33" t="s">
        <v>479</v>
      </c>
      <c r="F480" s="33" t="s">
        <v>5802</v>
      </c>
      <c r="G480" s="33"/>
      <c r="H480" s="33" t="s">
        <v>168</v>
      </c>
      <c r="I480" s="33"/>
    </row>
    <row r="481" customFormat="false" ht="15" hidden="false" customHeight="false" outlineLevel="0" collapsed="false">
      <c r="A481" s="32" t="s">
        <v>5803</v>
      </c>
      <c r="B481" s="32" t="s">
        <v>97</v>
      </c>
      <c r="C481" s="32" t="s">
        <v>9</v>
      </c>
      <c r="D481" s="32" t="n">
        <v>10</v>
      </c>
      <c r="E481" s="33" t="s">
        <v>479</v>
      </c>
      <c r="F481" s="33" t="s">
        <v>5815</v>
      </c>
      <c r="G481" s="33"/>
      <c r="H481" s="33" t="s">
        <v>168</v>
      </c>
      <c r="I481" s="33"/>
    </row>
    <row r="482" customFormat="false" ht="15" hidden="false" customHeight="false" outlineLevel="0" collapsed="false">
      <c r="A482" s="32" t="s">
        <v>5816</v>
      </c>
      <c r="B482" s="32" t="s">
        <v>97</v>
      </c>
      <c r="C482" s="32" t="s">
        <v>9</v>
      </c>
      <c r="D482" s="32" t="n">
        <v>10</v>
      </c>
      <c r="E482" s="33" t="s">
        <v>623</v>
      </c>
      <c r="F482" s="33" t="s">
        <v>5829</v>
      </c>
      <c r="G482" s="33"/>
      <c r="H482" s="33" t="s">
        <v>168</v>
      </c>
      <c r="I482" s="33"/>
    </row>
    <row r="483" customFormat="false" ht="15" hidden="false" customHeight="false" outlineLevel="0" collapsed="false">
      <c r="A483" s="32" t="s">
        <v>5830</v>
      </c>
      <c r="B483" s="32" t="s">
        <v>97</v>
      </c>
      <c r="C483" s="32" t="s">
        <v>9</v>
      </c>
      <c r="D483" s="32" t="n">
        <v>10</v>
      </c>
      <c r="E483" s="33" t="s">
        <v>590</v>
      </c>
      <c r="F483" s="33" t="s">
        <v>5840</v>
      </c>
      <c r="G483" s="33"/>
      <c r="H483" s="33" t="s">
        <v>168</v>
      </c>
      <c r="I483" s="33"/>
    </row>
    <row r="484" customFormat="false" ht="21.6" hidden="false" customHeight="true" outlineLevel="0" collapsed="false">
      <c r="A484" s="33" t="s">
        <v>5841</v>
      </c>
      <c r="B484" s="33" t="s">
        <v>97</v>
      </c>
      <c r="C484" s="33" t="s">
        <v>9</v>
      </c>
      <c r="D484" s="33" t="n">
        <v>100</v>
      </c>
      <c r="E484" s="33" t="s">
        <v>5855</v>
      </c>
      <c r="F484" s="33" t="s">
        <v>5856</v>
      </c>
      <c r="G484" s="33" t="s">
        <v>16277</v>
      </c>
      <c r="H484" s="33" t="s">
        <v>168</v>
      </c>
      <c r="I484" s="33" t="s">
        <v>545</v>
      </c>
    </row>
    <row r="485" customFormat="false" ht="15" hidden="false" customHeight="false" outlineLevel="0" collapsed="false">
      <c r="A485" s="32" t="s">
        <v>5858</v>
      </c>
      <c r="B485" s="32" t="s">
        <v>97</v>
      </c>
      <c r="C485" s="32" t="s">
        <v>9</v>
      </c>
      <c r="D485" s="32" t="n">
        <v>10</v>
      </c>
      <c r="E485" s="33" t="s">
        <v>5874</v>
      </c>
      <c r="F485" s="33" t="s">
        <v>5875</v>
      </c>
      <c r="G485" s="33"/>
      <c r="H485" s="33" t="s">
        <v>168</v>
      </c>
      <c r="I485" s="33"/>
    </row>
    <row r="486" customFormat="false" ht="15" hidden="false" customHeight="false" outlineLevel="0" collapsed="false">
      <c r="A486" s="32" t="s">
        <v>5876</v>
      </c>
      <c r="B486" s="32" t="s">
        <v>97</v>
      </c>
      <c r="C486" s="32" t="s">
        <v>9</v>
      </c>
      <c r="D486" s="32" t="n">
        <v>10</v>
      </c>
      <c r="E486" s="33" t="s">
        <v>710</v>
      </c>
      <c r="F486" s="33" t="s">
        <v>5875</v>
      </c>
      <c r="G486" s="33"/>
      <c r="H486" s="33" t="s">
        <v>168</v>
      </c>
      <c r="I486" s="33"/>
    </row>
    <row r="487" customFormat="false" ht="15" hidden="false" customHeight="false" outlineLevel="0" collapsed="false">
      <c r="A487" s="32" t="s">
        <v>5888</v>
      </c>
      <c r="B487" s="32" t="s">
        <v>97</v>
      </c>
      <c r="C487" s="32" t="s">
        <v>9</v>
      </c>
      <c r="D487" s="32" t="n">
        <v>10</v>
      </c>
      <c r="E487" s="33" t="s">
        <v>1326</v>
      </c>
      <c r="F487" s="33" t="s">
        <v>5899</v>
      </c>
      <c r="G487" s="33"/>
      <c r="H487" s="33" t="s">
        <v>168</v>
      </c>
      <c r="I487" s="33"/>
    </row>
    <row r="488" customFormat="false" ht="15" hidden="false" customHeight="false" outlineLevel="0" collapsed="false">
      <c r="A488" s="32" t="s">
        <v>5900</v>
      </c>
      <c r="B488" s="32" t="s">
        <v>97</v>
      </c>
      <c r="C488" s="32" t="s">
        <v>9</v>
      </c>
      <c r="D488" s="32" t="n">
        <v>10</v>
      </c>
      <c r="E488" s="33" t="s">
        <v>739</v>
      </c>
      <c r="F488" s="33" t="s">
        <v>5911</v>
      </c>
      <c r="G488" s="33"/>
      <c r="H488" s="33" t="s">
        <v>168</v>
      </c>
      <c r="I488" s="33"/>
    </row>
    <row r="489" customFormat="false" ht="26.85" hidden="false" customHeight="false" outlineLevel="0" collapsed="false">
      <c r="A489" s="32" t="s">
        <v>502</v>
      </c>
      <c r="B489" s="32" t="s">
        <v>97</v>
      </c>
      <c r="C489" s="32" t="s">
        <v>9</v>
      </c>
      <c r="D489" s="32" t="n">
        <v>10</v>
      </c>
      <c r="E489" s="33" t="s">
        <v>825</v>
      </c>
      <c r="F489" s="33" t="s">
        <v>5928</v>
      </c>
      <c r="G489" s="33"/>
      <c r="H489" s="33" t="s">
        <v>168</v>
      </c>
      <c r="I489" s="33"/>
    </row>
    <row r="490" customFormat="false" ht="15" hidden="false" customHeight="false" outlineLevel="0" collapsed="false">
      <c r="A490" s="32" t="s">
        <v>5929</v>
      </c>
      <c r="B490" s="32" t="s">
        <v>97</v>
      </c>
      <c r="C490" s="32" t="s">
        <v>12</v>
      </c>
      <c r="D490" s="32" t="n">
        <v>10</v>
      </c>
      <c r="E490" s="33" t="s">
        <v>5942</v>
      </c>
      <c r="F490" s="33" t="s">
        <v>5943</v>
      </c>
      <c r="G490" s="33"/>
      <c r="H490" s="33" t="s">
        <v>168</v>
      </c>
      <c r="I490" s="33"/>
    </row>
    <row r="491" customFormat="false" ht="15" hidden="false" customHeight="false" outlineLevel="0" collapsed="false">
      <c r="A491" s="32" t="s">
        <v>5944</v>
      </c>
      <c r="B491" s="32" t="s">
        <v>97</v>
      </c>
      <c r="C491" s="32" t="s">
        <v>9</v>
      </c>
      <c r="D491" s="32" t="n">
        <v>10</v>
      </c>
      <c r="E491" s="33" t="s">
        <v>900</v>
      </c>
      <c r="F491" s="33" t="s">
        <v>5958</v>
      </c>
      <c r="G491" s="33"/>
      <c r="H491" s="33" t="s">
        <v>168</v>
      </c>
      <c r="I491" s="33"/>
    </row>
    <row r="492" customFormat="false" ht="26.85" hidden="false" customHeight="false" outlineLevel="0" collapsed="false">
      <c r="A492" s="32" t="s">
        <v>5959</v>
      </c>
      <c r="B492" s="32" t="s">
        <v>97</v>
      </c>
      <c r="C492" s="32" t="s">
        <v>9</v>
      </c>
      <c r="D492" s="32" t="n">
        <v>10</v>
      </c>
      <c r="E492" s="33" t="s">
        <v>5970</v>
      </c>
      <c r="F492" s="33" t="s">
        <v>5971</v>
      </c>
      <c r="G492" s="33"/>
      <c r="H492" s="33" t="s">
        <v>168</v>
      </c>
      <c r="I492" s="33"/>
    </row>
    <row r="493" customFormat="false" ht="15" hidden="false" customHeight="false" outlineLevel="0" collapsed="false">
      <c r="A493" s="32" t="s">
        <v>5972</v>
      </c>
      <c r="B493" s="32" t="s">
        <v>97</v>
      </c>
      <c r="C493" s="32" t="s">
        <v>9</v>
      </c>
      <c r="D493" s="32" t="n">
        <v>10</v>
      </c>
      <c r="E493" s="33" t="s">
        <v>914</v>
      </c>
      <c r="F493" s="33" t="s">
        <v>915</v>
      </c>
      <c r="G493" s="33"/>
      <c r="H493" s="33" t="s">
        <v>168</v>
      </c>
      <c r="I493" s="33"/>
    </row>
    <row r="494" customFormat="false" ht="26.85" hidden="false" customHeight="false" outlineLevel="0" collapsed="false">
      <c r="A494" s="32" t="s">
        <v>129</v>
      </c>
      <c r="B494" s="32" t="s">
        <v>97</v>
      </c>
      <c r="C494" s="32" t="s">
        <v>9</v>
      </c>
      <c r="D494" s="32" t="n">
        <v>10</v>
      </c>
      <c r="E494" s="33" t="s">
        <v>6000</v>
      </c>
      <c r="F494" s="33" t="s">
        <v>6001</v>
      </c>
      <c r="G494" s="33"/>
      <c r="H494" s="33" t="s">
        <v>168</v>
      </c>
      <c r="I494" s="33"/>
    </row>
    <row r="495" customFormat="false" ht="26.85" hidden="false" customHeight="false" outlineLevel="0" collapsed="false">
      <c r="A495" s="32" t="s">
        <v>6002</v>
      </c>
      <c r="B495" s="32" t="s">
        <v>97</v>
      </c>
      <c r="C495" s="32" t="s">
        <v>12</v>
      </c>
      <c r="D495" s="32" t="n">
        <v>10</v>
      </c>
      <c r="E495" s="33" t="s">
        <v>914</v>
      </c>
      <c r="F495" s="33" t="s">
        <v>6014</v>
      </c>
      <c r="G495" s="33"/>
      <c r="H495" s="33" t="s">
        <v>168</v>
      </c>
      <c r="I495" s="33"/>
    </row>
    <row r="496" customFormat="false" ht="15" hidden="false" customHeight="false" outlineLevel="0" collapsed="false">
      <c r="A496" s="32" t="s">
        <v>6015</v>
      </c>
      <c r="B496" s="32" t="s">
        <v>97</v>
      </c>
      <c r="C496" s="32" t="s">
        <v>9</v>
      </c>
      <c r="D496" s="32" t="n">
        <v>10</v>
      </c>
      <c r="E496" s="33" t="s">
        <v>6028</v>
      </c>
      <c r="F496" s="33" t="s">
        <v>6029</v>
      </c>
      <c r="G496" s="33"/>
      <c r="H496" s="33" t="s">
        <v>168</v>
      </c>
      <c r="I496" s="33"/>
    </row>
    <row r="497" customFormat="false" ht="15" hidden="false" customHeight="false" outlineLevel="0" collapsed="false">
      <c r="A497" s="32" t="s">
        <v>6030</v>
      </c>
      <c r="B497" s="32" t="s">
        <v>97</v>
      </c>
      <c r="C497" s="32" t="s">
        <v>9</v>
      </c>
      <c r="D497" s="32" t="n">
        <v>10</v>
      </c>
      <c r="E497" s="33" t="s">
        <v>6041</v>
      </c>
      <c r="F497" s="33" t="s">
        <v>6042</v>
      </c>
      <c r="G497" s="33"/>
      <c r="H497" s="33" t="s">
        <v>168</v>
      </c>
      <c r="I497" s="33"/>
    </row>
    <row r="498" customFormat="false" ht="15" hidden="false" customHeight="false" outlineLevel="0" collapsed="false">
      <c r="A498" s="32" t="s">
        <v>6043</v>
      </c>
      <c r="B498" s="32" t="s">
        <v>97</v>
      </c>
      <c r="C498" s="32" t="s">
        <v>12</v>
      </c>
      <c r="D498" s="32" t="n">
        <v>10</v>
      </c>
      <c r="E498" s="33" t="s">
        <v>6052</v>
      </c>
      <c r="F498" s="33" t="s">
        <v>6053</v>
      </c>
      <c r="G498" s="33"/>
      <c r="H498" s="33" t="s">
        <v>168</v>
      </c>
      <c r="I498" s="33"/>
    </row>
    <row r="499" customFormat="false" ht="26.85" hidden="false" customHeight="false" outlineLevel="0" collapsed="false">
      <c r="A499" s="32" t="s">
        <v>6054</v>
      </c>
      <c r="B499" s="32" t="s">
        <v>97</v>
      </c>
      <c r="C499" s="32" t="s">
        <v>12</v>
      </c>
      <c r="D499" s="32" t="n">
        <v>10</v>
      </c>
      <c r="E499" s="33" t="s">
        <v>6066</v>
      </c>
      <c r="F499" s="33" t="s">
        <v>6067</v>
      </c>
      <c r="G499" s="33"/>
      <c r="H499" s="33" t="s">
        <v>168</v>
      </c>
      <c r="I499" s="33"/>
    </row>
    <row r="500" customFormat="false" ht="26.85" hidden="false" customHeight="false" outlineLevel="0" collapsed="false">
      <c r="A500" s="32" t="s">
        <v>6068</v>
      </c>
      <c r="B500" s="32" t="s">
        <v>97</v>
      </c>
      <c r="C500" s="32" t="s">
        <v>12</v>
      </c>
      <c r="D500" s="32" t="n">
        <v>10</v>
      </c>
      <c r="E500" s="33" t="s">
        <v>6081</v>
      </c>
      <c r="F500" s="33" t="s">
        <v>6082</v>
      </c>
      <c r="G500" s="33"/>
      <c r="H500" s="33" t="s">
        <v>168</v>
      </c>
      <c r="I500" s="33"/>
    </row>
    <row r="501" customFormat="false" ht="15" hidden="false" customHeight="false" outlineLevel="0" collapsed="false">
      <c r="A501" s="32" t="s">
        <v>6083</v>
      </c>
      <c r="B501" s="32" t="s">
        <v>97</v>
      </c>
      <c r="C501" s="32" t="s">
        <v>12</v>
      </c>
      <c r="D501" s="32" t="n">
        <v>10</v>
      </c>
      <c r="E501" s="33" t="s">
        <v>6094</v>
      </c>
      <c r="F501" s="33" t="s">
        <v>6095</v>
      </c>
      <c r="G501" s="33"/>
      <c r="H501" s="33" t="s">
        <v>168</v>
      </c>
      <c r="I501" s="33"/>
    </row>
    <row r="502" customFormat="false" ht="15" hidden="false" customHeight="false" outlineLevel="0" collapsed="false">
      <c r="A502" s="32" t="s">
        <v>6096</v>
      </c>
      <c r="B502" s="32" t="s">
        <v>97</v>
      </c>
      <c r="C502" s="32" t="s">
        <v>9</v>
      </c>
      <c r="D502" s="32" t="n">
        <v>10</v>
      </c>
      <c r="E502" s="33" t="s">
        <v>6109</v>
      </c>
      <c r="F502" s="33" t="s">
        <v>6110</v>
      </c>
      <c r="G502" s="33"/>
      <c r="H502" s="33" t="s">
        <v>168</v>
      </c>
      <c r="I502" s="33"/>
    </row>
    <row r="503" customFormat="false" ht="21.6" hidden="false" customHeight="true" outlineLevel="0" collapsed="false">
      <c r="A503" s="33" t="s">
        <v>6111</v>
      </c>
      <c r="B503" s="33" t="s">
        <v>97</v>
      </c>
      <c r="C503" s="33" t="s">
        <v>9</v>
      </c>
      <c r="D503" s="33" t="n">
        <v>60</v>
      </c>
      <c r="E503" s="33" t="s">
        <v>6120</v>
      </c>
      <c r="F503" s="33" t="s">
        <v>6121</v>
      </c>
      <c r="G503" s="33" t="s">
        <v>16276</v>
      </c>
      <c r="H503" s="33" t="s">
        <v>168</v>
      </c>
      <c r="I503" s="33" t="s">
        <v>228</v>
      </c>
    </row>
    <row r="504" customFormat="false" ht="15" hidden="false" customHeight="false" outlineLevel="0" collapsed="false">
      <c r="A504" s="32" t="s">
        <v>6123</v>
      </c>
      <c r="B504" s="32" t="s">
        <v>97</v>
      </c>
      <c r="C504" s="32" t="s">
        <v>12</v>
      </c>
      <c r="D504" s="32" t="n">
        <v>10</v>
      </c>
      <c r="E504" s="33" t="s">
        <v>6134</v>
      </c>
      <c r="F504" s="33" t="s">
        <v>6135</v>
      </c>
      <c r="G504" s="33"/>
      <c r="H504" s="33" t="s">
        <v>168</v>
      </c>
      <c r="I504" s="33"/>
    </row>
    <row r="505" customFormat="false" ht="15" hidden="false" customHeight="false" outlineLevel="0" collapsed="false">
      <c r="A505" s="32" t="s">
        <v>6136</v>
      </c>
      <c r="B505" s="32" t="s">
        <v>97</v>
      </c>
      <c r="C505" s="32" t="s">
        <v>9</v>
      </c>
      <c r="D505" s="32" t="n">
        <v>10</v>
      </c>
      <c r="E505" s="33" t="s">
        <v>6147</v>
      </c>
      <c r="F505" s="33" t="s">
        <v>6148</v>
      </c>
      <c r="G505" s="33"/>
      <c r="H505" s="33" t="s">
        <v>168</v>
      </c>
      <c r="I505" s="33"/>
    </row>
    <row r="506" customFormat="false" ht="15" hidden="false" customHeight="false" outlineLevel="0" collapsed="false">
      <c r="A506" s="32" t="s">
        <v>6149</v>
      </c>
      <c r="B506" s="32" t="s">
        <v>97</v>
      </c>
      <c r="C506" s="32" t="s">
        <v>9</v>
      </c>
      <c r="D506" s="32" t="n">
        <v>10</v>
      </c>
      <c r="E506" s="33" t="s">
        <v>6161</v>
      </c>
      <c r="F506" s="33" t="s">
        <v>6162</v>
      </c>
      <c r="G506" s="33"/>
      <c r="H506" s="33" t="s">
        <v>168</v>
      </c>
      <c r="I506" s="33"/>
    </row>
    <row r="507" customFormat="false" ht="15" hidden="false" customHeight="false" outlineLevel="0" collapsed="false">
      <c r="A507" s="32" t="s">
        <v>6163</v>
      </c>
      <c r="B507" s="32" t="s">
        <v>97</v>
      </c>
      <c r="C507" s="32" t="s">
        <v>9</v>
      </c>
      <c r="D507" s="32" t="n">
        <v>10</v>
      </c>
      <c r="E507" s="33" t="s">
        <v>6174</v>
      </c>
      <c r="F507" s="33" t="s">
        <v>6175</v>
      </c>
      <c r="G507" s="33"/>
      <c r="H507" s="33" t="s">
        <v>168</v>
      </c>
      <c r="I507" s="33"/>
    </row>
    <row r="508" customFormat="false" ht="15" hidden="false" customHeight="false" outlineLevel="0" collapsed="false">
      <c r="A508" s="32" t="s">
        <v>6176</v>
      </c>
      <c r="B508" s="32" t="s">
        <v>97</v>
      </c>
      <c r="C508" s="32" t="s">
        <v>9</v>
      </c>
      <c r="D508" s="32" t="n">
        <v>10</v>
      </c>
      <c r="E508" s="33" t="s">
        <v>6185</v>
      </c>
      <c r="F508" s="33" t="s">
        <v>6186</v>
      </c>
      <c r="G508" s="33"/>
      <c r="H508" s="33" t="s">
        <v>168</v>
      </c>
      <c r="I508" s="33"/>
    </row>
    <row r="509" customFormat="false" ht="15" hidden="false" customHeight="false" outlineLevel="0" collapsed="false">
      <c r="A509" s="32" t="s">
        <v>6187</v>
      </c>
      <c r="B509" s="32" t="s">
        <v>97</v>
      </c>
      <c r="C509" s="32" t="s">
        <v>9</v>
      </c>
      <c r="D509" s="32" t="n">
        <v>10</v>
      </c>
      <c r="E509" s="33" t="s">
        <v>6198</v>
      </c>
      <c r="F509" s="33" t="s">
        <v>6199</v>
      </c>
      <c r="G509" s="33"/>
      <c r="H509" s="33" t="s">
        <v>168</v>
      </c>
      <c r="I509" s="33"/>
    </row>
    <row r="510" customFormat="false" ht="15" hidden="false" customHeight="false" outlineLevel="0" collapsed="false">
      <c r="A510" s="32" t="s">
        <v>6200</v>
      </c>
      <c r="B510" s="32" t="s">
        <v>97</v>
      </c>
      <c r="C510" s="32" t="s">
        <v>9</v>
      </c>
      <c r="D510" s="32" t="n">
        <v>10</v>
      </c>
      <c r="E510" s="33" t="s">
        <v>6212</v>
      </c>
      <c r="F510" s="33" t="s">
        <v>6213</v>
      </c>
      <c r="G510" s="33"/>
      <c r="H510" s="33" t="s">
        <v>168</v>
      </c>
      <c r="I510" s="33"/>
    </row>
    <row r="511" customFormat="false" ht="15" hidden="false" customHeight="false" outlineLevel="0" collapsed="false">
      <c r="A511" s="32" t="s">
        <v>6214</v>
      </c>
      <c r="B511" s="32" t="s">
        <v>97</v>
      </c>
      <c r="C511" s="32" t="s">
        <v>9</v>
      </c>
      <c r="D511" s="32" t="n">
        <v>10</v>
      </c>
      <c r="E511" s="33" t="s">
        <v>6224</v>
      </c>
      <c r="F511" s="33" t="s">
        <v>5631</v>
      </c>
      <c r="G511" s="33"/>
      <c r="H511" s="33" t="s">
        <v>168</v>
      </c>
      <c r="I511" s="33"/>
    </row>
    <row r="512" customFormat="false" ht="15" hidden="false" customHeight="false" outlineLevel="0" collapsed="false">
      <c r="A512" s="32" t="s">
        <v>711</v>
      </c>
      <c r="B512" s="32" t="s">
        <v>97</v>
      </c>
      <c r="C512" s="32" t="s">
        <v>9</v>
      </c>
      <c r="D512" s="32" t="n">
        <v>10</v>
      </c>
      <c r="E512" s="33" t="s">
        <v>6224</v>
      </c>
      <c r="F512" s="33" t="s">
        <v>5631</v>
      </c>
      <c r="G512" s="33"/>
      <c r="H512" s="33" t="s">
        <v>168</v>
      </c>
      <c r="I512" s="33"/>
    </row>
    <row r="513" customFormat="false" ht="26.85" hidden="false" customHeight="false" outlineLevel="0" collapsed="false">
      <c r="A513" s="32" t="s">
        <v>408</v>
      </c>
      <c r="B513" s="32" t="s">
        <v>97</v>
      </c>
      <c r="C513" s="32" t="s">
        <v>9</v>
      </c>
      <c r="D513" s="32" t="n">
        <v>10</v>
      </c>
      <c r="E513" s="33" t="s">
        <v>6241</v>
      </c>
      <c r="F513" s="33" t="s">
        <v>6242</v>
      </c>
      <c r="G513" s="33"/>
      <c r="H513" s="33" t="s">
        <v>168</v>
      </c>
      <c r="I513" s="33"/>
    </row>
    <row r="514" customFormat="false" ht="21.6" hidden="false" customHeight="true" outlineLevel="0" collapsed="false">
      <c r="A514" s="33" t="s">
        <v>6244</v>
      </c>
      <c r="B514" s="33" t="s">
        <v>97</v>
      </c>
      <c r="C514" s="33" t="s">
        <v>9</v>
      </c>
      <c r="D514" s="33" t="n">
        <v>80</v>
      </c>
      <c r="E514" s="33" t="s">
        <v>6259</v>
      </c>
      <c r="F514" s="33" t="s">
        <v>6260</v>
      </c>
      <c r="G514" s="33" t="s">
        <v>16280</v>
      </c>
      <c r="H514" s="33" t="s">
        <v>168</v>
      </c>
      <c r="I514" s="33" t="s">
        <v>941</v>
      </c>
    </row>
    <row r="515" customFormat="false" ht="39.55" hidden="false" customHeight="false" outlineLevel="0" collapsed="false">
      <c r="A515" s="32" t="s">
        <v>6262</v>
      </c>
      <c r="B515" s="32" t="s">
        <v>97</v>
      </c>
      <c r="C515" s="32" t="s">
        <v>9</v>
      </c>
      <c r="D515" s="32" t="n">
        <v>80</v>
      </c>
      <c r="E515" s="33" t="s">
        <v>6277</v>
      </c>
      <c r="F515" s="33" t="s">
        <v>6278</v>
      </c>
      <c r="G515" s="33" t="s">
        <v>941</v>
      </c>
      <c r="H515" s="33" t="s">
        <v>168</v>
      </c>
      <c r="I515" s="33" t="s">
        <v>941</v>
      </c>
    </row>
    <row r="516" customFormat="false" ht="15" hidden="false" customHeight="false" outlineLevel="0" collapsed="false">
      <c r="A516" s="32" t="s">
        <v>2451</v>
      </c>
      <c r="B516" s="32" t="s">
        <v>97</v>
      </c>
      <c r="C516" s="32" t="s">
        <v>9</v>
      </c>
      <c r="D516" s="32" t="n">
        <v>10</v>
      </c>
      <c r="E516" s="33" t="s">
        <v>1169</v>
      </c>
      <c r="F516" s="33" t="s">
        <v>6291</v>
      </c>
      <c r="G516" s="33"/>
      <c r="H516" s="33" t="s">
        <v>168</v>
      </c>
      <c r="I516" s="33"/>
    </row>
    <row r="517" customFormat="false" ht="32.4" hidden="false" customHeight="true" outlineLevel="0" collapsed="false">
      <c r="A517" s="33" t="s">
        <v>6292</v>
      </c>
      <c r="B517" s="33" t="s">
        <v>97</v>
      </c>
      <c r="C517" s="33" t="s">
        <v>9</v>
      </c>
      <c r="D517" s="33" t="n">
        <v>70</v>
      </c>
      <c r="E517" s="33" t="s">
        <v>6303</v>
      </c>
      <c r="F517" s="33" t="s">
        <v>6304</v>
      </c>
      <c r="G517" s="33" t="s">
        <v>16283</v>
      </c>
      <c r="H517" s="33" t="s">
        <v>168</v>
      </c>
      <c r="I517" s="33" t="s">
        <v>1050</v>
      </c>
    </row>
    <row r="518" customFormat="false" ht="26.85" hidden="false" customHeight="false" outlineLevel="0" collapsed="false">
      <c r="A518" s="32" t="s">
        <v>6306</v>
      </c>
      <c r="B518" s="32" t="s">
        <v>97</v>
      </c>
      <c r="C518" s="32" t="s">
        <v>9</v>
      </c>
      <c r="D518" s="32" t="n">
        <v>10</v>
      </c>
      <c r="E518" s="33" t="s">
        <v>6317</v>
      </c>
      <c r="F518" s="33" t="s">
        <v>6318</v>
      </c>
      <c r="G518" s="33"/>
      <c r="H518" s="33" t="s">
        <v>168</v>
      </c>
      <c r="I518" s="33"/>
    </row>
    <row r="519" customFormat="false" ht="26.85" hidden="false" customHeight="false" outlineLevel="0" collapsed="false">
      <c r="A519" s="32" t="s">
        <v>6319</v>
      </c>
      <c r="B519" s="32" t="s">
        <v>97</v>
      </c>
      <c r="C519" s="32" t="s">
        <v>9</v>
      </c>
      <c r="D519" s="32" t="n">
        <v>10</v>
      </c>
      <c r="E519" s="33" t="s">
        <v>6329</v>
      </c>
      <c r="F519" s="33" t="s">
        <v>6318</v>
      </c>
      <c r="G519" s="33"/>
      <c r="H519" s="33" t="s">
        <v>168</v>
      </c>
      <c r="I519" s="33"/>
    </row>
    <row r="520" customFormat="false" ht="15" hidden="false" customHeight="false" outlineLevel="0" collapsed="false">
      <c r="A520" s="32" t="s">
        <v>6330</v>
      </c>
      <c r="B520" s="32" t="s">
        <v>97</v>
      </c>
      <c r="C520" s="32" t="s">
        <v>9</v>
      </c>
      <c r="D520" s="32" t="n">
        <v>10</v>
      </c>
      <c r="E520" s="33" t="s">
        <v>6338</v>
      </c>
      <c r="F520" s="33" t="s">
        <v>6339</v>
      </c>
      <c r="G520" s="33"/>
      <c r="H520" s="33" t="s">
        <v>168</v>
      </c>
      <c r="I520" s="33"/>
    </row>
    <row r="521" customFormat="false" ht="32.4" hidden="false" customHeight="true" outlineLevel="0" collapsed="false">
      <c r="A521" s="33" t="s">
        <v>6340</v>
      </c>
      <c r="B521" s="33" t="s">
        <v>97</v>
      </c>
      <c r="C521" s="33" t="s">
        <v>9</v>
      </c>
      <c r="D521" s="33" t="n">
        <v>100</v>
      </c>
      <c r="E521" s="33" t="s">
        <v>6352</v>
      </c>
      <c r="F521" s="33" t="s">
        <v>6353</v>
      </c>
      <c r="G521" s="33" t="s">
        <v>16315</v>
      </c>
      <c r="H521" s="33" t="s">
        <v>168</v>
      </c>
      <c r="I521" s="33" t="s">
        <v>545</v>
      </c>
    </row>
    <row r="522" customFormat="false" ht="15" hidden="false" customHeight="false" outlineLevel="0" collapsed="false">
      <c r="A522" s="32" t="s">
        <v>6355</v>
      </c>
      <c r="B522" s="32" t="s">
        <v>97</v>
      </c>
      <c r="C522" s="32" t="s">
        <v>9</v>
      </c>
      <c r="D522" s="32" t="n">
        <v>10</v>
      </c>
      <c r="E522" s="33" t="s">
        <v>6366</v>
      </c>
      <c r="F522" s="33" t="s">
        <v>6367</v>
      </c>
      <c r="G522" s="33"/>
      <c r="H522" s="33" t="s">
        <v>168</v>
      </c>
      <c r="I522" s="33"/>
    </row>
    <row r="523" customFormat="false" ht="21.6" hidden="false" customHeight="true" outlineLevel="0" collapsed="false">
      <c r="A523" s="33" t="s">
        <v>4430</v>
      </c>
      <c r="B523" s="33" t="s">
        <v>97</v>
      </c>
      <c r="C523" s="33" t="s">
        <v>9</v>
      </c>
      <c r="D523" s="33" t="n">
        <v>100</v>
      </c>
      <c r="E523" s="33" t="s">
        <v>6379</v>
      </c>
      <c r="F523" s="33" t="s">
        <v>6380</v>
      </c>
      <c r="G523" s="33" t="s">
        <v>16316</v>
      </c>
      <c r="H523" s="33" t="s">
        <v>168</v>
      </c>
      <c r="I523" s="33" t="s">
        <v>545</v>
      </c>
    </row>
    <row r="524" customFormat="false" ht="15" hidden="false" customHeight="false" outlineLevel="0" collapsed="false">
      <c r="A524" s="32" t="s">
        <v>6382</v>
      </c>
      <c r="B524" s="32" t="s">
        <v>97</v>
      </c>
      <c r="C524" s="32" t="s">
        <v>9</v>
      </c>
      <c r="D524" s="32" t="n">
        <v>10</v>
      </c>
      <c r="E524" s="33" t="s">
        <v>6393</v>
      </c>
      <c r="F524" s="33" t="s">
        <v>6394</v>
      </c>
      <c r="G524" s="33"/>
      <c r="H524" s="33" t="s">
        <v>168</v>
      </c>
      <c r="I524" s="33"/>
    </row>
    <row r="525" customFormat="false" ht="15" hidden="false" customHeight="false" outlineLevel="0" collapsed="false">
      <c r="A525" s="32" t="s">
        <v>6396</v>
      </c>
      <c r="B525" s="32" t="s">
        <v>97</v>
      </c>
      <c r="C525" s="32" t="s">
        <v>9</v>
      </c>
      <c r="D525" s="32" t="n">
        <v>10</v>
      </c>
      <c r="E525" s="33" t="s">
        <v>6407</v>
      </c>
      <c r="F525" s="33" t="s">
        <v>6408</v>
      </c>
      <c r="G525" s="33"/>
      <c r="H525" s="33" t="s">
        <v>168</v>
      </c>
      <c r="I525" s="33"/>
    </row>
    <row r="526" customFormat="false" ht="15" hidden="false" customHeight="false" outlineLevel="0" collapsed="false">
      <c r="A526" s="32" t="s">
        <v>6409</v>
      </c>
      <c r="B526" s="32" t="s">
        <v>97</v>
      </c>
      <c r="C526" s="32" t="s">
        <v>9</v>
      </c>
      <c r="D526" s="32" t="n">
        <v>10</v>
      </c>
      <c r="E526" s="33" t="s">
        <v>1356</v>
      </c>
      <c r="F526" s="33" t="s">
        <v>6424</v>
      </c>
      <c r="G526" s="33"/>
      <c r="H526" s="33" t="s">
        <v>168</v>
      </c>
      <c r="I526" s="33"/>
    </row>
    <row r="527" customFormat="false" ht="15" hidden="false" customHeight="false" outlineLevel="0" collapsed="false">
      <c r="A527" s="32" t="s">
        <v>6425</v>
      </c>
      <c r="B527" s="32" t="s">
        <v>97</v>
      </c>
      <c r="C527" s="32" t="s">
        <v>9</v>
      </c>
      <c r="D527" s="32" t="n">
        <v>10</v>
      </c>
      <c r="E527" s="33" t="s">
        <v>1356</v>
      </c>
      <c r="F527" s="33" t="s">
        <v>6424</v>
      </c>
      <c r="G527" s="33"/>
      <c r="H527" s="33" t="s">
        <v>168</v>
      </c>
      <c r="I527" s="33"/>
    </row>
    <row r="528" customFormat="false" ht="15" hidden="false" customHeight="false" outlineLevel="0" collapsed="false">
      <c r="A528" s="32" t="s">
        <v>2192</v>
      </c>
      <c r="B528" s="32" t="s">
        <v>97</v>
      </c>
      <c r="C528" s="32" t="s">
        <v>9</v>
      </c>
      <c r="D528" s="32" t="n">
        <v>10</v>
      </c>
      <c r="E528" s="33" t="s">
        <v>1356</v>
      </c>
      <c r="F528" s="33" t="s">
        <v>6451</v>
      </c>
      <c r="G528" s="33"/>
      <c r="H528" s="33" t="s">
        <v>168</v>
      </c>
      <c r="I528" s="33"/>
    </row>
    <row r="529" customFormat="false" ht="32.4" hidden="false" customHeight="true" outlineLevel="0" collapsed="false">
      <c r="A529" s="33" t="s">
        <v>1930</v>
      </c>
      <c r="B529" s="33" t="s">
        <v>97</v>
      </c>
      <c r="C529" s="33" t="s">
        <v>9</v>
      </c>
      <c r="D529" s="33" t="n">
        <v>70</v>
      </c>
      <c r="E529" s="33" t="s">
        <v>6462</v>
      </c>
      <c r="F529" s="33" t="s">
        <v>6463</v>
      </c>
      <c r="G529" s="33" t="s">
        <v>16283</v>
      </c>
      <c r="H529" s="33" t="s">
        <v>168</v>
      </c>
      <c r="I529" s="33" t="s">
        <v>1050</v>
      </c>
    </row>
    <row r="530" customFormat="false" ht="15" hidden="false" customHeight="false" outlineLevel="0" collapsed="false">
      <c r="A530" s="32" t="s">
        <v>5157</v>
      </c>
      <c r="B530" s="32" t="s">
        <v>97</v>
      </c>
      <c r="C530" s="32" t="s">
        <v>9</v>
      </c>
      <c r="D530" s="32" t="n">
        <v>10</v>
      </c>
      <c r="E530" s="33" t="s">
        <v>1356</v>
      </c>
      <c r="F530" s="33" t="s">
        <v>6477</v>
      </c>
      <c r="G530" s="33"/>
      <c r="H530" s="33" t="s">
        <v>168</v>
      </c>
      <c r="I530" s="33"/>
    </row>
    <row r="531" customFormat="false" ht="15" hidden="false" customHeight="false" outlineLevel="0" collapsed="false">
      <c r="A531" s="32" t="s">
        <v>6478</v>
      </c>
      <c r="B531" s="32" t="s">
        <v>97</v>
      </c>
      <c r="C531" s="32" t="s">
        <v>9</v>
      </c>
      <c r="D531" s="32" t="n">
        <v>10</v>
      </c>
      <c r="E531" s="33" t="s">
        <v>1461</v>
      </c>
      <c r="F531" s="33" t="s">
        <v>6490</v>
      </c>
      <c r="G531" s="33"/>
      <c r="H531" s="33" t="s">
        <v>168</v>
      </c>
      <c r="I531" s="33"/>
    </row>
    <row r="532" customFormat="false" ht="15" hidden="false" customHeight="false" outlineLevel="0" collapsed="false">
      <c r="A532" s="32" t="s">
        <v>6491</v>
      </c>
      <c r="B532" s="32" t="s">
        <v>97</v>
      </c>
      <c r="C532" s="32" t="s">
        <v>9</v>
      </c>
      <c r="D532" s="32" t="n">
        <v>10</v>
      </c>
      <c r="E532" s="33" t="s">
        <v>1461</v>
      </c>
      <c r="F532" s="33" t="s">
        <v>6500</v>
      </c>
      <c r="G532" s="33"/>
      <c r="H532" s="33" t="s">
        <v>168</v>
      </c>
      <c r="I532" s="33"/>
    </row>
    <row r="533" customFormat="false" ht="39.55" hidden="false" customHeight="false" outlineLevel="0" collapsed="false">
      <c r="A533" s="32" t="s">
        <v>6501</v>
      </c>
      <c r="B533" s="32" t="s">
        <v>97</v>
      </c>
      <c r="C533" s="32" t="s">
        <v>9</v>
      </c>
      <c r="D533" s="32" t="n">
        <v>10</v>
      </c>
      <c r="E533" s="33" t="s">
        <v>6517</v>
      </c>
      <c r="F533" s="33" t="s">
        <v>6518</v>
      </c>
      <c r="G533" s="33"/>
      <c r="H533" s="33" t="s">
        <v>168</v>
      </c>
      <c r="I533" s="33"/>
    </row>
    <row r="534" customFormat="false" ht="26.85" hidden="false" customHeight="false" outlineLevel="0" collapsed="false">
      <c r="A534" s="32" t="s">
        <v>6519</v>
      </c>
      <c r="B534" s="32" t="s">
        <v>97</v>
      </c>
      <c r="C534" s="32" t="s">
        <v>9</v>
      </c>
      <c r="D534" s="32" t="n">
        <v>10</v>
      </c>
      <c r="E534" s="33" t="s">
        <v>6532</v>
      </c>
      <c r="F534" s="33" t="s">
        <v>6533</v>
      </c>
      <c r="G534" s="33"/>
      <c r="H534" s="33" t="s">
        <v>168</v>
      </c>
      <c r="I534" s="33"/>
    </row>
    <row r="535" customFormat="false" ht="15" hidden="false" customHeight="false" outlineLevel="0" collapsed="false">
      <c r="A535" s="32" t="s">
        <v>6534</v>
      </c>
      <c r="B535" s="32" t="s">
        <v>97</v>
      </c>
      <c r="C535" s="32" t="s">
        <v>9</v>
      </c>
      <c r="D535" s="32" t="n">
        <v>10</v>
      </c>
      <c r="E535" s="33" t="s">
        <v>6547</v>
      </c>
      <c r="F535" s="33" t="s">
        <v>6548</v>
      </c>
      <c r="G535" s="33"/>
      <c r="H535" s="33" t="s">
        <v>168</v>
      </c>
      <c r="I535" s="33"/>
    </row>
    <row r="536" customFormat="false" ht="26.85" hidden="false" customHeight="false" outlineLevel="0" collapsed="false">
      <c r="A536" s="32" t="s">
        <v>6549</v>
      </c>
      <c r="B536" s="32" t="s">
        <v>97</v>
      </c>
      <c r="C536" s="32" t="s">
        <v>9</v>
      </c>
      <c r="D536" s="32" t="n">
        <v>60</v>
      </c>
      <c r="E536" s="33" t="s">
        <v>6562</v>
      </c>
      <c r="F536" s="33" t="s">
        <v>6563</v>
      </c>
      <c r="G536" s="33"/>
      <c r="H536" s="33" t="s">
        <v>168</v>
      </c>
      <c r="I536" s="33" t="s">
        <v>168</v>
      </c>
    </row>
    <row r="537" customFormat="false" ht="26.85" hidden="false" customHeight="false" outlineLevel="0" collapsed="false">
      <c r="A537" s="32" t="s">
        <v>6565</v>
      </c>
      <c r="B537" s="32" t="s">
        <v>97</v>
      </c>
      <c r="C537" s="32" t="s">
        <v>9</v>
      </c>
      <c r="D537" s="32" t="n">
        <v>10</v>
      </c>
      <c r="E537" s="33" t="s">
        <v>6577</v>
      </c>
      <c r="F537" s="33" t="s">
        <v>6578</v>
      </c>
      <c r="G537" s="33"/>
      <c r="H537" s="33" t="s">
        <v>168</v>
      </c>
      <c r="I537" s="33"/>
    </row>
    <row r="538" customFormat="false" ht="39.55" hidden="false" customHeight="false" outlineLevel="0" collapsed="false">
      <c r="A538" s="32" t="s">
        <v>6579</v>
      </c>
      <c r="B538" s="32" t="s">
        <v>97</v>
      </c>
      <c r="C538" s="32" t="s">
        <v>9</v>
      </c>
      <c r="D538" s="32" t="n">
        <v>10</v>
      </c>
      <c r="E538" s="33" t="s">
        <v>6590</v>
      </c>
      <c r="F538" s="33" t="s">
        <v>6591</v>
      </c>
      <c r="G538" s="33"/>
      <c r="H538" s="33" t="s">
        <v>168</v>
      </c>
      <c r="I538" s="33"/>
    </row>
    <row r="539" customFormat="false" ht="15" hidden="false" customHeight="false" outlineLevel="0" collapsed="false">
      <c r="A539" s="32" t="s">
        <v>6592</v>
      </c>
      <c r="B539" s="32" t="s">
        <v>97</v>
      </c>
      <c r="C539" s="32" t="s">
        <v>9</v>
      </c>
      <c r="D539" s="32" t="n">
        <v>10</v>
      </c>
      <c r="E539" s="33" t="s">
        <v>6606</v>
      </c>
      <c r="F539" s="33" t="s">
        <v>6607</v>
      </c>
      <c r="G539" s="33"/>
      <c r="H539" s="33" t="s">
        <v>168</v>
      </c>
      <c r="I539" s="33"/>
    </row>
    <row r="540" customFormat="false" ht="39.55" hidden="false" customHeight="false" outlineLevel="0" collapsed="false">
      <c r="A540" s="32" t="s">
        <v>1641</v>
      </c>
      <c r="B540" s="32" t="s">
        <v>97</v>
      </c>
      <c r="C540" s="32" t="s">
        <v>9</v>
      </c>
      <c r="D540" s="32" t="n">
        <v>100</v>
      </c>
      <c r="E540" s="33" t="s">
        <v>6619</v>
      </c>
      <c r="F540" s="33" t="s">
        <v>6620</v>
      </c>
      <c r="G540" s="33" t="s">
        <v>16275</v>
      </c>
      <c r="H540" s="33" t="s">
        <v>168</v>
      </c>
      <c r="I540" s="33" t="s">
        <v>545</v>
      </c>
    </row>
    <row r="541" customFormat="false" ht="15" hidden="false" customHeight="false" outlineLevel="0" collapsed="false">
      <c r="A541" s="32" t="s">
        <v>6622</v>
      </c>
      <c r="B541" s="32" t="s">
        <v>97</v>
      </c>
      <c r="C541" s="32" t="s">
        <v>9</v>
      </c>
      <c r="D541" s="32" t="n">
        <v>10</v>
      </c>
      <c r="E541" s="33" t="s">
        <v>6633</v>
      </c>
      <c r="F541" s="33" t="s">
        <v>6634</v>
      </c>
      <c r="G541" s="33"/>
      <c r="H541" s="33" t="s">
        <v>168</v>
      </c>
      <c r="I541" s="33"/>
    </row>
    <row r="542" customFormat="false" ht="26.85" hidden="false" customHeight="false" outlineLevel="0" collapsed="false">
      <c r="A542" s="32" t="s">
        <v>6635</v>
      </c>
      <c r="B542" s="32" t="s">
        <v>97</v>
      </c>
      <c r="C542" s="32" t="s">
        <v>9</v>
      </c>
      <c r="D542" s="32" t="n">
        <v>10</v>
      </c>
      <c r="E542" s="33" t="s">
        <v>6650</v>
      </c>
      <c r="F542" s="33" t="s">
        <v>5017</v>
      </c>
      <c r="G542" s="33"/>
      <c r="H542" s="33" t="s">
        <v>115</v>
      </c>
      <c r="I542" s="33"/>
    </row>
    <row r="543" customFormat="false" ht="26.85" hidden="false" customHeight="false" outlineLevel="0" collapsed="false">
      <c r="A543" s="32" t="s">
        <v>6652</v>
      </c>
      <c r="B543" s="32" t="s">
        <v>97</v>
      </c>
      <c r="C543" s="32" t="s">
        <v>9</v>
      </c>
      <c r="D543" s="32" t="n">
        <v>10</v>
      </c>
      <c r="E543" s="33" t="s">
        <v>6666</v>
      </c>
      <c r="F543" s="33" t="s">
        <v>6667</v>
      </c>
      <c r="G543" s="33"/>
      <c r="H543" s="33" t="s">
        <v>168</v>
      </c>
      <c r="I543" s="33"/>
    </row>
    <row r="544" customFormat="false" ht="15" hidden="false" customHeight="false" outlineLevel="0" collapsed="false">
      <c r="A544" s="32" t="s">
        <v>6668</v>
      </c>
      <c r="B544" s="32" t="s">
        <v>97</v>
      </c>
      <c r="C544" s="32" t="s">
        <v>9</v>
      </c>
      <c r="D544" s="32" t="n">
        <v>10</v>
      </c>
      <c r="E544" s="33" t="s">
        <v>6683</v>
      </c>
      <c r="F544" s="33" t="s">
        <v>6684</v>
      </c>
      <c r="G544" s="33"/>
      <c r="H544" s="33" t="s">
        <v>168</v>
      </c>
      <c r="I544" s="33"/>
    </row>
    <row r="545" customFormat="false" ht="26.85" hidden="false" customHeight="false" outlineLevel="0" collapsed="false">
      <c r="A545" s="32" t="s">
        <v>6685</v>
      </c>
      <c r="B545" s="32" t="s">
        <v>97</v>
      </c>
      <c r="C545" s="32" t="s">
        <v>9</v>
      </c>
      <c r="D545" s="32" t="n">
        <v>10</v>
      </c>
      <c r="E545" s="33" t="s">
        <v>6696</v>
      </c>
      <c r="F545" s="33" t="s">
        <v>6697</v>
      </c>
      <c r="G545" s="33"/>
      <c r="H545" s="33" t="s">
        <v>168</v>
      </c>
      <c r="I545" s="33"/>
    </row>
    <row r="546" customFormat="false" ht="39.55" hidden="false" customHeight="false" outlineLevel="0" collapsed="false">
      <c r="A546" s="32" t="s">
        <v>6698</v>
      </c>
      <c r="B546" s="32" t="s">
        <v>97</v>
      </c>
      <c r="C546" s="32" t="s">
        <v>9</v>
      </c>
      <c r="D546" s="32" t="n">
        <v>10</v>
      </c>
      <c r="E546" s="33" t="s">
        <v>6710</v>
      </c>
      <c r="F546" s="33" t="s">
        <v>6711</v>
      </c>
      <c r="G546" s="33"/>
      <c r="H546" s="33" t="s">
        <v>168</v>
      </c>
      <c r="I546" s="33"/>
    </row>
    <row r="547" customFormat="false" ht="15" hidden="false" customHeight="false" outlineLevel="0" collapsed="false">
      <c r="A547" s="32" t="s">
        <v>6712</v>
      </c>
      <c r="B547" s="32" t="s">
        <v>97</v>
      </c>
      <c r="C547" s="32" t="s">
        <v>9</v>
      </c>
      <c r="D547" s="32" t="n">
        <v>10</v>
      </c>
      <c r="E547" s="33" t="s">
        <v>6723</v>
      </c>
      <c r="F547" s="33" t="s">
        <v>6548</v>
      </c>
      <c r="G547" s="33"/>
      <c r="H547" s="33" t="s">
        <v>168</v>
      </c>
      <c r="I547" s="33"/>
    </row>
    <row r="548" customFormat="false" ht="15" hidden="false" customHeight="false" outlineLevel="0" collapsed="false">
      <c r="A548" s="32" t="s">
        <v>6724</v>
      </c>
      <c r="B548" s="32" t="s">
        <v>97</v>
      </c>
      <c r="C548" s="32" t="s">
        <v>9</v>
      </c>
      <c r="D548" s="32" t="n">
        <v>10</v>
      </c>
      <c r="E548" s="33" t="s">
        <v>6733</v>
      </c>
      <c r="F548" s="33" t="s">
        <v>6548</v>
      </c>
      <c r="G548" s="33"/>
      <c r="H548" s="33" t="s">
        <v>168</v>
      </c>
      <c r="I548" s="33"/>
    </row>
    <row r="549" customFormat="false" ht="39.55" hidden="false" customHeight="false" outlineLevel="0" collapsed="false">
      <c r="A549" s="32" t="s">
        <v>6734</v>
      </c>
      <c r="B549" s="32" t="s">
        <v>97</v>
      </c>
      <c r="C549" s="32" t="s">
        <v>9</v>
      </c>
      <c r="D549" s="32" t="n">
        <v>10</v>
      </c>
      <c r="E549" s="33" t="s">
        <v>6746</v>
      </c>
      <c r="F549" s="33" t="s">
        <v>6747</v>
      </c>
      <c r="G549" s="33"/>
      <c r="H549" s="33" t="s">
        <v>168</v>
      </c>
      <c r="I549" s="33"/>
    </row>
    <row r="550" customFormat="false" ht="15" hidden="false" customHeight="false" outlineLevel="0" collapsed="false">
      <c r="A550" s="32" t="s">
        <v>1652</v>
      </c>
      <c r="B550" s="32" t="s">
        <v>97</v>
      </c>
      <c r="C550" s="32" t="s">
        <v>9</v>
      </c>
      <c r="D550" s="32" t="n">
        <v>10</v>
      </c>
      <c r="E550" s="33" t="s">
        <v>6756</v>
      </c>
      <c r="F550" s="33" t="s">
        <v>6757</v>
      </c>
      <c r="G550" s="33"/>
      <c r="H550" s="33" t="s">
        <v>168</v>
      </c>
      <c r="I550" s="33"/>
    </row>
    <row r="551" customFormat="false" ht="15" hidden="false" customHeight="false" outlineLevel="0" collapsed="false">
      <c r="A551" s="32" t="s">
        <v>6758</v>
      </c>
      <c r="B551" s="32" t="s">
        <v>97</v>
      </c>
      <c r="C551" s="32" t="s">
        <v>9</v>
      </c>
      <c r="D551" s="32" t="n">
        <v>10</v>
      </c>
      <c r="E551" s="33" t="s">
        <v>6770</v>
      </c>
      <c r="F551" s="33" t="s">
        <v>6771</v>
      </c>
      <c r="G551" s="33"/>
      <c r="H551" s="33" t="s">
        <v>168</v>
      </c>
      <c r="I551" s="33"/>
    </row>
    <row r="552" customFormat="false" ht="26.85" hidden="false" customHeight="false" outlineLevel="0" collapsed="false">
      <c r="A552" s="32" t="s">
        <v>6772</v>
      </c>
      <c r="B552" s="32" t="s">
        <v>97</v>
      </c>
      <c r="C552" s="32" t="s">
        <v>9</v>
      </c>
      <c r="D552" s="32" t="n">
        <v>10</v>
      </c>
      <c r="E552" s="33" t="s">
        <v>6786</v>
      </c>
      <c r="F552" s="33" t="s">
        <v>6787</v>
      </c>
      <c r="G552" s="33"/>
      <c r="H552" s="33" t="s">
        <v>168</v>
      </c>
      <c r="I552" s="33"/>
    </row>
    <row r="553" customFormat="false" ht="26.85" hidden="false" customHeight="false" outlineLevel="0" collapsed="false">
      <c r="A553" s="32" t="s">
        <v>6788</v>
      </c>
      <c r="B553" s="32" t="s">
        <v>97</v>
      </c>
      <c r="C553" s="32" t="s">
        <v>9</v>
      </c>
      <c r="D553" s="32" t="n">
        <v>10</v>
      </c>
      <c r="E553" s="33" t="s">
        <v>6802</v>
      </c>
      <c r="F553" s="33" t="s">
        <v>6803</v>
      </c>
      <c r="G553" s="33"/>
      <c r="H553" s="33" t="s">
        <v>168</v>
      </c>
      <c r="I553" s="33"/>
    </row>
    <row r="554" customFormat="false" ht="15" hidden="false" customHeight="false" outlineLevel="0" collapsed="false">
      <c r="A554" s="32" t="s">
        <v>6804</v>
      </c>
      <c r="B554" s="32" t="s">
        <v>97</v>
      </c>
      <c r="C554" s="32" t="s">
        <v>9</v>
      </c>
      <c r="D554" s="32" t="n">
        <v>10</v>
      </c>
      <c r="E554" s="33" t="s">
        <v>6817</v>
      </c>
      <c r="F554" s="33" t="s">
        <v>6818</v>
      </c>
      <c r="G554" s="33"/>
      <c r="H554" s="33" t="s">
        <v>168</v>
      </c>
      <c r="I554" s="33"/>
    </row>
    <row r="555" customFormat="false" ht="15" hidden="false" customHeight="false" outlineLevel="0" collapsed="false">
      <c r="A555" s="32" t="s">
        <v>6819</v>
      </c>
      <c r="B555" s="32" t="s">
        <v>97</v>
      </c>
      <c r="C555" s="32" t="s">
        <v>9</v>
      </c>
      <c r="D555" s="32" t="n">
        <v>10</v>
      </c>
      <c r="E555" s="33" t="s">
        <v>6830</v>
      </c>
      <c r="F555" s="33" t="s">
        <v>6831</v>
      </c>
      <c r="G555" s="33"/>
      <c r="H555" s="33" t="s">
        <v>168</v>
      </c>
      <c r="I555" s="33"/>
    </row>
    <row r="556" customFormat="false" ht="15" hidden="false" customHeight="false" outlineLevel="0" collapsed="false">
      <c r="A556" s="32" t="s">
        <v>6832</v>
      </c>
      <c r="B556" s="32" t="s">
        <v>97</v>
      </c>
      <c r="C556" s="32" t="s">
        <v>9</v>
      </c>
      <c r="D556" s="32" t="n">
        <v>10</v>
      </c>
      <c r="E556" s="33" t="s">
        <v>6842</v>
      </c>
      <c r="F556" s="33" t="s">
        <v>6843</v>
      </c>
      <c r="G556" s="33"/>
      <c r="H556" s="33" t="s">
        <v>168</v>
      </c>
      <c r="I556" s="33"/>
    </row>
    <row r="557" customFormat="false" ht="26.85" hidden="false" customHeight="false" outlineLevel="0" collapsed="false">
      <c r="A557" s="32" t="s">
        <v>6844</v>
      </c>
      <c r="B557" s="32" t="s">
        <v>97</v>
      </c>
      <c r="C557" s="32" t="s">
        <v>9</v>
      </c>
      <c r="D557" s="32" t="n">
        <v>10</v>
      </c>
      <c r="E557" s="33" t="s">
        <v>6858</v>
      </c>
      <c r="F557" s="33" t="s">
        <v>6859</v>
      </c>
      <c r="G557" s="33"/>
      <c r="H557" s="33" t="s">
        <v>168</v>
      </c>
      <c r="I557" s="33"/>
    </row>
    <row r="558" customFormat="false" ht="15" hidden="false" customHeight="false" outlineLevel="0" collapsed="false">
      <c r="A558" s="32" t="s">
        <v>6860</v>
      </c>
      <c r="B558" s="32" t="s">
        <v>97</v>
      </c>
      <c r="C558" s="32" t="s">
        <v>9</v>
      </c>
      <c r="D558" s="32" t="n">
        <v>10</v>
      </c>
      <c r="E558" s="33" t="s">
        <v>6872</v>
      </c>
      <c r="F558" s="33" t="s">
        <v>6873</v>
      </c>
      <c r="G558" s="33"/>
      <c r="H558" s="33" t="s">
        <v>168</v>
      </c>
      <c r="I558" s="33"/>
    </row>
    <row r="559" customFormat="false" ht="15" hidden="false" customHeight="false" outlineLevel="0" collapsed="false">
      <c r="A559" s="32" t="s">
        <v>6874</v>
      </c>
      <c r="B559" s="32" t="s">
        <v>97</v>
      </c>
      <c r="C559" s="32" t="s">
        <v>9</v>
      </c>
      <c r="D559" s="32" t="n">
        <v>10</v>
      </c>
      <c r="E559" s="33" t="s">
        <v>6886</v>
      </c>
      <c r="F559" s="33" t="s">
        <v>6887</v>
      </c>
      <c r="G559" s="33"/>
      <c r="H559" s="33" t="s">
        <v>168</v>
      </c>
      <c r="I559" s="33"/>
    </row>
    <row r="560" customFormat="false" ht="52.2" hidden="false" customHeight="false" outlineLevel="0" collapsed="false">
      <c r="A560" s="32" t="s">
        <v>1938</v>
      </c>
      <c r="B560" s="32" t="s">
        <v>97</v>
      </c>
      <c r="C560" s="32" t="s">
        <v>9</v>
      </c>
      <c r="D560" s="32" t="n">
        <v>100</v>
      </c>
      <c r="E560" s="33" t="s">
        <v>6899</v>
      </c>
      <c r="F560" s="33" t="s">
        <v>6900</v>
      </c>
      <c r="G560" s="33" t="s">
        <v>16275</v>
      </c>
      <c r="H560" s="33" t="s">
        <v>168</v>
      </c>
      <c r="I560" s="33" t="s">
        <v>545</v>
      </c>
    </row>
    <row r="561" customFormat="false" ht="15" hidden="false" customHeight="false" outlineLevel="0" collapsed="false">
      <c r="A561" s="32" t="s">
        <v>1368</v>
      </c>
      <c r="B561" s="32" t="s">
        <v>97</v>
      </c>
      <c r="C561" s="32" t="s">
        <v>9</v>
      </c>
      <c r="D561" s="32" t="n">
        <v>10</v>
      </c>
      <c r="E561" s="33" t="s">
        <v>6912</v>
      </c>
      <c r="F561" s="33" t="s">
        <v>6913</v>
      </c>
      <c r="G561" s="33"/>
      <c r="H561" s="33" t="s">
        <v>168</v>
      </c>
      <c r="I561" s="33"/>
    </row>
    <row r="562" customFormat="false" ht="15" hidden="false" customHeight="false" outlineLevel="0" collapsed="false">
      <c r="A562" s="32" t="s">
        <v>6914</v>
      </c>
      <c r="B562" s="32" t="s">
        <v>97</v>
      </c>
      <c r="C562" s="32" t="s">
        <v>9</v>
      </c>
      <c r="D562" s="32" t="n">
        <v>10</v>
      </c>
      <c r="E562" s="33" t="s">
        <v>6925</v>
      </c>
      <c r="F562" s="33" t="s">
        <v>6926</v>
      </c>
      <c r="G562" s="33"/>
      <c r="H562" s="33" t="s">
        <v>168</v>
      </c>
      <c r="I562" s="33"/>
    </row>
    <row r="563" customFormat="false" ht="15" hidden="false" customHeight="false" outlineLevel="0" collapsed="false">
      <c r="A563" s="32" t="s">
        <v>6927</v>
      </c>
      <c r="B563" s="32" t="s">
        <v>97</v>
      </c>
      <c r="C563" s="32" t="s">
        <v>9</v>
      </c>
      <c r="D563" s="32" t="n">
        <v>10</v>
      </c>
      <c r="E563" s="33" t="s">
        <v>6937</v>
      </c>
      <c r="F563" s="33" t="s">
        <v>6938</v>
      </c>
      <c r="G563" s="33"/>
      <c r="H563" s="33" t="s">
        <v>168</v>
      </c>
      <c r="I563" s="33"/>
    </row>
    <row r="564" customFormat="false" ht="15" hidden="false" customHeight="false" outlineLevel="0" collapsed="false">
      <c r="A564" s="32" t="s">
        <v>6939</v>
      </c>
      <c r="B564" s="32" t="s">
        <v>97</v>
      </c>
      <c r="C564" s="32" t="s">
        <v>9</v>
      </c>
      <c r="D564" s="32" t="n">
        <v>10</v>
      </c>
      <c r="E564" s="33" t="s">
        <v>6948</v>
      </c>
      <c r="F564" s="33" t="s">
        <v>6949</v>
      </c>
      <c r="G564" s="33"/>
      <c r="H564" s="33" t="s">
        <v>168</v>
      </c>
      <c r="I564" s="33"/>
    </row>
    <row r="565" customFormat="false" ht="26.85" hidden="false" customHeight="false" outlineLevel="0" collapsed="false">
      <c r="A565" s="32" t="s">
        <v>6950</v>
      </c>
      <c r="B565" s="32" t="s">
        <v>97</v>
      </c>
      <c r="C565" s="32" t="s">
        <v>9</v>
      </c>
      <c r="D565" s="32" t="n">
        <v>10</v>
      </c>
      <c r="E565" s="33" t="s">
        <v>1894</v>
      </c>
      <c r="F565" s="33" t="s">
        <v>6963</v>
      </c>
      <c r="G565" s="33"/>
      <c r="H565" s="33" t="s">
        <v>168</v>
      </c>
      <c r="I565" s="33"/>
    </row>
    <row r="566" customFormat="false" ht="15" hidden="false" customHeight="false" outlineLevel="0" collapsed="false">
      <c r="A566" s="32" t="s">
        <v>6964</v>
      </c>
      <c r="B566" s="32" t="s">
        <v>97</v>
      </c>
      <c r="C566" s="32" t="s">
        <v>9</v>
      </c>
      <c r="D566" s="32" t="n">
        <v>10</v>
      </c>
      <c r="E566" s="33" t="s">
        <v>6975</v>
      </c>
      <c r="F566" s="33" t="s">
        <v>6976</v>
      </c>
      <c r="G566" s="33"/>
      <c r="H566" s="33" t="s">
        <v>168</v>
      </c>
      <c r="I566" s="33"/>
    </row>
    <row r="567" customFormat="false" ht="15" hidden="false" customHeight="false" outlineLevel="0" collapsed="false">
      <c r="A567" s="32" t="s">
        <v>6977</v>
      </c>
      <c r="B567" s="32" t="s">
        <v>97</v>
      </c>
      <c r="C567" s="32" t="s">
        <v>9</v>
      </c>
      <c r="D567" s="32" t="n">
        <v>10</v>
      </c>
      <c r="E567" s="33" t="s">
        <v>6988</v>
      </c>
      <c r="F567" s="33" t="s">
        <v>6976</v>
      </c>
      <c r="G567" s="33"/>
      <c r="H567" s="33" t="s">
        <v>168</v>
      </c>
      <c r="I567" s="33"/>
    </row>
    <row r="568" customFormat="false" ht="26.85" hidden="false" customHeight="false" outlineLevel="0" collapsed="false">
      <c r="A568" s="32" t="s">
        <v>6989</v>
      </c>
      <c r="B568" s="32" t="s">
        <v>97</v>
      </c>
      <c r="C568" s="32" t="s">
        <v>9</v>
      </c>
      <c r="D568" s="32" t="n">
        <v>60</v>
      </c>
      <c r="E568" s="33" t="s">
        <v>7001</v>
      </c>
      <c r="F568" s="33" t="s">
        <v>7002</v>
      </c>
      <c r="G568" s="33"/>
      <c r="H568" s="33" t="s">
        <v>168</v>
      </c>
      <c r="I568" s="33" t="s">
        <v>168</v>
      </c>
    </row>
    <row r="569" customFormat="false" ht="15" hidden="false" customHeight="false" outlineLevel="0" collapsed="false">
      <c r="A569" s="32" t="s">
        <v>3663</v>
      </c>
      <c r="B569" s="32" t="s">
        <v>97</v>
      </c>
      <c r="C569" s="32" t="s">
        <v>12</v>
      </c>
      <c r="D569" s="32" t="n">
        <v>10</v>
      </c>
      <c r="E569" s="33" t="s">
        <v>7015</v>
      </c>
      <c r="F569" s="33" t="s">
        <v>7016</v>
      </c>
      <c r="G569" s="33"/>
      <c r="H569" s="33" t="s">
        <v>168</v>
      </c>
      <c r="I569" s="33"/>
    </row>
    <row r="570" customFormat="false" ht="15" hidden="false" customHeight="false" outlineLevel="0" collapsed="false">
      <c r="A570" s="32" t="s">
        <v>7017</v>
      </c>
      <c r="B570" s="32" t="s">
        <v>97</v>
      </c>
      <c r="C570" s="32" t="s">
        <v>9</v>
      </c>
      <c r="D570" s="32" t="n">
        <v>10</v>
      </c>
      <c r="E570" s="33" t="s">
        <v>7029</v>
      </c>
      <c r="F570" s="33" t="s">
        <v>7030</v>
      </c>
      <c r="G570" s="33"/>
      <c r="H570" s="33" t="s">
        <v>168</v>
      </c>
      <c r="I570" s="33"/>
    </row>
    <row r="571" customFormat="false" ht="15" hidden="false" customHeight="false" outlineLevel="0" collapsed="false">
      <c r="A571" s="32" t="s">
        <v>7031</v>
      </c>
      <c r="B571" s="32" t="s">
        <v>97</v>
      </c>
      <c r="C571" s="32" t="s">
        <v>9</v>
      </c>
      <c r="D571" s="32" t="n">
        <v>10</v>
      </c>
      <c r="E571" s="33" t="s">
        <v>7041</v>
      </c>
      <c r="F571" s="33" t="s">
        <v>6976</v>
      </c>
      <c r="G571" s="33"/>
      <c r="H571" s="33" t="s">
        <v>168</v>
      </c>
      <c r="I571" s="33"/>
    </row>
    <row r="572" customFormat="false" ht="15" hidden="false" customHeight="false" outlineLevel="0" collapsed="false">
      <c r="A572" s="32" t="s">
        <v>7042</v>
      </c>
      <c r="B572" s="32" t="s">
        <v>97</v>
      </c>
      <c r="C572" s="32" t="s">
        <v>9</v>
      </c>
      <c r="D572" s="32" t="n">
        <v>10</v>
      </c>
      <c r="E572" s="33" t="s">
        <v>7053</v>
      </c>
      <c r="F572" s="33" t="s">
        <v>7054</v>
      </c>
      <c r="G572" s="33"/>
      <c r="H572" s="33" t="s">
        <v>168</v>
      </c>
      <c r="I572" s="33"/>
    </row>
    <row r="573" customFormat="false" ht="15" hidden="false" customHeight="false" outlineLevel="0" collapsed="false">
      <c r="A573" s="32" t="s">
        <v>7055</v>
      </c>
      <c r="B573" s="32" t="s">
        <v>97</v>
      </c>
      <c r="C573" s="32" t="s">
        <v>9</v>
      </c>
      <c r="D573" s="32" t="n">
        <v>10</v>
      </c>
      <c r="E573" s="33" t="s">
        <v>7069</v>
      </c>
      <c r="F573" s="33" t="s">
        <v>7070</v>
      </c>
      <c r="G573" s="33"/>
      <c r="H573" s="33" t="s">
        <v>168</v>
      </c>
      <c r="I573" s="33"/>
    </row>
    <row r="574" customFormat="false" ht="15" hidden="false" customHeight="false" outlineLevel="0" collapsed="false">
      <c r="A574" s="32" t="s">
        <v>7071</v>
      </c>
      <c r="B574" s="32" t="s">
        <v>97</v>
      </c>
      <c r="C574" s="32" t="s">
        <v>9</v>
      </c>
      <c r="D574" s="32" t="n">
        <v>10</v>
      </c>
      <c r="E574" s="33" t="s">
        <v>7083</v>
      </c>
      <c r="F574" s="33" t="s">
        <v>7084</v>
      </c>
      <c r="G574" s="33"/>
      <c r="H574" s="33" t="s">
        <v>168</v>
      </c>
      <c r="I574" s="33"/>
    </row>
    <row r="575" customFormat="false" ht="15" hidden="false" customHeight="false" outlineLevel="0" collapsed="false">
      <c r="A575" s="32" t="s">
        <v>7085</v>
      </c>
      <c r="B575" s="32" t="s">
        <v>97</v>
      </c>
      <c r="C575" s="32" t="s">
        <v>9</v>
      </c>
      <c r="D575" s="32" t="n">
        <v>10</v>
      </c>
      <c r="E575" s="33" t="s">
        <v>7094</v>
      </c>
      <c r="F575" s="33" t="s">
        <v>7095</v>
      </c>
      <c r="G575" s="33"/>
      <c r="H575" s="33" t="s">
        <v>168</v>
      </c>
      <c r="I575" s="33"/>
    </row>
    <row r="576" customFormat="false" ht="15" hidden="false" customHeight="false" outlineLevel="0" collapsed="false">
      <c r="A576" s="32" t="s">
        <v>7096</v>
      </c>
      <c r="B576" s="32" t="s">
        <v>97</v>
      </c>
      <c r="C576" s="32" t="s">
        <v>9</v>
      </c>
      <c r="D576" s="32" t="n">
        <v>10</v>
      </c>
      <c r="E576" s="33" t="s">
        <v>7107</v>
      </c>
      <c r="F576" s="33" t="s">
        <v>6771</v>
      </c>
      <c r="G576" s="33"/>
      <c r="H576" s="33" t="s">
        <v>168</v>
      </c>
      <c r="I576" s="33"/>
    </row>
    <row r="577" customFormat="false" ht="15" hidden="false" customHeight="false" outlineLevel="0" collapsed="false">
      <c r="A577" s="32" t="s">
        <v>7108</v>
      </c>
      <c r="B577" s="32" t="s">
        <v>97</v>
      </c>
      <c r="C577" s="32" t="s">
        <v>9</v>
      </c>
      <c r="D577" s="32" t="n">
        <v>10</v>
      </c>
      <c r="E577" s="33" t="s">
        <v>7120</v>
      </c>
      <c r="F577" s="33" t="s">
        <v>7121</v>
      </c>
      <c r="G577" s="33"/>
      <c r="H577" s="33" t="s">
        <v>168</v>
      </c>
      <c r="I577" s="33"/>
    </row>
    <row r="578" customFormat="false" ht="15" hidden="false" customHeight="false" outlineLevel="0" collapsed="false">
      <c r="A578" s="32" t="s">
        <v>7122</v>
      </c>
      <c r="B578" s="32" t="s">
        <v>97</v>
      </c>
      <c r="C578" s="32" t="s">
        <v>9</v>
      </c>
      <c r="D578" s="32" t="n">
        <v>10</v>
      </c>
      <c r="E578" s="33" t="s">
        <v>7136</v>
      </c>
      <c r="F578" s="33" t="s">
        <v>7137</v>
      </c>
      <c r="G578" s="33"/>
      <c r="H578" s="33" t="s">
        <v>168</v>
      </c>
      <c r="I578" s="33"/>
    </row>
    <row r="579" customFormat="false" ht="15" hidden="false" customHeight="false" outlineLevel="0" collapsed="false">
      <c r="A579" s="32" t="s">
        <v>7138</v>
      </c>
      <c r="B579" s="32" t="s">
        <v>97</v>
      </c>
      <c r="C579" s="32" t="s">
        <v>9</v>
      </c>
      <c r="D579" s="32" t="n">
        <v>10</v>
      </c>
      <c r="E579" s="33" t="s">
        <v>7149</v>
      </c>
      <c r="F579" s="33" t="s">
        <v>7150</v>
      </c>
      <c r="G579" s="33"/>
      <c r="H579" s="33" t="s">
        <v>168</v>
      </c>
      <c r="I579" s="33"/>
    </row>
    <row r="580" customFormat="false" ht="15" hidden="false" customHeight="false" outlineLevel="0" collapsed="false">
      <c r="A580" s="32" t="s">
        <v>7151</v>
      </c>
      <c r="B580" s="32" t="s">
        <v>97</v>
      </c>
      <c r="C580" s="32" t="s">
        <v>9</v>
      </c>
      <c r="D580" s="32" t="n">
        <v>10</v>
      </c>
      <c r="E580" s="33" t="s">
        <v>7164</v>
      </c>
      <c r="F580" s="33" t="s">
        <v>7165</v>
      </c>
      <c r="G580" s="33"/>
      <c r="H580" s="33" t="s">
        <v>168</v>
      </c>
      <c r="I580" s="33"/>
    </row>
    <row r="581" customFormat="false" ht="39.55" hidden="false" customHeight="false" outlineLevel="0" collapsed="false">
      <c r="A581" s="32" t="s">
        <v>2065</v>
      </c>
      <c r="B581" s="32" t="s">
        <v>97</v>
      </c>
      <c r="C581" s="32" t="s">
        <v>9</v>
      </c>
      <c r="D581" s="32" t="n">
        <v>80</v>
      </c>
      <c r="E581" s="33" t="s">
        <v>7177</v>
      </c>
      <c r="F581" s="33" t="s">
        <v>7178</v>
      </c>
      <c r="G581" s="33" t="s">
        <v>941</v>
      </c>
      <c r="H581" s="33" t="s">
        <v>168</v>
      </c>
      <c r="I581" s="33" t="s">
        <v>941</v>
      </c>
    </row>
    <row r="582" customFormat="false" ht="15" hidden="false" customHeight="false" outlineLevel="0" collapsed="false">
      <c r="A582" s="32" t="s">
        <v>7180</v>
      </c>
      <c r="B582" s="32" t="s">
        <v>97</v>
      </c>
      <c r="C582" s="32" t="s">
        <v>12</v>
      </c>
      <c r="D582" s="32" t="n">
        <v>10</v>
      </c>
      <c r="E582" s="33" t="s">
        <v>7192</v>
      </c>
      <c r="F582" s="33" t="s">
        <v>7193</v>
      </c>
      <c r="G582" s="33"/>
      <c r="H582" s="33" t="s">
        <v>168</v>
      </c>
      <c r="I582" s="33"/>
    </row>
    <row r="583" customFormat="false" ht="15" hidden="false" customHeight="false" outlineLevel="0" collapsed="false">
      <c r="A583" s="32" t="s">
        <v>7194</v>
      </c>
      <c r="B583" s="32" t="s">
        <v>97</v>
      </c>
      <c r="C583" s="32" t="s">
        <v>9</v>
      </c>
      <c r="D583" s="32" t="n">
        <v>10</v>
      </c>
      <c r="E583" s="33" t="s">
        <v>7207</v>
      </c>
      <c r="F583" s="33" t="s">
        <v>7208</v>
      </c>
      <c r="G583" s="33"/>
      <c r="H583" s="33" t="s">
        <v>168</v>
      </c>
      <c r="I583" s="33"/>
    </row>
    <row r="584" customFormat="false" ht="15" hidden="false" customHeight="false" outlineLevel="0" collapsed="false">
      <c r="A584" s="32" t="s">
        <v>7209</v>
      </c>
      <c r="B584" s="32" t="s">
        <v>97</v>
      </c>
      <c r="C584" s="32" t="s">
        <v>9</v>
      </c>
      <c r="D584" s="32" t="n">
        <v>10</v>
      </c>
      <c r="E584" s="33" t="s">
        <v>7219</v>
      </c>
      <c r="F584" s="33" t="s">
        <v>7208</v>
      </c>
      <c r="G584" s="33"/>
      <c r="H584" s="33" t="s">
        <v>168</v>
      </c>
      <c r="I584" s="33"/>
    </row>
    <row r="585" customFormat="false" ht="15" hidden="false" customHeight="false" outlineLevel="0" collapsed="false">
      <c r="A585" s="32" t="s">
        <v>7220</v>
      </c>
      <c r="B585" s="32" t="s">
        <v>97</v>
      </c>
      <c r="C585" s="32" t="s">
        <v>9</v>
      </c>
      <c r="D585" s="32" t="n">
        <v>10</v>
      </c>
      <c r="E585" s="33" t="s">
        <v>7231</v>
      </c>
      <c r="F585" s="33" t="s">
        <v>7232</v>
      </c>
      <c r="G585" s="33"/>
      <c r="H585" s="33" t="s">
        <v>168</v>
      </c>
      <c r="I585" s="33"/>
    </row>
    <row r="586" customFormat="false" ht="15" hidden="false" customHeight="false" outlineLevel="0" collapsed="false">
      <c r="A586" s="32" t="s">
        <v>7233</v>
      </c>
      <c r="B586" s="32" t="s">
        <v>97</v>
      </c>
      <c r="C586" s="32" t="s">
        <v>9</v>
      </c>
      <c r="D586" s="32" t="n">
        <v>10</v>
      </c>
      <c r="E586" s="33" t="s">
        <v>7242</v>
      </c>
      <c r="F586" s="33" t="s">
        <v>7232</v>
      </c>
      <c r="G586" s="33"/>
      <c r="H586" s="33" t="s">
        <v>168</v>
      </c>
      <c r="I586" s="33"/>
    </row>
    <row r="587" customFormat="false" ht="15" hidden="false" customHeight="false" outlineLevel="0" collapsed="false">
      <c r="A587" s="32" t="s">
        <v>7243</v>
      </c>
      <c r="B587" s="32" t="s">
        <v>97</v>
      </c>
      <c r="C587" s="32" t="s">
        <v>9</v>
      </c>
      <c r="D587" s="32" t="n">
        <v>10</v>
      </c>
      <c r="E587" s="33" t="s">
        <v>7251</v>
      </c>
      <c r="F587" s="33" t="s">
        <v>6757</v>
      </c>
      <c r="G587" s="33"/>
      <c r="H587" s="33" t="s">
        <v>168</v>
      </c>
      <c r="I587" s="33"/>
    </row>
    <row r="588" customFormat="false" ht="15" hidden="false" customHeight="false" outlineLevel="0" collapsed="false">
      <c r="A588" s="32" t="s">
        <v>7252</v>
      </c>
      <c r="B588" s="32" t="s">
        <v>97</v>
      </c>
      <c r="C588" s="32" t="s">
        <v>9</v>
      </c>
      <c r="D588" s="32" t="n">
        <v>10</v>
      </c>
      <c r="E588" s="33" t="s">
        <v>7265</v>
      </c>
      <c r="F588" s="33" t="s">
        <v>7266</v>
      </c>
      <c r="G588" s="33"/>
      <c r="H588" s="33" t="s">
        <v>168</v>
      </c>
      <c r="I588" s="33"/>
    </row>
    <row r="589" customFormat="false" ht="15" hidden="false" customHeight="false" outlineLevel="0" collapsed="false">
      <c r="A589" s="32" t="s">
        <v>7267</v>
      </c>
      <c r="B589" s="32" t="s">
        <v>97</v>
      </c>
      <c r="C589" s="32" t="s">
        <v>9</v>
      </c>
      <c r="D589" s="32" t="n">
        <v>10</v>
      </c>
      <c r="E589" s="33" t="s">
        <v>7279</v>
      </c>
      <c r="F589" s="33" t="s">
        <v>7280</v>
      </c>
      <c r="G589" s="33"/>
      <c r="H589" s="33" t="s">
        <v>168</v>
      </c>
      <c r="I589" s="33"/>
    </row>
    <row r="590" customFormat="false" ht="39.55" hidden="false" customHeight="false" outlineLevel="0" collapsed="false">
      <c r="A590" s="32" t="s">
        <v>7281</v>
      </c>
      <c r="B590" s="32" t="s">
        <v>97</v>
      </c>
      <c r="C590" s="32" t="s">
        <v>9</v>
      </c>
      <c r="D590" s="32" t="n">
        <v>10</v>
      </c>
      <c r="E590" s="33" t="s">
        <v>7292</v>
      </c>
      <c r="F590" s="33" t="s">
        <v>7293</v>
      </c>
      <c r="G590" s="33"/>
      <c r="H590" s="33" t="s">
        <v>168</v>
      </c>
      <c r="I590" s="33"/>
    </row>
    <row r="591" customFormat="false" ht="15" hidden="false" customHeight="false" outlineLevel="0" collapsed="false">
      <c r="A591" s="32" t="s">
        <v>7294</v>
      </c>
      <c r="B591" s="32" t="s">
        <v>97</v>
      </c>
      <c r="C591" s="32" t="s">
        <v>9</v>
      </c>
      <c r="D591" s="32" t="n">
        <v>10</v>
      </c>
      <c r="E591" s="33" t="s">
        <v>7303</v>
      </c>
      <c r="F591" s="33" t="s">
        <v>7280</v>
      </c>
      <c r="G591" s="33"/>
      <c r="H591" s="33" t="s">
        <v>168</v>
      </c>
      <c r="I591" s="33"/>
    </row>
    <row r="592" customFormat="false" ht="15" hidden="false" customHeight="false" outlineLevel="0" collapsed="false">
      <c r="A592" s="32" t="s">
        <v>7304</v>
      </c>
      <c r="B592" s="32" t="s">
        <v>97</v>
      </c>
      <c r="C592" s="32" t="s">
        <v>9</v>
      </c>
      <c r="D592" s="32" t="n">
        <v>10</v>
      </c>
      <c r="E592" s="33" t="s">
        <v>7317</v>
      </c>
      <c r="F592" s="33" t="s">
        <v>6490</v>
      </c>
      <c r="G592" s="33"/>
      <c r="H592" s="33" t="s">
        <v>168</v>
      </c>
      <c r="I592" s="33"/>
    </row>
    <row r="593" customFormat="false" ht="26.85" hidden="false" customHeight="false" outlineLevel="0" collapsed="false">
      <c r="A593" s="32" t="s">
        <v>7318</v>
      </c>
      <c r="B593" s="32" t="s">
        <v>97</v>
      </c>
      <c r="C593" s="32" t="s">
        <v>9</v>
      </c>
      <c r="D593" s="32" t="n">
        <v>10</v>
      </c>
      <c r="E593" s="33" t="s">
        <v>7330</v>
      </c>
      <c r="F593" s="33" t="s">
        <v>7331</v>
      </c>
      <c r="G593" s="33"/>
      <c r="H593" s="33" t="s">
        <v>168</v>
      </c>
      <c r="I593" s="33"/>
    </row>
    <row r="594" customFormat="false" ht="15" hidden="false" customHeight="false" outlineLevel="0" collapsed="false">
      <c r="A594" s="32" t="s">
        <v>2145</v>
      </c>
      <c r="B594" s="32" t="s">
        <v>97</v>
      </c>
      <c r="C594" s="32" t="s">
        <v>9</v>
      </c>
      <c r="D594" s="32" t="n">
        <v>10</v>
      </c>
      <c r="E594" s="33" t="s">
        <v>7343</v>
      </c>
      <c r="F594" s="33" t="s">
        <v>7344</v>
      </c>
      <c r="G594" s="33"/>
      <c r="H594" s="33" t="s">
        <v>168</v>
      </c>
      <c r="I594" s="33"/>
    </row>
    <row r="595" customFormat="false" ht="15" hidden="false" customHeight="false" outlineLevel="0" collapsed="false">
      <c r="A595" s="32" t="s">
        <v>7345</v>
      </c>
      <c r="B595" s="32" t="s">
        <v>97</v>
      </c>
      <c r="C595" s="32" t="s">
        <v>9</v>
      </c>
      <c r="D595" s="32" t="n">
        <v>10</v>
      </c>
      <c r="E595" s="33" t="s">
        <v>7360</v>
      </c>
      <c r="F595" s="33" t="s">
        <v>7361</v>
      </c>
      <c r="G595" s="33"/>
      <c r="H595" s="33" t="s">
        <v>168</v>
      </c>
      <c r="I595" s="33"/>
    </row>
    <row r="596" customFormat="false" ht="15" hidden="false" customHeight="false" outlineLevel="0" collapsed="false">
      <c r="A596" s="32" t="s">
        <v>7363</v>
      </c>
      <c r="B596" s="32" t="s">
        <v>97</v>
      </c>
      <c r="C596" s="32" t="s">
        <v>9</v>
      </c>
      <c r="D596" s="32" t="n">
        <v>10</v>
      </c>
      <c r="E596" s="33" t="s">
        <v>7377</v>
      </c>
      <c r="F596" s="33" t="s">
        <v>7378</v>
      </c>
      <c r="G596" s="33"/>
      <c r="H596" s="33" t="s">
        <v>168</v>
      </c>
      <c r="I596" s="33"/>
    </row>
    <row r="597" customFormat="false" ht="15" hidden="false" customHeight="false" outlineLevel="0" collapsed="false">
      <c r="A597" s="32" t="s">
        <v>7379</v>
      </c>
      <c r="B597" s="32" t="s">
        <v>97</v>
      </c>
      <c r="C597" s="32" t="s">
        <v>12</v>
      </c>
      <c r="D597" s="32" t="n">
        <v>10</v>
      </c>
      <c r="E597" s="33" t="s">
        <v>7391</v>
      </c>
      <c r="F597" s="33" t="s">
        <v>7392</v>
      </c>
      <c r="G597" s="33"/>
      <c r="H597" s="33" t="s">
        <v>168</v>
      </c>
      <c r="I597" s="33"/>
    </row>
    <row r="598" customFormat="false" ht="15" hidden="false" customHeight="false" outlineLevel="0" collapsed="false">
      <c r="A598" s="32" t="s">
        <v>7393</v>
      </c>
      <c r="B598" s="32" t="s">
        <v>97</v>
      </c>
      <c r="C598" s="32" t="s">
        <v>9</v>
      </c>
      <c r="D598" s="32" t="n">
        <v>10</v>
      </c>
      <c r="E598" s="33" t="s">
        <v>7402</v>
      </c>
      <c r="F598" s="33" t="s">
        <v>7392</v>
      </c>
      <c r="G598" s="33"/>
      <c r="H598" s="33" t="s">
        <v>168</v>
      </c>
      <c r="I598" s="33"/>
    </row>
    <row r="599" customFormat="false" ht="39.55" hidden="false" customHeight="false" outlineLevel="0" collapsed="false">
      <c r="A599" s="32" t="s">
        <v>7403</v>
      </c>
      <c r="B599" s="32" t="s">
        <v>97</v>
      </c>
      <c r="C599" s="32" t="s">
        <v>9</v>
      </c>
      <c r="D599" s="32" t="n">
        <v>80</v>
      </c>
      <c r="E599" s="33" t="s">
        <v>7416</v>
      </c>
      <c r="F599" s="33" t="s">
        <v>7417</v>
      </c>
      <c r="G599" s="33" t="s">
        <v>941</v>
      </c>
      <c r="H599" s="33" t="s">
        <v>168</v>
      </c>
      <c r="I599" s="33" t="s">
        <v>941</v>
      </c>
    </row>
    <row r="600" customFormat="false" ht="15" hidden="false" customHeight="false" outlineLevel="0" collapsed="false">
      <c r="A600" s="32" t="s">
        <v>7418</v>
      </c>
      <c r="B600" s="32" t="s">
        <v>97</v>
      </c>
      <c r="C600" s="32" t="s">
        <v>9</v>
      </c>
      <c r="D600" s="32" t="n">
        <v>10</v>
      </c>
      <c r="E600" s="33" t="s">
        <v>7429</v>
      </c>
      <c r="F600" s="33" t="s">
        <v>7430</v>
      </c>
      <c r="G600" s="33"/>
      <c r="H600" s="33" t="s">
        <v>168</v>
      </c>
      <c r="I600" s="33"/>
    </row>
    <row r="601" customFormat="false" ht="39.55" hidden="false" customHeight="false" outlineLevel="0" collapsed="false">
      <c r="A601" s="32" t="s">
        <v>7431</v>
      </c>
      <c r="B601" s="32" t="s">
        <v>97</v>
      </c>
      <c r="C601" s="32" t="s">
        <v>9</v>
      </c>
      <c r="D601" s="32" t="n">
        <v>80</v>
      </c>
      <c r="E601" s="33" t="s">
        <v>7446</v>
      </c>
      <c r="F601" s="33" t="s">
        <v>7447</v>
      </c>
      <c r="G601" s="33" t="s">
        <v>941</v>
      </c>
      <c r="H601" s="33" t="s">
        <v>168</v>
      </c>
      <c r="I601" s="33" t="s">
        <v>941</v>
      </c>
    </row>
    <row r="602" customFormat="false" ht="39.55" hidden="false" customHeight="false" outlineLevel="0" collapsed="false">
      <c r="A602" s="32" t="s">
        <v>7448</v>
      </c>
      <c r="B602" s="32" t="s">
        <v>97</v>
      </c>
      <c r="C602" s="32" t="s">
        <v>9</v>
      </c>
      <c r="D602" s="32" t="n">
        <v>80</v>
      </c>
      <c r="E602" s="33" t="s">
        <v>7458</v>
      </c>
      <c r="F602" s="33" t="s">
        <v>7447</v>
      </c>
      <c r="G602" s="33" t="s">
        <v>941</v>
      </c>
      <c r="H602" s="33" t="s">
        <v>168</v>
      </c>
      <c r="I602" s="33" t="s">
        <v>941</v>
      </c>
    </row>
    <row r="603" customFormat="false" ht="15" hidden="false" customHeight="false" outlineLevel="0" collapsed="false">
      <c r="A603" s="32" t="s">
        <v>7459</v>
      </c>
      <c r="B603" s="32" t="s">
        <v>97</v>
      </c>
      <c r="C603" s="32" t="s">
        <v>9</v>
      </c>
      <c r="D603" s="32" t="n">
        <v>10</v>
      </c>
      <c r="E603" s="33" t="s">
        <v>7470</v>
      </c>
      <c r="F603" s="33" t="s">
        <v>7471</v>
      </c>
      <c r="G603" s="33"/>
      <c r="H603" s="33" t="s">
        <v>168</v>
      </c>
      <c r="I603" s="33"/>
    </row>
    <row r="604" customFormat="false" ht="15" hidden="false" customHeight="false" outlineLevel="0" collapsed="false">
      <c r="A604" s="32" t="s">
        <v>7472</v>
      </c>
      <c r="B604" s="32" t="s">
        <v>97</v>
      </c>
      <c r="C604" s="32" t="s">
        <v>9</v>
      </c>
      <c r="D604" s="32" t="n">
        <v>10</v>
      </c>
      <c r="E604" s="33" t="s">
        <v>7486</v>
      </c>
      <c r="F604" s="33" t="s">
        <v>7487</v>
      </c>
      <c r="G604" s="33"/>
      <c r="H604" s="33" t="s">
        <v>168</v>
      </c>
      <c r="I604" s="33"/>
    </row>
    <row r="605" customFormat="false" ht="15" hidden="false" customHeight="false" outlineLevel="0" collapsed="false">
      <c r="A605" s="32" t="s">
        <v>7488</v>
      </c>
      <c r="B605" s="32" t="s">
        <v>97</v>
      </c>
      <c r="C605" s="32" t="s">
        <v>9</v>
      </c>
      <c r="D605" s="32" t="n">
        <v>10</v>
      </c>
      <c r="E605" s="33" t="s">
        <v>7500</v>
      </c>
      <c r="F605" s="33" t="s">
        <v>7501</v>
      </c>
      <c r="G605" s="33"/>
      <c r="H605" s="33" t="s">
        <v>168</v>
      </c>
      <c r="I605" s="33"/>
    </row>
    <row r="606" customFormat="false" ht="15" hidden="false" customHeight="false" outlineLevel="0" collapsed="false">
      <c r="A606" s="32" t="s">
        <v>7502</v>
      </c>
      <c r="B606" s="32" t="s">
        <v>97</v>
      </c>
      <c r="C606" s="32" t="s">
        <v>9</v>
      </c>
      <c r="D606" s="32" t="n">
        <v>10</v>
      </c>
      <c r="E606" s="33" t="s">
        <v>7517</v>
      </c>
      <c r="F606" s="33" t="s">
        <v>7518</v>
      </c>
      <c r="G606" s="33"/>
      <c r="H606" s="33" t="s">
        <v>168</v>
      </c>
      <c r="I606" s="33"/>
    </row>
    <row r="607" customFormat="false" ht="15" hidden="false" customHeight="false" outlineLevel="0" collapsed="false">
      <c r="A607" s="32" t="s">
        <v>7519</v>
      </c>
      <c r="B607" s="32" t="s">
        <v>97</v>
      </c>
      <c r="C607" s="32" t="s">
        <v>9</v>
      </c>
      <c r="D607" s="32" t="n">
        <v>10</v>
      </c>
      <c r="E607" s="33" t="s">
        <v>7530</v>
      </c>
      <c r="F607" s="33" t="s">
        <v>7487</v>
      </c>
      <c r="G607" s="33"/>
      <c r="H607" s="33" t="s">
        <v>168</v>
      </c>
      <c r="I607" s="33"/>
    </row>
    <row r="608" customFormat="false" ht="15" hidden="false" customHeight="false" outlineLevel="0" collapsed="false">
      <c r="A608" s="32" t="s">
        <v>7531</v>
      </c>
      <c r="B608" s="32" t="s">
        <v>97</v>
      </c>
      <c r="C608" s="32" t="s">
        <v>9</v>
      </c>
      <c r="D608" s="32" t="n">
        <v>10</v>
      </c>
      <c r="E608" s="33" t="s">
        <v>7544</v>
      </c>
      <c r="F608" s="33" t="s">
        <v>7487</v>
      </c>
      <c r="G608" s="33"/>
      <c r="H608" s="33" t="s">
        <v>168</v>
      </c>
      <c r="I608" s="33"/>
    </row>
    <row r="609" customFormat="false" ht="15" hidden="false" customHeight="false" outlineLevel="0" collapsed="false">
      <c r="A609" s="32" t="s">
        <v>7545</v>
      </c>
      <c r="B609" s="32" t="s">
        <v>97</v>
      </c>
      <c r="C609" s="32" t="s">
        <v>9</v>
      </c>
      <c r="D609" s="32" t="n">
        <v>10</v>
      </c>
      <c r="E609" s="33" t="s">
        <v>7558</v>
      </c>
      <c r="F609" s="33" t="s">
        <v>7559</v>
      </c>
      <c r="G609" s="33"/>
      <c r="H609" s="33" t="s">
        <v>168</v>
      </c>
      <c r="I609" s="33"/>
    </row>
    <row r="610" customFormat="false" ht="15" hidden="false" customHeight="false" outlineLevel="0" collapsed="false">
      <c r="A610" s="32" t="s">
        <v>7560</v>
      </c>
      <c r="B610" s="32" t="s">
        <v>97</v>
      </c>
      <c r="C610" s="32" t="s">
        <v>9</v>
      </c>
      <c r="D610" s="32" t="n">
        <v>10</v>
      </c>
      <c r="E610" s="33" t="s">
        <v>7572</v>
      </c>
      <c r="F610" s="33" t="s">
        <v>7573</v>
      </c>
      <c r="G610" s="33"/>
      <c r="H610" s="33" t="s">
        <v>168</v>
      </c>
      <c r="I610" s="33"/>
    </row>
    <row r="611" customFormat="false" ht="15" hidden="false" customHeight="false" outlineLevel="0" collapsed="false">
      <c r="A611" s="32" t="s">
        <v>7574</v>
      </c>
      <c r="B611" s="32" t="s">
        <v>97</v>
      </c>
      <c r="C611" s="32" t="s">
        <v>9</v>
      </c>
      <c r="D611" s="32" t="n">
        <v>10</v>
      </c>
      <c r="E611" s="33" t="s">
        <v>7588</v>
      </c>
      <c r="F611" s="33" t="s">
        <v>7589</v>
      </c>
      <c r="G611" s="33"/>
      <c r="H611" s="33" t="s">
        <v>168</v>
      </c>
      <c r="I611" s="33"/>
    </row>
    <row r="612" customFormat="false" ht="15" hidden="false" customHeight="false" outlineLevel="0" collapsed="false">
      <c r="A612" s="32" t="s">
        <v>7590</v>
      </c>
      <c r="B612" s="32" t="s">
        <v>97</v>
      </c>
      <c r="C612" s="32" t="s">
        <v>9</v>
      </c>
      <c r="D612" s="32" t="n">
        <v>10</v>
      </c>
      <c r="E612" s="33" t="s">
        <v>7603</v>
      </c>
      <c r="F612" s="33" t="s">
        <v>7604</v>
      </c>
      <c r="G612" s="33"/>
      <c r="H612" s="33" t="s">
        <v>168</v>
      </c>
      <c r="I612" s="33"/>
    </row>
    <row r="613" customFormat="false" ht="26.85" hidden="false" customHeight="false" outlineLevel="0" collapsed="false">
      <c r="A613" s="32" t="s">
        <v>7605</v>
      </c>
      <c r="B613" s="32" t="s">
        <v>97</v>
      </c>
      <c r="C613" s="32" t="s">
        <v>9</v>
      </c>
      <c r="D613" s="32" t="n">
        <v>10</v>
      </c>
      <c r="E613" s="33" t="s">
        <v>7618</v>
      </c>
      <c r="F613" s="33" t="s">
        <v>7619</v>
      </c>
      <c r="G613" s="33"/>
      <c r="H613" s="33" t="s">
        <v>168</v>
      </c>
      <c r="I613" s="33"/>
    </row>
    <row r="614" customFormat="false" ht="39.55" hidden="false" customHeight="false" outlineLevel="0" collapsed="false">
      <c r="A614" s="32" t="s">
        <v>7620</v>
      </c>
      <c r="B614" s="32" t="s">
        <v>97</v>
      </c>
      <c r="C614" s="32" t="s">
        <v>9</v>
      </c>
      <c r="D614" s="32" t="n">
        <v>10</v>
      </c>
      <c r="E614" s="33" t="s">
        <v>7636</v>
      </c>
      <c r="F614" s="33" t="s">
        <v>7637</v>
      </c>
      <c r="G614" s="33"/>
      <c r="H614" s="33" t="s">
        <v>168</v>
      </c>
      <c r="I614" s="33"/>
    </row>
    <row r="615" customFormat="false" ht="26.85" hidden="false" customHeight="false" outlineLevel="0" collapsed="false">
      <c r="A615" s="32" t="s">
        <v>7638</v>
      </c>
      <c r="B615" s="32" t="s">
        <v>97</v>
      </c>
      <c r="C615" s="32" t="s">
        <v>9</v>
      </c>
      <c r="D615" s="32" t="n">
        <v>10</v>
      </c>
      <c r="E615" s="33" t="s">
        <v>2428</v>
      </c>
      <c r="F615" s="33" t="s">
        <v>7651</v>
      </c>
      <c r="G615" s="33"/>
      <c r="H615" s="33" t="s">
        <v>168</v>
      </c>
      <c r="I615" s="33"/>
    </row>
    <row r="616" customFormat="false" ht="15" hidden="false" customHeight="false" outlineLevel="0" collapsed="false">
      <c r="A616" s="32" t="s">
        <v>7652</v>
      </c>
      <c r="B616" s="32" t="s">
        <v>97</v>
      </c>
      <c r="C616" s="32" t="s">
        <v>9</v>
      </c>
      <c r="D616" s="32" t="n">
        <v>10</v>
      </c>
      <c r="E616" s="33" t="s">
        <v>2428</v>
      </c>
      <c r="F616" s="33" t="s">
        <v>7662</v>
      </c>
      <c r="G616" s="33"/>
      <c r="H616" s="33" t="s">
        <v>168</v>
      </c>
      <c r="I616" s="33"/>
    </row>
    <row r="617" customFormat="false" ht="15" hidden="false" customHeight="false" outlineLevel="0" collapsed="false">
      <c r="A617" s="32" t="s">
        <v>7663</v>
      </c>
      <c r="B617" s="32" t="s">
        <v>97</v>
      </c>
      <c r="C617" s="32" t="s">
        <v>9</v>
      </c>
      <c r="D617" s="32" t="n">
        <v>10</v>
      </c>
      <c r="E617" s="33" t="s">
        <v>7674</v>
      </c>
      <c r="F617" s="33" t="s">
        <v>7675</v>
      </c>
      <c r="G617" s="33"/>
      <c r="H617" s="33" t="s">
        <v>168</v>
      </c>
      <c r="I617" s="33"/>
    </row>
    <row r="618" customFormat="false" ht="15" hidden="false" customHeight="false" outlineLevel="0" collapsed="false">
      <c r="A618" s="32" t="s">
        <v>7676</v>
      </c>
      <c r="B618" s="32" t="s">
        <v>97</v>
      </c>
      <c r="C618" s="32" t="s">
        <v>9</v>
      </c>
      <c r="D618" s="32" t="n">
        <v>10</v>
      </c>
      <c r="E618" s="33" t="s">
        <v>2494</v>
      </c>
      <c r="F618" s="33" t="s">
        <v>7687</v>
      </c>
      <c r="G618" s="33"/>
      <c r="H618" s="33" t="s">
        <v>168</v>
      </c>
      <c r="I618" s="33"/>
    </row>
    <row r="619" customFormat="false" ht="15" hidden="false" customHeight="false" outlineLevel="0" collapsed="false">
      <c r="A619" s="32" t="s">
        <v>7688</v>
      </c>
      <c r="B619" s="32" t="s">
        <v>97</v>
      </c>
      <c r="C619" s="32" t="s">
        <v>9</v>
      </c>
      <c r="D619" s="32" t="n">
        <v>10</v>
      </c>
      <c r="E619" s="33" t="s">
        <v>2525</v>
      </c>
      <c r="F619" s="33" t="s">
        <v>7687</v>
      </c>
      <c r="G619" s="33"/>
      <c r="H619" s="33" t="s">
        <v>168</v>
      </c>
      <c r="I619" s="33"/>
    </row>
    <row r="620" customFormat="false" ht="15" hidden="false" customHeight="false" outlineLevel="0" collapsed="false">
      <c r="A620" s="32" t="s">
        <v>4228</v>
      </c>
      <c r="B620" s="32" t="s">
        <v>97</v>
      </c>
      <c r="C620" s="32" t="s">
        <v>9</v>
      </c>
      <c r="D620" s="32" t="n">
        <v>10</v>
      </c>
      <c r="E620" s="33" t="s">
        <v>7708</v>
      </c>
      <c r="F620" s="33" t="s">
        <v>5815</v>
      </c>
      <c r="G620" s="33"/>
      <c r="H620" s="33" t="s">
        <v>168</v>
      </c>
      <c r="I620" s="33"/>
    </row>
    <row r="621" customFormat="false" ht="26.85" hidden="false" customHeight="false" outlineLevel="0" collapsed="false">
      <c r="A621" s="32" t="s">
        <v>7709</v>
      </c>
      <c r="B621" s="32" t="s">
        <v>97</v>
      </c>
      <c r="C621" s="32" t="s">
        <v>9</v>
      </c>
      <c r="D621" s="32" t="n">
        <v>10</v>
      </c>
      <c r="E621" s="33" t="s">
        <v>7723</v>
      </c>
      <c r="F621" s="33" t="s">
        <v>7724</v>
      </c>
      <c r="G621" s="33"/>
      <c r="H621" s="33" t="s">
        <v>168</v>
      </c>
      <c r="I621" s="33"/>
    </row>
    <row r="622" customFormat="false" ht="15" hidden="false" customHeight="false" outlineLevel="0" collapsed="false">
      <c r="A622" s="32" t="s">
        <v>7725</v>
      </c>
      <c r="B622" s="32" t="s">
        <v>97</v>
      </c>
      <c r="C622" s="32" t="s">
        <v>9</v>
      </c>
      <c r="D622" s="32" t="n">
        <v>10</v>
      </c>
      <c r="E622" s="33" t="s">
        <v>7737</v>
      </c>
      <c r="F622" s="33" t="s">
        <v>7738</v>
      </c>
      <c r="G622" s="33"/>
      <c r="H622" s="33" t="s">
        <v>168</v>
      </c>
      <c r="I622" s="33"/>
    </row>
    <row r="623" customFormat="false" ht="26.85" hidden="false" customHeight="false" outlineLevel="0" collapsed="false">
      <c r="A623" s="32" t="s">
        <v>2604</v>
      </c>
      <c r="B623" s="32" t="s">
        <v>97</v>
      </c>
      <c r="C623" s="32" t="s">
        <v>9</v>
      </c>
      <c r="D623" s="32" t="n">
        <v>10</v>
      </c>
      <c r="E623" s="33" t="s">
        <v>2603</v>
      </c>
      <c r="F623" s="33" t="s">
        <v>7751</v>
      </c>
      <c r="G623" s="33"/>
      <c r="H623" s="33" t="s">
        <v>168</v>
      </c>
      <c r="I623" s="33"/>
    </row>
    <row r="624" customFormat="false" ht="15" hidden="false" customHeight="false" outlineLevel="0" collapsed="false">
      <c r="A624" s="32" t="s">
        <v>7752</v>
      </c>
      <c r="B624" s="32" t="s">
        <v>97</v>
      </c>
      <c r="C624" s="32" t="s">
        <v>9</v>
      </c>
      <c r="D624" s="32" t="n">
        <v>10</v>
      </c>
      <c r="E624" s="33" t="s">
        <v>7761</v>
      </c>
      <c r="F624" s="33" t="s">
        <v>7762</v>
      </c>
      <c r="G624" s="33"/>
      <c r="H624" s="33" t="s">
        <v>168</v>
      </c>
      <c r="I624" s="33"/>
    </row>
    <row r="625" customFormat="false" ht="15" hidden="false" customHeight="false" outlineLevel="0" collapsed="false">
      <c r="A625" s="32" t="s">
        <v>7763</v>
      </c>
      <c r="B625" s="32" t="s">
        <v>97</v>
      </c>
      <c r="C625" s="32" t="s">
        <v>9</v>
      </c>
      <c r="D625" s="32" t="n">
        <v>10</v>
      </c>
      <c r="E625" s="33" t="s">
        <v>7772</v>
      </c>
      <c r="F625" s="33" t="s">
        <v>7762</v>
      </c>
      <c r="G625" s="33"/>
      <c r="H625" s="33" t="s">
        <v>168</v>
      </c>
      <c r="I625" s="33"/>
    </row>
    <row r="626" customFormat="false" ht="15" hidden="false" customHeight="false" outlineLevel="0" collapsed="false">
      <c r="A626" s="32" t="s">
        <v>7773</v>
      </c>
      <c r="B626" s="32" t="s">
        <v>97</v>
      </c>
      <c r="C626" s="32" t="s">
        <v>9</v>
      </c>
      <c r="D626" s="32" t="n">
        <v>10</v>
      </c>
      <c r="E626" s="33" t="s">
        <v>2613</v>
      </c>
      <c r="F626" s="33" t="s">
        <v>7786</v>
      </c>
      <c r="G626" s="33"/>
      <c r="H626" s="33" t="s">
        <v>168</v>
      </c>
      <c r="I626" s="33"/>
    </row>
    <row r="627" customFormat="false" ht="26.85" hidden="false" customHeight="false" outlineLevel="0" collapsed="false">
      <c r="A627" s="32" t="s">
        <v>7787</v>
      </c>
      <c r="B627" s="32" t="s">
        <v>97</v>
      </c>
      <c r="C627" s="32" t="s">
        <v>12</v>
      </c>
      <c r="D627" s="32" t="n">
        <v>10</v>
      </c>
      <c r="E627" s="33" t="s">
        <v>7796</v>
      </c>
      <c r="F627" s="33" t="s">
        <v>7797</v>
      </c>
      <c r="G627" s="33"/>
      <c r="H627" s="33" t="s">
        <v>168</v>
      </c>
      <c r="I627" s="33"/>
    </row>
    <row r="628" customFormat="false" ht="15" hidden="false" customHeight="false" outlineLevel="0" collapsed="false">
      <c r="A628" s="32" t="s">
        <v>7798</v>
      </c>
      <c r="B628" s="32" t="s">
        <v>97</v>
      </c>
      <c r="C628" s="32" t="s">
        <v>9</v>
      </c>
      <c r="D628" s="32" t="n">
        <v>10</v>
      </c>
      <c r="E628" s="33" t="s">
        <v>7811</v>
      </c>
      <c r="F628" s="33" t="s">
        <v>7812</v>
      </c>
      <c r="G628" s="33"/>
      <c r="H628" s="33" t="s">
        <v>168</v>
      </c>
      <c r="I628" s="33"/>
    </row>
    <row r="629" customFormat="false" ht="15" hidden="false" customHeight="false" outlineLevel="0" collapsed="false">
      <c r="A629" s="32" t="s">
        <v>7813</v>
      </c>
      <c r="B629" s="32" t="s">
        <v>97</v>
      </c>
      <c r="C629" s="32" t="s">
        <v>12</v>
      </c>
      <c r="D629" s="32" t="n">
        <v>10</v>
      </c>
      <c r="E629" s="33" t="s">
        <v>7823</v>
      </c>
      <c r="F629" s="33" t="s">
        <v>7824</v>
      </c>
      <c r="G629" s="33"/>
      <c r="H629" s="33" t="s">
        <v>168</v>
      </c>
      <c r="I629" s="33"/>
    </row>
    <row r="630" customFormat="false" ht="39.55" hidden="false" customHeight="false" outlineLevel="0" collapsed="false">
      <c r="A630" s="32" t="s">
        <v>7825</v>
      </c>
      <c r="B630" s="32" t="s">
        <v>97</v>
      </c>
      <c r="C630" s="32" t="s">
        <v>9</v>
      </c>
      <c r="D630" s="32" t="n">
        <v>80</v>
      </c>
      <c r="E630" s="33" t="s">
        <v>7838</v>
      </c>
      <c r="F630" s="33" t="s">
        <v>7839</v>
      </c>
      <c r="G630" s="33" t="s">
        <v>941</v>
      </c>
      <c r="H630" s="33" t="s">
        <v>168</v>
      </c>
      <c r="I630" s="33" t="s">
        <v>941</v>
      </c>
    </row>
    <row r="631" customFormat="false" ht="15" hidden="false" customHeight="false" outlineLevel="0" collapsed="false">
      <c r="A631" s="32" t="s">
        <v>7841</v>
      </c>
      <c r="B631" s="32" t="s">
        <v>97</v>
      </c>
      <c r="C631" s="32" t="s">
        <v>9</v>
      </c>
      <c r="D631" s="32" t="n">
        <v>10</v>
      </c>
      <c r="E631" s="33" t="s">
        <v>7855</v>
      </c>
      <c r="F631" s="33" t="s">
        <v>7856</v>
      </c>
      <c r="G631" s="33"/>
      <c r="H631" s="33" t="s">
        <v>168</v>
      </c>
      <c r="I631" s="33"/>
    </row>
    <row r="632" customFormat="false" ht="15" hidden="false" customHeight="false" outlineLevel="0" collapsed="false">
      <c r="A632" s="32" t="s">
        <v>7857</v>
      </c>
      <c r="B632" s="32" t="s">
        <v>97</v>
      </c>
      <c r="C632" s="32" t="s">
        <v>9</v>
      </c>
      <c r="D632" s="32" t="n">
        <v>10</v>
      </c>
      <c r="E632" s="33" t="s">
        <v>2642</v>
      </c>
      <c r="F632" s="33" t="s">
        <v>7871</v>
      </c>
      <c r="G632" s="33"/>
      <c r="H632" s="33" t="s">
        <v>168</v>
      </c>
      <c r="I632" s="33"/>
    </row>
    <row r="633" customFormat="false" ht="15" hidden="false" customHeight="false" outlineLevel="0" collapsed="false">
      <c r="A633" s="32" t="s">
        <v>7872</v>
      </c>
      <c r="B633" s="32" t="s">
        <v>97</v>
      </c>
      <c r="C633" s="32" t="s">
        <v>9</v>
      </c>
      <c r="D633" s="32" t="n">
        <v>10</v>
      </c>
      <c r="E633" s="33" t="s">
        <v>2642</v>
      </c>
      <c r="F633" s="33" t="s">
        <v>7883</v>
      </c>
      <c r="G633" s="33"/>
      <c r="H633" s="33" t="s">
        <v>168</v>
      </c>
      <c r="I633" s="33"/>
    </row>
    <row r="634" customFormat="false" ht="15" hidden="false" customHeight="false" outlineLevel="0" collapsed="false">
      <c r="A634" s="32" t="s">
        <v>7884</v>
      </c>
      <c r="B634" s="32" t="s">
        <v>97</v>
      </c>
      <c r="C634" s="32" t="s">
        <v>9</v>
      </c>
      <c r="D634" s="32" t="n">
        <v>10</v>
      </c>
      <c r="E634" s="33" t="s">
        <v>2642</v>
      </c>
      <c r="F634" s="33" t="s">
        <v>7895</v>
      </c>
      <c r="G634" s="33"/>
      <c r="H634" s="33" t="s">
        <v>168</v>
      </c>
      <c r="I634" s="33"/>
    </row>
    <row r="635" customFormat="false" ht="15" hidden="false" customHeight="false" outlineLevel="0" collapsed="false">
      <c r="A635" s="32" t="s">
        <v>7896</v>
      </c>
      <c r="B635" s="32" t="s">
        <v>97</v>
      </c>
      <c r="C635" s="32" t="s">
        <v>9</v>
      </c>
      <c r="D635" s="32" t="n">
        <v>10</v>
      </c>
      <c r="E635" s="33" t="s">
        <v>2642</v>
      </c>
      <c r="F635" s="33" t="s">
        <v>7907</v>
      </c>
      <c r="G635" s="33"/>
      <c r="H635" s="33" t="s">
        <v>168</v>
      </c>
      <c r="I635" s="33"/>
    </row>
    <row r="636" customFormat="false" ht="15" hidden="false" customHeight="false" outlineLevel="0" collapsed="false">
      <c r="A636" s="32" t="s">
        <v>7908</v>
      </c>
      <c r="B636" s="32" t="s">
        <v>97</v>
      </c>
      <c r="C636" s="32" t="s">
        <v>9</v>
      </c>
      <c r="D636" s="32" t="n">
        <v>10</v>
      </c>
      <c r="E636" s="33" t="s">
        <v>7919</v>
      </c>
      <c r="F636" s="33" t="s">
        <v>7871</v>
      </c>
      <c r="G636" s="33"/>
      <c r="H636" s="33" t="s">
        <v>168</v>
      </c>
      <c r="I636" s="33"/>
    </row>
    <row r="637" customFormat="false" ht="15" hidden="false" customHeight="false" outlineLevel="0" collapsed="false">
      <c r="A637" s="32" t="s">
        <v>7920</v>
      </c>
      <c r="B637" s="32" t="s">
        <v>97</v>
      </c>
      <c r="C637" s="32" t="s">
        <v>9</v>
      </c>
      <c r="D637" s="32" t="n">
        <v>10</v>
      </c>
      <c r="E637" s="33" t="s">
        <v>7929</v>
      </c>
      <c r="F637" s="33" t="s">
        <v>7930</v>
      </c>
      <c r="G637" s="33"/>
      <c r="H637" s="33" t="s">
        <v>168</v>
      </c>
      <c r="I637" s="33"/>
    </row>
    <row r="638" customFormat="false" ht="15" hidden="false" customHeight="false" outlineLevel="0" collapsed="false">
      <c r="A638" s="32" t="s">
        <v>7931</v>
      </c>
      <c r="B638" s="32" t="s">
        <v>97</v>
      </c>
      <c r="C638" s="32" t="s">
        <v>9</v>
      </c>
      <c r="D638" s="32" t="n">
        <v>10</v>
      </c>
      <c r="E638" s="33" t="s">
        <v>7942</v>
      </c>
      <c r="F638" s="33" t="s">
        <v>7943</v>
      </c>
      <c r="G638" s="33"/>
      <c r="H638" s="33" t="s">
        <v>168</v>
      </c>
      <c r="I638" s="33"/>
    </row>
    <row r="639" customFormat="false" ht="15" hidden="false" customHeight="false" outlineLevel="0" collapsed="false">
      <c r="A639" s="32" t="s">
        <v>7944</v>
      </c>
      <c r="B639" s="32" t="s">
        <v>97</v>
      </c>
      <c r="C639" s="32" t="s">
        <v>9</v>
      </c>
      <c r="D639" s="32" t="n">
        <v>10</v>
      </c>
      <c r="E639" s="33" t="s">
        <v>7953</v>
      </c>
      <c r="F639" s="33" t="s">
        <v>7954</v>
      </c>
      <c r="G639" s="33"/>
      <c r="H639" s="33" t="s">
        <v>168</v>
      </c>
      <c r="I639" s="33"/>
    </row>
    <row r="640" customFormat="false" ht="15" hidden="false" customHeight="false" outlineLevel="0" collapsed="false">
      <c r="A640" s="32" t="s">
        <v>7955</v>
      </c>
      <c r="B640" s="32" t="s">
        <v>97</v>
      </c>
      <c r="C640" s="32" t="s">
        <v>12</v>
      </c>
      <c r="D640" s="32" t="n">
        <v>10</v>
      </c>
      <c r="E640" s="33" t="s">
        <v>7968</v>
      </c>
      <c r="F640" s="33" t="s">
        <v>7969</v>
      </c>
      <c r="G640" s="33"/>
      <c r="H640" s="33" t="s">
        <v>168</v>
      </c>
      <c r="I640" s="33"/>
    </row>
    <row r="641" customFormat="false" ht="15" hidden="false" customHeight="false" outlineLevel="0" collapsed="false">
      <c r="A641" s="32" t="s">
        <v>7970</v>
      </c>
      <c r="B641" s="32" t="s">
        <v>97</v>
      </c>
      <c r="C641" s="32" t="s">
        <v>12</v>
      </c>
      <c r="D641" s="32" t="n">
        <v>10</v>
      </c>
      <c r="E641" s="33" t="s">
        <v>7980</v>
      </c>
      <c r="F641" s="33" t="s">
        <v>7981</v>
      </c>
      <c r="G641" s="33"/>
      <c r="H641" s="33" t="s">
        <v>168</v>
      </c>
      <c r="I641" s="33"/>
    </row>
    <row r="642" customFormat="false" ht="26.85" hidden="false" customHeight="false" outlineLevel="0" collapsed="false">
      <c r="A642" s="32" t="s">
        <v>7982</v>
      </c>
      <c r="B642" s="32" t="s">
        <v>97</v>
      </c>
      <c r="C642" s="32" t="s">
        <v>12</v>
      </c>
      <c r="D642" s="32" t="n">
        <v>10</v>
      </c>
      <c r="E642" s="33" t="s">
        <v>7980</v>
      </c>
      <c r="F642" s="33" t="s">
        <v>7993</v>
      </c>
      <c r="G642" s="33"/>
      <c r="H642" s="33" t="s">
        <v>168</v>
      </c>
      <c r="I642" s="33"/>
    </row>
    <row r="643" customFormat="false" ht="15" hidden="false" customHeight="false" outlineLevel="0" collapsed="false">
      <c r="A643" s="32" t="s">
        <v>2763</v>
      </c>
      <c r="B643" s="32" t="s">
        <v>97</v>
      </c>
      <c r="C643" s="32" t="s">
        <v>12</v>
      </c>
      <c r="D643" s="32" t="n">
        <v>10</v>
      </c>
      <c r="E643" s="33" t="s">
        <v>2761</v>
      </c>
      <c r="F643" s="33" t="s">
        <v>2762</v>
      </c>
      <c r="G643" s="33"/>
      <c r="H643" s="33" t="s">
        <v>168</v>
      </c>
      <c r="I643" s="33"/>
    </row>
    <row r="644" customFormat="false" ht="15" hidden="false" customHeight="false" outlineLevel="0" collapsed="false">
      <c r="A644" s="32" t="s">
        <v>8004</v>
      </c>
      <c r="B644" s="32" t="s">
        <v>97</v>
      </c>
      <c r="C644" s="32" t="s">
        <v>9</v>
      </c>
      <c r="D644" s="32" t="n">
        <v>10</v>
      </c>
      <c r="E644" s="33" t="s">
        <v>8014</v>
      </c>
      <c r="F644" s="33" t="s">
        <v>8015</v>
      </c>
      <c r="G644" s="33"/>
      <c r="H644" s="33" t="s">
        <v>168</v>
      </c>
      <c r="I644" s="33"/>
    </row>
    <row r="645" customFormat="false" ht="15" hidden="false" customHeight="false" outlineLevel="0" collapsed="false">
      <c r="A645" s="32" t="s">
        <v>8016</v>
      </c>
      <c r="B645" s="32" t="s">
        <v>97</v>
      </c>
      <c r="C645" s="32" t="s">
        <v>12</v>
      </c>
      <c r="D645" s="32" t="n">
        <v>10</v>
      </c>
      <c r="E645" s="33" t="s">
        <v>8027</v>
      </c>
      <c r="F645" s="33" t="s">
        <v>2787</v>
      </c>
      <c r="G645" s="33"/>
      <c r="H645" s="33" t="s">
        <v>168</v>
      </c>
      <c r="I645" s="33"/>
    </row>
    <row r="646" customFormat="false" ht="15" hidden="false" customHeight="false" outlineLevel="0" collapsed="false">
      <c r="A646" s="32" t="s">
        <v>8028</v>
      </c>
      <c r="B646" s="32" t="s">
        <v>97</v>
      </c>
      <c r="C646" s="32" t="s">
        <v>12</v>
      </c>
      <c r="D646" s="32" t="n">
        <v>10</v>
      </c>
      <c r="E646" s="33" t="s">
        <v>2786</v>
      </c>
      <c r="F646" s="33" t="s">
        <v>8040</v>
      </c>
      <c r="G646" s="33"/>
      <c r="H646" s="33" t="s">
        <v>168</v>
      </c>
      <c r="I646" s="33"/>
    </row>
    <row r="647" customFormat="false" ht="15" hidden="false" customHeight="false" outlineLevel="0" collapsed="false">
      <c r="A647" s="32" t="s">
        <v>8041</v>
      </c>
      <c r="B647" s="32" t="s">
        <v>97</v>
      </c>
      <c r="C647" s="32" t="s">
        <v>9</v>
      </c>
      <c r="D647" s="32" t="n">
        <v>10</v>
      </c>
      <c r="E647" s="33" t="s">
        <v>8053</v>
      </c>
      <c r="F647" s="33" t="s">
        <v>8054</v>
      </c>
      <c r="G647" s="33"/>
      <c r="H647" s="33" t="s">
        <v>168</v>
      </c>
      <c r="I647" s="33"/>
    </row>
    <row r="648" customFormat="false" ht="26.85" hidden="false" customHeight="false" outlineLevel="0" collapsed="false">
      <c r="A648" s="32" t="s">
        <v>8055</v>
      </c>
      <c r="B648" s="32" t="s">
        <v>97</v>
      </c>
      <c r="C648" s="32" t="s">
        <v>9</v>
      </c>
      <c r="D648" s="32" t="n">
        <v>10</v>
      </c>
      <c r="E648" s="33" t="s">
        <v>8053</v>
      </c>
      <c r="F648" s="33" t="s">
        <v>8067</v>
      </c>
      <c r="G648" s="33"/>
      <c r="H648" s="33" t="s">
        <v>168</v>
      </c>
      <c r="I648" s="33"/>
    </row>
    <row r="649" customFormat="false" ht="26.85" hidden="false" customHeight="false" outlineLevel="0" collapsed="false">
      <c r="A649" s="32" t="s">
        <v>2809</v>
      </c>
      <c r="B649" s="32" t="s">
        <v>97</v>
      </c>
      <c r="C649" s="32" t="s">
        <v>9</v>
      </c>
      <c r="D649" s="32" t="n">
        <v>10</v>
      </c>
      <c r="E649" s="33" t="s">
        <v>8080</v>
      </c>
      <c r="F649" s="33" t="s">
        <v>8081</v>
      </c>
      <c r="G649" s="33"/>
      <c r="H649" s="33" t="s">
        <v>168</v>
      </c>
      <c r="I649" s="33"/>
    </row>
    <row r="650" customFormat="false" ht="15" hidden="false" customHeight="false" outlineLevel="0" collapsed="false">
      <c r="A650" s="32" t="s">
        <v>8082</v>
      </c>
      <c r="B650" s="32" t="s">
        <v>97</v>
      </c>
      <c r="C650" s="32" t="s">
        <v>9</v>
      </c>
      <c r="D650" s="32" t="n">
        <v>10</v>
      </c>
      <c r="E650" s="33" t="s">
        <v>8091</v>
      </c>
      <c r="F650" s="33" t="s">
        <v>8092</v>
      </c>
      <c r="G650" s="33"/>
      <c r="H650" s="33" t="s">
        <v>168</v>
      </c>
      <c r="I650" s="33"/>
    </row>
    <row r="651" customFormat="false" ht="15" hidden="false" customHeight="false" outlineLevel="0" collapsed="false">
      <c r="A651" s="32" t="s">
        <v>8093</v>
      </c>
      <c r="B651" s="32" t="s">
        <v>97</v>
      </c>
      <c r="C651" s="32" t="s">
        <v>9</v>
      </c>
      <c r="D651" s="32" t="n">
        <v>10</v>
      </c>
      <c r="E651" s="33" t="s">
        <v>2871</v>
      </c>
      <c r="F651" s="33" t="s">
        <v>8105</v>
      </c>
      <c r="G651" s="33"/>
      <c r="H651" s="33" t="s">
        <v>168</v>
      </c>
      <c r="I651" s="33"/>
    </row>
    <row r="652" customFormat="false" ht="15" hidden="false" customHeight="false" outlineLevel="0" collapsed="false">
      <c r="A652" s="32" t="s">
        <v>8106</v>
      </c>
      <c r="B652" s="32" t="s">
        <v>97</v>
      </c>
      <c r="C652" s="32" t="s">
        <v>9</v>
      </c>
      <c r="D652" s="32" t="n">
        <v>10</v>
      </c>
      <c r="E652" s="33" t="s">
        <v>8118</v>
      </c>
      <c r="F652" s="33" t="s">
        <v>8119</v>
      </c>
      <c r="G652" s="33"/>
      <c r="H652" s="33" t="s">
        <v>168</v>
      </c>
      <c r="I652" s="33"/>
    </row>
    <row r="653" customFormat="false" ht="21.6" hidden="false" customHeight="true" outlineLevel="0" collapsed="false">
      <c r="A653" s="33" t="s">
        <v>2983</v>
      </c>
      <c r="B653" s="33" t="s">
        <v>97</v>
      </c>
      <c r="C653" s="33" t="s">
        <v>9</v>
      </c>
      <c r="D653" s="33" t="n">
        <v>70</v>
      </c>
      <c r="E653" s="33" t="s">
        <v>2886</v>
      </c>
      <c r="F653" s="33" t="s">
        <v>8133</v>
      </c>
      <c r="G653" s="33" t="s">
        <v>16283</v>
      </c>
      <c r="H653" s="33" t="s">
        <v>168</v>
      </c>
      <c r="I653" s="33" t="s">
        <v>1050</v>
      </c>
    </row>
    <row r="654" customFormat="false" ht="39.55" hidden="false" customHeight="false" outlineLevel="0" collapsed="false">
      <c r="A654" s="32" t="s">
        <v>8135</v>
      </c>
      <c r="B654" s="32" t="s">
        <v>97</v>
      </c>
      <c r="C654" s="32" t="s">
        <v>9</v>
      </c>
      <c r="D654" s="32" t="n">
        <v>80</v>
      </c>
      <c r="E654" s="33" t="s">
        <v>8149</v>
      </c>
      <c r="F654" s="33" t="s">
        <v>8150</v>
      </c>
      <c r="G654" s="33" t="s">
        <v>941</v>
      </c>
      <c r="H654" s="33" t="s">
        <v>168</v>
      </c>
      <c r="I654" s="33" t="s">
        <v>941</v>
      </c>
    </row>
    <row r="655" customFormat="false" ht="15" hidden="false" customHeight="false" outlineLevel="0" collapsed="false">
      <c r="A655" s="32" t="s">
        <v>8151</v>
      </c>
      <c r="B655" s="32" t="s">
        <v>97</v>
      </c>
      <c r="C655" s="32" t="s">
        <v>12</v>
      </c>
      <c r="D655" s="32" t="n">
        <v>10</v>
      </c>
      <c r="E655" s="33" t="s">
        <v>8162</v>
      </c>
      <c r="F655" s="33" t="s">
        <v>8163</v>
      </c>
      <c r="G655" s="33"/>
      <c r="H655" s="33" t="s">
        <v>168</v>
      </c>
      <c r="I655" s="33"/>
    </row>
    <row r="656" customFormat="false" ht="15" hidden="false" customHeight="false" outlineLevel="0" collapsed="false">
      <c r="A656" s="32" t="s">
        <v>8164</v>
      </c>
      <c r="B656" s="32" t="s">
        <v>97</v>
      </c>
      <c r="C656" s="32" t="s">
        <v>9</v>
      </c>
      <c r="D656" s="32" t="n">
        <v>10</v>
      </c>
      <c r="E656" s="33" t="s">
        <v>2974</v>
      </c>
      <c r="F656" s="33" t="s">
        <v>8178</v>
      </c>
      <c r="G656" s="33"/>
      <c r="H656" s="33" t="s">
        <v>168</v>
      </c>
      <c r="I656" s="33"/>
    </row>
    <row r="657" customFormat="false" ht="15" hidden="false" customHeight="false" outlineLevel="0" collapsed="false">
      <c r="A657" s="32" t="s">
        <v>8179</v>
      </c>
      <c r="B657" s="32" t="s">
        <v>97</v>
      </c>
      <c r="C657" s="32" t="s">
        <v>9</v>
      </c>
      <c r="D657" s="32" t="n">
        <v>10</v>
      </c>
      <c r="E657" s="33" t="s">
        <v>2974</v>
      </c>
      <c r="F657" s="33" t="s">
        <v>8192</v>
      </c>
      <c r="G657" s="33"/>
      <c r="H657" s="33" t="s">
        <v>168</v>
      </c>
      <c r="I657" s="33"/>
    </row>
    <row r="658" customFormat="false" ht="15" hidden="false" customHeight="false" outlineLevel="0" collapsed="false">
      <c r="A658" s="32" t="s">
        <v>8193</v>
      </c>
      <c r="B658" s="32" t="s">
        <v>97</v>
      </c>
      <c r="C658" s="32" t="s">
        <v>9</v>
      </c>
      <c r="D658" s="32" t="n">
        <v>10</v>
      </c>
      <c r="E658" s="33" t="s">
        <v>2974</v>
      </c>
      <c r="F658" s="33" t="s">
        <v>8206</v>
      </c>
      <c r="G658" s="33"/>
      <c r="H658" s="33" t="s">
        <v>168</v>
      </c>
      <c r="I658" s="33"/>
    </row>
    <row r="659" customFormat="false" ht="15" hidden="false" customHeight="false" outlineLevel="0" collapsed="false">
      <c r="A659" s="32" t="s">
        <v>8207</v>
      </c>
      <c r="B659" s="32" t="s">
        <v>97</v>
      </c>
      <c r="C659" s="32" t="s">
        <v>9</v>
      </c>
      <c r="D659" s="32" t="n">
        <v>10</v>
      </c>
      <c r="E659" s="33" t="s">
        <v>2974</v>
      </c>
      <c r="F659" s="33" t="s">
        <v>8217</v>
      </c>
      <c r="G659" s="33"/>
      <c r="H659" s="33" t="s">
        <v>168</v>
      </c>
      <c r="I659" s="33"/>
    </row>
    <row r="660" customFormat="false" ht="15" hidden="false" customHeight="false" outlineLevel="0" collapsed="false">
      <c r="A660" s="32" t="s">
        <v>8218</v>
      </c>
      <c r="B660" s="32" t="s">
        <v>97</v>
      </c>
      <c r="C660" s="32" t="s">
        <v>12</v>
      </c>
      <c r="D660" s="32" t="n">
        <v>10</v>
      </c>
      <c r="E660" s="33" t="s">
        <v>3035</v>
      </c>
      <c r="F660" s="33" t="s">
        <v>8231</v>
      </c>
      <c r="G660" s="33"/>
      <c r="H660" s="33" t="s">
        <v>168</v>
      </c>
      <c r="I660" s="33"/>
    </row>
    <row r="661" customFormat="false" ht="15" hidden="false" customHeight="false" outlineLevel="0" collapsed="false">
      <c r="A661" s="32" t="s">
        <v>8232</v>
      </c>
      <c r="B661" s="32" t="s">
        <v>97</v>
      </c>
      <c r="C661" s="32" t="s">
        <v>9</v>
      </c>
      <c r="D661" s="32" t="n">
        <v>10</v>
      </c>
      <c r="E661" s="33" t="s">
        <v>3057</v>
      </c>
      <c r="F661" s="33" t="s">
        <v>8243</v>
      </c>
      <c r="G661" s="33"/>
      <c r="H661" s="33" t="s">
        <v>168</v>
      </c>
      <c r="I661" s="33"/>
    </row>
    <row r="662" customFormat="false" ht="39.55" hidden="false" customHeight="false" outlineLevel="0" collapsed="false">
      <c r="A662" s="32" t="s">
        <v>8244</v>
      </c>
      <c r="B662" s="32" t="s">
        <v>97</v>
      </c>
      <c r="C662" s="32" t="s">
        <v>9</v>
      </c>
      <c r="D662" s="32" t="n">
        <v>80</v>
      </c>
      <c r="E662" s="33" t="s">
        <v>8257</v>
      </c>
      <c r="F662" s="33" t="s">
        <v>8258</v>
      </c>
      <c r="G662" s="33" t="s">
        <v>941</v>
      </c>
      <c r="H662" s="33" t="s">
        <v>168</v>
      </c>
      <c r="I662" s="33" t="s">
        <v>941</v>
      </c>
    </row>
    <row r="663" customFormat="false" ht="64.9" hidden="false" customHeight="false" outlineLevel="0" collapsed="false">
      <c r="A663" s="32" t="s">
        <v>8260</v>
      </c>
      <c r="B663" s="32" t="s">
        <v>97</v>
      </c>
      <c r="C663" s="32" t="s">
        <v>9</v>
      </c>
      <c r="D663" s="32" t="n">
        <v>90</v>
      </c>
      <c r="E663" s="33" t="s">
        <v>16317</v>
      </c>
      <c r="F663" s="33" t="s">
        <v>8275</v>
      </c>
      <c r="G663" s="33" t="s">
        <v>16318</v>
      </c>
      <c r="H663" s="33" t="s">
        <v>168</v>
      </c>
      <c r="I663" s="33" t="s">
        <v>8277</v>
      </c>
    </row>
    <row r="664" customFormat="false" ht="15" hidden="false" customHeight="false" outlineLevel="0" collapsed="false">
      <c r="A664" s="32" t="s">
        <v>8278</v>
      </c>
      <c r="B664" s="32" t="s">
        <v>97</v>
      </c>
      <c r="C664" s="32" t="s">
        <v>9</v>
      </c>
      <c r="D664" s="32" t="n">
        <v>10</v>
      </c>
      <c r="E664" s="33" t="s">
        <v>3070</v>
      </c>
      <c r="F664" s="33" t="s">
        <v>8288</v>
      </c>
      <c r="G664" s="33"/>
      <c r="H664" s="33" t="s">
        <v>168</v>
      </c>
      <c r="I664" s="33"/>
    </row>
    <row r="665" customFormat="false" ht="26.85" hidden="false" customHeight="false" outlineLevel="0" collapsed="false">
      <c r="A665" s="32" t="s">
        <v>8289</v>
      </c>
      <c r="B665" s="32" t="s">
        <v>97</v>
      </c>
      <c r="C665" s="32" t="s">
        <v>12</v>
      </c>
      <c r="D665" s="32" t="n">
        <v>10</v>
      </c>
      <c r="E665" s="33" t="s">
        <v>3070</v>
      </c>
      <c r="F665" s="33" t="s">
        <v>8300</v>
      </c>
      <c r="G665" s="33"/>
      <c r="H665" s="33" t="s">
        <v>168</v>
      </c>
      <c r="I665" s="33"/>
    </row>
    <row r="666" customFormat="false" ht="39.55" hidden="false" customHeight="false" outlineLevel="0" collapsed="false">
      <c r="A666" s="32" t="s">
        <v>8301</v>
      </c>
      <c r="B666" s="32" t="s">
        <v>97</v>
      </c>
      <c r="C666" s="32" t="s">
        <v>9</v>
      </c>
      <c r="D666" s="32" t="n">
        <v>80</v>
      </c>
      <c r="E666" s="33" t="s">
        <v>3260</v>
      </c>
      <c r="F666" s="33" t="s">
        <v>8313</v>
      </c>
      <c r="G666" s="33" t="s">
        <v>941</v>
      </c>
      <c r="H666" s="33" t="s">
        <v>168</v>
      </c>
      <c r="I666" s="33" t="s">
        <v>941</v>
      </c>
    </row>
    <row r="667" customFormat="false" ht="15" hidden="false" customHeight="false" outlineLevel="0" collapsed="false">
      <c r="A667" s="32" t="s">
        <v>8314</v>
      </c>
      <c r="B667" s="32" t="s">
        <v>97</v>
      </c>
      <c r="C667" s="32" t="s">
        <v>12</v>
      </c>
      <c r="D667" s="32" t="n">
        <v>10</v>
      </c>
      <c r="E667" s="33" t="s">
        <v>8326</v>
      </c>
      <c r="F667" s="33" t="s">
        <v>3296</v>
      </c>
      <c r="G667" s="33"/>
      <c r="H667" s="33" t="s">
        <v>168</v>
      </c>
      <c r="I667" s="33"/>
    </row>
    <row r="668" customFormat="false" ht="15" hidden="false" customHeight="false" outlineLevel="0" collapsed="false">
      <c r="A668" s="32" t="s">
        <v>3333</v>
      </c>
      <c r="B668" s="32" t="s">
        <v>97</v>
      </c>
      <c r="C668" s="32" t="s">
        <v>9</v>
      </c>
      <c r="D668" s="32" t="n">
        <v>10</v>
      </c>
      <c r="E668" s="33" t="s">
        <v>3345</v>
      </c>
      <c r="F668" s="33" t="s">
        <v>8338</v>
      </c>
      <c r="G668" s="33"/>
      <c r="H668" s="33" t="s">
        <v>168</v>
      </c>
      <c r="I668" s="33"/>
    </row>
    <row r="669" customFormat="false" ht="15" hidden="false" customHeight="false" outlineLevel="0" collapsed="false">
      <c r="A669" s="32" t="s">
        <v>8339</v>
      </c>
      <c r="B669" s="32" t="s">
        <v>97</v>
      </c>
      <c r="C669" s="32" t="s">
        <v>9</v>
      </c>
      <c r="D669" s="32" t="n">
        <v>10</v>
      </c>
      <c r="E669" s="33" t="s">
        <v>3323</v>
      </c>
      <c r="F669" s="33" t="s">
        <v>8352</v>
      </c>
      <c r="G669" s="33"/>
      <c r="H669" s="33" t="s">
        <v>168</v>
      </c>
      <c r="I669" s="33"/>
    </row>
    <row r="670" customFormat="false" ht="26.85" hidden="false" customHeight="false" outlineLevel="0" collapsed="false">
      <c r="A670" s="32" t="s">
        <v>8353</v>
      </c>
      <c r="B670" s="32" t="s">
        <v>97</v>
      </c>
      <c r="C670" s="32" t="s">
        <v>9</v>
      </c>
      <c r="D670" s="32" t="n">
        <v>60</v>
      </c>
      <c r="E670" s="33" t="s">
        <v>3351</v>
      </c>
      <c r="F670" s="33" t="s">
        <v>8366</v>
      </c>
      <c r="G670" s="33"/>
      <c r="H670" s="33" t="s">
        <v>168</v>
      </c>
      <c r="I670" s="33" t="s">
        <v>168</v>
      </c>
    </row>
    <row r="671" customFormat="false" ht="15" hidden="false" customHeight="false" outlineLevel="0" collapsed="false">
      <c r="A671" s="32" t="s">
        <v>8367</v>
      </c>
      <c r="B671" s="32" t="s">
        <v>97</v>
      </c>
      <c r="C671" s="32" t="s">
        <v>9</v>
      </c>
      <c r="D671" s="32" t="n">
        <v>10</v>
      </c>
      <c r="E671" s="33" t="s">
        <v>3375</v>
      </c>
      <c r="F671" s="33" t="s">
        <v>8380</v>
      </c>
      <c r="G671" s="33"/>
      <c r="H671" s="33" t="s">
        <v>168</v>
      </c>
      <c r="I671" s="33"/>
    </row>
    <row r="672" customFormat="false" ht="15" hidden="false" customHeight="false" outlineLevel="0" collapsed="false">
      <c r="A672" s="32" t="s">
        <v>8381</v>
      </c>
      <c r="B672" s="32" t="s">
        <v>97</v>
      </c>
      <c r="C672" s="32" t="s">
        <v>9</v>
      </c>
      <c r="D672" s="32" t="n">
        <v>10</v>
      </c>
      <c r="E672" s="33" t="s">
        <v>3375</v>
      </c>
      <c r="F672" s="33" t="s">
        <v>8395</v>
      </c>
      <c r="G672" s="33"/>
      <c r="H672" s="33" t="s">
        <v>168</v>
      </c>
      <c r="I672" s="33"/>
    </row>
    <row r="673" customFormat="false" ht="15" hidden="false" customHeight="false" outlineLevel="0" collapsed="false">
      <c r="A673" s="32" t="s">
        <v>8396</v>
      </c>
      <c r="B673" s="32" t="s">
        <v>97</v>
      </c>
      <c r="C673" s="32" t="s">
        <v>9</v>
      </c>
      <c r="D673" s="32" t="n">
        <v>10</v>
      </c>
      <c r="E673" s="33" t="s">
        <v>8410</v>
      </c>
      <c r="F673" s="33" t="s">
        <v>8411</v>
      </c>
      <c r="G673" s="33"/>
      <c r="H673" s="33" t="s">
        <v>168</v>
      </c>
      <c r="I673" s="33"/>
    </row>
    <row r="674" customFormat="false" ht="15" hidden="false" customHeight="false" outlineLevel="0" collapsed="false">
      <c r="A674" s="32" t="s">
        <v>8412</v>
      </c>
      <c r="B674" s="32" t="s">
        <v>97</v>
      </c>
      <c r="C674" s="32" t="s">
        <v>9</v>
      </c>
      <c r="D674" s="32" t="n">
        <v>10</v>
      </c>
      <c r="E674" s="33" t="s">
        <v>3413</v>
      </c>
      <c r="F674" s="33" t="s">
        <v>8418</v>
      </c>
      <c r="G674" s="33"/>
      <c r="H674" s="33" t="s">
        <v>168</v>
      </c>
      <c r="I674" s="33"/>
    </row>
    <row r="675" customFormat="false" ht="26.85" hidden="false" customHeight="false" outlineLevel="0" collapsed="false">
      <c r="A675" s="32" t="s">
        <v>8419</v>
      </c>
      <c r="B675" s="32" t="s">
        <v>97</v>
      </c>
      <c r="C675" s="32" t="s">
        <v>9</v>
      </c>
      <c r="D675" s="32" t="n">
        <v>10</v>
      </c>
      <c r="E675" s="33" t="s">
        <v>3413</v>
      </c>
      <c r="F675" s="33" t="s">
        <v>8432</v>
      </c>
      <c r="G675" s="33"/>
      <c r="H675" s="33" t="s">
        <v>168</v>
      </c>
      <c r="I675" s="33"/>
    </row>
    <row r="676" customFormat="false" ht="15" hidden="false" customHeight="false" outlineLevel="0" collapsed="false">
      <c r="A676" s="32" t="s">
        <v>8433</v>
      </c>
      <c r="B676" s="32" t="s">
        <v>97</v>
      </c>
      <c r="C676" s="32" t="s">
        <v>9</v>
      </c>
      <c r="D676" s="32" t="n">
        <v>10</v>
      </c>
      <c r="E676" s="33" t="s">
        <v>3413</v>
      </c>
      <c r="F676" s="33" t="s">
        <v>8445</v>
      </c>
      <c r="G676" s="33"/>
      <c r="H676" s="33" t="s">
        <v>168</v>
      </c>
      <c r="I676" s="33"/>
    </row>
    <row r="677" customFormat="false" ht="15" hidden="false" customHeight="false" outlineLevel="0" collapsed="false">
      <c r="A677" s="32" t="s">
        <v>8446</v>
      </c>
      <c r="B677" s="32" t="s">
        <v>97</v>
      </c>
      <c r="C677" s="32" t="s">
        <v>12</v>
      </c>
      <c r="D677" s="32" t="n">
        <v>10</v>
      </c>
      <c r="E677" s="33" t="s">
        <v>8457</v>
      </c>
      <c r="F677" s="33" t="s">
        <v>3435</v>
      </c>
      <c r="G677" s="33"/>
      <c r="H677" s="33" t="s">
        <v>168</v>
      </c>
      <c r="I677" s="33"/>
    </row>
    <row r="678" customFormat="false" ht="15" hidden="false" customHeight="false" outlineLevel="0" collapsed="false">
      <c r="A678" s="32" t="s">
        <v>8458</v>
      </c>
      <c r="B678" s="32" t="s">
        <v>97</v>
      </c>
      <c r="C678" s="32" t="s">
        <v>12</v>
      </c>
      <c r="D678" s="32" t="n">
        <v>10</v>
      </c>
      <c r="E678" s="33" t="s">
        <v>8471</v>
      </c>
      <c r="F678" s="33" t="s">
        <v>8472</v>
      </c>
      <c r="G678" s="33"/>
      <c r="H678" s="33" t="s">
        <v>168</v>
      </c>
      <c r="I678" s="33"/>
    </row>
    <row r="679" customFormat="false" ht="15" hidden="false" customHeight="false" outlineLevel="0" collapsed="false">
      <c r="A679" s="32" t="s">
        <v>8473</v>
      </c>
      <c r="B679" s="32" t="s">
        <v>97</v>
      </c>
      <c r="C679" s="32" t="s">
        <v>12</v>
      </c>
      <c r="D679" s="32" t="n">
        <v>10</v>
      </c>
      <c r="E679" s="33" t="s">
        <v>8484</v>
      </c>
      <c r="F679" s="33" t="s">
        <v>8485</v>
      </c>
      <c r="G679" s="33"/>
      <c r="H679" s="33" t="s">
        <v>168</v>
      </c>
      <c r="I679" s="33"/>
    </row>
    <row r="680" customFormat="false" ht="26.85" hidden="false" customHeight="false" outlineLevel="0" collapsed="false">
      <c r="A680" s="32" t="s">
        <v>8486</v>
      </c>
      <c r="B680" s="32" t="s">
        <v>8487</v>
      </c>
      <c r="C680" s="32" t="s">
        <v>9</v>
      </c>
      <c r="D680" s="32" t="n">
        <v>60</v>
      </c>
      <c r="E680" s="33" t="s">
        <v>8500</v>
      </c>
      <c r="F680" s="33" t="s">
        <v>8501</v>
      </c>
      <c r="G680" s="33" t="s">
        <v>16319</v>
      </c>
      <c r="H680" s="33" t="s">
        <v>115</v>
      </c>
      <c r="I680" s="33" t="s">
        <v>8503</v>
      </c>
    </row>
    <row r="681" customFormat="false" ht="26.85" hidden="false" customHeight="false" outlineLevel="0" collapsed="false">
      <c r="A681" s="32" t="s">
        <v>8504</v>
      </c>
      <c r="B681" s="32" t="s">
        <v>8487</v>
      </c>
      <c r="C681" s="32" t="s">
        <v>9</v>
      </c>
      <c r="D681" s="32" t="n">
        <v>60</v>
      </c>
      <c r="E681" s="33" t="s">
        <v>8516</v>
      </c>
      <c r="F681" s="33" t="s">
        <v>8517</v>
      </c>
      <c r="G681" s="33" t="s">
        <v>16320</v>
      </c>
      <c r="H681" s="33" t="s">
        <v>115</v>
      </c>
      <c r="I681" s="33" t="s">
        <v>8503</v>
      </c>
    </row>
    <row r="682" customFormat="false" ht="75.6" hidden="false" customHeight="true" outlineLevel="0" collapsed="false">
      <c r="A682" s="33" t="s">
        <v>8519</v>
      </c>
      <c r="B682" s="33" t="s">
        <v>8487</v>
      </c>
      <c r="C682" s="33" t="s">
        <v>9</v>
      </c>
      <c r="D682" s="33" t="n">
        <v>80</v>
      </c>
      <c r="E682" s="33" t="s">
        <v>16321</v>
      </c>
      <c r="F682" s="33" t="s">
        <v>16322</v>
      </c>
      <c r="G682" s="33" t="s">
        <v>16323</v>
      </c>
      <c r="H682" s="33" t="s">
        <v>168</v>
      </c>
      <c r="I682" s="33" t="s">
        <v>941</v>
      </c>
    </row>
    <row r="683" customFormat="false" ht="52.2" hidden="false" customHeight="false" outlineLevel="0" collapsed="false">
      <c r="A683" s="32" t="s">
        <v>8533</v>
      </c>
      <c r="B683" s="32" t="s">
        <v>8487</v>
      </c>
      <c r="C683" s="32" t="s">
        <v>9</v>
      </c>
      <c r="D683" s="32" t="n">
        <v>80</v>
      </c>
      <c r="E683" s="33" t="s">
        <v>8547</v>
      </c>
      <c r="F683" s="33" t="s">
        <v>8548</v>
      </c>
      <c r="G683" s="33" t="s">
        <v>16324</v>
      </c>
      <c r="H683" s="33" t="s">
        <v>168</v>
      </c>
      <c r="I683" s="33" t="s">
        <v>941</v>
      </c>
    </row>
    <row r="684" customFormat="false" ht="26.85" hidden="false" customHeight="false" outlineLevel="0" collapsed="false">
      <c r="A684" s="32" t="s">
        <v>8550</v>
      </c>
      <c r="B684" s="32" t="s">
        <v>8487</v>
      </c>
      <c r="C684" s="32" t="s">
        <v>9</v>
      </c>
      <c r="D684" s="32" t="n">
        <v>60</v>
      </c>
      <c r="E684" s="33" t="s">
        <v>8561</v>
      </c>
      <c r="F684" s="33" t="s">
        <v>8562</v>
      </c>
      <c r="G684" s="33" t="s">
        <v>16325</v>
      </c>
      <c r="H684" s="33" t="s">
        <v>115</v>
      </c>
      <c r="I684" s="33" t="s">
        <v>8503</v>
      </c>
    </row>
    <row r="685" customFormat="false" ht="39.55" hidden="false" customHeight="false" outlineLevel="0" collapsed="false">
      <c r="A685" s="32" t="s">
        <v>8564</v>
      </c>
      <c r="B685" s="32" t="s">
        <v>8487</v>
      </c>
      <c r="C685" s="32" t="s">
        <v>9</v>
      </c>
      <c r="D685" s="32" t="n">
        <v>60</v>
      </c>
      <c r="E685" s="33" t="s">
        <v>8574</v>
      </c>
      <c r="F685" s="33" t="s">
        <v>8575</v>
      </c>
      <c r="G685" s="33" t="s">
        <v>16326</v>
      </c>
      <c r="H685" s="33" t="s">
        <v>115</v>
      </c>
      <c r="I685" s="33" t="s">
        <v>8503</v>
      </c>
    </row>
    <row r="686" customFormat="false" ht="26.85" hidden="false" customHeight="false" outlineLevel="0" collapsed="false">
      <c r="A686" s="32" t="s">
        <v>8577</v>
      </c>
      <c r="B686" s="32" t="s">
        <v>8487</v>
      </c>
      <c r="C686" s="32" t="s">
        <v>9</v>
      </c>
      <c r="D686" s="32" t="n">
        <v>60</v>
      </c>
      <c r="E686" s="33" t="s">
        <v>8589</v>
      </c>
      <c r="F686" s="33" t="s">
        <v>8590</v>
      </c>
      <c r="G686" s="33" t="s">
        <v>16327</v>
      </c>
      <c r="H686" s="33" t="s">
        <v>115</v>
      </c>
      <c r="I686" s="33" t="s">
        <v>8503</v>
      </c>
    </row>
    <row r="687" customFormat="false" ht="39.55" hidden="false" customHeight="false" outlineLevel="0" collapsed="false">
      <c r="A687" s="32" t="s">
        <v>8592</v>
      </c>
      <c r="B687" s="32" t="s">
        <v>8487</v>
      </c>
      <c r="C687" s="32" t="s">
        <v>9</v>
      </c>
      <c r="D687" s="32" t="n">
        <v>80</v>
      </c>
      <c r="E687" s="33" t="s">
        <v>8605</v>
      </c>
      <c r="F687" s="33" t="s">
        <v>8606</v>
      </c>
      <c r="G687" s="33" t="s">
        <v>16328</v>
      </c>
      <c r="H687" s="33" t="s">
        <v>168</v>
      </c>
      <c r="I687" s="33" t="s">
        <v>941</v>
      </c>
    </row>
    <row r="688" customFormat="false" ht="32.4" hidden="false" customHeight="true" outlineLevel="0" collapsed="false">
      <c r="A688" s="33" t="s">
        <v>8608</v>
      </c>
      <c r="B688" s="33" t="s">
        <v>8487</v>
      </c>
      <c r="C688" s="33" t="s">
        <v>9</v>
      </c>
      <c r="D688" s="33" t="n">
        <v>80</v>
      </c>
      <c r="E688" s="33" t="s">
        <v>8620</v>
      </c>
      <c r="F688" s="33" t="s">
        <v>8621</v>
      </c>
      <c r="G688" s="33" t="s">
        <v>16329</v>
      </c>
      <c r="H688" s="33" t="s">
        <v>168</v>
      </c>
      <c r="I688" s="33" t="s">
        <v>941</v>
      </c>
    </row>
    <row r="689" customFormat="false" ht="15" hidden="false" customHeight="true" outlineLevel="0" collapsed="false">
      <c r="A689" s="28" t="s">
        <v>8623</v>
      </c>
      <c r="B689" s="28" t="s">
        <v>8487</v>
      </c>
      <c r="C689" s="28" t="s">
        <v>9</v>
      </c>
      <c r="D689" s="28" t="n">
        <v>60</v>
      </c>
      <c r="E689" s="28" t="s">
        <v>8643</v>
      </c>
      <c r="F689" s="28"/>
      <c r="G689" s="28" t="s">
        <v>8626</v>
      </c>
      <c r="H689" s="28" t="s">
        <v>115</v>
      </c>
      <c r="I689" s="28" t="s">
        <v>8645</v>
      </c>
    </row>
    <row r="690" customFormat="false" ht="15" hidden="false" customHeight="true" outlineLevel="0" collapsed="false">
      <c r="A690" s="28" t="s">
        <v>8646</v>
      </c>
      <c r="B690" s="28" t="s">
        <v>8487</v>
      </c>
      <c r="C690" s="28" t="s">
        <v>9</v>
      </c>
      <c r="D690" s="28" t="n">
        <v>60</v>
      </c>
      <c r="E690" s="28" t="s">
        <v>8643</v>
      </c>
      <c r="F690" s="28"/>
      <c r="G690" s="28" t="s">
        <v>8648</v>
      </c>
      <c r="H690" s="28" t="s">
        <v>115</v>
      </c>
      <c r="I690" s="28" t="s">
        <v>8645</v>
      </c>
    </row>
    <row r="691" customFormat="false" ht="15" hidden="false" customHeight="true" outlineLevel="0" collapsed="false">
      <c r="A691" s="28" t="s">
        <v>8662</v>
      </c>
      <c r="B691" s="28" t="s">
        <v>8487</v>
      </c>
      <c r="C691" s="28" t="s">
        <v>9</v>
      </c>
      <c r="D691" s="28" t="n">
        <v>60</v>
      </c>
      <c r="E691" s="28" t="s">
        <v>8643</v>
      </c>
      <c r="F691" s="28"/>
      <c r="G691" s="28" t="s">
        <v>8663</v>
      </c>
      <c r="H691" s="28" t="s">
        <v>115</v>
      </c>
      <c r="I691" s="28" t="s">
        <v>8645</v>
      </c>
    </row>
    <row r="692" customFormat="false" ht="15" hidden="false" customHeight="true" outlineLevel="0" collapsed="false">
      <c r="A692" s="28" t="s">
        <v>8678</v>
      </c>
      <c r="B692" s="28" t="s">
        <v>8487</v>
      </c>
      <c r="C692" s="28" t="s">
        <v>9</v>
      </c>
      <c r="D692" s="28" t="n">
        <v>60</v>
      </c>
      <c r="E692" s="28" t="s">
        <v>8643</v>
      </c>
      <c r="F692" s="28"/>
      <c r="G692" s="28" t="s">
        <v>8679</v>
      </c>
      <c r="H692" s="28" t="s">
        <v>115</v>
      </c>
      <c r="I692" s="28" t="s">
        <v>8645</v>
      </c>
    </row>
    <row r="693" customFormat="false" ht="15" hidden="false" customHeight="true" outlineLevel="0" collapsed="false">
      <c r="A693" s="28" t="s">
        <v>8692</v>
      </c>
      <c r="B693" s="28" t="s">
        <v>8487</v>
      </c>
      <c r="C693" s="28" t="s">
        <v>9</v>
      </c>
      <c r="D693" s="28" t="n">
        <v>60</v>
      </c>
      <c r="E693" s="28" t="s">
        <v>8643</v>
      </c>
      <c r="F693" s="28"/>
      <c r="G693" s="28" t="s">
        <v>8694</v>
      </c>
      <c r="H693" s="28" t="s">
        <v>115</v>
      </c>
      <c r="I693" s="28" t="s">
        <v>8645</v>
      </c>
    </row>
    <row r="694" customFormat="false" ht="15" hidden="false" customHeight="true" outlineLevel="0" collapsed="false">
      <c r="A694" s="28" t="s">
        <v>8707</v>
      </c>
      <c r="B694" s="28" t="s">
        <v>8487</v>
      </c>
      <c r="C694" s="28" t="s">
        <v>9</v>
      </c>
      <c r="D694" s="28" t="n">
        <v>60</v>
      </c>
      <c r="E694" s="28" t="s">
        <v>8643</v>
      </c>
      <c r="F694" s="28"/>
      <c r="G694" s="28" t="s">
        <v>8708</v>
      </c>
      <c r="H694" s="28" t="s">
        <v>115</v>
      </c>
      <c r="I694" s="28" t="s">
        <v>8645</v>
      </c>
    </row>
    <row r="695" customFormat="false" ht="15" hidden="false" customHeight="true" outlineLevel="0" collapsed="false">
      <c r="A695" s="28" t="s">
        <v>8722</v>
      </c>
      <c r="B695" s="28" t="s">
        <v>8487</v>
      </c>
      <c r="C695" s="28" t="s">
        <v>9</v>
      </c>
      <c r="D695" s="28" t="n">
        <v>60</v>
      </c>
      <c r="E695" s="28" t="s">
        <v>8643</v>
      </c>
      <c r="F695" s="28"/>
      <c r="G695" s="28" t="s">
        <v>8724</v>
      </c>
      <c r="H695" s="28" t="s">
        <v>115</v>
      </c>
      <c r="I695" s="28" t="s">
        <v>8645</v>
      </c>
    </row>
    <row r="696" customFormat="false" ht="15" hidden="false" customHeight="true" outlineLevel="0" collapsed="false">
      <c r="A696" s="28" t="s">
        <v>8738</v>
      </c>
      <c r="B696" s="28" t="s">
        <v>8487</v>
      </c>
      <c r="C696" s="28" t="s">
        <v>9</v>
      </c>
      <c r="D696" s="28" t="n">
        <v>60</v>
      </c>
      <c r="E696" s="28" t="s">
        <v>8643</v>
      </c>
      <c r="F696" s="28"/>
      <c r="G696" s="28" t="s">
        <v>8740</v>
      </c>
      <c r="H696" s="28" t="s">
        <v>115</v>
      </c>
      <c r="I696" s="28" t="s">
        <v>8645</v>
      </c>
    </row>
    <row r="697" customFormat="false" ht="39.6" hidden="false" customHeight="true" outlineLevel="0" collapsed="false">
      <c r="A697" s="28" t="s">
        <v>8755</v>
      </c>
      <c r="B697" s="28" t="s">
        <v>8487</v>
      </c>
      <c r="C697" s="28" t="s">
        <v>9</v>
      </c>
      <c r="D697" s="28" t="n">
        <v>80</v>
      </c>
      <c r="E697" s="28" t="s">
        <v>8772</v>
      </c>
      <c r="F697" s="28" t="s">
        <v>8773</v>
      </c>
      <c r="G697" s="28" t="s">
        <v>16330</v>
      </c>
      <c r="H697" s="28" t="s">
        <v>168</v>
      </c>
      <c r="I697" s="28" t="s">
        <v>941</v>
      </c>
    </row>
    <row r="698" customFormat="false" ht="26.4" hidden="false" customHeight="true" outlineLevel="0" collapsed="false">
      <c r="A698" s="28" t="s">
        <v>4557</v>
      </c>
      <c r="B698" s="28" t="s">
        <v>8487</v>
      </c>
      <c r="C698" s="28" t="s">
        <v>9</v>
      </c>
      <c r="D698" s="28" t="n">
        <v>70</v>
      </c>
      <c r="E698" s="28" t="s">
        <v>8788</v>
      </c>
      <c r="F698" s="28" t="s">
        <v>8789</v>
      </c>
      <c r="G698" s="28" t="s">
        <v>8775</v>
      </c>
      <c r="H698" s="28" t="s">
        <v>115</v>
      </c>
      <c r="I698" s="28" t="s">
        <v>8791</v>
      </c>
    </row>
    <row r="699" customFormat="false" ht="26.4" hidden="false" customHeight="true" outlineLevel="0" collapsed="false">
      <c r="A699" s="28" t="s">
        <v>8792</v>
      </c>
      <c r="B699" s="28" t="s">
        <v>8487</v>
      </c>
      <c r="C699" s="28" t="s">
        <v>9</v>
      </c>
      <c r="D699" s="28" t="n">
        <v>70</v>
      </c>
      <c r="E699" s="28" t="s">
        <v>8788</v>
      </c>
      <c r="F699" s="28" t="s">
        <v>8807</v>
      </c>
      <c r="G699" s="28" t="s">
        <v>8794</v>
      </c>
      <c r="H699" s="28" t="s">
        <v>115</v>
      </c>
      <c r="I699" s="28" t="s">
        <v>8791</v>
      </c>
    </row>
    <row r="700" customFormat="false" ht="52.8" hidden="false" customHeight="true" outlineLevel="0" collapsed="false">
      <c r="A700" s="28" t="s">
        <v>8809</v>
      </c>
      <c r="B700" s="28" t="s">
        <v>8487</v>
      </c>
      <c r="C700" s="28" t="s">
        <v>9</v>
      </c>
      <c r="D700" s="28" t="n">
        <v>70</v>
      </c>
      <c r="E700" s="28" t="s">
        <v>8788</v>
      </c>
      <c r="F700" s="28" t="s">
        <v>8823</v>
      </c>
      <c r="G700" s="28" t="s">
        <v>8810</v>
      </c>
      <c r="H700" s="28" t="s">
        <v>115</v>
      </c>
      <c r="I700" s="28" t="s">
        <v>8791</v>
      </c>
    </row>
    <row r="701" customFormat="false" ht="39.6" hidden="false" customHeight="true" outlineLevel="0" collapsed="false">
      <c r="A701" s="28" t="s">
        <v>8825</v>
      </c>
      <c r="B701" s="28" t="s">
        <v>8487</v>
      </c>
      <c r="C701" s="28" t="s">
        <v>9</v>
      </c>
      <c r="D701" s="28" t="n">
        <v>80</v>
      </c>
      <c r="E701" s="28" t="s">
        <v>8772</v>
      </c>
      <c r="F701" s="28" t="s">
        <v>8839</v>
      </c>
      <c r="G701" s="28" t="s">
        <v>16331</v>
      </c>
      <c r="H701" s="28" t="s">
        <v>168</v>
      </c>
      <c r="I701" s="28" t="s">
        <v>941</v>
      </c>
    </row>
    <row r="702" customFormat="false" ht="52.8" hidden="false" customHeight="true" outlineLevel="0" collapsed="false">
      <c r="A702" s="28" t="s">
        <v>8841</v>
      </c>
      <c r="B702" s="28" t="s">
        <v>8487</v>
      </c>
      <c r="C702" s="28" t="s">
        <v>9</v>
      </c>
      <c r="D702" s="28" t="n">
        <v>100</v>
      </c>
      <c r="E702" s="28" t="s">
        <v>8856</v>
      </c>
      <c r="F702" s="28" t="s">
        <v>8857</v>
      </c>
      <c r="G702" s="28" t="s">
        <v>16332</v>
      </c>
      <c r="H702" s="28" t="s">
        <v>168</v>
      </c>
      <c r="I702" s="28" t="s">
        <v>545</v>
      </c>
    </row>
    <row r="703" customFormat="false" ht="26.4" hidden="false" customHeight="true" outlineLevel="0" collapsed="false">
      <c r="A703" s="28" t="s">
        <v>8859</v>
      </c>
      <c r="B703" s="28" t="s">
        <v>8487</v>
      </c>
      <c r="C703" s="28" t="s">
        <v>9</v>
      </c>
      <c r="D703" s="28" t="n">
        <v>70</v>
      </c>
      <c r="E703" s="28" t="s">
        <v>8788</v>
      </c>
      <c r="F703" s="28" t="s">
        <v>8873</v>
      </c>
      <c r="G703" s="28" t="s">
        <v>8860</v>
      </c>
      <c r="H703" s="28" t="s">
        <v>115</v>
      </c>
      <c r="I703" s="28" t="s">
        <v>8791</v>
      </c>
    </row>
    <row r="704" customFormat="false" ht="39.6" hidden="false" customHeight="true" outlineLevel="0" collapsed="false">
      <c r="A704" s="28" t="s">
        <v>8875</v>
      </c>
      <c r="B704" s="28" t="s">
        <v>8487</v>
      </c>
      <c r="C704" s="28" t="s">
        <v>9</v>
      </c>
      <c r="D704" s="28" t="n">
        <v>100</v>
      </c>
      <c r="E704" s="28" t="s">
        <v>8856</v>
      </c>
      <c r="F704" s="28" t="s">
        <v>8889</v>
      </c>
      <c r="G704" s="28" t="s">
        <v>16333</v>
      </c>
      <c r="H704" s="28" t="s">
        <v>168</v>
      </c>
      <c r="I704" s="28" t="s">
        <v>545</v>
      </c>
    </row>
    <row r="705" customFormat="false" ht="52.8" hidden="false" customHeight="true" outlineLevel="0" collapsed="false">
      <c r="A705" s="28" t="s">
        <v>8891</v>
      </c>
      <c r="B705" s="28" t="s">
        <v>8487</v>
      </c>
      <c r="C705" s="28" t="s">
        <v>9</v>
      </c>
      <c r="D705" s="28" t="n">
        <v>70</v>
      </c>
      <c r="E705" s="28" t="s">
        <v>8788</v>
      </c>
      <c r="F705" s="28" t="s">
        <v>8906</v>
      </c>
      <c r="G705" s="28" t="s">
        <v>8893</v>
      </c>
      <c r="H705" s="28" t="s">
        <v>115</v>
      </c>
      <c r="I705" s="28" t="s">
        <v>8791</v>
      </c>
    </row>
    <row r="706" customFormat="false" ht="39.6" hidden="false" customHeight="true" outlineLevel="0" collapsed="false">
      <c r="A706" s="28" t="s">
        <v>8908</v>
      </c>
      <c r="B706" s="28" t="s">
        <v>8487</v>
      </c>
      <c r="C706" s="28" t="s">
        <v>9</v>
      </c>
      <c r="D706" s="28" t="n">
        <v>70</v>
      </c>
      <c r="E706" s="28" t="s">
        <v>8788</v>
      </c>
      <c r="F706" s="28" t="s">
        <v>8921</v>
      </c>
      <c r="G706" s="28" t="s">
        <v>8909</v>
      </c>
      <c r="H706" s="28" t="s">
        <v>115</v>
      </c>
      <c r="I706" s="28" t="s">
        <v>8791</v>
      </c>
    </row>
    <row r="707" customFormat="false" ht="26.4" hidden="false" customHeight="true" outlineLevel="0" collapsed="false">
      <c r="A707" s="28" t="s">
        <v>4291</v>
      </c>
      <c r="B707" s="28" t="s">
        <v>8487</v>
      </c>
      <c r="C707" s="28" t="s">
        <v>9</v>
      </c>
      <c r="D707" s="28" t="n">
        <v>70</v>
      </c>
      <c r="E707" s="28" t="s">
        <v>8788</v>
      </c>
      <c r="F707" s="28" t="s">
        <v>8937</v>
      </c>
      <c r="G707" s="28" t="s">
        <v>8923</v>
      </c>
      <c r="H707" s="28" t="s">
        <v>115</v>
      </c>
      <c r="I707" s="28" t="s">
        <v>8791</v>
      </c>
    </row>
    <row r="708" customFormat="false" ht="39.6" hidden="false" customHeight="true" outlineLevel="0" collapsed="false">
      <c r="A708" s="28" t="s">
        <v>8939</v>
      </c>
      <c r="B708" s="28" t="s">
        <v>8487</v>
      </c>
      <c r="C708" s="28" t="s">
        <v>9</v>
      </c>
      <c r="D708" s="28" t="n">
        <v>70</v>
      </c>
      <c r="E708" s="28" t="s">
        <v>8788</v>
      </c>
      <c r="F708" s="28" t="s">
        <v>8954</v>
      </c>
      <c r="G708" s="28" t="s">
        <v>8940</v>
      </c>
      <c r="H708" s="28" t="s">
        <v>115</v>
      </c>
      <c r="I708" s="28" t="s">
        <v>8791</v>
      </c>
    </row>
    <row r="709" customFormat="false" ht="26.4" hidden="false" customHeight="true" outlineLevel="0" collapsed="false">
      <c r="A709" s="28" t="s">
        <v>1551</v>
      </c>
      <c r="B709" s="28" t="s">
        <v>8487</v>
      </c>
      <c r="C709" s="28" t="s">
        <v>9</v>
      </c>
      <c r="D709" s="28" t="n">
        <v>100</v>
      </c>
      <c r="E709" s="28" t="s">
        <v>8856</v>
      </c>
      <c r="F709" s="28" t="s">
        <v>8969</v>
      </c>
      <c r="G709" s="28" t="s">
        <v>16334</v>
      </c>
      <c r="H709" s="28" t="s">
        <v>168</v>
      </c>
      <c r="I709" s="28" t="s">
        <v>545</v>
      </c>
    </row>
    <row r="710" customFormat="false" ht="26.4" hidden="false" customHeight="true" outlineLevel="0" collapsed="false">
      <c r="A710" s="28" t="s">
        <v>8971</v>
      </c>
      <c r="B710" s="28" t="s">
        <v>8487</v>
      </c>
      <c r="C710" s="28" t="s">
        <v>9</v>
      </c>
      <c r="D710" s="28" t="n">
        <v>80</v>
      </c>
      <c r="E710" s="28" t="s">
        <v>8772</v>
      </c>
      <c r="F710" s="28" t="s">
        <v>8985</v>
      </c>
      <c r="G710" s="28" t="s">
        <v>16335</v>
      </c>
      <c r="H710" s="28" t="s">
        <v>168</v>
      </c>
      <c r="I710" s="28" t="s">
        <v>941</v>
      </c>
    </row>
    <row r="711" customFormat="false" ht="26.4" hidden="false" customHeight="true" outlineLevel="0" collapsed="false">
      <c r="A711" s="28" t="s">
        <v>8987</v>
      </c>
      <c r="B711" s="28" t="s">
        <v>8487</v>
      </c>
      <c r="C711" s="28" t="s">
        <v>9</v>
      </c>
      <c r="D711" s="28" t="n">
        <v>70</v>
      </c>
      <c r="E711" s="28" t="s">
        <v>8788</v>
      </c>
      <c r="F711" s="28" t="s">
        <v>9003</v>
      </c>
      <c r="G711" s="28" t="s">
        <v>8989</v>
      </c>
      <c r="H711" s="28" t="s">
        <v>115</v>
      </c>
      <c r="I711" s="28" t="s">
        <v>8791</v>
      </c>
    </row>
    <row r="712" customFormat="false" ht="39.6" hidden="false" customHeight="true" outlineLevel="0" collapsed="false">
      <c r="A712" s="28" t="s">
        <v>9005</v>
      </c>
      <c r="B712" s="28" t="s">
        <v>8487</v>
      </c>
      <c r="C712" s="28" t="s">
        <v>9</v>
      </c>
      <c r="D712" s="28" t="n">
        <v>100</v>
      </c>
      <c r="E712" s="28" t="s">
        <v>9020</v>
      </c>
      <c r="F712" s="28" t="s">
        <v>9021</v>
      </c>
      <c r="G712" s="28" t="s">
        <v>16336</v>
      </c>
      <c r="H712" s="28" t="s">
        <v>115</v>
      </c>
      <c r="I712" s="28" t="s">
        <v>545</v>
      </c>
    </row>
    <row r="713" customFormat="false" ht="39.6" hidden="false" customHeight="true" outlineLevel="0" collapsed="false">
      <c r="A713" s="28" t="s">
        <v>9023</v>
      </c>
      <c r="B713" s="28" t="s">
        <v>8487</v>
      </c>
      <c r="C713" s="28" t="s">
        <v>9</v>
      </c>
      <c r="D713" s="28" t="n">
        <v>70</v>
      </c>
      <c r="E713" s="28" t="s">
        <v>8788</v>
      </c>
      <c r="F713" s="28" t="s">
        <v>9037</v>
      </c>
      <c r="G713" s="28" t="s">
        <v>9024</v>
      </c>
      <c r="H713" s="28" t="s">
        <v>115</v>
      </c>
      <c r="I713" s="28" t="s">
        <v>8791</v>
      </c>
    </row>
    <row r="714" customFormat="false" ht="79.2" hidden="false" customHeight="true" outlineLevel="0" collapsed="false">
      <c r="A714" s="28" t="s">
        <v>9039</v>
      </c>
      <c r="B714" s="28" t="s">
        <v>8487</v>
      </c>
      <c r="C714" s="28" t="s">
        <v>9</v>
      </c>
      <c r="D714" s="28" t="n">
        <v>100</v>
      </c>
      <c r="E714" s="28" t="s">
        <v>9056</v>
      </c>
      <c r="F714" s="28" t="s">
        <v>9057</v>
      </c>
      <c r="G714" s="28" t="s">
        <v>16337</v>
      </c>
      <c r="H714" s="28" t="s">
        <v>168</v>
      </c>
      <c r="I714" s="28" t="s">
        <v>545</v>
      </c>
    </row>
    <row r="715" customFormat="false" ht="39.6" hidden="false" customHeight="true" outlineLevel="0" collapsed="false">
      <c r="A715" s="28" t="s">
        <v>1049</v>
      </c>
      <c r="B715" s="28" t="s">
        <v>8487</v>
      </c>
      <c r="C715" s="28" t="s">
        <v>9</v>
      </c>
      <c r="D715" s="28" t="n">
        <v>80</v>
      </c>
      <c r="E715" s="28" t="s">
        <v>8772</v>
      </c>
      <c r="F715" s="28" t="s">
        <v>9073</v>
      </c>
      <c r="G715" s="28" t="s">
        <v>16338</v>
      </c>
      <c r="H715" s="28" t="s">
        <v>168</v>
      </c>
      <c r="I715" s="28" t="s">
        <v>941</v>
      </c>
    </row>
    <row r="716" customFormat="false" ht="39.6" hidden="false" customHeight="true" outlineLevel="0" collapsed="false">
      <c r="A716" s="28" t="s">
        <v>9075</v>
      </c>
      <c r="B716" s="28" t="s">
        <v>8487</v>
      </c>
      <c r="C716" s="28" t="s">
        <v>9</v>
      </c>
      <c r="D716" s="28" t="n">
        <v>100</v>
      </c>
      <c r="E716" s="28" t="s">
        <v>8856</v>
      </c>
      <c r="F716" s="28" t="s">
        <v>9089</v>
      </c>
      <c r="G716" s="28" t="s">
        <v>16339</v>
      </c>
      <c r="H716" s="28" t="s">
        <v>168</v>
      </c>
      <c r="I716" s="28" t="s">
        <v>545</v>
      </c>
    </row>
    <row r="717" customFormat="false" ht="26.4" hidden="false" customHeight="true" outlineLevel="0" collapsed="false">
      <c r="A717" s="28" t="s">
        <v>9091</v>
      </c>
      <c r="B717" s="28" t="s">
        <v>8487</v>
      </c>
      <c r="C717" s="28" t="s">
        <v>9</v>
      </c>
      <c r="D717" s="28" t="n">
        <v>80</v>
      </c>
      <c r="E717" s="28" t="s">
        <v>8772</v>
      </c>
      <c r="F717" s="28" t="s">
        <v>9105</v>
      </c>
      <c r="G717" s="28" t="s">
        <v>16340</v>
      </c>
      <c r="H717" s="28" t="s">
        <v>168</v>
      </c>
      <c r="I717" s="28" t="s">
        <v>941</v>
      </c>
    </row>
    <row r="718" customFormat="false" ht="26.4" hidden="false" customHeight="true" outlineLevel="0" collapsed="false">
      <c r="A718" s="28" t="s">
        <v>9107</v>
      </c>
      <c r="B718" s="28" t="s">
        <v>8487</v>
      </c>
      <c r="C718" s="28" t="s">
        <v>9</v>
      </c>
      <c r="D718" s="28" t="n">
        <v>100</v>
      </c>
      <c r="E718" s="28" t="s">
        <v>9020</v>
      </c>
      <c r="F718" s="28" t="s">
        <v>9122</v>
      </c>
      <c r="G718" s="28" t="s">
        <v>16341</v>
      </c>
      <c r="H718" s="28" t="s">
        <v>115</v>
      </c>
      <c r="I718" s="28" t="s">
        <v>545</v>
      </c>
    </row>
    <row r="719" customFormat="false" ht="79.2" hidden="false" customHeight="true" outlineLevel="0" collapsed="false">
      <c r="A719" s="28" t="s">
        <v>9124</v>
      </c>
      <c r="B719" s="28" t="s">
        <v>8487</v>
      </c>
      <c r="C719" s="28" t="s">
        <v>9</v>
      </c>
      <c r="D719" s="28" t="n">
        <v>80</v>
      </c>
      <c r="E719" s="28" t="s">
        <v>8772</v>
      </c>
      <c r="F719" s="28" t="s">
        <v>9138</v>
      </c>
      <c r="G719" s="28" t="s">
        <v>16342</v>
      </c>
      <c r="H719" s="28" t="s">
        <v>168</v>
      </c>
      <c r="I719" s="28" t="s">
        <v>941</v>
      </c>
    </row>
    <row r="720" customFormat="false" ht="39.6" hidden="false" customHeight="true" outlineLevel="0" collapsed="false">
      <c r="A720" s="28" t="s">
        <v>9140</v>
      </c>
      <c r="B720" s="28" t="s">
        <v>8487</v>
      </c>
      <c r="C720" s="28" t="s">
        <v>9</v>
      </c>
      <c r="D720" s="28" t="n">
        <v>80</v>
      </c>
      <c r="E720" s="28" t="s">
        <v>8772</v>
      </c>
      <c r="F720" s="28" t="s">
        <v>9154</v>
      </c>
      <c r="G720" s="28" t="s">
        <v>16343</v>
      </c>
      <c r="H720" s="28" t="s">
        <v>168</v>
      </c>
      <c r="I720" s="28" t="s">
        <v>941</v>
      </c>
    </row>
    <row r="721" customFormat="false" ht="66" hidden="false" customHeight="true" outlineLevel="0" collapsed="false">
      <c r="A721" s="28" t="s">
        <v>9156</v>
      </c>
      <c r="B721" s="28" t="s">
        <v>8487</v>
      </c>
      <c r="C721" s="28" t="s">
        <v>9</v>
      </c>
      <c r="D721" s="28" t="n">
        <v>80</v>
      </c>
      <c r="E721" s="28" t="s">
        <v>8772</v>
      </c>
      <c r="F721" s="28" t="s">
        <v>16344</v>
      </c>
      <c r="G721" s="28" t="s">
        <v>16345</v>
      </c>
      <c r="H721" s="28" t="s">
        <v>168</v>
      </c>
      <c r="I721" s="28" t="s">
        <v>941</v>
      </c>
    </row>
    <row r="722" customFormat="false" ht="26.4" hidden="false" customHeight="true" outlineLevel="0" collapsed="false">
      <c r="A722" s="28" t="s">
        <v>9175</v>
      </c>
      <c r="B722" s="28" t="s">
        <v>8487</v>
      </c>
      <c r="C722" s="28" t="s">
        <v>9</v>
      </c>
      <c r="D722" s="28" t="n">
        <v>100</v>
      </c>
      <c r="E722" s="28" t="s">
        <v>9195</v>
      </c>
      <c r="F722" s="28" t="s">
        <v>9196</v>
      </c>
      <c r="G722" s="28" t="s">
        <v>16346</v>
      </c>
      <c r="H722" s="28" t="s">
        <v>115</v>
      </c>
      <c r="I722" s="28" t="s">
        <v>545</v>
      </c>
    </row>
    <row r="723" customFormat="false" ht="52.8" hidden="false" customHeight="true" outlineLevel="0" collapsed="false">
      <c r="A723" s="28" t="s">
        <v>9198</v>
      </c>
      <c r="B723" s="28" t="s">
        <v>8487</v>
      </c>
      <c r="C723" s="28" t="s">
        <v>9</v>
      </c>
      <c r="D723" s="28" t="n">
        <v>80</v>
      </c>
      <c r="E723" s="28" t="s">
        <v>9211</v>
      </c>
      <c r="F723" s="28" t="s">
        <v>9212</v>
      </c>
      <c r="G723" s="28" t="s">
        <v>16347</v>
      </c>
      <c r="H723" s="28" t="s">
        <v>168</v>
      </c>
      <c r="I723" s="28" t="s">
        <v>9214</v>
      </c>
    </row>
    <row r="724" customFormat="false" ht="26.4" hidden="false" customHeight="true" outlineLevel="0" collapsed="false">
      <c r="A724" s="28" t="s">
        <v>2247</v>
      </c>
      <c r="B724" s="28" t="s">
        <v>8487</v>
      </c>
      <c r="C724" s="28" t="s">
        <v>9</v>
      </c>
      <c r="D724" s="28" t="n">
        <v>80</v>
      </c>
      <c r="E724" s="28" t="s">
        <v>9226</v>
      </c>
      <c r="F724" s="28" t="s">
        <v>2246</v>
      </c>
      <c r="G724" s="28" t="s">
        <v>9215</v>
      </c>
      <c r="H724" s="28" t="s">
        <v>115</v>
      </c>
      <c r="I724" s="28" t="s">
        <v>9228</v>
      </c>
    </row>
    <row r="725" customFormat="false" ht="26.4" hidden="false" customHeight="true" outlineLevel="0" collapsed="false">
      <c r="A725" s="28" t="s">
        <v>2292</v>
      </c>
      <c r="B725" s="28" t="s">
        <v>8487</v>
      </c>
      <c r="C725" s="28" t="s">
        <v>9</v>
      </c>
      <c r="D725" s="28" t="n">
        <v>80</v>
      </c>
      <c r="E725" s="28" t="s">
        <v>9226</v>
      </c>
      <c r="F725" s="28" t="s">
        <v>2246</v>
      </c>
      <c r="G725" s="28" t="s">
        <v>9229</v>
      </c>
      <c r="H725" s="28" t="s">
        <v>115</v>
      </c>
      <c r="I725" s="28" t="s">
        <v>9228</v>
      </c>
    </row>
    <row r="726" customFormat="false" ht="26.4" hidden="false" customHeight="true" outlineLevel="0" collapsed="false">
      <c r="A726" s="28" t="s">
        <v>3173</v>
      </c>
      <c r="B726" s="28" t="s">
        <v>8487</v>
      </c>
      <c r="C726" s="28" t="s">
        <v>9</v>
      </c>
      <c r="D726" s="28" t="n">
        <v>80</v>
      </c>
      <c r="E726" s="28" t="s">
        <v>9226</v>
      </c>
      <c r="F726" s="28" t="s">
        <v>955</v>
      </c>
      <c r="G726" s="28" t="s">
        <v>9241</v>
      </c>
      <c r="H726" s="28" t="s">
        <v>115</v>
      </c>
      <c r="I726" s="28" t="s">
        <v>9228</v>
      </c>
    </row>
    <row r="727" customFormat="false" ht="26.4" hidden="false" customHeight="true" outlineLevel="0" collapsed="false">
      <c r="A727" s="28" t="s">
        <v>7840</v>
      </c>
      <c r="B727" s="28" t="s">
        <v>8487</v>
      </c>
      <c r="C727" s="28" t="s">
        <v>9</v>
      </c>
      <c r="D727" s="28" t="n">
        <v>80</v>
      </c>
      <c r="E727" s="28" t="s">
        <v>9226</v>
      </c>
      <c r="F727" s="28" t="s">
        <v>9263</v>
      </c>
      <c r="G727" s="28" t="s">
        <v>9252</v>
      </c>
      <c r="H727" s="28" t="s">
        <v>115</v>
      </c>
      <c r="I727" s="28" t="s">
        <v>9228</v>
      </c>
    </row>
    <row r="728" customFormat="false" ht="26.4" hidden="false" customHeight="true" outlineLevel="0" collapsed="false">
      <c r="A728" s="28" t="s">
        <v>6279</v>
      </c>
      <c r="B728" s="28" t="s">
        <v>8487</v>
      </c>
      <c r="C728" s="28" t="s">
        <v>9</v>
      </c>
      <c r="D728" s="28" t="n">
        <v>80</v>
      </c>
      <c r="E728" s="28" t="s">
        <v>9226</v>
      </c>
      <c r="F728" s="28" t="s">
        <v>9276</v>
      </c>
      <c r="G728" s="28" t="s">
        <v>9265</v>
      </c>
      <c r="H728" s="28" t="s">
        <v>115</v>
      </c>
      <c r="I728" s="28" t="s">
        <v>9228</v>
      </c>
    </row>
    <row r="729" customFormat="false" ht="26.4" hidden="false" customHeight="true" outlineLevel="0" collapsed="false">
      <c r="A729" s="28" t="s">
        <v>3477</v>
      </c>
      <c r="B729" s="28" t="s">
        <v>8487</v>
      </c>
      <c r="C729" s="28" t="s">
        <v>9</v>
      </c>
      <c r="D729" s="28" t="n">
        <v>80</v>
      </c>
      <c r="E729" s="28" t="s">
        <v>9226</v>
      </c>
      <c r="F729" s="28" t="s">
        <v>9288</v>
      </c>
      <c r="G729" s="28" t="s">
        <v>9278</v>
      </c>
      <c r="H729" s="28" t="s">
        <v>115</v>
      </c>
      <c r="I729" s="28" t="s">
        <v>9228</v>
      </c>
    </row>
    <row r="730" customFormat="false" ht="26.4" hidden="false" customHeight="true" outlineLevel="0" collapsed="false">
      <c r="A730" s="28" t="s">
        <v>7179</v>
      </c>
      <c r="B730" s="28" t="s">
        <v>8487</v>
      </c>
      <c r="C730" s="28" t="s">
        <v>9</v>
      </c>
      <c r="D730" s="28" t="n">
        <v>80</v>
      </c>
      <c r="E730" s="28" t="s">
        <v>9226</v>
      </c>
      <c r="F730" s="28" t="s">
        <v>9300</v>
      </c>
      <c r="G730" s="28" t="s">
        <v>9290</v>
      </c>
      <c r="H730" s="28" t="s">
        <v>115</v>
      </c>
      <c r="I730" s="28" t="s">
        <v>9228</v>
      </c>
    </row>
    <row r="731" customFormat="false" ht="26.4" hidden="false" customHeight="true" outlineLevel="0" collapsed="false">
      <c r="A731" s="28" t="s">
        <v>9302</v>
      </c>
      <c r="B731" s="28" t="s">
        <v>8487</v>
      </c>
      <c r="C731" s="28" t="s">
        <v>9</v>
      </c>
      <c r="D731" s="28" t="n">
        <v>80</v>
      </c>
      <c r="E731" s="28" t="s">
        <v>9226</v>
      </c>
      <c r="F731" s="28" t="s">
        <v>9314</v>
      </c>
      <c r="G731" s="28" t="s">
        <v>9303</v>
      </c>
      <c r="H731" s="28" t="s">
        <v>115</v>
      </c>
      <c r="I731" s="28" t="s">
        <v>9228</v>
      </c>
    </row>
    <row r="732" customFormat="false" ht="26.4" hidden="false" customHeight="true" outlineLevel="0" collapsed="false">
      <c r="A732" s="28" t="s">
        <v>9316</v>
      </c>
      <c r="B732" s="28" t="s">
        <v>8487</v>
      </c>
      <c r="C732" s="28" t="s">
        <v>9</v>
      </c>
      <c r="D732" s="28" t="n">
        <v>80</v>
      </c>
      <c r="E732" s="28" t="s">
        <v>9226</v>
      </c>
      <c r="F732" s="28" t="s">
        <v>9327</v>
      </c>
      <c r="G732" s="28" t="s">
        <v>9317</v>
      </c>
      <c r="H732" s="28" t="s">
        <v>115</v>
      </c>
      <c r="I732" s="28" t="s">
        <v>9228</v>
      </c>
    </row>
    <row r="733" customFormat="false" ht="26.4" hidden="false" customHeight="true" outlineLevel="0" collapsed="false">
      <c r="A733" s="28" t="s">
        <v>9329</v>
      </c>
      <c r="B733" s="28" t="s">
        <v>8487</v>
      </c>
      <c r="C733" s="28" t="s">
        <v>9</v>
      </c>
      <c r="D733" s="28" t="n">
        <v>80</v>
      </c>
      <c r="E733" s="28" t="s">
        <v>9226</v>
      </c>
      <c r="F733" s="28" t="s">
        <v>9340</v>
      </c>
      <c r="G733" s="28" t="s">
        <v>9330</v>
      </c>
      <c r="H733" s="28" t="s">
        <v>115</v>
      </c>
      <c r="I733" s="28" t="s">
        <v>9228</v>
      </c>
    </row>
    <row r="734" customFormat="false" ht="26.4" hidden="false" customHeight="true" outlineLevel="0" collapsed="false">
      <c r="A734" s="28" t="s">
        <v>3006</v>
      </c>
      <c r="B734" s="28" t="s">
        <v>8487</v>
      </c>
      <c r="C734" s="28" t="s">
        <v>9</v>
      </c>
      <c r="D734" s="28" t="n">
        <v>80</v>
      </c>
      <c r="E734" s="28" t="s">
        <v>9226</v>
      </c>
      <c r="F734" s="28" t="s">
        <v>3005</v>
      </c>
      <c r="G734" s="28" t="s">
        <v>9342</v>
      </c>
      <c r="H734" s="28" t="s">
        <v>115</v>
      </c>
      <c r="I734" s="28" t="s">
        <v>9228</v>
      </c>
    </row>
    <row r="735" customFormat="false" ht="26.4" hidden="false" customHeight="true" outlineLevel="0" collapsed="false">
      <c r="A735" s="28" t="s">
        <v>9353</v>
      </c>
      <c r="B735" s="28" t="s">
        <v>8487</v>
      </c>
      <c r="C735" s="28" t="s">
        <v>9</v>
      </c>
      <c r="D735" s="28" t="n">
        <v>100</v>
      </c>
      <c r="E735" s="28" t="s">
        <v>9372</v>
      </c>
      <c r="F735" s="28" t="s">
        <v>543</v>
      </c>
      <c r="G735" s="28" t="s">
        <v>16348</v>
      </c>
      <c r="H735" s="28" t="s">
        <v>115</v>
      </c>
      <c r="I735" s="28" t="s">
        <v>545</v>
      </c>
    </row>
    <row r="736" customFormat="false" ht="23.85" hidden="false" customHeight="false" outlineLevel="0" collapsed="false">
      <c r="A736" s="28" t="s">
        <v>562</v>
      </c>
      <c r="B736" s="28" t="s">
        <v>8487</v>
      </c>
      <c r="C736" s="28" t="s">
        <v>9</v>
      </c>
      <c r="D736" s="28" t="n">
        <v>100</v>
      </c>
      <c r="E736" s="28" t="s">
        <v>9392</v>
      </c>
      <c r="F736" s="28" t="s">
        <v>561</v>
      </c>
      <c r="G736" s="28" t="s">
        <v>16349</v>
      </c>
      <c r="H736" s="28" t="s">
        <v>115</v>
      </c>
      <c r="I736" s="28" t="s">
        <v>9394</v>
      </c>
    </row>
    <row r="737" customFormat="false" ht="23.85" hidden="false" customHeight="false" outlineLevel="0" collapsed="false">
      <c r="A737" s="28" t="s">
        <v>9395</v>
      </c>
      <c r="B737" s="28" t="s">
        <v>8487</v>
      </c>
      <c r="C737" s="28" t="s">
        <v>9</v>
      </c>
      <c r="D737" s="28" t="n">
        <v>100</v>
      </c>
      <c r="E737" s="28" t="s">
        <v>9392</v>
      </c>
      <c r="F737" s="28" t="s">
        <v>561</v>
      </c>
      <c r="G737" s="28" t="s">
        <v>16349</v>
      </c>
      <c r="H737" s="28" t="s">
        <v>115</v>
      </c>
      <c r="I737" s="28" t="s">
        <v>9394</v>
      </c>
    </row>
    <row r="738" customFormat="false" ht="23.85" hidden="false" customHeight="false" outlineLevel="0" collapsed="false">
      <c r="A738" s="28" t="s">
        <v>9412</v>
      </c>
      <c r="B738" s="28" t="s">
        <v>8487</v>
      </c>
      <c r="C738" s="28" t="s">
        <v>9</v>
      </c>
      <c r="D738" s="28" t="n">
        <v>100</v>
      </c>
      <c r="E738" s="28" t="s">
        <v>9392</v>
      </c>
      <c r="F738" s="28" t="s">
        <v>561</v>
      </c>
      <c r="G738" s="28" t="s">
        <v>16349</v>
      </c>
      <c r="H738" s="28" t="s">
        <v>115</v>
      </c>
      <c r="I738" s="28" t="s">
        <v>9394</v>
      </c>
    </row>
    <row r="739" customFormat="false" ht="23.85" hidden="false" customHeight="false" outlineLevel="0" collapsed="false">
      <c r="A739" s="28" t="s">
        <v>9431</v>
      </c>
      <c r="B739" s="28" t="s">
        <v>8487</v>
      </c>
      <c r="C739" s="28" t="s">
        <v>9</v>
      </c>
      <c r="D739" s="28" t="n">
        <v>100</v>
      </c>
      <c r="E739" s="28" t="s">
        <v>9392</v>
      </c>
      <c r="F739" s="28" t="s">
        <v>561</v>
      </c>
      <c r="G739" s="28" t="s">
        <v>16349</v>
      </c>
      <c r="H739" s="28" t="s">
        <v>115</v>
      </c>
      <c r="I739" s="28" t="s">
        <v>9394</v>
      </c>
    </row>
    <row r="740" customFormat="false" ht="15" hidden="false" customHeight="false" outlineLevel="0" collapsed="false">
      <c r="A740" s="1" t="s">
        <v>9447</v>
      </c>
      <c r="B740" s="1" t="s">
        <v>8487</v>
      </c>
      <c r="C740" s="1" t="s">
        <v>9</v>
      </c>
      <c r="D740" s="1" t="n">
        <v>110</v>
      </c>
      <c r="E740" s="1" t="s">
        <v>9465</v>
      </c>
      <c r="F740" s="1" t="s">
        <v>9466</v>
      </c>
      <c r="G740" s="1" t="s">
        <v>16350</v>
      </c>
      <c r="H740" s="1" t="s">
        <v>115</v>
      </c>
      <c r="I740" s="1" t="s">
        <v>9468</v>
      </c>
    </row>
  </sheetData>
  <conditionalFormatting sqref="C2:C688">
    <cfRule type="containsText" priority="2" operator="containsText" aboveAverage="0" equalAverage="0" bottom="0" percent="0" rank="0" text="Активно" dxfId="30">
      <formula>NOT(ISERROR(SEARCH("Активно",C2)))</formula>
    </cfRule>
    <cfRule type="containsText" priority="3" operator="containsText" aboveAverage="0" equalAverage="0" bottom="0" percent="0" rank="0" text="Не автоматизируется" dxfId="31">
      <formula>NOT(ISERROR(SEARCH("Не автоматизируется",C2)))</formula>
    </cfRule>
  </conditionalFormatting>
  <conditionalFormatting sqref="C689:C721">
    <cfRule type="containsText" priority="4" operator="containsText" aboveAverage="0" equalAverage="0" bottom="0" percent="0" rank="0" text="Активно" dxfId="32">
      <formula>NOT(ISERROR(SEARCH("Активно",C689)))</formula>
    </cfRule>
    <cfRule type="containsText" priority="5" operator="containsText" aboveAverage="0" equalAverage="0" bottom="0" percent="0" rank="0" text="Не автоматизируется" dxfId="33">
      <formula>NOT(ISERROR(SEARCH("Не автоматизируется",C689)))</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7"/>
    <col collapsed="false" customWidth="true" hidden="false" outlineLevel="0" max="3" min="3" style="1" width="19"/>
    <col collapsed="false" customWidth="true" hidden="false" outlineLevel="0" max="4" min="4" style="1" width="68"/>
    <col collapsed="false" customWidth="true" hidden="false" outlineLevel="0" max="5" min="5" style="1" width="98"/>
    <col collapsed="false" customWidth="true" hidden="false" outlineLevel="0" max="6" min="6" style="1" width="40"/>
    <col collapsed="false" customWidth="true" hidden="false" outlineLevel="0" max="7" min="7" style="1" width="38"/>
    <col collapsed="false" customWidth="true" hidden="false" outlineLevel="0" max="8" min="8" style="1" width="35"/>
    <col collapsed="false" customWidth="true" hidden="false" outlineLevel="0" max="9" min="9" style="1" width="52"/>
  </cols>
  <sheetData>
    <row r="1" customFormat="false" ht="36" hidden="false" customHeight="true" outlineLevel="0" collapsed="false">
      <c r="A1" s="4" t="s">
        <v>60</v>
      </c>
      <c r="B1" s="5" t="s">
        <v>16351</v>
      </c>
      <c r="C1" s="5" t="s">
        <v>16352</v>
      </c>
      <c r="D1" s="5" t="s">
        <v>16353</v>
      </c>
      <c r="E1" s="5" t="s">
        <v>16354</v>
      </c>
      <c r="F1" s="5" t="s">
        <v>62</v>
      </c>
      <c r="G1" s="5" t="s">
        <v>16355</v>
      </c>
      <c r="H1" s="5" t="s">
        <v>16356</v>
      </c>
      <c r="I1" s="6" t="s">
        <v>16357</v>
      </c>
    </row>
    <row r="2" customFormat="false" ht="74" hidden="false" customHeight="true" outlineLevel="0" collapsed="false">
      <c r="A2" s="30" t="n">
        <v>1</v>
      </c>
      <c r="B2" s="30" t="s">
        <v>16358</v>
      </c>
      <c r="C2" s="30" t="s">
        <v>5377</v>
      </c>
      <c r="D2" s="31" t="s">
        <v>16359</v>
      </c>
      <c r="E2" s="31" t="s">
        <v>16360</v>
      </c>
      <c r="F2" s="31" t="s">
        <v>16361</v>
      </c>
      <c r="G2" s="31"/>
      <c r="H2" s="31" t="s">
        <v>16362</v>
      </c>
      <c r="I2" s="31" t="s">
        <v>16363</v>
      </c>
    </row>
    <row r="3" customFormat="false" ht="74" hidden="false" customHeight="true" outlineLevel="0" collapsed="false">
      <c r="A3" s="32" t="n">
        <v>2</v>
      </c>
      <c r="B3" s="32" t="s">
        <v>16358</v>
      </c>
      <c r="C3" s="32" t="s">
        <v>5402</v>
      </c>
      <c r="D3" s="33" t="s">
        <v>16364</v>
      </c>
      <c r="E3" s="33" t="s">
        <v>16365</v>
      </c>
      <c r="F3" s="33" t="s">
        <v>16361</v>
      </c>
      <c r="G3" s="33"/>
      <c r="H3" s="33" t="s">
        <v>16366</v>
      </c>
      <c r="I3" s="33" t="s">
        <v>16363</v>
      </c>
    </row>
    <row r="4" customFormat="false" ht="74" hidden="false" customHeight="true" outlineLevel="0" collapsed="false">
      <c r="A4" s="32" t="n">
        <v>3</v>
      </c>
      <c r="B4" s="32" t="s">
        <v>16358</v>
      </c>
      <c r="C4" s="32" t="s">
        <v>5417</v>
      </c>
      <c r="D4" s="33" t="s">
        <v>16367</v>
      </c>
      <c r="E4" s="33" t="s">
        <v>16368</v>
      </c>
      <c r="F4" s="33" t="s">
        <v>16361</v>
      </c>
      <c r="G4" s="33"/>
      <c r="H4" s="33" t="s">
        <v>16369</v>
      </c>
      <c r="I4" s="33" t="s">
        <v>16363</v>
      </c>
    </row>
    <row r="5" customFormat="false" ht="74" hidden="false" customHeight="true" outlineLevel="0" collapsed="false">
      <c r="A5" s="32" t="n">
        <v>4</v>
      </c>
      <c r="B5" s="32" t="s">
        <v>16358</v>
      </c>
      <c r="C5" s="32" t="s">
        <v>5454</v>
      </c>
      <c r="D5" s="33" t="s">
        <v>16370</v>
      </c>
      <c r="E5" s="33" t="s">
        <v>16371</v>
      </c>
      <c r="F5" s="33" t="s">
        <v>16361</v>
      </c>
      <c r="G5" s="33"/>
      <c r="H5" s="33" t="s">
        <v>5440</v>
      </c>
      <c r="I5" s="33" t="s">
        <v>16363</v>
      </c>
    </row>
    <row r="6" customFormat="false" ht="74" hidden="false" customHeight="true" outlineLevel="0" collapsed="false">
      <c r="A6" s="32" t="n">
        <v>5</v>
      </c>
      <c r="B6" s="32" t="s">
        <v>16358</v>
      </c>
      <c r="C6" s="32" t="s">
        <v>5467</v>
      </c>
      <c r="D6" s="33" t="s">
        <v>16372</v>
      </c>
      <c r="E6" s="33" t="s">
        <v>16373</v>
      </c>
      <c r="F6" s="33" t="s">
        <v>16361</v>
      </c>
      <c r="G6" s="33"/>
      <c r="H6" s="33" t="s">
        <v>5456</v>
      </c>
      <c r="I6" s="33" t="s">
        <v>16363</v>
      </c>
    </row>
    <row r="7" customFormat="false" ht="74" hidden="false" customHeight="true" outlineLevel="0" collapsed="false">
      <c r="A7" s="32" t="n">
        <v>6</v>
      </c>
      <c r="B7" s="32" t="s">
        <v>16358</v>
      </c>
      <c r="C7" s="32" t="s">
        <v>5495</v>
      </c>
      <c r="D7" s="33" t="s">
        <v>16374</v>
      </c>
      <c r="E7" s="33" t="s">
        <v>16375</v>
      </c>
      <c r="F7" s="33" t="s">
        <v>16361</v>
      </c>
      <c r="G7" s="33"/>
      <c r="H7" s="33" t="s">
        <v>16376</v>
      </c>
      <c r="I7" s="33" t="s">
        <v>16363</v>
      </c>
    </row>
    <row r="8" customFormat="false" ht="74" hidden="false" customHeight="true" outlineLevel="0" collapsed="false">
      <c r="A8" s="32" t="n">
        <v>7</v>
      </c>
      <c r="B8" s="32" t="s">
        <v>16358</v>
      </c>
      <c r="C8" s="32" t="s">
        <v>5524</v>
      </c>
      <c r="D8" s="33" t="s">
        <v>16377</v>
      </c>
      <c r="E8" s="33" t="s">
        <v>16378</v>
      </c>
      <c r="F8" s="33" t="s">
        <v>16361</v>
      </c>
      <c r="G8" s="33"/>
      <c r="H8" s="33" t="s">
        <v>2710</v>
      </c>
      <c r="I8" s="33" t="s">
        <v>16363</v>
      </c>
    </row>
    <row r="9" customFormat="false" ht="74" hidden="false" customHeight="true" outlineLevel="0" collapsed="false">
      <c r="A9" s="32" t="n">
        <v>8</v>
      </c>
      <c r="B9" s="32" t="s">
        <v>16358</v>
      </c>
      <c r="C9" s="32" t="s">
        <v>5535</v>
      </c>
      <c r="D9" s="33" t="s">
        <v>16379</v>
      </c>
      <c r="E9" s="33" t="s">
        <v>16380</v>
      </c>
      <c r="F9" s="33" t="s">
        <v>16361</v>
      </c>
      <c r="G9" s="33"/>
      <c r="H9" s="33" t="s">
        <v>5525</v>
      </c>
      <c r="I9" s="33" t="s">
        <v>16363</v>
      </c>
    </row>
    <row r="10" customFormat="false" ht="74" hidden="false" customHeight="true" outlineLevel="0" collapsed="false">
      <c r="A10" s="32" t="n">
        <v>9</v>
      </c>
      <c r="B10" s="32" t="s">
        <v>16358</v>
      </c>
      <c r="C10" s="32" t="s">
        <v>5547</v>
      </c>
      <c r="D10" s="33" t="s">
        <v>16381</v>
      </c>
      <c r="E10" s="33" t="s">
        <v>16382</v>
      </c>
      <c r="F10" s="33" t="s">
        <v>16361</v>
      </c>
      <c r="G10" s="33"/>
      <c r="H10" s="33" t="s">
        <v>5536</v>
      </c>
      <c r="I10" s="33" t="s">
        <v>16363</v>
      </c>
    </row>
    <row r="11" customFormat="false" ht="74" hidden="false" customHeight="true" outlineLevel="0" collapsed="false">
      <c r="A11" s="32" t="n">
        <v>10</v>
      </c>
      <c r="B11" s="32" t="s">
        <v>16358</v>
      </c>
      <c r="C11" s="32" t="s">
        <v>5559</v>
      </c>
      <c r="D11" s="33" t="s">
        <v>16383</v>
      </c>
      <c r="E11" s="33" t="s">
        <v>16384</v>
      </c>
      <c r="F11" s="33" t="s">
        <v>16385</v>
      </c>
      <c r="G11" s="33" t="s">
        <v>16386</v>
      </c>
      <c r="H11" s="33" t="s">
        <v>16387</v>
      </c>
      <c r="I11" s="33" t="s">
        <v>16363</v>
      </c>
    </row>
    <row r="12" customFormat="false" ht="74" hidden="false" customHeight="true" outlineLevel="0" collapsed="false">
      <c r="A12" s="32" t="n">
        <v>11</v>
      </c>
      <c r="B12" s="32" t="s">
        <v>16358</v>
      </c>
      <c r="C12" s="32" t="s">
        <v>5631</v>
      </c>
      <c r="D12" s="33" t="s">
        <v>16388</v>
      </c>
      <c r="E12" s="33" t="s">
        <v>16389</v>
      </c>
      <c r="F12" s="33" t="s">
        <v>16361</v>
      </c>
      <c r="G12" s="33"/>
      <c r="H12" s="33" t="s">
        <v>16390</v>
      </c>
      <c r="I12" s="33" t="s">
        <v>16363</v>
      </c>
    </row>
    <row r="13" customFormat="false" ht="74" hidden="false" customHeight="true" outlineLevel="0" collapsed="false">
      <c r="A13" s="32" t="n">
        <v>12</v>
      </c>
      <c r="B13" s="32" t="s">
        <v>16358</v>
      </c>
      <c r="C13" s="32" t="s">
        <v>16391</v>
      </c>
      <c r="D13" s="33" t="s">
        <v>16392</v>
      </c>
      <c r="E13" s="33" t="s">
        <v>16393</v>
      </c>
      <c r="F13" s="33" t="s">
        <v>16361</v>
      </c>
      <c r="G13" s="33"/>
      <c r="H13" s="33" t="s">
        <v>5633</v>
      </c>
      <c r="I13" s="33" t="s">
        <v>16363</v>
      </c>
    </row>
    <row r="14" customFormat="false" ht="74" hidden="false" customHeight="true" outlineLevel="0" collapsed="false">
      <c r="A14" s="32" t="n">
        <v>13</v>
      </c>
      <c r="B14" s="32" t="s">
        <v>16358</v>
      </c>
      <c r="C14" s="32" t="s">
        <v>5660</v>
      </c>
      <c r="D14" s="33" t="s">
        <v>16394</v>
      </c>
      <c r="E14" s="33" t="s">
        <v>16395</v>
      </c>
      <c r="F14" s="33" t="s">
        <v>16361</v>
      </c>
      <c r="G14" s="33"/>
      <c r="H14" s="33" t="s">
        <v>16396</v>
      </c>
      <c r="I14" s="33" t="s">
        <v>16363</v>
      </c>
    </row>
    <row r="15" customFormat="false" ht="74" hidden="false" customHeight="true" outlineLevel="0" collapsed="false">
      <c r="A15" s="32" t="n">
        <v>14</v>
      </c>
      <c r="B15" s="32" t="s">
        <v>16358</v>
      </c>
      <c r="C15" s="32" t="s">
        <v>5684</v>
      </c>
      <c r="D15" s="33" t="s">
        <v>16397</v>
      </c>
      <c r="E15" s="33" t="s">
        <v>16398</v>
      </c>
      <c r="F15" s="33" t="s">
        <v>16361</v>
      </c>
      <c r="G15" s="33"/>
      <c r="H15" s="33" t="s">
        <v>16399</v>
      </c>
      <c r="I15" s="33" t="s">
        <v>16363</v>
      </c>
    </row>
    <row r="16" customFormat="false" ht="74" hidden="false" customHeight="true" outlineLevel="0" collapsed="false">
      <c r="A16" s="32" t="n">
        <v>15</v>
      </c>
      <c r="B16" s="32" t="s">
        <v>16358</v>
      </c>
      <c r="C16" s="32" t="s">
        <v>5697</v>
      </c>
      <c r="D16" s="33" t="s">
        <v>16400</v>
      </c>
      <c r="E16" s="33" t="s">
        <v>16401</v>
      </c>
      <c r="F16" s="33" t="s">
        <v>16361</v>
      </c>
      <c r="G16" s="33"/>
      <c r="H16" s="33" t="s">
        <v>16402</v>
      </c>
      <c r="I16" s="33" t="s">
        <v>16363</v>
      </c>
    </row>
    <row r="17" customFormat="false" ht="74" hidden="false" customHeight="true" outlineLevel="0" collapsed="false">
      <c r="A17" s="32" t="n">
        <v>16</v>
      </c>
      <c r="B17" s="32" t="s">
        <v>16358</v>
      </c>
      <c r="C17" s="32" t="s">
        <v>5747</v>
      </c>
      <c r="D17" s="33" t="s">
        <v>16403</v>
      </c>
      <c r="E17" s="33" t="s">
        <v>16404</v>
      </c>
      <c r="F17" s="33" t="s">
        <v>16361</v>
      </c>
      <c r="G17" s="33"/>
      <c r="H17" s="33" t="s">
        <v>16405</v>
      </c>
      <c r="I17" s="33" t="s">
        <v>16363</v>
      </c>
    </row>
    <row r="18" customFormat="false" ht="74" hidden="false" customHeight="true" outlineLevel="0" collapsed="false">
      <c r="A18" s="32" t="n">
        <v>17</v>
      </c>
      <c r="B18" s="32" t="s">
        <v>16358</v>
      </c>
      <c r="C18" s="32" t="s">
        <v>5731</v>
      </c>
      <c r="D18" s="33" t="s">
        <v>16406</v>
      </c>
      <c r="E18" s="33" t="s">
        <v>16407</v>
      </c>
      <c r="F18" s="33" t="s">
        <v>16361</v>
      </c>
      <c r="G18" s="33"/>
      <c r="H18" s="33" t="s">
        <v>185</v>
      </c>
      <c r="I18" s="33" t="s">
        <v>16363</v>
      </c>
    </row>
    <row r="19" customFormat="false" ht="74" hidden="false" customHeight="true" outlineLevel="0" collapsed="false">
      <c r="A19" s="32" t="n">
        <v>18</v>
      </c>
      <c r="B19" s="32" t="s">
        <v>16358</v>
      </c>
      <c r="C19" s="32" t="s">
        <v>5769</v>
      </c>
      <c r="D19" s="33" t="s">
        <v>16408</v>
      </c>
      <c r="E19" s="33" t="s">
        <v>16409</v>
      </c>
      <c r="F19" s="33" t="s">
        <v>16361</v>
      </c>
      <c r="G19" s="33"/>
      <c r="H19" s="33" t="s">
        <v>5759</v>
      </c>
      <c r="I19" s="33" t="s">
        <v>16363</v>
      </c>
    </row>
    <row r="20" customFormat="false" ht="74" hidden="false" customHeight="true" outlineLevel="0" collapsed="false">
      <c r="A20" s="32" t="n">
        <v>19</v>
      </c>
      <c r="B20" s="32" t="s">
        <v>16358</v>
      </c>
      <c r="C20" s="32" t="s">
        <v>5781</v>
      </c>
      <c r="D20" s="33" t="s">
        <v>16410</v>
      </c>
      <c r="E20" s="33" t="s">
        <v>16411</v>
      </c>
      <c r="F20" s="33" t="s">
        <v>16361</v>
      </c>
      <c r="G20" s="33"/>
      <c r="H20" s="33" t="s">
        <v>5770</v>
      </c>
      <c r="I20" s="33" t="s">
        <v>16363</v>
      </c>
    </row>
    <row r="21" customFormat="false" ht="74" hidden="false" customHeight="true" outlineLevel="0" collapsed="false">
      <c r="A21" s="32" t="n">
        <v>20</v>
      </c>
      <c r="B21" s="32" t="s">
        <v>16358</v>
      </c>
      <c r="C21" s="32" t="s">
        <v>5792</v>
      </c>
      <c r="D21" s="33" t="s">
        <v>16412</v>
      </c>
      <c r="E21" s="33" t="s">
        <v>16413</v>
      </c>
      <c r="F21" s="33" t="s">
        <v>16361</v>
      </c>
      <c r="G21" s="33"/>
      <c r="H21" s="33" t="s">
        <v>5782</v>
      </c>
      <c r="I21" s="33" t="s">
        <v>16363</v>
      </c>
    </row>
    <row r="22" customFormat="false" ht="74" hidden="false" customHeight="true" outlineLevel="0" collapsed="false">
      <c r="A22" s="32" t="n">
        <v>21</v>
      </c>
      <c r="B22" s="32" t="s">
        <v>16358</v>
      </c>
      <c r="C22" s="32" t="s">
        <v>5802</v>
      </c>
      <c r="D22" s="33" t="s">
        <v>16414</v>
      </c>
      <c r="E22" s="33" t="s">
        <v>16415</v>
      </c>
      <c r="F22" s="33" t="s">
        <v>16361</v>
      </c>
      <c r="G22" s="33"/>
      <c r="H22" s="33" t="s">
        <v>5793</v>
      </c>
      <c r="I22" s="33" t="s">
        <v>16363</v>
      </c>
    </row>
    <row r="23" customFormat="false" ht="74" hidden="false" customHeight="true" outlineLevel="0" collapsed="false">
      <c r="A23" s="32" t="n">
        <v>22</v>
      </c>
      <c r="B23" s="32" t="s">
        <v>16358</v>
      </c>
      <c r="C23" s="32" t="s">
        <v>5815</v>
      </c>
      <c r="D23" s="33" t="s">
        <v>16416</v>
      </c>
      <c r="E23" s="33" t="s">
        <v>16417</v>
      </c>
      <c r="F23" s="33" t="s">
        <v>16361</v>
      </c>
      <c r="G23" s="33"/>
      <c r="H23" s="33" t="s">
        <v>16418</v>
      </c>
      <c r="I23" s="33" t="s">
        <v>16363</v>
      </c>
    </row>
    <row r="24" customFormat="false" ht="74" hidden="false" customHeight="true" outlineLevel="0" collapsed="false">
      <c r="A24" s="32" t="n">
        <v>23</v>
      </c>
      <c r="B24" s="32" t="s">
        <v>16358</v>
      </c>
      <c r="C24" s="32" t="s">
        <v>5829</v>
      </c>
      <c r="D24" s="33" t="s">
        <v>16419</v>
      </c>
      <c r="E24" s="33" t="s">
        <v>16420</v>
      </c>
      <c r="F24" s="33" t="s">
        <v>16361</v>
      </c>
      <c r="G24" s="33"/>
      <c r="H24" s="33" t="s">
        <v>5816</v>
      </c>
      <c r="I24" s="33" t="s">
        <v>16363</v>
      </c>
    </row>
    <row r="25" customFormat="false" ht="74" hidden="false" customHeight="true" outlineLevel="0" collapsed="false">
      <c r="A25" s="32" t="n">
        <v>24</v>
      </c>
      <c r="B25" s="32" t="s">
        <v>16358</v>
      </c>
      <c r="C25" s="32" t="s">
        <v>5840</v>
      </c>
      <c r="D25" s="33" t="s">
        <v>16421</v>
      </c>
      <c r="E25" s="33" t="s">
        <v>16422</v>
      </c>
      <c r="F25" s="33" t="s">
        <v>16361</v>
      </c>
      <c r="G25" s="33"/>
      <c r="H25" s="33" t="s">
        <v>5830</v>
      </c>
      <c r="I25" s="33" t="s">
        <v>16363</v>
      </c>
    </row>
    <row r="26" customFormat="false" ht="74" hidden="false" customHeight="true" outlineLevel="0" collapsed="false">
      <c r="A26" s="32" t="n">
        <v>25</v>
      </c>
      <c r="B26" s="32" t="s">
        <v>16358</v>
      </c>
      <c r="C26" s="32" t="s">
        <v>16423</v>
      </c>
      <c r="D26" s="33" t="s">
        <v>16424</v>
      </c>
      <c r="E26" s="33" t="s">
        <v>16425</v>
      </c>
      <c r="F26" s="33" t="s">
        <v>16385</v>
      </c>
      <c r="G26" s="33" t="s">
        <v>561</v>
      </c>
      <c r="H26" s="33" t="s">
        <v>5841</v>
      </c>
      <c r="I26" s="33" t="s">
        <v>16363</v>
      </c>
    </row>
    <row r="27" customFormat="false" ht="74" hidden="false" customHeight="true" outlineLevel="0" collapsed="false">
      <c r="A27" s="32" t="n">
        <v>26</v>
      </c>
      <c r="B27" s="32" t="s">
        <v>16358</v>
      </c>
      <c r="C27" s="32" t="s">
        <v>5875</v>
      </c>
      <c r="D27" s="33" t="s">
        <v>16426</v>
      </c>
      <c r="E27" s="33" t="s">
        <v>16427</v>
      </c>
      <c r="F27" s="33" t="s">
        <v>16361</v>
      </c>
      <c r="G27" s="33"/>
      <c r="H27" s="33" t="s">
        <v>16428</v>
      </c>
      <c r="I27" s="33" t="s">
        <v>16363</v>
      </c>
    </row>
    <row r="28" customFormat="false" ht="74" hidden="false" customHeight="true" outlineLevel="0" collapsed="false">
      <c r="A28" s="32" t="n">
        <v>27</v>
      </c>
      <c r="B28" s="32" t="s">
        <v>16358</v>
      </c>
      <c r="C28" s="32" t="s">
        <v>5911</v>
      </c>
      <c r="D28" s="33" t="s">
        <v>16429</v>
      </c>
      <c r="E28" s="33" t="s">
        <v>16430</v>
      </c>
      <c r="F28" s="33" t="s">
        <v>16385</v>
      </c>
      <c r="G28" s="33" t="s">
        <v>16431</v>
      </c>
      <c r="H28" s="33" t="s">
        <v>5900</v>
      </c>
      <c r="I28" s="33" t="s">
        <v>16363</v>
      </c>
    </row>
    <row r="29" customFormat="false" ht="74" hidden="false" customHeight="true" outlineLevel="0" collapsed="false">
      <c r="A29" s="32" t="n">
        <v>28</v>
      </c>
      <c r="B29" s="32" t="s">
        <v>16358</v>
      </c>
      <c r="C29" s="32" t="s">
        <v>5943</v>
      </c>
      <c r="D29" s="33" t="s">
        <v>16432</v>
      </c>
      <c r="E29" s="33" t="s">
        <v>16433</v>
      </c>
      <c r="F29" s="33" t="s">
        <v>16361</v>
      </c>
      <c r="G29" s="33"/>
      <c r="H29" s="33" t="s">
        <v>16434</v>
      </c>
      <c r="I29" s="33" t="s">
        <v>16363</v>
      </c>
    </row>
    <row r="30" customFormat="false" ht="74" hidden="false" customHeight="true" outlineLevel="0" collapsed="false">
      <c r="A30" s="32" t="n">
        <v>29</v>
      </c>
      <c r="B30" s="32" t="s">
        <v>16358</v>
      </c>
      <c r="C30" s="32" t="s">
        <v>5958</v>
      </c>
      <c r="D30" s="33" t="s">
        <v>16435</v>
      </c>
      <c r="E30" s="33" t="s">
        <v>16436</v>
      </c>
      <c r="F30" s="33" t="s">
        <v>16361</v>
      </c>
      <c r="G30" s="33"/>
      <c r="H30" s="33" t="s">
        <v>5944</v>
      </c>
      <c r="I30" s="33" t="s">
        <v>16363</v>
      </c>
    </row>
    <row r="31" customFormat="false" ht="74" hidden="false" customHeight="true" outlineLevel="0" collapsed="false">
      <c r="A31" s="32" t="n">
        <v>30</v>
      </c>
      <c r="B31" s="32" t="s">
        <v>16358</v>
      </c>
      <c r="C31" s="32" t="s">
        <v>915</v>
      </c>
      <c r="D31" s="33" t="s">
        <v>16437</v>
      </c>
      <c r="E31" s="33" t="s">
        <v>16438</v>
      </c>
      <c r="F31" s="33" t="s">
        <v>16385</v>
      </c>
      <c r="G31" s="33" t="s">
        <v>16439</v>
      </c>
      <c r="H31" s="33" t="s">
        <v>16440</v>
      </c>
      <c r="I31" s="33" t="s">
        <v>16363</v>
      </c>
    </row>
    <row r="32" customFormat="false" ht="74" hidden="false" customHeight="true" outlineLevel="0" collapsed="false">
      <c r="A32" s="32" t="n">
        <v>31</v>
      </c>
      <c r="B32" s="32" t="s">
        <v>16358</v>
      </c>
      <c r="C32" s="32" t="s">
        <v>16441</v>
      </c>
      <c r="D32" s="33" t="s">
        <v>16442</v>
      </c>
      <c r="E32" s="33" t="s">
        <v>16443</v>
      </c>
      <c r="F32" s="33" t="s">
        <v>16361</v>
      </c>
      <c r="G32" s="33"/>
      <c r="H32" s="33" t="s">
        <v>129</v>
      </c>
      <c r="I32" s="33" t="s">
        <v>16363</v>
      </c>
    </row>
    <row r="33" customFormat="false" ht="74" hidden="false" customHeight="true" outlineLevel="0" collapsed="false">
      <c r="A33" s="32" t="n">
        <v>32</v>
      </c>
      <c r="B33" s="32" t="s">
        <v>16358</v>
      </c>
      <c r="C33" s="32" t="s">
        <v>16444</v>
      </c>
      <c r="D33" s="33" t="s">
        <v>16445</v>
      </c>
      <c r="E33" s="33" t="s">
        <v>16446</v>
      </c>
      <c r="F33" s="33" t="s">
        <v>16361</v>
      </c>
      <c r="G33" s="33"/>
      <c r="H33" s="33" t="s">
        <v>6002</v>
      </c>
      <c r="I33" s="33" t="s">
        <v>16363</v>
      </c>
    </row>
    <row r="34" customFormat="false" ht="74" hidden="false" customHeight="true" outlineLevel="0" collapsed="false">
      <c r="A34" s="32" t="n">
        <v>33</v>
      </c>
      <c r="B34" s="32" t="s">
        <v>16358</v>
      </c>
      <c r="C34" s="32" t="s">
        <v>6029</v>
      </c>
      <c r="D34" s="33" t="s">
        <v>16447</v>
      </c>
      <c r="E34" s="33" t="s">
        <v>16448</v>
      </c>
      <c r="F34" s="33" t="s">
        <v>16361</v>
      </c>
      <c r="G34" s="33"/>
      <c r="H34" s="33" t="s">
        <v>6015</v>
      </c>
      <c r="I34" s="33" t="s">
        <v>16363</v>
      </c>
    </row>
    <row r="35" customFormat="false" ht="74" hidden="false" customHeight="true" outlineLevel="0" collapsed="false">
      <c r="A35" s="32" t="n">
        <v>34</v>
      </c>
      <c r="B35" s="32" t="s">
        <v>16358</v>
      </c>
      <c r="C35" s="32" t="s">
        <v>6042</v>
      </c>
      <c r="D35" s="33" t="s">
        <v>16449</v>
      </c>
      <c r="E35" s="33" t="s">
        <v>16450</v>
      </c>
      <c r="F35" s="33" t="s">
        <v>16361</v>
      </c>
      <c r="G35" s="33"/>
      <c r="H35" s="33" t="s">
        <v>6030</v>
      </c>
      <c r="I35" s="33" t="s">
        <v>16363</v>
      </c>
    </row>
    <row r="36" customFormat="false" ht="74" hidden="false" customHeight="true" outlineLevel="0" collapsed="false">
      <c r="A36" s="32" t="n">
        <v>35</v>
      </c>
      <c r="B36" s="32" t="s">
        <v>16358</v>
      </c>
      <c r="C36" s="32" t="s">
        <v>6053</v>
      </c>
      <c r="D36" s="33" t="s">
        <v>16451</v>
      </c>
      <c r="E36" s="33" t="s">
        <v>16452</v>
      </c>
      <c r="F36" s="33" t="s">
        <v>16361</v>
      </c>
      <c r="G36" s="33"/>
      <c r="H36" s="33" t="s">
        <v>16453</v>
      </c>
      <c r="I36" s="33" t="s">
        <v>16363</v>
      </c>
    </row>
    <row r="37" customFormat="false" ht="74" hidden="false" customHeight="true" outlineLevel="0" collapsed="false">
      <c r="A37" s="32" t="n">
        <v>36</v>
      </c>
      <c r="B37" s="32" t="s">
        <v>16358</v>
      </c>
      <c r="C37" s="32" t="s">
        <v>16454</v>
      </c>
      <c r="D37" s="33" t="s">
        <v>16455</v>
      </c>
      <c r="E37" s="33" t="s">
        <v>16456</v>
      </c>
      <c r="F37" s="33" t="s">
        <v>16361</v>
      </c>
      <c r="G37" s="33"/>
      <c r="H37" s="33" t="s">
        <v>6054</v>
      </c>
      <c r="I37" s="33" t="s">
        <v>16363</v>
      </c>
    </row>
    <row r="38" customFormat="false" ht="74" hidden="false" customHeight="true" outlineLevel="0" collapsed="false">
      <c r="A38" s="32" t="n">
        <v>37</v>
      </c>
      <c r="B38" s="32" t="s">
        <v>16358</v>
      </c>
      <c r="C38" s="32" t="s">
        <v>1342</v>
      </c>
      <c r="D38" s="33" t="s">
        <v>16457</v>
      </c>
      <c r="E38" s="33" t="s">
        <v>16458</v>
      </c>
      <c r="F38" s="33" t="s">
        <v>16385</v>
      </c>
      <c r="G38" s="33" t="s">
        <v>16459</v>
      </c>
      <c r="H38" s="33" t="s">
        <v>16460</v>
      </c>
      <c r="I38" s="33" t="s">
        <v>16363</v>
      </c>
    </row>
    <row r="39" customFormat="false" ht="74" hidden="false" customHeight="true" outlineLevel="0" collapsed="false">
      <c r="A39" s="32" t="n">
        <v>38</v>
      </c>
      <c r="B39" s="32" t="s">
        <v>16358</v>
      </c>
      <c r="C39" s="32" t="s">
        <v>6095</v>
      </c>
      <c r="D39" s="33" t="s">
        <v>16461</v>
      </c>
      <c r="E39" s="33" t="s">
        <v>16462</v>
      </c>
      <c r="F39" s="33" t="s">
        <v>16361</v>
      </c>
      <c r="G39" s="33"/>
      <c r="H39" s="33" t="s">
        <v>6083</v>
      </c>
      <c r="I39" s="33" t="s">
        <v>16363</v>
      </c>
    </row>
    <row r="40" customFormat="false" ht="74" hidden="false" customHeight="true" outlineLevel="0" collapsed="false">
      <c r="A40" s="32" t="n">
        <v>39</v>
      </c>
      <c r="B40" s="32" t="s">
        <v>16358</v>
      </c>
      <c r="C40" s="32" t="s">
        <v>16463</v>
      </c>
      <c r="D40" s="33" t="s">
        <v>16464</v>
      </c>
      <c r="E40" s="33" t="s">
        <v>16465</v>
      </c>
      <c r="F40" s="33" t="s">
        <v>16361</v>
      </c>
      <c r="G40" s="33"/>
      <c r="H40" s="33" t="s">
        <v>6111</v>
      </c>
      <c r="I40" s="33" t="s">
        <v>16363</v>
      </c>
    </row>
    <row r="41" customFormat="false" ht="74" hidden="false" customHeight="true" outlineLevel="0" collapsed="false">
      <c r="A41" s="32" t="n">
        <v>40</v>
      </c>
      <c r="B41" s="32" t="s">
        <v>16358</v>
      </c>
      <c r="C41" s="32" t="s">
        <v>6135</v>
      </c>
      <c r="D41" s="33" t="s">
        <v>16466</v>
      </c>
      <c r="E41" s="33" t="s">
        <v>16467</v>
      </c>
      <c r="F41" s="33" t="s">
        <v>16361</v>
      </c>
      <c r="G41" s="33"/>
      <c r="H41" s="33" t="s">
        <v>6123</v>
      </c>
      <c r="I41" s="33" t="s">
        <v>16363</v>
      </c>
    </row>
    <row r="42" customFormat="false" ht="74" hidden="false" customHeight="true" outlineLevel="0" collapsed="false">
      <c r="A42" s="32" t="n">
        <v>41</v>
      </c>
      <c r="B42" s="32" t="s">
        <v>16358</v>
      </c>
      <c r="C42" s="32" t="s">
        <v>6148</v>
      </c>
      <c r="D42" s="33" t="s">
        <v>16468</v>
      </c>
      <c r="E42" s="33" t="s">
        <v>16469</v>
      </c>
      <c r="F42" s="33" t="s">
        <v>16361</v>
      </c>
      <c r="G42" s="33"/>
      <c r="H42" s="33" t="s">
        <v>6136</v>
      </c>
      <c r="I42" s="33" t="s">
        <v>16363</v>
      </c>
    </row>
    <row r="43" customFormat="false" ht="74" hidden="false" customHeight="true" outlineLevel="0" collapsed="false">
      <c r="A43" s="32" t="n">
        <v>42</v>
      </c>
      <c r="B43" s="32" t="s">
        <v>16358</v>
      </c>
      <c r="C43" s="32" t="s">
        <v>6162</v>
      </c>
      <c r="D43" s="33" t="s">
        <v>16470</v>
      </c>
      <c r="E43" s="33" t="s">
        <v>16471</v>
      </c>
      <c r="F43" s="33" t="s">
        <v>16361</v>
      </c>
      <c r="G43" s="33"/>
      <c r="H43" s="33" t="s">
        <v>6149</v>
      </c>
      <c r="I43" s="33" t="s">
        <v>16363</v>
      </c>
    </row>
    <row r="44" customFormat="false" ht="74" hidden="false" customHeight="true" outlineLevel="0" collapsed="false">
      <c r="A44" s="32" t="n">
        <v>43</v>
      </c>
      <c r="B44" s="32" t="s">
        <v>16358</v>
      </c>
      <c r="C44" s="32" t="s">
        <v>6175</v>
      </c>
      <c r="D44" s="33" t="s">
        <v>16472</v>
      </c>
      <c r="E44" s="33" t="s">
        <v>16473</v>
      </c>
      <c r="F44" s="33" t="s">
        <v>16361</v>
      </c>
      <c r="G44" s="33"/>
      <c r="H44" s="33" t="s">
        <v>6163</v>
      </c>
      <c r="I44" s="33" t="s">
        <v>16363</v>
      </c>
    </row>
    <row r="45" customFormat="false" ht="74" hidden="false" customHeight="true" outlineLevel="0" collapsed="false">
      <c r="A45" s="32" t="n">
        <v>44</v>
      </c>
      <c r="B45" s="32" t="s">
        <v>16358</v>
      </c>
      <c r="C45" s="32" t="s">
        <v>6186</v>
      </c>
      <c r="D45" s="33" t="s">
        <v>16474</v>
      </c>
      <c r="E45" s="33" t="s">
        <v>16475</v>
      </c>
      <c r="F45" s="33" t="s">
        <v>16361</v>
      </c>
      <c r="G45" s="33"/>
      <c r="H45" s="33" t="s">
        <v>6176</v>
      </c>
      <c r="I45" s="33" t="s">
        <v>16363</v>
      </c>
    </row>
    <row r="46" customFormat="false" ht="74" hidden="false" customHeight="true" outlineLevel="0" collapsed="false">
      <c r="A46" s="32" t="n">
        <v>45</v>
      </c>
      <c r="B46" s="32" t="s">
        <v>16358</v>
      </c>
      <c r="C46" s="32" t="s">
        <v>6199</v>
      </c>
      <c r="D46" s="33" t="s">
        <v>16476</v>
      </c>
      <c r="E46" s="33" t="s">
        <v>16477</v>
      </c>
      <c r="F46" s="33" t="s">
        <v>16361</v>
      </c>
      <c r="G46" s="33"/>
      <c r="H46" s="33" t="s">
        <v>6187</v>
      </c>
      <c r="I46" s="33" t="s">
        <v>16363</v>
      </c>
    </row>
    <row r="47" customFormat="false" ht="74" hidden="false" customHeight="true" outlineLevel="0" collapsed="false">
      <c r="A47" s="32" t="n">
        <v>46</v>
      </c>
      <c r="B47" s="32" t="s">
        <v>16358</v>
      </c>
      <c r="C47" s="32" t="s">
        <v>6213</v>
      </c>
      <c r="D47" s="33" t="s">
        <v>16478</v>
      </c>
      <c r="E47" s="33" t="s">
        <v>16479</v>
      </c>
      <c r="F47" s="33" t="s">
        <v>16361</v>
      </c>
      <c r="G47" s="33"/>
      <c r="H47" s="33" t="s">
        <v>6200</v>
      </c>
      <c r="I47" s="33" t="s">
        <v>16363</v>
      </c>
    </row>
    <row r="48" customFormat="false" ht="74" hidden="false" customHeight="true" outlineLevel="0" collapsed="false">
      <c r="A48" s="32" t="n">
        <v>47</v>
      </c>
      <c r="B48" s="32" t="s">
        <v>16358</v>
      </c>
      <c r="C48" s="32" t="s">
        <v>6291</v>
      </c>
      <c r="D48" s="33" t="s">
        <v>16480</v>
      </c>
      <c r="E48" s="33" t="s">
        <v>16481</v>
      </c>
      <c r="F48" s="33" t="s">
        <v>16361</v>
      </c>
      <c r="G48" s="33"/>
      <c r="H48" s="33" t="s">
        <v>16482</v>
      </c>
      <c r="I48" s="33" t="s">
        <v>16363</v>
      </c>
    </row>
    <row r="49" customFormat="false" ht="74" hidden="false" customHeight="true" outlineLevel="0" collapsed="false">
      <c r="A49" s="32" t="n">
        <v>48</v>
      </c>
      <c r="B49" s="32" t="s">
        <v>16358</v>
      </c>
      <c r="C49" s="32" t="s">
        <v>16483</v>
      </c>
      <c r="D49" s="33" t="s">
        <v>16484</v>
      </c>
      <c r="E49" s="33" t="s">
        <v>16485</v>
      </c>
      <c r="F49" s="33" t="s">
        <v>16361</v>
      </c>
      <c r="G49" s="33"/>
      <c r="H49" s="33" t="s">
        <v>16486</v>
      </c>
      <c r="I49" s="33" t="s">
        <v>16363</v>
      </c>
    </row>
    <row r="50" customFormat="false" ht="74" hidden="false" customHeight="true" outlineLevel="0" collapsed="false">
      <c r="A50" s="32" t="n">
        <v>49</v>
      </c>
      <c r="B50" s="32" t="s">
        <v>16358</v>
      </c>
      <c r="C50" s="32" t="s">
        <v>6339</v>
      </c>
      <c r="D50" s="33" t="s">
        <v>16487</v>
      </c>
      <c r="E50" s="33" t="s">
        <v>16488</v>
      </c>
      <c r="F50" s="33" t="s">
        <v>16361</v>
      </c>
      <c r="G50" s="33"/>
      <c r="H50" s="33" t="s">
        <v>16489</v>
      </c>
      <c r="I50" s="33" t="s">
        <v>16363</v>
      </c>
    </row>
    <row r="51" customFormat="false" ht="74" hidden="false" customHeight="true" outlineLevel="0" collapsed="false">
      <c r="A51" s="32" t="n">
        <v>50</v>
      </c>
      <c r="B51" s="32" t="s">
        <v>16358</v>
      </c>
      <c r="C51" s="32" t="s">
        <v>16490</v>
      </c>
      <c r="D51" s="33" t="s">
        <v>16491</v>
      </c>
      <c r="E51" s="33" t="s">
        <v>16492</v>
      </c>
      <c r="F51" s="33" t="s">
        <v>16361</v>
      </c>
      <c r="G51" s="33"/>
      <c r="H51" s="33" t="s">
        <v>6340</v>
      </c>
      <c r="I51" s="33" t="s">
        <v>16363</v>
      </c>
    </row>
    <row r="52" customFormat="false" ht="74" hidden="false" customHeight="true" outlineLevel="0" collapsed="false">
      <c r="A52" s="32" t="n">
        <v>51</v>
      </c>
      <c r="B52" s="32" t="s">
        <v>16358</v>
      </c>
      <c r="C52" s="32" t="s">
        <v>6367</v>
      </c>
      <c r="D52" s="33" t="s">
        <v>16493</v>
      </c>
      <c r="E52" s="33" t="s">
        <v>16494</v>
      </c>
      <c r="F52" s="33" t="s">
        <v>16385</v>
      </c>
      <c r="G52" s="33" t="s">
        <v>16495</v>
      </c>
      <c r="H52" s="33" t="s">
        <v>6355</v>
      </c>
      <c r="I52" s="33" t="s">
        <v>16363</v>
      </c>
    </row>
    <row r="53" customFormat="false" ht="74" hidden="false" customHeight="true" outlineLevel="0" collapsed="false">
      <c r="A53" s="32" t="n">
        <v>52</v>
      </c>
      <c r="B53" s="32" t="s">
        <v>16358</v>
      </c>
      <c r="C53" s="32" t="s">
        <v>16496</v>
      </c>
      <c r="D53" s="33" t="s">
        <v>16497</v>
      </c>
      <c r="E53" s="33" t="s">
        <v>16498</v>
      </c>
      <c r="F53" s="33" t="s">
        <v>16385</v>
      </c>
      <c r="G53" s="33" t="s">
        <v>16499</v>
      </c>
      <c r="H53" s="33" t="s">
        <v>4430</v>
      </c>
      <c r="I53" s="33" t="s">
        <v>16363</v>
      </c>
    </row>
    <row r="54" customFormat="false" ht="74" hidden="false" customHeight="true" outlineLevel="0" collapsed="false">
      <c r="A54" s="32" t="n">
        <v>53</v>
      </c>
      <c r="B54" s="32" t="s">
        <v>16358</v>
      </c>
      <c r="C54" s="32" t="s">
        <v>5899</v>
      </c>
      <c r="D54" s="33" t="s">
        <v>16500</v>
      </c>
      <c r="E54" s="33" t="s">
        <v>16501</v>
      </c>
      <c r="F54" s="33" t="s">
        <v>16361</v>
      </c>
      <c r="G54" s="33"/>
      <c r="H54" s="33" t="s">
        <v>5888</v>
      </c>
      <c r="I54" s="33" t="s">
        <v>16363</v>
      </c>
    </row>
    <row r="55" customFormat="false" ht="74" hidden="false" customHeight="true" outlineLevel="0" collapsed="false">
      <c r="A55" s="32" t="n">
        <v>54</v>
      </c>
      <c r="B55" s="32" t="s">
        <v>16358</v>
      </c>
      <c r="C55" s="32" t="s">
        <v>6394</v>
      </c>
      <c r="D55" s="33" t="s">
        <v>16502</v>
      </c>
      <c r="E55" s="33" t="s">
        <v>16503</v>
      </c>
      <c r="F55" s="33" t="s">
        <v>16361</v>
      </c>
      <c r="G55" s="33"/>
      <c r="H55" s="33" t="s">
        <v>6382</v>
      </c>
      <c r="I55" s="33" t="s">
        <v>16363</v>
      </c>
    </row>
    <row r="56" customFormat="false" ht="74" hidden="false" customHeight="true" outlineLevel="0" collapsed="false">
      <c r="A56" s="32" t="n">
        <v>55</v>
      </c>
      <c r="B56" s="32" t="s">
        <v>16358</v>
      </c>
      <c r="C56" s="32" t="s">
        <v>16504</v>
      </c>
      <c r="D56" s="33" t="s">
        <v>16505</v>
      </c>
      <c r="E56" s="33" t="s">
        <v>16506</v>
      </c>
      <c r="F56" s="33" t="s">
        <v>16361</v>
      </c>
      <c r="G56" s="33"/>
      <c r="H56" s="33" t="s">
        <v>5469</v>
      </c>
      <c r="I56" s="33" t="s">
        <v>16363</v>
      </c>
    </row>
    <row r="57" customFormat="false" ht="74" hidden="false" customHeight="true" outlineLevel="0" collapsed="false">
      <c r="A57" s="32" t="n">
        <v>56</v>
      </c>
      <c r="B57" s="32" t="s">
        <v>16358</v>
      </c>
      <c r="C57" s="32" t="s">
        <v>16507</v>
      </c>
      <c r="D57" s="33" t="s">
        <v>16508</v>
      </c>
      <c r="E57" s="33" t="s">
        <v>16509</v>
      </c>
      <c r="F57" s="33" t="s">
        <v>16361</v>
      </c>
      <c r="G57" s="33"/>
      <c r="H57" s="33" t="s">
        <v>5469</v>
      </c>
      <c r="I57" s="33" t="s">
        <v>16363</v>
      </c>
    </row>
    <row r="58" customFormat="false" ht="74" hidden="false" customHeight="true" outlineLevel="0" collapsed="false">
      <c r="A58" s="32" t="n">
        <v>57</v>
      </c>
      <c r="B58" s="32" t="s">
        <v>16358</v>
      </c>
      <c r="C58" s="32" t="s">
        <v>16510</v>
      </c>
      <c r="D58" s="33" t="s">
        <v>16511</v>
      </c>
      <c r="E58" s="33" t="s">
        <v>16512</v>
      </c>
      <c r="F58" s="33" t="s">
        <v>16361</v>
      </c>
      <c r="G58" s="33"/>
      <c r="H58" s="33" t="s">
        <v>6111</v>
      </c>
      <c r="I58" s="33" t="s">
        <v>16363</v>
      </c>
    </row>
    <row r="59" customFormat="false" ht="74" hidden="false" customHeight="true" outlineLevel="0" collapsed="false">
      <c r="A59" s="32" t="n">
        <v>58</v>
      </c>
      <c r="B59" s="32" t="s">
        <v>16358</v>
      </c>
      <c r="C59" s="32" t="s">
        <v>6408</v>
      </c>
      <c r="D59" s="33" t="s">
        <v>16513</v>
      </c>
      <c r="E59" s="33" t="s">
        <v>16514</v>
      </c>
      <c r="F59" s="33" t="s">
        <v>16361</v>
      </c>
      <c r="G59" s="33"/>
      <c r="H59" s="33" t="s">
        <v>6396</v>
      </c>
      <c r="I59" s="33" t="s">
        <v>16363</v>
      </c>
    </row>
    <row r="60" customFormat="false" ht="74" hidden="false" customHeight="true" outlineLevel="0" collapsed="false">
      <c r="A60" s="32" t="n">
        <v>59</v>
      </c>
      <c r="B60" s="32" t="s">
        <v>16358</v>
      </c>
      <c r="C60" s="32" t="s">
        <v>226</v>
      </c>
      <c r="D60" s="33" t="s">
        <v>16515</v>
      </c>
      <c r="E60" s="33" t="s">
        <v>16516</v>
      </c>
      <c r="F60" s="33" t="s">
        <v>16361</v>
      </c>
      <c r="G60" s="33"/>
      <c r="H60" s="33" t="s">
        <v>16517</v>
      </c>
      <c r="I60" s="33" t="s">
        <v>16363</v>
      </c>
    </row>
    <row r="61" customFormat="false" ht="74" hidden="false" customHeight="true" outlineLevel="0" collapsed="false">
      <c r="A61" s="32" t="n">
        <v>60</v>
      </c>
      <c r="B61" s="32" t="s">
        <v>16358</v>
      </c>
      <c r="C61" s="32" t="s">
        <v>16518</v>
      </c>
      <c r="D61" s="33" t="s">
        <v>16519</v>
      </c>
      <c r="E61" s="33" t="s">
        <v>16520</v>
      </c>
      <c r="F61" s="33" t="s">
        <v>16385</v>
      </c>
      <c r="G61" s="33" t="s">
        <v>16521</v>
      </c>
      <c r="H61" s="33" t="s">
        <v>5698</v>
      </c>
      <c r="I61" s="33" t="s">
        <v>16363</v>
      </c>
    </row>
    <row r="62" customFormat="false" ht="74" hidden="false" customHeight="true" outlineLevel="0" collapsed="false">
      <c r="A62" s="32" t="n">
        <v>61</v>
      </c>
      <c r="B62" s="32" t="s">
        <v>16358</v>
      </c>
      <c r="C62" s="32" t="s">
        <v>6110</v>
      </c>
      <c r="D62" s="33" t="s">
        <v>16522</v>
      </c>
      <c r="E62" s="33" t="s">
        <v>16523</v>
      </c>
      <c r="F62" s="33" t="s">
        <v>16385</v>
      </c>
      <c r="G62" s="33" t="s">
        <v>16524</v>
      </c>
      <c r="H62" s="33" t="s">
        <v>6096</v>
      </c>
      <c r="I62" s="33" t="s">
        <v>16363</v>
      </c>
    </row>
    <row r="63" customFormat="false" ht="74" hidden="false" customHeight="true" outlineLevel="0" collapsed="false">
      <c r="A63" s="32" t="n">
        <v>62</v>
      </c>
      <c r="B63" s="32" t="s">
        <v>16358</v>
      </c>
      <c r="C63" s="32" t="s">
        <v>16525</v>
      </c>
      <c r="D63" s="33" t="s">
        <v>16526</v>
      </c>
      <c r="E63" s="33" t="s">
        <v>16527</v>
      </c>
      <c r="F63" s="33" t="s">
        <v>16361</v>
      </c>
      <c r="G63" s="33"/>
      <c r="H63" s="33" t="s">
        <v>502</v>
      </c>
      <c r="I63" s="33" t="s">
        <v>16363</v>
      </c>
    </row>
    <row r="64" customFormat="false" ht="74" hidden="false" customHeight="true" outlineLevel="0" collapsed="false">
      <c r="A64" s="32" t="n">
        <v>63</v>
      </c>
      <c r="B64" s="32" t="s">
        <v>16358</v>
      </c>
      <c r="C64" s="32" t="s">
        <v>16528</v>
      </c>
      <c r="D64" s="33" t="s">
        <v>16529</v>
      </c>
      <c r="E64" s="33" t="s">
        <v>16530</v>
      </c>
      <c r="F64" s="33" t="s">
        <v>16361</v>
      </c>
      <c r="G64" s="33"/>
      <c r="H64" s="33" t="s">
        <v>16531</v>
      </c>
      <c r="I64" s="33" t="s">
        <v>16363</v>
      </c>
    </row>
    <row r="65" customFormat="false" ht="74" hidden="false" customHeight="true" outlineLevel="0" collapsed="false">
      <c r="A65" s="32" t="n">
        <v>64</v>
      </c>
      <c r="B65" s="32" t="s">
        <v>16358</v>
      </c>
      <c r="C65" s="32" t="s">
        <v>16532</v>
      </c>
      <c r="D65" s="33" t="s">
        <v>16533</v>
      </c>
      <c r="E65" s="33" t="s">
        <v>16534</v>
      </c>
      <c r="F65" s="33" t="s">
        <v>16361</v>
      </c>
      <c r="G65" s="33"/>
      <c r="H65" s="33" t="s">
        <v>7638</v>
      </c>
      <c r="I65" s="33" t="s">
        <v>16363</v>
      </c>
    </row>
    <row r="66" customFormat="false" ht="74" hidden="false" customHeight="true" outlineLevel="0" collapsed="false">
      <c r="A66" s="32" t="n">
        <v>65</v>
      </c>
      <c r="B66" s="32" t="s">
        <v>16358</v>
      </c>
      <c r="C66" s="32" t="s">
        <v>16535</v>
      </c>
      <c r="D66" s="33" t="s">
        <v>16536</v>
      </c>
      <c r="E66" s="33" t="s">
        <v>16537</v>
      </c>
      <c r="F66" s="33" t="s">
        <v>16361</v>
      </c>
      <c r="G66" s="33"/>
      <c r="H66" s="33" t="s">
        <v>7638</v>
      </c>
      <c r="I66" s="33" t="s">
        <v>16363</v>
      </c>
    </row>
    <row r="67" customFormat="false" ht="74" hidden="false" customHeight="true" outlineLevel="0" collapsed="false">
      <c r="A67" s="32" t="n">
        <v>66</v>
      </c>
      <c r="B67" s="32" t="s">
        <v>16358</v>
      </c>
      <c r="C67" s="32" t="s">
        <v>7662</v>
      </c>
      <c r="D67" s="33" t="s">
        <v>16538</v>
      </c>
      <c r="E67" s="33" t="s">
        <v>16539</v>
      </c>
      <c r="F67" s="33" t="s">
        <v>16361</v>
      </c>
      <c r="G67" s="33"/>
      <c r="H67" s="33" t="s">
        <v>7652</v>
      </c>
      <c r="I67" s="33" t="s">
        <v>16363</v>
      </c>
    </row>
    <row r="68" customFormat="false" ht="74" hidden="false" customHeight="true" outlineLevel="0" collapsed="false">
      <c r="A68" s="32" t="n">
        <v>67</v>
      </c>
      <c r="B68" s="32" t="s">
        <v>16358</v>
      </c>
      <c r="C68" s="32" t="s">
        <v>7675</v>
      </c>
      <c r="D68" s="33" t="s">
        <v>16540</v>
      </c>
      <c r="E68" s="33" t="s">
        <v>16541</v>
      </c>
      <c r="F68" s="33" t="s">
        <v>16361</v>
      </c>
      <c r="G68" s="33"/>
      <c r="H68" s="33" t="s">
        <v>7663</v>
      </c>
      <c r="I68" s="33" t="s">
        <v>16363</v>
      </c>
    </row>
    <row r="69" customFormat="false" ht="74" hidden="false" customHeight="true" outlineLevel="0" collapsed="false">
      <c r="A69" s="32" t="n">
        <v>68</v>
      </c>
      <c r="B69" s="32" t="s">
        <v>16358</v>
      </c>
      <c r="C69" s="32" t="s">
        <v>7687</v>
      </c>
      <c r="D69" s="33" t="s">
        <v>16542</v>
      </c>
      <c r="E69" s="33" t="s">
        <v>16543</v>
      </c>
      <c r="F69" s="33" t="s">
        <v>16361</v>
      </c>
      <c r="G69" s="33"/>
      <c r="H69" s="33" t="s">
        <v>16544</v>
      </c>
      <c r="I69" s="33" t="s">
        <v>16363</v>
      </c>
    </row>
    <row r="70" customFormat="false" ht="74" hidden="false" customHeight="true" outlineLevel="0" collapsed="false">
      <c r="A70" s="32" t="n">
        <v>69</v>
      </c>
      <c r="B70" s="32" t="s">
        <v>16358</v>
      </c>
      <c r="C70" s="32" t="s">
        <v>16545</v>
      </c>
      <c r="D70" s="33" t="s">
        <v>16546</v>
      </c>
      <c r="E70" s="33" t="s">
        <v>16547</v>
      </c>
      <c r="F70" s="33" t="s">
        <v>16385</v>
      </c>
      <c r="G70" s="33" t="s">
        <v>16548</v>
      </c>
      <c r="H70" s="33" t="s">
        <v>7709</v>
      </c>
      <c r="I70" s="33" t="s">
        <v>16363</v>
      </c>
    </row>
    <row r="71" customFormat="false" ht="74" hidden="false" customHeight="true" outlineLevel="0" collapsed="false">
      <c r="A71" s="32" t="n">
        <v>70</v>
      </c>
      <c r="B71" s="32" t="s">
        <v>16358</v>
      </c>
      <c r="C71" s="32" t="s">
        <v>16549</v>
      </c>
      <c r="D71" s="33" t="s">
        <v>16550</v>
      </c>
      <c r="E71" s="33" t="s">
        <v>16551</v>
      </c>
      <c r="F71" s="33" t="s">
        <v>16361</v>
      </c>
      <c r="G71" s="33"/>
      <c r="H71" s="33" t="s">
        <v>7709</v>
      </c>
      <c r="I71" s="33" t="s">
        <v>16363</v>
      </c>
    </row>
    <row r="72" customFormat="false" ht="74" hidden="false" customHeight="true" outlineLevel="0" collapsed="false">
      <c r="A72" s="32" t="n">
        <v>71</v>
      </c>
      <c r="B72" s="32" t="s">
        <v>16358</v>
      </c>
      <c r="C72" s="32" t="s">
        <v>7738</v>
      </c>
      <c r="D72" s="33" t="s">
        <v>16552</v>
      </c>
      <c r="E72" s="33" t="s">
        <v>16553</v>
      </c>
      <c r="F72" s="33" t="s">
        <v>16361</v>
      </c>
      <c r="G72" s="33"/>
      <c r="H72" s="33" t="s">
        <v>7725</v>
      </c>
      <c r="I72" s="33" t="s">
        <v>16363</v>
      </c>
    </row>
    <row r="73" customFormat="false" ht="74" hidden="false" customHeight="true" outlineLevel="0" collapsed="false">
      <c r="A73" s="32" t="n">
        <v>72</v>
      </c>
      <c r="B73" s="32" t="s">
        <v>16358</v>
      </c>
      <c r="C73" s="32" t="s">
        <v>16554</v>
      </c>
      <c r="D73" s="33" t="s">
        <v>16555</v>
      </c>
      <c r="E73" s="33" t="s">
        <v>16556</v>
      </c>
      <c r="F73" s="33" t="s">
        <v>16361</v>
      </c>
      <c r="G73" s="33"/>
      <c r="H73" s="33" t="s">
        <v>2604</v>
      </c>
      <c r="I73" s="33" t="s">
        <v>16363</v>
      </c>
    </row>
    <row r="74" customFormat="false" ht="74" hidden="false" customHeight="true" outlineLevel="0" collapsed="false">
      <c r="A74" s="32" t="n">
        <v>73</v>
      </c>
      <c r="B74" s="32" t="s">
        <v>16358</v>
      </c>
      <c r="C74" s="32" t="s">
        <v>16557</v>
      </c>
      <c r="D74" s="33" t="s">
        <v>16558</v>
      </c>
      <c r="E74" s="33" t="s">
        <v>16559</v>
      </c>
      <c r="F74" s="33" t="s">
        <v>16361</v>
      </c>
      <c r="G74" s="33"/>
      <c r="H74" s="33" t="s">
        <v>2604</v>
      </c>
      <c r="I74" s="33" t="s">
        <v>16363</v>
      </c>
    </row>
    <row r="75" customFormat="false" ht="74" hidden="false" customHeight="true" outlineLevel="0" collapsed="false">
      <c r="A75" s="32" t="n">
        <v>74</v>
      </c>
      <c r="B75" s="32" t="s">
        <v>16358</v>
      </c>
      <c r="C75" s="32" t="s">
        <v>7762</v>
      </c>
      <c r="D75" s="33" t="s">
        <v>16560</v>
      </c>
      <c r="E75" s="33" t="s">
        <v>16561</v>
      </c>
      <c r="F75" s="33" t="s">
        <v>16361</v>
      </c>
      <c r="G75" s="33"/>
      <c r="H75" s="33" t="s">
        <v>16562</v>
      </c>
      <c r="I75" s="33" t="s">
        <v>16363</v>
      </c>
    </row>
    <row r="76" customFormat="false" ht="74" hidden="false" customHeight="true" outlineLevel="0" collapsed="false">
      <c r="A76" s="32" t="n">
        <v>75</v>
      </c>
      <c r="B76" s="32" t="s">
        <v>16358</v>
      </c>
      <c r="C76" s="32" t="s">
        <v>7786</v>
      </c>
      <c r="D76" s="33" t="s">
        <v>16563</v>
      </c>
      <c r="E76" s="33" t="s">
        <v>16564</v>
      </c>
      <c r="F76" s="33" t="s">
        <v>16361</v>
      </c>
      <c r="G76" s="33"/>
      <c r="H76" s="33" t="s">
        <v>7773</v>
      </c>
      <c r="I76" s="33" t="s">
        <v>16363</v>
      </c>
    </row>
    <row r="77" customFormat="false" ht="74" hidden="false" customHeight="true" outlineLevel="0" collapsed="false">
      <c r="A77" s="32" t="n">
        <v>76</v>
      </c>
      <c r="B77" s="32" t="s">
        <v>16358</v>
      </c>
      <c r="C77" s="32" t="s">
        <v>16565</v>
      </c>
      <c r="D77" s="33" t="s">
        <v>16566</v>
      </c>
      <c r="E77" s="33" t="s">
        <v>16567</v>
      </c>
      <c r="F77" s="33" t="s">
        <v>16361</v>
      </c>
      <c r="G77" s="33"/>
      <c r="H77" s="33" t="s">
        <v>7787</v>
      </c>
      <c r="I77" s="33" t="s">
        <v>16363</v>
      </c>
    </row>
    <row r="78" customFormat="false" ht="74" hidden="false" customHeight="true" outlineLevel="0" collapsed="false">
      <c r="A78" s="32" t="n">
        <v>77</v>
      </c>
      <c r="B78" s="32" t="s">
        <v>16358</v>
      </c>
      <c r="C78" s="32" t="s">
        <v>7812</v>
      </c>
      <c r="D78" s="33" t="s">
        <v>16568</v>
      </c>
      <c r="E78" s="33" t="s">
        <v>16569</v>
      </c>
      <c r="F78" s="33" t="s">
        <v>16361</v>
      </c>
      <c r="G78" s="33"/>
      <c r="H78" s="33" t="s">
        <v>7798</v>
      </c>
      <c r="I78" s="33" t="s">
        <v>16363</v>
      </c>
    </row>
    <row r="79" customFormat="false" ht="74" hidden="false" customHeight="true" outlineLevel="0" collapsed="false">
      <c r="A79" s="32" t="n">
        <v>78</v>
      </c>
      <c r="B79" s="32" t="s">
        <v>16358</v>
      </c>
      <c r="C79" s="32" t="s">
        <v>7824</v>
      </c>
      <c r="D79" s="33" t="s">
        <v>16570</v>
      </c>
      <c r="E79" s="33" t="s">
        <v>16571</v>
      </c>
      <c r="F79" s="33" t="s">
        <v>16361</v>
      </c>
      <c r="G79" s="33"/>
      <c r="H79" s="33" t="s">
        <v>7813</v>
      </c>
      <c r="I79" s="33" t="s">
        <v>16363</v>
      </c>
    </row>
    <row r="80" customFormat="false" ht="74" hidden="false" customHeight="true" outlineLevel="0" collapsed="false">
      <c r="A80" s="32" t="n">
        <v>79</v>
      </c>
      <c r="B80" s="32" t="s">
        <v>16358</v>
      </c>
      <c r="C80" s="32" t="s">
        <v>16572</v>
      </c>
      <c r="D80" s="33" t="s">
        <v>16573</v>
      </c>
      <c r="E80" s="33" t="s">
        <v>16574</v>
      </c>
      <c r="F80" s="33" t="s">
        <v>16361</v>
      </c>
      <c r="G80" s="33"/>
      <c r="H80" s="33" t="s">
        <v>7825</v>
      </c>
      <c r="I80" s="33" t="s">
        <v>16363</v>
      </c>
    </row>
    <row r="81" customFormat="false" ht="74" hidden="false" customHeight="true" outlineLevel="0" collapsed="false">
      <c r="A81" s="32" t="n">
        <v>80</v>
      </c>
      <c r="B81" s="32" t="s">
        <v>16358</v>
      </c>
      <c r="C81" s="32" t="s">
        <v>7856</v>
      </c>
      <c r="D81" s="33" t="s">
        <v>16575</v>
      </c>
      <c r="E81" s="33" t="s">
        <v>16576</v>
      </c>
      <c r="F81" s="33" t="s">
        <v>16361</v>
      </c>
      <c r="G81" s="33"/>
      <c r="H81" s="33" t="s">
        <v>7841</v>
      </c>
      <c r="I81" s="33" t="s">
        <v>16363</v>
      </c>
    </row>
    <row r="82" customFormat="false" ht="74" hidden="false" customHeight="true" outlineLevel="0" collapsed="false">
      <c r="A82" s="32" t="n">
        <v>81</v>
      </c>
      <c r="B82" s="32" t="s">
        <v>16358</v>
      </c>
      <c r="C82" s="32" t="s">
        <v>7871</v>
      </c>
      <c r="D82" s="33" t="s">
        <v>16577</v>
      </c>
      <c r="E82" s="33" t="s">
        <v>16578</v>
      </c>
      <c r="F82" s="33" t="s">
        <v>16361</v>
      </c>
      <c r="G82" s="33"/>
      <c r="H82" s="33" t="s">
        <v>16579</v>
      </c>
      <c r="I82" s="33" t="s">
        <v>16363</v>
      </c>
    </row>
    <row r="83" customFormat="false" ht="74" hidden="false" customHeight="true" outlineLevel="0" collapsed="false">
      <c r="A83" s="32" t="n">
        <v>82</v>
      </c>
      <c r="B83" s="32" t="s">
        <v>16358</v>
      </c>
      <c r="C83" s="32" t="s">
        <v>7883</v>
      </c>
      <c r="D83" s="33" t="s">
        <v>16580</v>
      </c>
      <c r="E83" s="33" t="s">
        <v>16581</v>
      </c>
      <c r="F83" s="33" t="s">
        <v>16361</v>
      </c>
      <c r="G83" s="33"/>
      <c r="H83" s="33" t="s">
        <v>7872</v>
      </c>
      <c r="I83" s="33" t="s">
        <v>16363</v>
      </c>
    </row>
    <row r="84" customFormat="false" ht="74" hidden="false" customHeight="true" outlineLevel="0" collapsed="false">
      <c r="A84" s="32" t="n">
        <v>83</v>
      </c>
      <c r="B84" s="32" t="s">
        <v>16358</v>
      </c>
      <c r="C84" s="32" t="s">
        <v>7895</v>
      </c>
      <c r="D84" s="33" t="s">
        <v>16582</v>
      </c>
      <c r="E84" s="33" t="s">
        <v>16583</v>
      </c>
      <c r="F84" s="33" t="s">
        <v>16361</v>
      </c>
      <c r="G84" s="33"/>
      <c r="H84" s="33" t="s">
        <v>7884</v>
      </c>
      <c r="I84" s="33" t="s">
        <v>16363</v>
      </c>
    </row>
    <row r="85" customFormat="false" ht="74" hidden="false" customHeight="true" outlineLevel="0" collapsed="false">
      <c r="A85" s="32" t="n">
        <v>84</v>
      </c>
      <c r="B85" s="32" t="s">
        <v>16358</v>
      </c>
      <c r="C85" s="32" t="s">
        <v>7907</v>
      </c>
      <c r="D85" s="33" t="s">
        <v>16584</v>
      </c>
      <c r="E85" s="33" t="s">
        <v>16585</v>
      </c>
      <c r="F85" s="33" t="s">
        <v>16361</v>
      </c>
      <c r="G85" s="33"/>
      <c r="H85" s="33" t="s">
        <v>7896</v>
      </c>
      <c r="I85" s="33" t="s">
        <v>16363</v>
      </c>
    </row>
    <row r="86" customFormat="false" ht="74" hidden="false" customHeight="true" outlineLevel="0" collapsed="false">
      <c r="A86" s="32" t="n">
        <v>85</v>
      </c>
      <c r="B86" s="32" t="s">
        <v>16358</v>
      </c>
      <c r="C86" s="32" t="s">
        <v>7930</v>
      </c>
      <c r="D86" s="33" t="s">
        <v>16586</v>
      </c>
      <c r="E86" s="33" t="s">
        <v>16587</v>
      </c>
      <c r="F86" s="33" t="s">
        <v>16361</v>
      </c>
      <c r="G86" s="33"/>
      <c r="H86" s="33" t="s">
        <v>7920</v>
      </c>
      <c r="I86" s="33" t="s">
        <v>16363</v>
      </c>
    </row>
    <row r="87" customFormat="false" ht="74" hidden="false" customHeight="true" outlineLevel="0" collapsed="false">
      <c r="A87" s="32" t="n">
        <v>86</v>
      </c>
      <c r="B87" s="32" t="s">
        <v>16358</v>
      </c>
      <c r="C87" s="32" t="s">
        <v>7943</v>
      </c>
      <c r="D87" s="33" t="s">
        <v>16588</v>
      </c>
      <c r="E87" s="33" t="s">
        <v>16589</v>
      </c>
      <c r="F87" s="33" t="s">
        <v>16361</v>
      </c>
      <c r="G87" s="33"/>
      <c r="H87" s="33" t="s">
        <v>7931</v>
      </c>
      <c r="I87" s="33" t="s">
        <v>16363</v>
      </c>
    </row>
    <row r="88" customFormat="false" ht="74" hidden="false" customHeight="true" outlineLevel="0" collapsed="false">
      <c r="A88" s="32" t="n">
        <v>87</v>
      </c>
      <c r="B88" s="32" t="s">
        <v>16358</v>
      </c>
      <c r="C88" s="32" t="s">
        <v>7954</v>
      </c>
      <c r="D88" s="33" t="s">
        <v>16590</v>
      </c>
      <c r="E88" s="33" t="s">
        <v>16591</v>
      </c>
      <c r="F88" s="33" t="s">
        <v>16361</v>
      </c>
      <c r="G88" s="33"/>
      <c r="H88" s="33" t="s">
        <v>7944</v>
      </c>
      <c r="I88" s="33" t="s">
        <v>16363</v>
      </c>
    </row>
    <row r="89" customFormat="false" ht="74" hidden="false" customHeight="true" outlineLevel="0" collapsed="false">
      <c r="A89" s="32" t="n">
        <v>88</v>
      </c>
      <c r="B89" s="32" t="s">
        <v>16358</v>
      </c>
      <c r="C89" s="32" t="s">
        <v>7969</v>
      </c>
      <c r="D89" s="33" t="s">
        <v>16592</v>
      </c>
      <c r="E89" s="33" t="s">
        <v>16593</v>
      </c>
      <c r="F89" s="33" t="s">
        <v>16361</v>
      </c>
      <c r="G89" s="33"/>
      <c r="H89" s="33" t="s">
        <v>7955</v>
      </c>
      <c r="I89" s="33" t="s">
        <v>16363</v>
      </c>
    </row>
    <row r="90" customFormat="false" ht="74" hidden="false" customHeight="true" outlineLevel="0" collapsed="false">
      <c r="A90" s="32" t="n">
        <v>89</v>
      </c>
      <c r="B90" s="32" t="s">
        <v>16358</v>
      </c>
      <c r="C90" s="32" t="s">
        <v>7981</v>
      </c>
      <c r="D90" s="33" t="s">
        <v>16594</v>
      </c>
      <c r="E90" s="33" t="s">
        <v>16593</v>
      </c>
      <c r="F90" s="33" t="s">
        <v>16361</v>
      </c>
      <c r="G90" s="33"/>
      <c r="H90" s="33" t="s">
        <v>7970</v>
      </c>
      <c r="I90" s="33" t="s">
        <v>16363</v>
      </c>
    </row>
    <row r="91" customFormat="false" ht="74" hidden="false" customHeight="true" outlineLevel="0" collapsed="false">
      <c r="A91" s="32" t="n">
        <v>90</v>
      </c>
      <c r="B91" s="32" t="s">
        <v>16358</v>
      </c>
      <c r="C91" s="32" t="s">
        <v>16595</v>
      </c>
      <c r="D91" s="33" t="s">
        <v>16596</v>
      </c>
      <c r="E91" s="33" t="s">
        <v>16593</v>
      </c>
      <c r="F91" s="33" t="s">
        <v>16361</v>
      </c>
      <c r="G91" s="33"/>
      <c r="H91" s="33" t="s">
        <v>7982</v>
      </c>
      <c r="I91" s="33" t="s">
        <v>16363</v>
      </c>
    </row>
    <row r="92" customFormat="false" ht="74" hidden="false" customHeight="true" outlineLevel="0" collapsed="false">
      <c r="A92" s="32" t="n">
        <v>91</v>
      </c>
      <c r="B92" s="32" t="s">
        <v>16358</v>
      </c>
      <c r="C92" s="32" t="s">
        <v>16597</v>
      </c>
      <c r="D92" s="33" t="s">
        <v>16598</v>
      </c>
      <c r="E92" s="33" t="s">
        <v>16593</v>
      </c>
      <c r="F92" s="33" t="s">
        <v>16361</v>
      </c>
      <c r="G92" s="33"/>
      <c r="H92" s="33" t="s">
        <v>7982</v>
      </c>
      <c r="I92" s="33" t="s">
        <v>16363</v>
      </c>
    </row>
    <row r="93" customFormat="false" ht="74" hidden="false" customHeight="true" outlineLevel="0" collapsed="false">
      <c r="A93" s="32" t="n">
        <v>92</v>
      </c>
      <c r="B93" s="32" t="s">
        <v>16358</v>
      </c>
      <c r="C93" s="32" t="s">
        <v>2762</v>
      </c>
      <c r="D93" s="33" t="s">
        <v>16599</v>
      </c>
      <c r="E93" s="33" t="s">
        <v>16600</v>
      </c>
      <c r="F93" s="33" t="s">
        <v>16361</v>
      </c>
      <c r="G93" s="33"/>
      <c r="H93" s="33" t="s">
        <v>16601</v>
      </c>
      <c r="I93" s="33" t="s">
        <v>16363</v>
      </c>
    </row>
    <row r="94" customFormat="false" ht="74" hidden="false" customHeight="true" outlineLevel="0" collapsed="false">
      <c r="A94" s="32" t="n">
        <v>93</v>
      </c>
      <c r="B94" s="32" t="s">
        <v>16358</v>
      </c>
      <c r="C94" s="32" t="s">
        <v>8015</v>
      </c>
      <c r="D94" s="33" t="s">
        <v>16602</v>
      </c>
      <c r="E94" s="33" t="s">
        <v>16603</v>
      </c>
      <c r="F94" s="33" t="s">
        <v>16361</v>
      </c>
      <c r="G94" s="33"/>
      <c r="H94" s="33" t="s">
        <v>8004</v>
      </c>
      <c r="I94" s="33" t="s">
        <v>16363</v>
      </c>
    </row>
    <row r="95" customFormat="false" ht="74" hidden="false" customHeight="true" outlineLevel="0" collapsed="false">
      <c r="A95" s="32" t="n">
        <v>94</v>
      </c>
      <c r="B95" s="32" t="s">
        <v>16358</v>
      </c>
      <c r="C95" s="32" t="s">
        <v>2787</v>
      </c>
      <c r="D95" s="33" t="s">
        <v>16604</v>
      </c>
      <c r="E95" s="33" t="s">
        <v>16605</v>
      </c>
      <c r="F95" s="33" t="s">
        <v>16361</v>
      </c>
      <c r="G95" s="33"/>
      <c r="H95" s="33" t="s">
        <v>16606</v>
      </c>
      <c r="I95" s="33" t="s">
        <v>16363</v>
      </c>
    </row>
    <row r="96" customFormat="false" ht="74" hidden="false" customHeight="true" outlineLevel="0" collapsed="false">
      <c r="A96" s="32" t="n">
        <v>95</v>
      </c>
      <c r="B96" s="32" t="s">
        <v>16358</v>
      </c>
      <c r="C96" s="32" t="s">
        <v>8040</v>
      </c>
      <c r="D96" s="33" t="s">
        <v>16607</v>
      </c>
      <c r="E96" s="33" t="s">
        <v>16593</v>
      </c>
      <c r="F96" s="33" t="s">
        <v>16361</v>
      </c>
      <c r="G96" s="33"/>
      <c r="H96" s="33" t="s">
        <v>8028</v>
      </c>
      <c r="I96" s="33" t="s">
        <v>16363</v>
      </c>
    </row>
    <row r="97" customFormat="false" ht="74" hidden="false" customHeight="true" outlineLevel="0" collapsed="false">
      <c r="A97" s="32" t="n">
        <v>96</v>
      </c>
      <c r="B97" s="32" t="s">
        <v>16358</v>
      </c>
      <c r="C97" s="32" t="s">
        <v>8054</v>
      </c>
      <c r="D97" s="33" t="s">
        <v>16608</v>
      </c>
      <c r="E97" s="33" t="s">
        <v>16609</v>
      </c>
      <c r="F97" s="33" t="s">
        <v>16361</v>
      </c>
      <c r="G97" s="33"/>
      <c r="H97" s="33" t="s">
        <v>16610</v>
      </c>
      <c r="I97" s="33" t="s">
        <v>16363</v>
      </c>
    </row>
    <row r="98" customFormat="false" ht="74" hidden="false" customHeight="true" outlineLevel="0" collapsed="false">
      <c r="A98" s="32" t="n">
        <v>97</v>
      </c>
      <c r="B98" s="32" t="s">
        <v>16358</v>
      </c>
      <c r="C98" s="32" t="s">
        <v>16611</v>
      </c>
      <c r="D98" s="33" t="s">
        <v>16612</v>
      </c>
      <c r="E98" s="33" t="s">
        <v>16613</v>
      </c>
      <c r="F98" s="33" t="s">
        <v>16361</v>
      </c>
      <c r="G98" s="33"/>
      <c r="H98" s="33" t="s">
        <v>8055</v>
      </c>
      <c r="I98" s="33" t="s">
        <v>16363</v>
      </c>
    </row>
    <row r="99" customFormat="false" ht="74" hidden="false" customHeight="true" outlineLevel="0" collapsed="false">
      <c r="A99" s="32" t="n">
        <v>98</v>
      </c>
      <c r="B99" s="32" t="s">
        <v>16358</v>
      </c>
      <c r="C99" s="32" t="s">
        <v>16614</v>
      </c>
      <c r="D99" s="33" t="s">
        <v>16615</v>
      </c>
      <c r="E99" s="33" t="s">
        <v>16616</v>
      </c>
      <c r="F99" s="33" t="s">
        <v>16361</v>
      </c>
      <c r="G99" s="33"/>
      <c r="H99" s="33" t="s">
        <v>2809</v>
      </c>
      <c r="I99" s="33" t="s">
        <v>16363</v>
      </c>
    </row>
    <row r="100" customFormat="false" ht="74" hidden="false" customHeight="true" outlineLevel="0" collapsed="false">
      <c r="A100" s="32" t="n">
        <v>99</v>
      </c>
      <c r="B100" s="32" t="s">
        <v>16358</v>
      </c>
      <c r="C100" s="32" t="s">
        <v>8105</v>
      </c>
      <c r="D100" s="33" t="s">
        <v>16617</v>
      </c>
      <c r="E100" s="33" t="s">
        <v>16618</v>
      </c>
      <c r="F100" s="33" t="s">
        <v>16361</v>
      </c>
      <c r="G100" s="33"/>
      <c r="H100" s="33" t="s">
        <v>16619</v>
      </c>
      <c r="I100" s="33" t="s">
        <v>16363</v>
      </c>
    </row>
    <row r="101" customFormat="false" ht="74" hidden="false" customHeight="true" outlineLevel="0" collapsed="false">
      <c r="A101" s="32" t="n">
        <v>100</v>
      </c>
      <c r="B101" s="32" t="s">
        <v>16358</v>
      </c>
      <c r="C101" s="32" t="s">
        <v>8092</v>
      </c>
      <c r="D101" s="33" t="s">
        <v>16620</v>
      </c>
      <c r="E101" s="33" t="s">
        <v>16621</v>
      </c>
      <c r="F101" s="33" t="s">
        <v>16361</v>
      </c>
      <c r="G101" s="33"/>
      <c r="H101" s="33" t="s">
        <v>8082</v>
      </c>
      <c r="I101" s="33" t="s">
        <v>16363</v>
      </c>
    </row>
    <row r="102" customFormat="false" ht="74" hidden="false" customHeight="true" outlineLevel="0" collapsed="false">
      <c r="A102" s="32" t="n">
        <v>101</v>
      </c>
      <c r="B102" s="32" t="s">
        <v>16358</v>
      </c>
      <c r="C102" s="32" t="s">
        <v>8119</v>
      </c>
      <c r="D102" s="33" t="s">
        <v>16622</v>
      </c>
      <c r="E102" s="33" t="s">
        <v>16616</v>
      </c>
      <c r="F102" s="33" t="s">
        <v>16361</v>
      </c>
      <c r="G102" s="33"/>
      <c r="H102" s="33" t="s">
        <v>8106</v>
      </c>
      <c r="I102" s="33" t="s">
        <v>16363</v>
      </c>
    </row>
    <row r="103" customFormat="false" ht="74" hidden="false" customHeight="true" outlineLevel="0" collapsed="false">
      <c r="A103" s="32" t="n">
        <v>102</v>
      </c>
      <c r="B103" s="32" t="s">
        <v>16358</v>
      </c>
      <c r="C103" s="32" t="s">
        <v>16623</v>
      </c>
      <c r="D103" s="33" t="s">
        <v>16624</v>
      </c>
      <c r="E103" s="33" t="s">
        <v>16625</v>
      </c>
      <c r="F103" s="33" t="s">
        <v>16361</v>
      </c>
      <c r="G103" s="33"/>
      <c r="H103" s="33" t="s">
        <v>2983</v>
      </c>
      <c r="I103" s="33" t="s">
        <v>16363</v>
      </c>
    </row>
    <row r="104" customFormat="false" ht="74" hidden="false" customHeight="true" outlineLevel="0" collapsed="false">
      <c r="A104" s="32" t="n">
        <v>103</v>
      </c>
      <c r="B104" s="32" t="s">
        <v>16358</v>
      </c>
      <c r="C104" s="32" t="s">
        <v>16626</v>
      </c>
      <c r="D104" s="33" t="s">
        <v>16627</v>
      </c>
      <c r="E104" s="33" t="s">
        <v>16628</v>
      </c>
      <c r="F104" s="33" t="s">
        <v>16361</v>
      </c>
      <c r="G104" s="33"/>
      <c r="H104" s="33" t="s">
        <v>8135</v>
      </c>
      <c r="I104" s="33" t="s">
        <v>16363</v>
      </c>
    </row>
    <row r="105" customFormat="false" ht="74" hidden="false" customHeight="true" outlineLevel="0" collapsed="false">
      <c r="A105" s="32" t="n">
        <v>104</v>
      </c>
      <c r="B105" s="32" t="s">
        <v>16358</v>
      </c>
      <c r="C105" s="32" t="s">
        <v>8163</v>
      </c>
      <c r="D105" s="33" t="s">
        <v>16629</v>
      </c>
      <c r="E105" s="33" t="s">
        <v>16630</v>
      </c>
      <c r="F105" s="33" t="s">
        <v>16361</v>
      </c>
      <c r="G105" s="33"/>
      <c r="H105" s="33" t="s">
        <v>8151</v>
      </c>
      <c r="I105" s="33" t="s">
        <v>16363</v>
      </c>
    </row>
    <row r="106" customFormat="false" ht="74" hidden="false" customHeight="true" outlineLevel="0" collapsed="false">
      <c r="A106" s="32" t="n">
        <v>105</v>
      </c>
      <c r="B106" s="32" t="s">
        <v>16358</v>
      </c>
      <c r="C106" s="32" t="s">
        <v>8178</v>
      </c>
      <c r="D106" s="33" t="s">
        <v>16631</v>
      </c>
      <c r="E106" s="33" t="s">
        <v>16632</v>
      </c>
      <c r="F106" s="33" t="s">
        <v>16361</v>
      </c>
      <c r="G106" s="33"/>
      <c r="H106" s="33" t="s">
        <v>8164</v>
      </c>
      <c r="I106" s="33" t="s">
        <v>16363</v>
      </c>
    </row>
    <row r="107" customFormat="false" ht="74" hidden="false" customHeight="true" outlineLevel="0" collapsed="false">
      <c r="A107" s="32" t="n">
        <v>106</v>
      </c>
      <c r="B107" s="32" t="s">
        <v>16358</v>
      </c>
      <c r="C107" s="32" t="s">
        <v>8192</v>
      </c>
      <c r="D107" s="33" t="s">
        <v>16633</v>
      </c>
      <c r="E107" s="33" t="s">
        <v>16634</v>
      </c>
      <c r="F107" s="33" t="s">
        <v>16361</v>
      </c>
      <c r="G107" s="33"/>
      <c r="H107" s="33" t="s">
        <v>8179</v>
      </c>
      <c r="I107" s="33" t="s">
        <v>16363</v>
      </c>
    </row>
    <row r="108" customFormat="false" ht="74" hidden="false" customHeight="true" outlineLevel="0" collapsed="false">
      <c r="A108" s="32" t="n">
        <v>107</v>
      </c>
      <c r="B108" s="32" t="s">
        <v>16358</v>
      </c>
      <c r="C108" s="32" t="s">
        <v>8206</v>
      </c>
      <c r="D108" s="33" t="s">
        <v>16635</v>
      </c>
      <c r="E108" s="33" t="s">
        <v>16636</v>
      </c>
      <c r="F108" s="33" t="s">
        <v>16361</v>
      </c>
      <c r="G108" s="33"/>
      <c r="H108" s="33" t="s">
        <v>8193</v>
      </c>
      <c r="I108" s="33" t="s">
        <v>16363</v>
      </c>
    </row>
    <row r="109" customFormat="false" ht="74" hidden="false" customHeight="true" outlineLevel="0" collapsed="false">
      <c r="A109" s="32" t="n">
        <v>108</v>
      </c>
      <c r="B109" s="32" t="s">
        <v>16358</v>
      </c>
      <c r="C109" s="32" t="s">
        <v>8217</v>
      </c>
      <c r="D109" s="33" t="s">
        <v>16637</v>
      </c>
      <c r="E109" s="33" t="s">
        <v>16638</v>
      </c>
      <c r="F109" s="33" t="s">
        <v>16361</v>
      </c>
      <c r="G109" s="33"/>
      <c r="H109" s="33" t="s">
        <v>8207</v>
      </c>
      <c r="I109" s="33" t="s">
        <v>16363</v>
      </c>
    </row>
    <row r="110" customFormat="false" ht="74" hidden="false" customHeight="true" outlineLevel="0" collapsed="false">
      <c r="A110" s="32" t="n">
        <v>109</v>
      </c>
      <c r="B110" s="32" t="s">
        <v>16358</v>
      </c>
      <c r="C110" s="32" t="s">
        <v>8231</v>
      </c>
      <c r="D110" s="33" t="s">
        <v>16639</v>
      </c>
      <c r="E110" s="33" t="s">
        <v>16640</v>
      </c>
      <c r="F110" s="33" t="s">
        <v>16361</v>
      </c>
      <c r="G110" s="33"/>
      <c r="H110" s="33" t="s">
        <v>8218</v>
      </c>
      <c r="I110" s="33" t="s">
        <v>16363</v>
      </c>
    </row>
    <row r="111" customFormat="false" ht="74" hidden="false" customHeight="true" outlineLevel="0" collapsed="false">
      <c r="A111" s="32" t="n">
        <v>110</v>
      </c>
      <c r="B111" s="32" t="s">
        <v>16358</v>
      </c>
      <c r="C111" s="32" t="s">
        <v>8243</v>
      </c>
      <c r="D111" s="33" t="s">
        <v>16641</v>
      </c>
      <c r="E111" s="33" t="s">
        <v>16642</v>
      </c>
      <c r="F111" s="33" t="s">
        <v>16361</v>
      </c>
      <c r="G111" s="33"/>
      <c r="H111" s="33" t="s">
        <v>8232</v>
      </c>
      <c r="I111" s="33" t="s">
        <v>16363</v>
      </c>
    </row>
    <row r="112" customFormat="false" ht="74" hidden="false" customHeight="true" outlineLevel="0" collapsed="false">
      <c r="A112" s="32" t="n">
        <v>111</v>
      </c>
      <c r="B112" s="32" t="s">
        <v>16358</v>
      </c>
      <c r="C112" s="32" t="s">
        <v>16643</v>
      </c>
      <c r="D112" s="33" t="s">
        <v>16644</v>
      </c>
      <c r="E112" s="33" t="s">
        <v>16645</v>
      </c>
      <c r="F112" s="33" t="s">
        <v>16361</v>
      </c>
      <c r="G112" s="33"/>
      <c r="H112" s="33" t="s">
        <v>16646</v>
      </c>
      <c r="I112" s="33" t="s">
        <v>16363</v>
      </c>
    </row>
    <row r="113" customFormat="false" ht="74" hidden="false" customHeight="true" outlineLevel="0" collapsed="false">
      <c r="A113" s="32" t="n">
        <v>112</v>
      </c>
      <c r="B113" s="32" t="s">
        <v>16358</v>
      </c>
      <c r="C113" s="32" t="s">
        <v>16647</v>
      </c>
      <c r="D113" s="33" t="s">
        <v>16648</v>
      </c>
      <c r="E113" s="33" t="s">
        <v>16649</v>
      </c>
      <c r="F113" s="33" t="s">
        <v>16385</v>
      </c>
      <c r="G113" s="33" t="s">
        <v>16650</v>
      </c>
      <c r="H113" s="33" t="s">
        <v>8260</v>
      </c>
      <c r="I113" s="33" t="s">
        <v>16363</v>
      </c>
    </row>
    <row r="114" customFormat="false" ht="74" hidden="false" customHeight="true" outlineLevel="0" collapsed="false">
      <c r="A114" s="32" t="n">
        <v>113</v>
      </c>
      <c r="B114" s="32" t="s">
        <v>16358</v>
      </c>
      <c r="C114" s="32" t="s">
        <v>8288</v>
      </c>
      <c r="D114" s="33" t="s">
        <v>16651</v>
      </c>
      <c r="E114" s="33" t="s">
        <v>16652</v>
      </c>
      <c r="F114" s="33" t="s">
        <v>16361</v>
      </c>
      <c r="G114" s="33"/>
      <c r="H114" s="33" t="s">
        <v>8278</v>
      </c>
      <c r="I114" s="33" t="s">
        <v>16363</v>
      </c>
    </row>
    <row r="115" customFormat="false" ht="74" hidden="false" customHeight="true" outlineLevel="0" collapsed="false">
      <c r="A115" s="32" t="n">
        <v>114</v>
      </c>
      <c r="B115" s="32" t="s">
        <v>16358</v>
      </c>
      <c r="C115" s="32" t="s">
        <v>16653</v>
      </c>
      <c r="D115" s="33" t="s">
        <v>16654</v>
      </c>
      <c r="E115" s="33" t="s">
        <v>16655</v>
      </c>
      <c r="F115" s="33" t="s">
        <v>16361</v>
      </c>
      <c r="G115" s="33"/>
      <c r="H115" s="33" t="s">
        <v>8289</v>
      </c>
      <c r="I115" s="33" t="s">
        <v>16363</v>
      </c>
    </row>
    <row r="116" customFormat="false" ht="74" hidden="false" customHeight="true" outlineLevel="0" collapsed="false">
      <c r="A116" s="32" t="n">
        <v>115</v>
      </c>
      <c r="B116" s="32" t="s">
        <v>16358</v>
      </c>
      <c r="C116" s="32" t="s">
        <v>16656</v>
      </c>
      <c r="D116" s="33" t="s">
        <v>16657</v>
      </c>
      <c r="E116" s="33" t="s">
        <v>16655</v>
      </c>
      <c r="F116" s="33" t="s">
        <v>16361</v>
      </c>
      <c r="G116" s="33"/>
      <c r="H116" s="33" t="s">
        <v>8289</v>
      </c>
      <c r="I116" s="33" t="s">
        <v>16363</v>
      </c>
    </row>
    <row r="117" customFormat="false" ht="74" hidden="false" customHeight="true" outlineLevel="0" collapsed="false">
      <c r="A117" s="32" t="n">
        <v>116</v>
      </c>
      <c r="B117" s="32" t="s">
        <v>16358</v>
      </c>
      <c r="C117" s="32" t="s">
        <v>16658</v>
      </c>
      <c r="D117" s="33" t="s">
        <v>16659</v>
      </c>
      <c r="E117" s="33" t="s">
        <v>16660</v>
      </c>
      <c r="F117" s="33" t="s">
        <v>16361</v>
      </c>
      <c r="G117" s="33"/>
      <c r="H117" s="33" t="s">
        <v>8301</v>
      </c>
      <c r="I117" s="33" t="s">
        <v>16363</v>
      </c>
    </row>
    <row r="118" customFormat="false" ht="74" hidden="false" customHeight="true" outlineLevel="0" collapsed="false">
      <c r="A118" s="32" t="n">
        <v>117</v>
      </c>
      <c r="B118" s="32" t="s">
        <v>16358</v>
      </c>
      <c r="C118" s="32" t="s">
        <v>3296</v>
      </c>
      <c r="D118" s="33" t="s">
        <v>16661</v>
      </c>
      <c r="E118" s="33" t="s">
        <v>16662</v>
      </c>
      <c r="F118" s="33" t="s">
        <v>16361</v>
      </c>
      <c r="G118" s="33"/>
      <c r="H118" s="33" t="s">
        <v>16663</v>
      </c>
      <c r="I118" s="33" t="s">
        <v>16363</v>
      </c>
    </row>
    <row r="119" customFormat="false" ht="74" hidden="false" customHeight="true" outlineLevel="0" collapsed="false">
      <c r="A119" s="32" t="n">
        <v>118</v>
      </c>
      <c r="B119" s="32" t="s">
        <v>16358</v>
      </c>
      <c r="C119" s="32" t="s">
        <v>8338</v>
      </c>
      <c r="D119" s="33" t="s">
        <v>16664</v>
      </c>
      <c r="E119" s="33" t="s">
        <v>16665</v>
      </c>
      <c r="F119" s="33" t="s">
        <v>16361</v>
      </c>
      <c r="G119" s="33"/>
      <c r="H119" s="33" t="s">
        <v>3333</v>
      </c>
      <c r="I119" s="33" t="s">
        <v>16363</v>
      </c>
    </row>
    <row r="120" customFormat="false" ht="74" hidden="false" customHeight="true" outlineLevel="0" collapsed="false">
      <c r="A120" s="32" t="n">
        <v>119</v>
      </c>
      <c r="B120" s="32" t="s">
        <v>16358</v>
      </c>
      <c r="C120" s="32" t="s">
        <v>8352</v>
      </c>
      <c r="D120" s="33" t="s">
        <v>16666</v>
      </c>
      <c r="E120" s="33" t="s">
        <v>16667</v>
      </c>
      <c r="F120" s="33" t="s">
        <v>16361</v>
      </c>
      <c r="G120" s="33"/>
      <c r="H120" s="33" t="s">
        <v>8339</v>
      </c>
      <c r="I120" s="33" t="s">
        <v>16363</v>
      </c>
    </row>
    <row r="121" customFormat="false" ht="74" hidden="false" customHeight="true" outlineLevel="0" collapsed="false">
      <c r="A121" s="32" t="n">
        <v>120</v>
      </c>
      <c r="B121" s="32" t="s">
        <v>16358</v>
      </c>
      <c r="C121" s="32" t="s">
        <v>16668</v>
      </c>
      <c r="D121" s="33" t="s">
        <v>16669</v>
      </c>
      <c r="E121" s="33" t="s">
        <v>16670</v>
      </c>
      <c r="F121" s="33" t="s">
        <v>16361</v>
      </c>
      <c r="G121" s="33"/>
      <c r="H121" s="33" t="s">
        <v>8353</v>
      </c>
      <c r="I121" s="33" t="s">
        <v>16363</v>
      </c>
    </row>
    <row r="122" customFormat="false" ht="74" hidden="false" customHeight="true" outlineLevel="0" collapsed="false">
      <c r="A122" s="32" t="n">
        <v>121</v>
      </c>
      <c r="B122" s="32" t="s">
        <v>16358</v>
      </c>
      <c r="C122" s="32" t="s">
        <v>8380</v>
      </c>
      <c r="D122" s="33" t="s">
        <v>16671</v>
      </c>
      <c r="E122" s="33" t="s">
        <v>16672</v>
      </c>
      <c r="F122" s="33" t="s">
        <v>16361</v>
      </c>
      <c r="G122" s="33"/>
      <c r="H122" s="33" t="s">
        <v>8367</v>
      </c>
      <c r="I122" s="33" t="s">
        <v>16363</v>
      </c>
    </row>
    <row r="123" customFormat="false" ht="74" hidden="false" customHeight="true" outlineLevel="0" collapsed="false">
      <c r="A123" s="32" t="n">
        <v>122</v>
      </c>
      <c r="B123" s="32" t="s">
        <v>16358</v>
      </c>
      <c r="C123" s="32" t="s">
        <v>8395</v>
      </c>
      <c r="D123" s="33" t="s">
        <v>16673</v>
      </c>
      <c r="E123" s="33" t="s">
        <v>16674</v>
      </c>
      <c r="F123" s="33" t="s">
        <v>16361</v>
      </c>
      <c r="G123" s="33"/>
      <c r="H123" s="33" t="s">
        <v>8381</v>
      </c>
      <c r="I123" s="33" t="s">
        <v>16363</v>
      </c>
    </row>
    <row r="124" customFormat="false" ht="74" hidden="false" customHeight="true" outlineLevel="0" collapsed="false">
      <c r="A124" s="32" t="n">
        <v>123</v>
      </c>
      <c r="B124" s="32" t="s">
        <v>16358</v>
      </c>
      <c r="C124" s="32" t="s">
        <v>8411</v>
      </c>
      <c r="D124" s="33" t="s">
        <v>16675</v>
      </c>
      <c r="E124" s="33" t="s">
        <v>16676</v>
      </c>
      <c r="F124" s="33" t="s">
        <v>16361</v>
      </c>
      <c r="G124" s="33"/>
      <c r="H124" s="33" t="s">
        <v>8396</v>
      </c>
      <c r="I124" s="33" t="s">
        <v>16363</v>
      </c>
    </row>
    <row r="125" customFormat="false" ht="74" hidden="false" customHeight="true" outlineLevel="0" collapsed="false">
      <c r="A125" s="32" t="n">
        <v>124</v>
      </c>
      <c r="B125" s="32" t="s">
        <v>16358</v>
      </c>
      <c r="C125" s="32" t="s">
        <v>8418</v>
      </c>
      <c r="D125" s="33" t="s">
        <v>16677</v>
      </c>
      <c r="E125" s="33" t="s">
        <v>16678</v>
      </c>
      <c r="F125" s="33" t="s">
        <v>16361</v>
      </c>
      <c r="G125" s="33"/>
      <c r="H125" s="33" t="s">
        <v>16679</v>
      </c>
      <c r="I125" s="33" t="s">
        <v>16363</v>
      </c>
    </row>
    <row r="126" customFormat="false" ht="74" hidden="false" customHeight="true" outlineLevel="0" collapsed="false">
      <c r="A126" s="32" t="n">
        <v>125</v>
      </c>
      <c r="B126" s="32" t="s">
        <v>16358</v>
      </c>
      <c r="C126" s="32" t="s">
        <v>16680</v>
      </c>
      <c r="D126" s="33" t="s">
        <v>16681</v>
      </c>
      <c r="E126" s="33" t="s">
        <v>16682</v>
      </c>
      <c r="F126" s="33" t="s">
        <v>16361</v>
      </c>
      <c r="G126" s="33"/>
      <c r="H126" s="33" t="s">
        <v>8419</v>
      </c>
      <c r="I126" s="33" t="s">
        <v>16363</v>
      </c>
    </row>
    <row r="127" customFormat="false" ht="74" hidden="false" customHeight="true" outlineLevel="0" collapsed="false">
      <c r="A127" s="32" t="n">
        <v>126</v>
      </c>
      <c r="B127" s="32" t="s">
        <v>16358</v>
      </c>
      <c r="C127" s="32" t="s">
        <v>8445</v>
      </c>
      <c r="D127" s="33" t="s">
        <v>16683</v>
      </c>
      <c r="E127" s="33" t="s">
        <v>16684</v>
      </c>
      <c r="F127" s="33" t="s">
        <v>16361</v>
      </c>
      <c r="G127" s="33"/>
      <c r="H127" s="33" t="s">
        <v>8433</v>
      </c>
      <c r="I127" s="33" t="s">
        <v>16363</v>
      </c>
    </row>
    <row r="128" customFormat="false" ht="74" hidden="false" customHeight="true" outlineLevel="0" collapsed="false">
      <c r="A128" s="32" t="n">
        <v>127</v>
      </c>
      <c r="B128" s="32" t="s">
        <v>16358</v>
      </c>
      <c r="C128" s="32" t="s">
        <v>3435</v>
      </c>
      <c r="D128" s="33" t="s">
        <v>16685</v>
      </c>
      <c r="E128" s="33" t="s">
        <v>16686</v>
      </c>
      <c r="F128" s="33" t="s">
        <v>16361</v>
      </c>
      <c r="G128" s="33"/>
      <c r="H128" s="33" t="s">
        <v>16687</v>
      </c>
      <c r="I128" s="33" t="s">
        <v>16363</v>
      </c>
    </row>
    <row r="129" customFormat="false" ht="74" hidden="false" customHeight="true" outlineLevel="0" collapsed="false">
      <c r="A129" s="32" t="n">
        <v>128</v>
      </c>
      <c r="B129" s="32" t="s">
        <v>16358</v>
      </c>
      <c r="C129" s="32" t="s">
        <v>8472</v>
      </c>
      <c r="D129" s="33" t="s">
        <v>16688</v>
      </c>
      <c r="E129" s="33" t="s">
        <v>16686</v>
      </c>
      <c r="F129" s="33" t="s">
        <v>16361</v>
      </c>
      <c r="G129" s="33"/>
      <c r="H129" s="33" t="s">
        <v>8458</v>
      </c>
      <c r="I129" s="33" t="s">
        <v>16363</v>
      </c>
    </row>
    <row r="130" customFormat="false" ht="74" hidden="false" customHeight="true" outlineLevel="0" collapsed="false">
      <c r="A130" s="32" t="n">
        <v>129</v>
      </c>
      <c r="B130" s="32" t="s">
        <v>16358</v>
      </c>
      <c r="C130" s="32" t="s">
        <v>8485</v>
      </c>
      <c r="D130" s="33" t="s">
        <v>16689</v>
      </c>
      <c r="E130" s="33" t="s">
        <v>16686</v>
      </c>
      <c r="F130" s="33" t="s">
        <v>16361</v>
      </c>
      <c r="G130" s="33"/>
      <c r="H130" s="33" t="s">
        <v>8473</v>
      </c>
      <c r="I130" s="33" t="s">
        <v>16363</v>
      </c>
    </row>
    <row r="131" customFormat="false" ht="74" hidden="false" customHeight="true" outlineLevel="0" collapsed="false">
      <c r="A131" s="32" t="n">
        <v>130</v>
      </c>
      <c r="B131" s="32" t="s">
        <v>16358</v>
      </c>
      <c r="C131" s="32" t="s">
        <v>6424</v>
      </c>
      <c r="D131" s="33" t="s">
        <v>16690</v>
      </c>
      <c r="E131" s="33" t="s">
        <v>16691</v>
      </c>
      <c r="F131" s="33" t="s">
        <v>16361</v>
      </c>
      <c r="G131" s="33"/>
      <c r="H131" s="33" t="s">
        <v>16692</v>
      </c>
      <c r="I131" s="33" t="s">
        <v>16363</v>
      </c>
    </row>
    <row r="132" customFormat="false" ht="74" hidden="false" customHeight="true" outlineLevel="0" collapsed="false">
      <c r="A132" s="32" t="n">
        <v>131</v>
      </c>
      <c r="B132" s="32" t="s">
        <v>16358</v>
      </c>
      <c r="C132" s="32" t="s">
        <v>6451</v>
      </c>
      <c r="D132" s="33" t="s">
        <v>16693</v>
      </c>
      <c r="E132" s="33" t="s">
        <v>16694</v>
      </c>
      <c r="F132" s="33" t="s">
        <v>16361</v>
      </c>
      <c r="G132" s="33"/>
      <c r="H132" s="33" t="s">
        <v>2192</v>
      </c>
      <c r="I132" s="33" t="s">
        <v>16363</v>
      </c>
    </row>
    <row r="133" customFormat="false" ht="74" hidden="false" customHeight="true" outlineLevel="0" collapsed="false">
      <c r="A133" s="32" t="n">
        <v>132</v>
      </c>
      <c r="B133" s="32" t="s">
        <v>16358</v>
      </c>
      <c r="C133" s="32" t="s">
        <v>16695</v>
      </c>
      <c r="D133" s="33" t="s">
        <v>16696</v>
      </c>
      <c r="E133" s="33" t="s">
        <v>16697</v>
      </c>
      <c r="F133" s="33" t="s">
        <v>16361</v>
      </c>
      <c r="G133" s="33"/>
      <c r="H133" s="33" t="s">
        <v>1930</v>
      </c>
      <c r="I133" s="33" t="s">
        <v>16363</v>
      </c>
    </row>
    <row r="134" customFormat="false" ht="74" hidden="false" customHeight="true" outlineLevel="0" collapsed="false">
      <c r="A134" s="32" t="n">
        <v>133</v>
      </c>
      <c r="B134" s="32" t="s">
        <v>16358</v>
      </c>
      <c r="C134" s="32" t="s">
        <v>6477</v>
      </c>
      <c r="D134" s="33" t="s">
        <v>16698</v>
      </c>
      <c r="E134" s="33" t="s">
        <v>16699</v>
      </c>
      <c r="F134" s="33" t="s">
        <v>16361</v>
      </c>
      <c r="G134" s="33"/>
      <c r="H134" s="33" t="s">
        <v>5157</v>
      </c>
      <c r="I134" s="33" t="s">
        <v>16363</v>
      </c>
    </row>
    <row r="135" customFormat="false" ht="74" hidden="false" customHeight="true" outlineLevel="0" collapsed="false">
      <c r="A135" s="32" t="n">
        <v>134</v>
      </c>
      <c r="B135" s="32" t="s">
        <v>16358</v>
      </c>
      <c r="C135" s="32" t="s">
        <v>6490</v>
      </c>
      <c r="D135" s="33" t="s">
        <v>16700</v>
      </c>
      <c r="E135" s="33" t="s">
        <v>16701</v>
      </c>
      <c r="F135" s="33" t="s">
        <v>16361</v>
      </c>
      <c r="G135" s="33"/>
      <c r="H135" s="33" t="s">
        <v>16702</v>
      </c>
      <c r="I135" s="33" t="s">
        <v>16363</v>
      </c>
    </row>
    <row r="136" customFormat="false" ht="74" hidden="false" customHeight="true" outlineLevel="0" collapsed="false">
      <c r="A136" s="32" t="n">
        <v>135</v>
      </c>
      <c r="B136" s="32" t="s">
        <v>16358</v>
      </c>
      <c r="C136" s="32" t="s">
        <v>6500</v>
      </c>
      <c r="D136" s="33" t="s">
        <v>16703</v>
      </c>
      <c r="E136" s="33" t="s">
        <v>16704</v>
      </c>
      <c r="F136" s="33" t="s">
        <v>16361</v>
      </c>
      <c r="G136" s="33"/>
      <c r="H136" s="33" t="s">
        <v>6491</v>
      </c>
      <c r="I136" s="33" t="s">
        <v>16363</v>
      </c>
    </row>
    <row r="137" customFormat="false" ht="74" hidden="false" customHeight="true" outlineLevel="0" collapsed="false">
      <c r="A137" s="32" t="n">
        <v>136</v>
      </c>
      <c r="B137" s="32" t="s">
        <v>16358</v>
      </c>
      <c r="C137" s="32" t="s">
        <v>16705</v>
      </c>
      <c r="D137" s="33" t="s">
        <v>16706</v>
      </c>
      <c r="E137" s="33" t="s">
        <v>16707</v>
      </c>
      <c r="F137" s="33" t="s">
        <v>16385</v>
      </c>
      <c r="G137" s="33" t="s">
        <v>16708</v>
      </c>
      <c r="H137" s="33" t="s">
        <v>6501</v>
      </c>
      <c r="I137" s="33" t="s">
        <v>16363</v>
      </c>
    </row>
    <row r="138" customFormat="false" ht="74" hidden="false" customHeight="true" outlineLevel="0" collapsed="false">
      <c r="A138" s="32" t="n">
        <v>137</v>
      </c>
      <c r="B138" s="32" t="s">
        <v>16358</v>
      </c>
      <c r="C138" s="32" t="s">
        <v>16709</v>
      </c>
      <c r="D138" s="33" t="s">
        <v>16710</v>
      </c>
      <c r="E138" s="33" t="s">
        <v>16711</v>
      </c>
      <c r="F138" s="33" t="s">
        <v>16361</v>
      </c>
      <c r="G138" s="33"/>
      <c r="H138" s="33" t="s">
        <v>6501</v>
      </c>
      <c r="I138" s="33" t="s">
        <v>16363</v>
      </c>
    </row>
    <row r="139" customFormat="false" ht="74" hidden="false" customHeight="true" outlineLevel="0" collapsed="false">
      <c r="A139" s="32" t="n">
        <v>138</v>
      </c>
      <c r="B139" s="32" t="s">
        <v>16358</v>
      </c>
      <c r="C139" s="32" t="s">
        <v>6976</v>
      </c>
      <c r="D139" s="33" t="s">
        <v>16712</v>
      </c>
      <c r="E139" s="33" t="s">
        <v>16713</v>
      </c>
      <c r="F139" s="33" t="s">
        <v>16361</v>
      </c>
      <c r="G139" s="33"/>
      <c r="H139" s="33" t="s">
        <v>16714</v>
      </c>
      <c r="I139" s="33" t="s">
        <v>16363</v>
      </c>
    </row>
    <row r="140" customFormat="false" ht="74" hidden="false" customHeight="true" outlineLevel="0" collapsed="false">
      <c r="A140" s="32" t="n">
        <v>139</v>
      </c>
      <c r="B140" s="32" t="s">
        <v>16358</v>
      </c>
      <c r="C140" s="32" t="s">
        <v>6548</v>
      </c>
      <c r="D140" s="33" t="s">
        <v>16715</v>
      </c>
      <c r="E140" s="33" t="s">
        <v>16716</v>
      </c>
      <c r="F140" s="33" t="s">
        <v>16361</v>
      </c>
      <c r="G140" s="33"/>
      <c r="H140" s="33" t="s">
        <v>16717</v>
      </c>
      <c r="I140" s="33" t="s">
        <v>16363</v>
      </c>
    </row>
    <row r="141" customFormat="false" ht="74" hidden="false" customHeight="true" outlineLevel="0" collapsed="false">
      <c r="A141" s="32" t="n">
        <v>140</v>
      </c>
      <c r="B141" s="32" t="s">
        <v>16358</v>
      </c>
      <c r="C141" s="32" t="s">
        <v>16718</v>
      </c>
      <c r="D141" s="33" t="s">
        <v>16719</v>
      </c>
      <c r="E141" s="33" t="s">
        <v>16720</v>
      </c>
      <c r="F141" s="33" t="s">
        <v>16361</v>
      </c>
      <c r="G141" s="33"/>
      <c r="H141" s="33" t="s">
        <v>16721</v>
      </c>
      <c r="I141" s="33" t="s">
        <v>16363</v>
      </c>
    </row>
    <row r="142" customFormat="false" ht="74" hidden="false" customHeight="true" outlineLevel="0" collapsed="false">
      <c r="A142" s="32" t="n">
        <v>141</v>
      </c>
      <c r="B142" s="32" t="s">
        <v>16358</v>
      </c>
      <c r="C142" s="32" t="s">
        <v>16722</v>
      </c>
      <c r="D142" s="33" t="s">
        <v>16723</v>
      </c>
      <c r="E142" s="33" t="s">
        <v>16724</v>
      </c>
      <c r="F142" s="33" t="s">
        <v>16361</v>
      </c>
      <c r="G142" s="33"/>
      <c r="H142" s="33" t="s">
        <v>6565</v>
      </c>
      <c r="I142" s="33" t="s">
        <v>16363</v>
      </c>
    </row>
    <row r="143" customFormat="false" ht="74" hidden="false" customHeight="true" outlineLevel="0" collapsed="false">
      <c r="A143" s="32" t="n">
        <v>142</v>
      </c>
      <c r="B143" s="32" t="s">
        <v>16358</v>
      </c>
      <c r="C143" s="32" t="s">
        <v>16725</v>
      </c>
      <c r="D143" s="33" t="s">
        <v>16726</v>
      </c>
      <c r="E143" s="33" t="s">
        <v>16727</v>
      </c>
      <c r="F143" s="33" t="s">
        <v>16361</v>
      </c>
      <c r="G143" s="33"/>
      <c r="H143" s="33" t="s">
        <v>6579</v>
      </c>
      <c r="I143" s="33" t="s">
        <v>16363</v>
      </c>
    </row>
    <row r="144" customFormat="false" ht="74" hidden="false" customHeight="true" outlineLevel="0" collapsed="false">
      <c r="A144" s="32" t="n">
        <v>143</v>
      </c>
      <c r="B144" s="32" t="s">
        <v>16358</v>
      </c>
      <c r="C144" s="32" t="s">
        <v>16728</v>
      </c>
      <c r="D144" s="33" t="s">
        <v>16729</v>
      </c>
      <c r="E144" s="33" t="s">
        <v>16730</v>
      </c>
      <c r="F144" s="33" t="s">
        <v>16361</v>
      </c>
      <c r="G144" s="33"/>
      <c r="H144" s="33" t="s">
        <v>6579</v>
      </c>
      <c r="I144" s="33" t="s">
        <v>16363</v>
      </c>
    </row>
    <row r="145" customFormat="false" ht="74" hidden="false" customHeight="true" outlineLevel="0" collapsed="false">
      <c r="A145" s="32" t="n">
        <v>144</v>
      </c>
      <c r="B145" s="32" t="s">
        <v>16358</v>
      </c>
      <c r="C145" s="32" t="s">
        <v>6607</v>
      </c>
      <c r="D145" s="33" t="s">
        <v>16731</v>
      </c>
      <c r="E145" s="33" t="s">
        <v>16732</v>
      </c>
      <c r="F145" s="33" t="s">
        <v>16361</v>
      </c>
      <c r="G145" s="33"/>
      <c r="H145" s="33" t="s">
        <v>6592</v>
      </c>
      <c r="I145" s="33" t="s">
        <v>16363</v>
      </c>
    </row>
    <row r="146" customFormat="false" ht="74" hidden="false" customHeight="true" outlineLevel="0" collapsed="false">
      <c r="A146" s="32" t="n">
        <v>145</v>
      </c>
      <c r="B146" s="32" t="s">
        <v>16358</v>
      </c>
      <c r="C146" s="32" t="s">
        <v>16733</v>
      </c>
      <c r="D146" s="33" t="s">
        <v>16734</v>
      </c>
      <c r="E146" s="33" t="s">
        <v>16735</v>
      </c>
      <c r="F146" s="33" t="s">
        <v>16361</v>
      </c>
      <c r="G146" s="33"/>
      <c r="H146" s="33" t="s">
        <v>1641</v>
      </c>
      <c r="I146" s="33" t="s">
        <v>16363</v>
      </c>
    </row>
    <row r="147" customFormat="false" ht="74" hidden="false" customHeight="true" outlineLevel="0" collapsed="false">
      <c r="A147" s="32" t="n">
        <v>146</v>
      </c>
      <c r="B147" s="32" t="s">
        <v>16358</v>
      </c>
      <c r="C147" s="32" t="s">
        <v>16736</v>
      </c>
      <c r="D147" s="33" t="s">
        <v>16737</v>
      </c>
      <c r="E147" s="33" t="s">
        <v>16738</v>
      </c>
      <c r="F147" s="33" t="s">
        <v>16361</v>
      </c>
      <c r="G147" s="33"/>
      <c r="H147" s="33" t="s">
        <v>16739</v>
      </c>
      <c r="I147" s="33" t="s">
        <v>16363</v>
      </c>
    </row>
    <row r="148" customFormat="false" ht="74" hidden="false" customHeight="true" outlineLevel="0" collapsed="false">
      <c r="A148" s="32" t="n">
        <v>147</v>
      </c>
      <c r="B148" s="32" t="s">
        <v>16358</v>
      </c>
      <c r="C148" s="32" t="s">
        <v>6684</v>
      </c>
      <c r="D148" s="33" t="s">
        <v>16740</v>
      </c>
      <c r="E148" s="33" t="s">
        <v>16741</v>
      </c>
      <c r="F148" s="33" t="s">
        <v>16385</v>
      </c>
      <c r="G148" s="33" t="s">
        <v>16742</v>
      </c>
      <c r="H148" s="33" t="s">
        <v>6668</v>
      </c>
      <c r="I148" s="33" t="s">
        <v>16363</v>
      </c>
    </row>
    <row r="149" customFormat="false" ht="74" hidden="false" customHeight="true" outlineLevel="0" collapsed="false">
      <c r="A149" s="32" t="n">
        <v>148</v>
      </c>
      <c r="B149" s="32" t="s">
        <v>16358</v>
      </c>
      <c r="C149" s="32" t="s">
        <v>16743</v>
      </c>
      <c r="D149" s="33" t="s">
        <v>16744</v>
      </c>
      <c r="E149" s="33" t="s">
        <v>16745</v>
      </c>
      <c r="F149" s="33" t="s">
        <v>16361</v>
      </c>
      <c r="G149" s="33"/>
      <c r="H149" s="33" t="s">
        <v>6698</v>
      </c>
      <c r="I149" s="33" t="s">
        <v>16363</v>
      </c>
    </row>
    <row r="150" customFormat="false" ht="74" hidden="false" customHeight="true" outlineLevel="0" collapsed="false">
      <c r="A150" s="32" t="n">
        <v>149</v>
      </c>
      <c r="B150" s="32" t="s">
        <v>16358</v>
      </c>
      <c r="C150" s="32" t="s">
        <v>16746</v>
      </c>
      <c r="D150" s="33" t="s">
        <v>16747</v>
      </c>
      <c r="E150" s="33" t="s">
        <v>16748</v>
      </c>
      <c r="F150" s="33" t="s">
        <v>16361</v>
      </c>
      <c r="G150" s="33"/>
      <c r="H150" s="33" t="s">
        <v>6734</v>
      </c>
      <c r="I150" s="33" t="s">
        <v>16363</v>
      </c>
    </row>
    <row r="151" customFormat="false" ht="74" hidden="false" customHeight="true" outlineLevel="0" collapsed="false">
      <c r="A151" s="32" t="n">
        <v>150</v>
      </c>
      <c r="B151" s="32" t="s">
        <v>16358</v>
      </c>
      <c r="C151" s="32" t="s">
        <v>6757</v>
      </c>
      <c r="D151" s="33" t="s">
        <v>16749</v>
      </c>
      <c r="E151" s="33" t="s">
        <v>16750</v>
      </c>
      <c r="F151" s="33" t="s">
        <v>16361</v>
      </c>
      <c r="G151" s="33"/>
      <c r="H151" s="33" t="s">
        <v>16751</v>
      </c>
      <c r="I151" s="33" t="s">
        <v>16363</v>
      </c>
    </row>
    <row r="152" customFormat="false" ht="74" hidden="false" customHeight="true" outlineLevel="0" collapsed="false">
      <c r="A152" s="32" t="n">
        <v>151</v>
      </c>
      <c r="B152" s="32" t="s">
        <v>16358</v>
      </c>
      <c r="C152" s="32" t="s">
        <v>6771</v>
      </c>
      <c r="D152" s="33" t="s">
        <v>16752</v>
      </c>
      <c r="E152" s="33" t="s">
        <v>16753</v>
      </c>
      <c r="F152" s="33" t="s">
        <v>16361</v>
      </c>
      <c r="G152" s="33"/>
      <c r="H152" s="33" t="s">
        <v>16754</v>
      </c>
      <c r="I152" s="33" t="s">
        <v>16363</v>
      </c>
    </row>
    <row r="153" customFormat="false" ht="74" hidden="false" customHeight="true" outlineLevel="0" collapsed="false">
      <c r="A153" s="32" t="n">
        <v>152</v>
      </c>
      <c r="B153" s="32" t="s">
        <v>16358</v>
      </c>
      <c r="C153" s="32" t="s">
        <v>16755</v>
      </c>
      <c r="D153" s="33" t="s">
        <v>16756</v>
      </c>
      <c r="E153" s="33" t="s">
        <v>16757</v>
      </c>
      <c r="F153" s="33" t="s">
        <v>16361</v>
      </c>
      <c r="G153" s="33"/>
      <c r="H153" s="33" t="s">
        <v>6772</v>
      </c>
      <c r="I153" s="33" t="s">
        <v>16363</v>
      </c>
    </row>
    <row r="154" customFormat="false" ht="74" hidden="false" customHeight="true" outlineLevel="0" collapsed="false">
      <c r="A154" s="32" t="n">
        <v>153</v>
      </c>
      <c r="B154" s="32" t="s">
        <v>16358</v>
      </c>
      <c r="C154" s="32" t="s">
        <v>16758</v>
      </c>
      <c r="D154" s="33" t="s">
        <v>16759</v>
      </c>
      <c r="E154" s="33" t="s">
        <v>16760</v>
      </c>
      <c r="F154" s="33" t="s">
        <v>16361</v>
      </c>
      <c r="G154" s="33"/>
      <c r="H154" s="33" t="s">
        <v>16761</v>
      </c>
      <c r="I154" s="33" t="s">
        <v>16363</v>
      </c>
    </row>
    <row r="155" customFormat="false" ht="74" hidden="false" customHeight="true" outlineLevel="0" collapsed="false">
      <c r="A155" s="32" t="n">
        <v>154</v>
      </c>
      <c r="B155" s="32" t="s">
        <v>16358</v>
      </c>
      <c r="C155" s="32" t="s">
        <v>16762</v>
      </c>
      <c r="D155" s="33" t="s">
        <v>16763</v>
      </c>
      <c r="E155" s="33" t="s">
        <v>16764</v>
      </c>
      <c r="F155" s="33" t="s">
        <v>16361</v>
      </c>
      <c r="G155" s="33"/>
      <c r="H155" s="33" t="s">
        <v>6788</v>
      </c>
      <c r="I155" s="33" t="s">
        <v>16363</v>
      </c>
    </row>
    <row r="156" customFormat="false" ht="74" hidden="false" customHeight="true" outlineLevel="0" collapsed="false">
      <c r="A156" s="32" t="n">
        <v>155</v>
      </c>
      <c r="B156" s="32" t="s">
        <v>16358</v>
      </c>
      <c r="C156" s="32" t="s">
        <v>6818</v>
      </c>
      <c r="D156" s="33" t="s">
        <v>16765</v>
      </c>
      <c r="E156" s="33" t="s">
        <v>16766</v>
      </c>
      <c r="F156" s="33" t="s">
        <v>16361</v>
      </c>
      <c r="G156" s="33"/>
      <c r="H156" s="33" t="s">
        <v>6804</v>
      </c>
      <c r="I156" s="33" t="s">
        <v>16363</v>
      </c>
    </row>
    <row r="157" customFormat="false" ht="74" hidden="false" customHeight="true" outlineLevel="0" collapsed="false">
      <c r="A157" s="32" t="n">
        <v>156</v>
      </c>
      <c r="B157" s="32" t="s">
        <v>16358</v>
      </c>
      <c r="C157" s="32" t="s">
        <v>6831</v>
      </c>
      <c r="D157" s="33" t="s">
        <v>16767</v>
      </c>
      <c r="E157" s="33" t="s">
        <v>16768</v>
      </c>
      <c r="F157" s="33" t="s">
        <v>16361</v>
      </c>
      <c r="G157" s="33"/>
      <c r="H157" s="33" t="s">
        <v>6819</v>
      </c>
      <c r="I157" s="33" t="s">
        <v>16363</v>
      </c>
    </row>
    <row r="158" customFormat="false" ht="74" hidden="false" customHeight="true" outlineLevel="0" collapsed="false">
      <c r="A158" s="32" t="n">
        <v>157</v>
      </c>
      <c r="B158" s="32" t="s">
        <v>16358</v>
      </c>
      <c r="C158" s="32" t="s">
        <v>6843</v>
      </c>
      <c r="D158" s="33" t="s">
        <v>16769</v>
      </c>
      <c r="E158" s="33" t="s">
        <v>16770</v>
      </c>
      <c r="F158" s="33" t="s">
        <v>16361</v>
      </c>
      <c r="G158" s="33"/>
      <c r="H158" s="33" t="s">
        <v>6832</v>
      </c>
      <c r="I158" s="33" t="s">
        <v>16363</v>
      </c>
    </row>
    <row r="159" customFormat="false" ht="74" hidden="false" customHeight="true" outlineLevel="0" collapsed="false">
      <c r="A159" s="32" t="n">
        <v>158</v>
      </c>
      <c r="B159" s="32" t="s">
        <v>16358</v>
      </c>
      <c r="C159" s="32" t="s">
        <v>16771</v>
      </c>
      <c r="D159" s="33" t="s">
        <v>16772</v>
      </c>
      <c r="E159" s="33" t="s">
        <v>16773</v>
      </c>
      <c r="F159" s="33" t="s">
        <v>16385</v>
      </c>
      <c r="G159" s="33" t="s">
        <v>16774</v>
      </c>
      <c r="H159" s="33" t="s">
        <v>6844</v>
      </c>
      <c r="I159" s="33" t="s">
        <v>16363</v>
      </c>
    </row>
    <row r="160" customFormat="false" ht="74" hidden="false" customHeight="true" outlineLevel="0" collapsed="false">
      <c r="A160" s="32" t="n">
        <v>159</v>
      </c>
      <c r="B160" s="32" t="s">
        <v>16358</v>
      </c>
      <c r="C160" s="32" t="s">
        <v>6887</v>
      </c>
      <c r="D160" s="33" t="s">
        <v>16775</v>
      </c>
      <c r="E160" s="33" t="s">
        <v>16776</v>
      </c>
      <c r="F160" s="33" t="s">
        <v>16361</v>
      </c>
      <c r="G160" s="33"/>
      <c r="H160" s="33" t="s">
        <v>6874</v>
      </c>
      <c r="I160" s="33" t="s">
        <v>16363</v>
      </c>
    </row>
    <row r="161" customFormat="false" ht="74" hidden="false" customHeight="true" outlineLevel="0" collapsed="false">
      <c r="A161" s="32" t="n">
        <v>160</v>
      </c>
      <c r="B161" s="32" t="s">
        <v>16358</v>
      </c>
      <c r="C161" s="32" t="s">
        <v>16777</v>
      </c>
      <c r="D161" s="33" t="s">
        <v>16778</v>
      </c>
      <c r="E161" s="33" t="s">
        <v>16779</v>
      </c>
      <c r="F161" s="33" t="s">
        <v>16361</v>
      </c>
      <c r="G161" s="33"/>
      <c r="H161" s="33" t="s">
        <v>1938</v>
      </c>
      <c r="I161" s="33" t="s">
        <v>16363</v>
      </c>
    </row>
    <row r="162" customFormat="false" ht="74" hidden="false" customHeight="true" outlineLevel="0" collapsed="false">
      <c r="A162" s="32" t="n">
        <v>161</v>
      </c>
      <c r="B162" s="32" t="s">
        <v>16358</v>
      </c>
      <c r="C162" s="32" t="s">
        <v>6913</v>
      </c>
      <c r="D162" s="33" t="s">
        <v>16780</v>
      </c>
      <c r="E162" s="33" t="s">
        <v>16781</v>
      </c>
      <c r="F162" s="33" t="s">
        <v>16361</v>
      </c>
      <c r="G162" s="33"/>
      <c r="H162" s="33" t="s">
        <v>1368</v>
      </c>
      <c r="I162" s="33" t="s">
        <v>16363</v>
      </c>
    </row>
    <row r="163" customFormat="false" ht="74" hidden="false" customHeight="true" outlineLevel="0" collapsed="false">
      <c r="A163" s="32" t="n">
        <v>162</v>
      </c>
      <c r="B163" s="32" t="s">
        <v>16358</v>
      </c>
      <c r="C163" s="32" t="s">
        <v>6926</v>
      </c>
      <c r="D163" s="33" t="s">
        <v>16782</v>
      </c>
      <c r="E163" s="33" t="s">
        <v>16783</v>
      </c>
      <c r="F163" s="33" t="s">
        <v>16361</v>
      </c>
      <c r="G163" s="33"/>
      <c r="H163" s="33" t="s">
        <v>6914</v>
      </c>
      <c r="I163" s="33" t="s">
        <v>16363</v>
      </c>
    </row>
    <row r="164" customFormat="false" ht="74" hidden="false" customHeight="true" outlineLevel="0" collapsed="false">
      <c r="A164" s="32" t="n">
        <v>163</v>
      </c>
      <c r="B164" s="32" t="s">
        <v>16358</v>
      </c>
      <c r="C164" s="32" t="s">
        <v>6938</v>
      </c>
      <c r="D164" s="33" t="s">
        <v>16784</v>
      </c>
      <c r="E164" s="33" t="s">
        <v>16785</v>
      </c>
      <c r="F164" s="33" t="s">
        <v>16385</v>
      </c>
      <c r="G164" s="33" t="s">
        <v>16786</v>
      </c>
      <c r="H164" s="33" t="s">
        <v>6927</v>
      </c>
      <c r="I164" s="33" t="s">
        <v>16363</v>
      </c>
    </row>
    <row r="165" customFormat="false" ht="74" hidden="false" customHeight="true" outlineLevel="0" collapsed="false">
      <c r="A165" s="32" t="n">
        <v>164</v>
      </c>
      <c r="B165" s="32" t="s">
        <v>16358</v>
      </c>
      <c r="C165" s="32" t="s">
        <v>6949</v>
      </c>
      <c r="D165" s="33" t="s">
        <v>16787</v>
      </c>
      <c r="E165" s="33" t="s">
        <v>16788</v>
      </c>
      <c r="F165" s="33" t="s">
        <v>16361</v>
      </c>
      <c r="G165" s="33"/>
      <c r="H165" s="33" t="s">
        <v>6939</v>
      </c>
      <c r="I165" s="33" t="s">
        <v>16363</v>
      </c>
    </row>
    <row r="166" customFormat="false" ht="74" hidden="false" customHeight="true" outlineLevel="0" collapsed="false">
      <c r="A166" s="32" t="n">
        <v>165</v>
      </c>
      <c r="B166" s="32" t="s">
        <v>16358</v>
      </c>
      <c r="C166" s="32" t="s">
        <v>16789</v>
      </c>
      <c r="D166" s="33" t="s">
        <v>16790</v>
      </c>
      <c r="E166" s="33" t="s">
        <v>16791</v>
      </c>
      <c r="F166" s="33" t="s">
        <v>16361</v>
      </c>
      <c r="G166" s="33"/>
      <c r="H166" s="33" t="s">
        <v>6950</v>
      </c>
      <c r="I166" s="33" t="s">
        <v>16363</v>
      </c>
    </row>
    <row r="167" customFormat="false" ht="74" hidden="false" customHeight="true" outlineLevel="0" collapsed="false">
      <c r="A167" s="32" t="n">
        <v>166</v>
      </c>
      <c r="B167" s="32" t="s">
        <v>16358</v>
      </c>
      <c r="C167" s="32" t="s">
        <v>16792</v>
      </c>
      <c r="D167" s="33" t="s">
        <v>16793</v>
      </c>
      <c r="E167" s="33" t="s">
        <v>16794</v>
      </c>
      <c r="F167" s="33" t="s">
        <v>16361</v>
      </c>
      <c r="G167" s="33"/>
      <c r="H167" s="33" t="s">
        <v>6989</v>
      </c>
      <c r="I167" s="33" t="s">
        <v>16363</v>
      </c>
    </row>
    <row r="168" customFormat="false" ht="74" hidden="false" customHeight="true" outlineLevel="0" collapsed="false">
      <c r="A168" s="32" t="n">
        <v>167</v>
      </c>
      <c r="B168" s="32" t="s">
        <v>16358</v>
      </c>
      <c r="C168" s="32" t="s">
        <v>7016</v>
      </c>
      <c r="D168" s="33" t="s">
        <v>16795</v>
      </c>
      <c r="E168" s="33" t="s">
        <v>16796</v>
      </c>
      <c r="F168" s="33" t="s">
        <v>16361</v>
      </c>
      <c r="G168" s="33"/>
      <c r="H168" s="33" t="s">
        <v>3663</v>
      </c>
      <c r="I168" s="33" t="s">
        <v>16363</v>
      </c>
    </row>
    <row r="169" customFormat="false" ht="74" hidden="false" customHeight="true" outlineLevel="0" collapsed="false">
      <c r="A169" s="32" t="n">
        <v>168</v>
      </c>
      <c r="B169" s="32" t="s">
        <v>16358</v>
      </c>
      <c r="C169" s="32" t="s">
        <v>7030</v>
      </c>
      <c r="D169" s="33" t="s">
        <v>16797</v>
      </c>
      <c r="E169" s="33" t="s">
        <v>16798</v>
      </c>
      <c r="F169" s="33" t="s">
        <v>16361</v>
      </c>
      <c r="G169" s="33"/>
      <c r="H169" s="33" t="s">
        <v>7017</v>
      </c>
      <c r="I169" s="33" t="s">
        <v>16363</v>
      </c>
    </row>
    <row r="170" customFormat="false" ht="74" hidden="false" customHeight="true" outlineLevel="0" collapsed="false">
      <c r="A170" s="32" t="n">
        <v>169</v>
      </c>
      <c r="B170" s="32" t="s">
        <v>16358</v>
      </c>
      <c r="C170" s="32" t="s">
        <v>7054</v>
      </c>
      <c r="D170" s="33" t="s">
        <v>16799</v>
      </c>
      <c r="E170" s="33" t="s">
        <v>16800</v>
      </c>
      <c r="F170" s="33" t="s">
        <v>16361</v>
      </c>
      <c r="G170" s="33"/>
      <c r="H170" s="33" t="s">
        <v>7042</v>
      </c>
      <c r="I170" s="33" t="s">
        <v>16363</v>
      </c>
    </row>
    <row r="171" customFormat="false" ht="74" hidden="false" customHeight="true" outlineLevel="0" collapsed="false">
      <c r="A171" s="32" t="n">
        <v>170</v>
      </c>
      <c r="B171" s="32" t="s">
        <v>16358</v>
      </c>
      <c r="C171" s="32" t="s">
        <v>7070</v>
      </c>
      <c r="D171" s="33" t="s">
        <v>16801</v>
      </c>
      <c r="E171" s="33" t="s">
        <v>16802</v>
      </c>
      <c r="F171" s="33" t="s">
        <v>16361</v>
      </c>
      <c r="G171" s="33"/>
      <c r="H171" s="33" t="s">
        <v>7055</v>
      </c>
      <c r="I171" s="33" t="s">
        <v>16363</v>
      </c>
    </row>
    <row r="172" customFormat="false" ht="74" hidden="false" customHeight="true" outlineLevel="0" collapsed="false">
      <c r="A172" s="32" t="n">
        <v>171</v>
      </c>
      <c r="B172" s="32" t="s">
        <v>16358</v>
      </c>
      <c r="C172" s="32" t="s">
        <v>7084</v>
      </c>
      <c r="D172" s="33" t="s">
        <v>16803</v>
      </c>
      <c r="E172" s="33" t="s">
        <v>16804</v>
      </c>
      <c r="F172" s="33" t="s">
        <v>16361</v>
      </c>
      <c r="G172" s="33"/>
      <c r="H172" s="33" t="s">
        <v>7071</v>
      </c>
      <c r="I172" s="33" t="s">
        <v>16363</v>
      </c>
    </row>
    <row r="173" customFormat="false" ht="74" hidden="false" customHeight="true" outlineLevel="0" collapsed="false">
      <c r="A173" s="32" t="n">
        <v>172</v>
      </c>
      <c r="B173" s="32" t="s">
        <v>16358</v>
      </c>
      <c r="C173" s="32" t="s">
        <v>7095</v>
      </c>
      <c r="D173" s="33" t="s">
        <v>16805</v>
      </c>
      <c r="E173" s="33" t="s">
        <v>16806</v>
      </c>
      <c r="F173" s="33" t="s">
        <v>16361</v>
      </c>
      <c r="G173" s="33"/>
      <c r="H173" s="33" t="s">
        <v>7085</v>
      </c>
      <c r="I173" s="33" t="s">
        <v>16363</v>
      </c>
    </row>
    <row r="174" customFormat="false" ht="74" hidden="false" customHeight="true" outlineLevel="0" collapsed="false">
      <c r="A174" s="32" t="n">
        <v>173</v>
      </c>
      <c r="B174" s="32" t="s">
        <v>16358</v>
      </c>
      <c r="C174" s="32" t="s">
        <v>7121</v>
      </c>
      <c r="D174" s="33" t="s">
        <v>16807</v>
      </c>
      <c r="E174" s="33" t="s">
        <v>16808</v>
      </c>
      <c r="F174" s="33" t="s">
        <v>16361</v>
      </c>
      <c r="G174" s="33"/>
      <c r="H174" s="33" t="s">
        <v>7108</v>
      </c>
      <c r="I174" s="33" t="s">
        <v>16363</v>
      </c>
    </row>
    <row r="175" customFormat="false" ht="74" hidden="false" customHeight="true" outlineLevel="0" collapsed="false">
      <c r="A175" s="32" t="n">
        <v>174</v>
      </c>
      <c r="B175" s="32" t="s">
        <v>16358</v>
      </c>
      <c r="C175" s="32" t="s">
        <v>7137</v>
      </c>
      <c r="D175" s="33" t="s">
        <v>16809</v>
      </c>
      <c r="E175" s="33" t="s">
        <v>16810</v>
      </c>
      <c r="F175" s="33" t="s">
        <v>16361</v>
      </c>
      <c r="G175" s="33"/>
      <c r="H175" s="33" t="s">
        <v>7122</v>
      </c>
      <c r="I175" s="33" t="s">
        <v>16363</v>
      </c>
    </row>
    <row r="176" customFormat="false" ht="74" hidden="false" customHeight="true" outlineLevel="0" collapsed="false">
      <c r="A176" s="32" t="n">
        <v>175</v>
      </c>
      <c r="B176" s="32" t="s">
        <v>16358</v>
      </c>
      <c r="C176" s="32" t="s">
        <v>7150</v>
      </c>
      <c r="D176" s="33" t="s">
        <v>16811</v>
      </c>
      <c r="E176" s="33" t="s">
        <v>16812</v>
      </c>
      <c r="F176" s="33" t="s">
        <v>16361</v>
      </c>
      <c r="G176" s="33"/>
      <c r="H176" s="33" t="s">
        <v>7138</v>
      </c>
      <c r="I176" s="33" t="s">
        <v>16363</v>
      </c>
    </row>
    <row r="177" customFormat="false" ht="74" hidden="false" customHeight="true" outlineLevel="0" collapsed="false">
      <c r="A177" s="32" t="n">
        <v>176</v>
      </c>
      <c r="B177" s="32" t="s">
        <v>16358</v>
      </c>
      <c r="C177" s="32" t="s">
        <v>7165</v>
      </c>
      <c r="D177" s="33" t="s">
        <v>16813</v>
      </c>
      <c r="E177" s="33" t="s">
        <v>16814</v>
      </c>
      <c r="F177" s="33" t="s">
        <v>16361</v>
      </c>
      <c r="G177" s="33"/>
      <c r="H177" s="33" t="s">
        <v>7151</v>
      </c>
      <c r="I177" s="33" t="s">
        <v>16363</v>
      </c>
    </row>
    <row r="178" customFormat="false" ht="74" hidden="false" customHeight="true" outlineLevel="0" collapsed="false">
      <c r="A178" s="32" t="n">
        <v>177</v>
      </c>
      <c r="B178" s="32" t="s">
        <v>16358</v>
      </c>
      <c r="C178" s="32" t="s">
        <v>16815</v>
      </c>
      <c r="D178" s="33" t="s">
        <v>16816</v>
      </c>
      <c r="E178" s="33" t="s">
        <v>16817</v>
      </c>
      <c r="F178" s="33" t="s">
        <v>16361</v>
      </c>
      <c r="G178" s="33"/>
      <c r="H178" s="33" t="s">
        <v>2065</v>
      </c>
      <c r="I178" s="33" t="s">
        <v>16363</v>
      </c>
    </row>
    <row r="179" customFormat="false" ht="74" hidden="false" customHeight="true" outlineLevel="0" collapsed="false">
      <c r="A179" s="32" t="n">
        <v>178</v>
      </c>
      <c r="B179" s="32" t="s">
        <v>16358</v>
      </c>
      <c r="C179" s="32" t="s">
        <v>7193</v>
      </c>
      <c r="D179" s="33" t="s">
        <v>16818</v>
      </c>
      <c r="E179" s="33" t="s">
        <v>16819</v>
      </c>
      <c r="F179" s="33" t="s">
        <v>16361</v>
      </c>
      <c r="G179" s="33"/>
      <c r="H179" s="33" t="s">
        <v>7180</v>
      </c>
      <c r="I179" s="33" t="s">
        <v>16363</v>
      </c>
    </row>
    <row r="180" customFormat="false" ht="74" hidden="false" customHeight="true" outlineLevel="0" collapsed="false">
      <c r="A180" s="32" t="n">
        <v>179</v>
      </c>
      <c r="B180" s="32" t="s">
        <v>16358</v>
      </c>
      <c r="C180" s="32" t="s">
        <v>7208</v>
      </c>
      <c r="D180" s="33" t="s">
        <v>16820</v>
      </c>
      <c r="E180" s="33" t="s">
        <v>16821</v>
      </c>
      <c r="F180" s="33" t="s">
        <v>16385</v>
      </c>
      <c r="G180" s="33" t="s">
        <v>16822</v>
      </c>
      <c r="H180" s="33" t="s">
        <v>16823</v>
      </c>
      <c r="I180" s="33" t="s">
        <v>16363</v>
      </c>
    </row>
    <row r="181" customFormat="false" ht="74" hidden="false" customHeight="true" outlineLevel="0" collapsed="false">
      <c r="A181" s="32" t="n">
        <v>180</v>
      </c>
      <c r="B181" s="32" t="s">
        <v>16358</v>
      </c>
      <c r="C181" s="32" t="s">
        <v>7232</v>
      </c>
      <c r="D181" s="33" t="s">
        <v>16824</v>
      </c>
      <c r="E181" s="33" t="s">
        <v>16825</v>
      </c>
      <c r="F181" s="33" t="s">
        <v>16361</v>
      </c>
      <c r="G181" s="33"/>
      <c r="H181" s="33" t="s">
        <v>16826</v>
      </c>
      <c r="I181" s="33" t="s">
        <v>16363</v>
      </c>
    </row>
    <row r="182" customFormat="false" ht="74" hidden="false" customHeight="true" outlineLevel="0" collapsed="false">
      <c r="A182" s="32" t="n">
        <v>181</v>
      </c>
      <c r="B182" s="32" t="s">
        <v>16358</v>
      </c>
      <c r="C182" s="32" t="s">
        <v>7266</v>
      </c>
      <c r="D182" s="33" t="s">
        <v>16827</v>
      </c>
      <c r="E182" s="33" t="s">
        <v>16828</v>
      </c>
      <c r="F182" s="33" t="s">
        <v>16361</v>
      </c>
      <c r="G182" s="33"/>
      <c r="H182" s="33" t="s">
        <v>7252</v>
      </c>
      <c r="I182" s="33" t="s">
        <v>16363</v>
      </c>
    </row>
    <row r="183" customFormat="false" ht="74" hidden="false" customHeight="true" outlineLevel="0" collapsed="false">
      <c r="A183" s="32" t="n">
        <v>182</v>
      </c>
      <c r="B183" s="32" t="s">
        <v>16358</v>
      </c>
      <c r="C183" s="32" t="s">
        <v>7280</v>
      </c>
      <c r="D183" s="33" t="s">
        <v>16829</v>
      </c>
      <c r="E183" s="33" t="s">
        <v>16830</v>
      </c>
      <c r="F183" s="33" t="s">
        <v>16361</v>
      </c>
      <c r="G183" s="33"/>
      <c r="H183" s="33" t="s">
        <v>16831</v>
      </c>
      <c r="I183" s="33" t="s">
        <v>16363</v>
      </c>
    </row>
    <row r="184" customFormat="false" ht="74" hidden="false" customHeight="true" outlineLevel="0" collapsed="false">
      <c r="A184" s="32" t="n">
        <v>183</v>
      </c>
      <c r="B184" s="32" t="s">
        <v>16358</v>
      </c>
      <c r="C184" s="32" t="s">
        <v>16832</v>
      </c>
      <c r="D184" s="33" t="s">
        <v>16833</v>
      </c>
      <c r="E184" s="33" t="s">
        <v>16834</v>
      </c>
      <c r="F184" s="33" t="s">
        <v>16361</v>
      </c>
      <c r="G184" s="33"/>
      <c r="H184" s="33" t="s">
        <v>7281</v>
      </c>
      <c r="I184" s="33" t="s">
        <v>16363</v>
      </c>
    </row>
    <row r="185" customFormat="false" ht="74" hidden="false" customHeight="true" outlineLevel="0" collapsed="false">
      <c r="A185" s="32" t="n">
        <v>184</v>
      </c>
      <c r="B185" s="32" t="s">
        <v>16358</v>
      </c>
      <c r="C185" s="32" t="s">
        <v>16835</v>
      </c>
      <c r="D185" s="33" t="s">
        <v>16836</v>
      </c>
      <c r="E185" s="33" t="s">
        <v>16837</v>
      </c>
      <c r="F185" s="33" t="s">
        <v>16361</v>
      </c>
      <c r="G185" s="33"/>
      <c r="H185" s="33" t="s">
        <v>7318</v>
      </c>
      <c r="I185" s="33" t="s">
        <v>16363</v>
      </c>
    </row>
    <row r="186" customFormat="false" ht="74" hidden="false" customHeight="true" outlineLevel="0" collapsed="false">
      <c r="A186" s="32" t="n">
        <v>185</v>
      </c>
      <c r="B186" s="32" t="s">
        <v>16358</v>
      </c>
      <c r="C186" s="32" t="s">
        <v>7344</v>
      </c>
      <c r="D186" s="33" t="s">
        <v>16838</v>
      </c>
      <c r="E186" s="33" t="s">
        <v>16839</v>
      </c>
      <c r="F186" s="33" t="s">
        <v>16361</v>
      </c>
      <c r="G186" s="33"/>
      <c r="H186" s="33" t="s">
        <v>2145</v>
      </c>
      <c r="I186" s="33" t="s">
        <v>16363</v>
      </c>
    </row>
    <row r="187" customFormat="false" ht="74" hidden="false" customHeight="true" outlineLevel="0" collapsed="false">
      <c r="A187" s="32" t="n">
        <v>186</v>
      </c>
      <c r="B187" s="32" t="s">
        <v>16358</v>
      </c>
      <c r="C187" s="32" t="s">
        <v>7361</v>
      </c>
      <c r="D187" s="33" t="s">
        <v>16840</v>
      </c>
      <c r="E187" s="33" t="s">
        <v>16841</v>
      </c>
      <c r="F187" s="33" t="s">
        <v>16361</v>
      </c>
      <c r="G187" s="33"/>
      <c r="H187" s="33" t="s">
        <v>7345</v>
      </c>
      <c r="I187" s="33" t="s">
        <v>16363</v>
      </c>
    </row>
    <row r="188" customFormat="false" ht="74" hidden="false" customHeight="true" outlineLevel="0" collapsed="false">
      <c r="A188" s="32" t="n">
        <v>187</v>
      </c>
      <c r="B188" s="32" t="s">
        <v>16358</v>
      </c>
      <c r="C188" s="32" t="s">
        <v>7378</v>
      </c>
      <c r="D188" s="33" t="s">
        <v>16842</v>
      </c>
      <c r="E188" s="33" t="s">
        <v>16843</v>
      </c>
      <c r="F188" s="33" t="s">
        <v>16361</v>
      </c>
      <c r="G188" s="33"/>
      <c r="H188" s="33" t="s">
        <v>7363</v>
      </c>
      <c r="I188" s="33" t="s">
        <v>16363</v>
      </c>
    </row>
    <row r="189" customFormat="false" ht="74" hidden="false" customHeight="true" outlineLevel="0" collapsed="false">
      <c r="A189" s="32" t="n">
        <v>188</v>
      </c>
      <c r="B189" s="32" t="s">
        <v>16358</v>
      </c>
      <c r="C189" s="32" t="s">
        <v>7392</v>
      </c>
      <c r="D189" s="33" t="s">
        <v>16844</v>
      </c>
      <c r="E189" s="33" t="s">
        <v>16845</v>
      </c>
      <c r="F189" s="33" t="s">
        <v>16361</v>
      </c>
      <c r="G189" s="33"/>
      <c r="H189" s="33" t="s">
        <v>16846</v>
      </c>
      <c r="I189" s="33" t="s">
        <v>16363</v>
      </c>
    </row>
    <row r="190" customFormat="false" ht="74" hidden="false" customHeight="true" outlineLevel="0" collapsed="false">
      <c r="A190" s="32" t="n">
        <v>189</v>
      </c>
      <c r="B190" s="32" t="s">
        <v>16358</v>
      </c>
      <c r="C190" s="32" t="s">
        <v>16847</v>
      </c>
      <c r="D190" s="33" t="s">
        <v>16848</v>
      </c>
      <c r="E190" s="33" t="s">
        <v>16849</v>
      </c>
      <c r="F190" s="33" t="s">
        <v>16361</v>
      </c>
      <c r="G190" s="33"/>
      <c r="H190" s="33" t="s">
        <v>7403</v>
      </c>
      <c r="I190" s="33" t="s">
        <v>16363</v>
      </c>
    </row>
    <row r="191" customFormat="false" ht="74" hidden="false" customHeight="true" outlineLevel="0" collapsed="false">
      <c r="A191" s="32" t="n">
        <v>190</v>
      </c>
      <c r="B191" s="32" t="s">
        <v>16358</v>
      </c>
      <c r="C191" s="32" t="s">
        <v>7430</v>
      </c>
      <c r="D191" s="33" t="s">
        <v>16850</v>
      </c>
      <c r="E191" s="33" t="s">
        <v>16851</v>
      </c>
      <c r="F191" s="33" t="s">
        <v>16361</v>
      </c>
      <c r="G191" s="33"/>
      <c r="H191" s="33" t="s">
        <v>7418</v>
      </c>
      <c r="I191" s="33" t="s">
        <v>16363</v>
      </c>
    </row>
    <row r="192" customFormat="false" ht="74" hidden="false" customHeight="true" outlineLevel="0" collapsed="false">
      <c r="A192" s="32" t="n">
        <v>191</v>
      </c>
      <c r="B192" s="32" t="s">
        <v>16358</v>
      </c>
      <c r="C192" s="32" t="s">
        <v>16852</v>
      </c>
      <c r="D192" s="33" t="s">
        <v>16853</v>
      </c>
      <c r="E192" s="33" t="s">
        <v>16854</v>
      </c>
      <c r="F192" s="33" t="s">
        <v>16385</v>
      </c>
      <c r="G192" s="33" t="s">
        <v>16855</v>
      </c>
      <c r="H192" s="33" t="s">
        <v>16856</v>
      </c>
      <c r="I192" s="33" t="s">
        <v>16363</v>
      </c>
    </row>
    <row r="193" customFormat="false" ht="74" hidden="false" customHeight="true" outlineLevel="0" collapsed="false">
      <c r="A193" s="32" t="n">
        <v>192</v>
      </c>
      <c r="B193" s="32" t="s">
        <v>16358</v>
      </c>
      <c r="C193" s="32" t="s">
        <v>7471</v>
      </c>
      <c r="D193" s="33" t="s">
        <v>16857</v>
      </c>
      <c r="E193" s="33" t="s">
        <v>16858</v>
      </c>
      <c r="F193" s="33" t="s">
        <v>16361</v>
      </c>
      <c r="G193" s="33"/>
      <c r="H193" s="33" t="s">
        <v>7459</v>
      </c>
      <c r="I193" s="33" t="s">
        <v>16363</v>
      </c>
    </row>
    <row r="194" customFormat="false" ht="74" hidden="false" customHeight="true" outlineLevel="0" collapsed="false">
      <c r="A194" s="32" t="n">
        <v>193</v>
      </c>
      <c r="B194" s="32" t="s">
        <v>16358</v>
      </c>
      <c r="C194" s="32" t="s">
        <v>7487</v>
      </c>
      <c r="D194" s="33" t="s">
        <v>16859</v>
      </c>
      <c r="E194" s="33" t="s">
        <v>16860</v>
      </c>
      <c r="F194" s="33" t="s">
        <v>16385</v>
      </c>
      <c r="G194" s="33" t="s">
        <v>16861</v>
      </c>
      <c r="H194" s="33" t="s">
        <v>16862</v>
      </c>
      <c r="I194" s="33" t="s">
        <v>16363</v>
      </c>
    </row>
    <row r="195" customFormat="false" ht="74" hidden="false" customHeight="true" outlineLevel="0" collapsed="false">
      <c r="A195" s="32" t="n">
        <v>194</v>
      </c>
      <c r="B195" s="32" t="s">
        <v>16358</v>
      </c>
      <c r="C195" s="32" t="s">
        <v>7501</v>
      </c>
      <c r="D195" s="33" t="s">
        <v>16863</v>
      </c>
      <c r="E195" s="33" t="s">
        <v>16864</v>
      </c>
      <c r="F195" s="33" t="s">
        <v>16361</v>
      </c>
      <c r="G195" s="33"/>
      <c r="H195" s="33" t="s">
        <v>7488</v>
      </c>
      <c r="I195" s="33" t="s">
        <v>16363</v>
      </c>
    </row>
    <row r="196" customFormat="false" ht="74" hidden="false" customHeight="true" outlineLevel="0" collapsed="false">
      <c r="A196" s="32" t="n">
        <v>195</v>
      </c>
      <c r="B196" s="32" t="s">
        <v>16358</v>
      </c>
      <c r="C196" s="32" t="s">
        <v>7518</v>
      </c>
      <c r="D196" s="33" t="s">
        <v>16865</v>
      </c>
      <c r="E196" s="33" t="s">
        <v>16866</v>
      </c>
      <c r="F196" s="33" t="s">
        <v>16361</v>
      </c>
      <c r="G196" s="33"/>
      <c r="H196" s="33" t="s">
        <v>7502</v>
      </c>
      <c r="I196" s="33" t="s">
        <v>16363</v>
      </c>
    </row>
    <row r="197" customFormat="false" ht="74" hidden="false" customHeight="true" outlineLevel="0" collapsed="false">
      <c r="A197" s="32" t="n">
        <v>196</v>
      </c>
      <c r="B197" s="32" t="s">
        <v>16358</v>
      </c>
      <c r="C197" s="32" t="s">
        <v>7559</v>
      </c>
      <c r="D197" s="33" t="s">
        <v>16867</v>
      </c>
      <c r="E197" s="33" t="s">
        <v>16868</v>
      </c>
      <c r="F197" s="33" t="s">
        <v>16361</v>
      </c>
      <c r="G197" s="33"/>
      <c r="H197" s="33" t="s">
        <v>7545</v>
      </c>
      <c r="I197" s="33" t="s">
        <v>16363</v>
      </c>
    </row>
    <row r="198" customFormat="false" ht="74" hidden="false" customHeight="true" outlineLevel="0" collapsed="false">
      <c r="A198" s="32" t="n">
        <v>197</v>
      </c>
      <c r="B198" s="32" t="s">
        <v>16358</v>
      </c>
      <c r="C198" s="32" t="s">
        <v>7573</v>
      </c>
      <c r="D198" s="33" t="s">
        <v>16869</v>
      </c>
      <c r="E198" s="33" t="s">
        <v>16870</v>
      </c>
      <c r="F198" s="33" t="s">
        <v>16361</v>
      </c>
      <c r="G198" s="33"/>
      <c r="H198" s="33" t="s">
        <v>7560</v>
      </c>
      <c r="I198" s="33" t="s">
        <v>16363</v>
      </c>
    </row>
    <row r="199" customFormat="false" ht="74" hidden="false" customHeight="true" outlineLevel="0" collapsed="false">
      <c r="A199" s="32" t="n">
        <v>198</v>
      </c>
      <c r="B199" s="32" t="s">
        <v>16358</v>
      </c>
      <c r="C199" s="32" t="s">
        <v>7589</v>
      </c>
      <c r="D199" s="33" t="s">
        <v>16871</v>
      </c>
      <c r="E199" s="33" t="s">
        <v>16872</v>
      </c>
      <c r="F199" s="33" t="s">
        <v>16361</v>
      </c>
      <c r="G199" s="33"/>
      <c r="H199" s="33" t="s">
        <v>7574</v>
      </c>
      <c r="I199" s="33" t="s">
        <v>16363</v>
      </c>
    </row>
    <row r="200" customFormat="false" ht="74" hidden="false" customHeight="true" outlineLevel="0" collapsed="false">
      <c r="A200" s="32" t="n">
        <v>199</v>
      </c>
      <c r="B200" s="32" t="s">
        <v>16358</v>
      </c>
      <c r="C200" s="32" t="s">
        <v>7604</v>
      </c>
      <c r="D200" s="33" t="s">
        <v>16873</v>
      </c>
      <c r="E200" s="33" t="s">
        <v>16874</v>
      </c>
      <c r="F200" s="33" t="s">
        <v>16361</v>
      </c>
      <c r="G200" s="33"/>
      <c r="H200" s="33" t="s">
        <v>16875</v>
      </c>
      <c r="I200" s="33" t="s">
        <v>16363</v>
      </c>
    </row>
    <row r="201" customFormat="false" ht="74" hidden="false" customHeight="true" outlineLevel="0" collapsed="false">
      <c r="A201" s="32" t="n">
        <v>200</v>
      </c>
      <c r="B201" s="32" t="s">
        <v>16358</v>
      </c>
      <c r="C201" s="32" t="s">
        <v>16876</v>
      </c>
      <c r="D201" s="33" t="s">
        <v>16877</v>
      </c>
      <c r="E201" s="33" t="s">
        <v>16878</v>
      </c>
      <c r="F201" s="33" t="s">
        <v>16385</v>
      </c>
      <c r="G201" s="33" t="s">
        <v>16879</v>
      </c>
      <c r="H201" s="33" t="s">
        <v>16880</v>
      </c>
      <c r="I201" s="33" t="s">
        <v>16363</v>
      </c>
    </row>
    <row r="202" customFormat="false" ht="74" hidden="false" customHeight="true" outlineLevel="0" collapsed="false">
      <c r="A202" s="32" t="n">
        <v>201</v>
      </c>
      <c r="B202" s="32" t="s">
        <v>16358</v>
      </c>
      <c r="C202" s="32" t="s">
        <v>16881</v>
      </c>
      <c r="D202" s="33" t="s">
        <v>16882</v>
      </c>
      <c r="E202" s="33" t="s">
        <v>16883</v>
      </c>
      <c r="F202" s="33" t="s">
        <v>16385</v>
      </c>
      <c r="G202" s="33" t="s">
        <v>16884</v>
      </c>
      <c r="H202" s="33" t="s">
        <v>7620</v>
      </c>
      <c r="I202" s="33" t="s">
        <v>16363</v>
      </c>
    </row>
    <row r="203" customFormat="false" ht="74" hidden="false" customHeight="true" outlineLevel="0" collapsed="false">
      <c r="A203" s="32" t="n">
        <v>202</v>
      </c>
      <c r="B203" s="32" t="s">
        <v>16358</v>
      </c>
      <c r="C203" s="32" t="s">
        <v>16885</v>
      </c>
      <c r="D203" s="33" t="s">
        <v>16886</v>
      </c>
      <c r="E203" s="33" t="s">
        <v>16887</v>
      </c>
      <c r="F203" s="33" t="s">
        <v>16361</v>
      </c>
      <c r="G203" s="33"/>
      <c r="H203" s="33" t="s">
        <v>1938</v>
      </c>
      <c r="I203" s="33" t="s">
        <v>16363</v>
      </c>
    </row>
    <row r="204" customFormat="false" ht="74" hidden="false" customHeight="true" outlineLevel="0" collapsed="false">
      <c r="A204" s="32" t="n">
        <v>203</v>
      </c>
      <c r="B204" s="32" t="s">
        <v>16358</v>
      </c>
      <c r="C204" s="32" t="s">
        <v>16888</v>
      </c>
      <c r="D204" s="33" t="s">
        <v>16889</v>
      </c>
      <c r="E204" s="33" t="s">
        <v>16890</v>
      </c>
      <c r="F204" s="33" t="s">
        <v>16361</v>
      </c>
      <c r="G204" s="33"/>
      <c r="H204" s="33" t="s">
        <v>6950</v>
      </c>
      <c r="I204" s="33" t="s">
        <v>16363</v>
      </c>
    </row>
    <row r="205" customFormat="false" ht="74" hidden="false" customHeight="true" outlineLevel="0" collapsed="false">
      <c r="A205" s="32" t="n">
        <v>204</v>
      </c>
      <c r="B205" s="32" t="s">
        <v>16358</v>
      </c>
      <c r="C205" s="32" t="s">
        <v>16891</v>
      </c>
      <c r="D205" s="33" t="s">
        <v>16892</v>
      </c>
      <c r="E205" s="33" t="s">
        <v>16893</v>
      </c>
      <c r="F205" s="33" t="s">
        <v>16361</v>
      </c>
      <c r="G205" s="33"/>
      <c r="H205" s="33" t="s">
        <v>6685</v>
      </c>
      <c r="I205" s="33" t="s">
        <v>16363</v>
      </c>
    </row>
    <row r="206" customFormat="false" ht="74" hidden="false" customHeight="true" outlineLevel="0" collapsed="false">
      <c r="A206" s="32" t="n">
        <v>205</v>
      </c>
      <c r="B206" s="32" t="s">
        <v>16358</v>
      </c>
      <c r="C206" s="32" t="s">
        <v>6634</v>
      </c>
      <c r="D206" s="33" t="s">
        <v>16894</v>
      </c>
      <c r="E206" s="33" t="s">
        <v>16895</v>
      </c>
      <c r="F206" s="33" t="s">
        <v>16361</v>
      </c>
      <c r="G206" s="33"/>
      <c r="H206" s="33" t="s">
        <v>6622</v>
      </c>
      <c r="I206" s="33" t="s">
        <v>16363</v>
      </c>
    </row>
    <row r="207" customFormat="false" ht="74" hidden="false" customHeight="true" outlineLevel="0" collapsed="false">
      <c r="A207" s="32" t="n">
        <v>206</v>
      </c>
      <c r="B207" s="32" t="s">
        <v>16358</v>
      </c>
      <c r="C207" s="32" t="s">
        <v>6873</v>
      </c>
      <c r="D207" s="33" t="s">
        <v>16896</v>
      </c>
      <c r="E207" s="33" t="s">
        <v>16897</v>
      </c>
      <c r="F207" s="33" t="s">
        <v>16361</v>
      </c>
      <c r="G207" s="33"/>
      <c r="H207" s="33" t="s">
        <v>6860</v>
      </c>
      <c r="I207" s="33" t="s">
        <v>16363</v>
      </c>
    </row>
    <row r="208" customFormat="false" ht="74" hidden="false" customHeight="true" outlineLevel="0" collapsed="false">
      <c r="A208" s="32" t="n">
        <v>207</v>
      </c>
      <c r="B208" s="32" t="s">
        <v>16898</v>
      </c>
      <c r="C208" s="32" t="s">
        <v>5559</v>
      </c>
      <c r="D208" s="33" t="s">
        <v>16899</v>
      </c>
      <c r="E208" s="33" t="s">
        <v>16900</v>
      </c>
      <c r="F208" s="33" t="s">
        <v>16361</v>
      </c>
      <c r="G208" s="33"/>
      <c r="H208" s="33" t="s">
        <v>16387</v>
      </c>
      <c r="I208" s="33" t="s">
        <v>16901</v>
      </c>
    </row>
    <row r="209" customFormat="false" ht="74" hidden="false" customHeight="true" outlineLevel="0" collapsed="false">
      <c r="A209" s="32" t="n">
        <v>208</v>
      </c>
      <c r="B209" s="32" t="s">
        <v>16898</v>
      </c>
      <c r="C209" s="32" t="s">
        <v>5911</v>
      </c>
      <c r="D209" s="33" t="s">
        <v>16902</v>
      </c>
      <c r="E209" s="33" t="s">
        <v>16903</v>
      </c>
      <c r="F209" s="33" t="s">
        <v>16361</v>
      </c>
      <c r="G209" s="33"/>
      <c r="H209" s="33" t="s">
        <v>5900</v>
      </c>
      <c r="I209" s="33" t="s">
        <v>16901</v>
      </c>
    </row>
    <row r="210" customFormat="false" ht="74" hidden="false" customHeight="true" outlineLevel="0" collapsed="false">
      <c r="A210" s="32" t="n">
        <v>209</v>
      </c>
      <c r="B210" s="32" t="s">
        <v>16898</v>
      </c>
      <c r="C210" s="32" t="s">
        <v>915</v>
      </c>
      <c r="D210" s="33" t="s">
        <v>16904</v>
      </c>
      <c r="E210" s="33" t="s">
        <v>16905</v>
      </c>
      <c r="F210" s="33" t="s">
        <v>16361</v>
      </c>
      <c r="G210" s="33"/>
      <c r="H210" s="33" t="s">
        <v>16440</v>
      </c>
      <c r="I210" s="33" t="s">
        <v>16901</v>
      </c>
    </row>
    <row r="211" customFormat="false" ht="74" hidden="false" customHeight="true" outlineLevel="0" collapsed="false">
      <c r="A211" s="32" t="n">
        <v>210</v>
      </c>
      <c r="B211" s="32" t="s">
        <v>16898</v>
      </c>
      <c r="C211" s="32" t="s">
        <v>1342</v>
      </c>
      <c r="D211" s="33" t="s">
        <v>16906</v>
      </c>
      <c r="E211" s="33" t="s">
        <v>16907</v>
      </c>
      <c r="F211" s="33" t="s">
        <v>16385</v>
      </c>
      <c r="G211" s="33" t="s">
        <v>16908</v>
      </c>
      <c r="H211" s="33" t="s">
        <v>16460</v>
      </c>
      <c r="I211" s="33" t="s">
        <v>16901</v>
      </c>
    </row>
    <row r="212" customFormat="false" ht="74" hidden="false" customHeight="true" outlineLevel="0" collapsed="false">
      <c r="A212" s="32" t="n">
        <v>211</v>
      </c>
      <c r="B212" s="32" t="s">
        <v>16898</v>
      </c>
      <c r="C212" s="32" t="s">
        <v>6367</v>
      </c>
      <c r="D212" s="33" t="s">
        <v>16909</v>
      </c>
      <c r="E212" s="33" t="s">
        <v>16910</v>
      </c>
      <c r="F212" s="33" t="s">
        <v>16361</v>
      </c>
      <c r="G212" s="33"/>
      <c r="H212" s="33" t="s">
        <v>6355</v>
      </c>
      <c r="I212" s="33" t="s">
        <v>16901</v>
      </c>
    </row>
    <row r="213" customFormat="false" ht="74" hidden="false" customHeight="true" outlineLevel="0" collapsed="false">
      <c r="A213" s="32" t="n">
        <v>212</v>
      </c>
      <c r="B213" s="32" t="s">
        <v>16898</v>
      </c>
      <c r="C213" s="32" t="s">
        <v>16496</v>
      </c>
      <c r="D213" s="33" t="s">
        <v>16911</v>
      </c>
      <c r="E213" s="33" t="s">
        <v>16912</v>
      </c>
      <c r="F213" s="33" t="s">
        <v>16361</v>
      </c>
      <c r="G213" s="33"/>
      <c r="H213" s="33" t="s">
        <v>4430</v>
      </c>
      <c r="I213" s="33" t="s">
        <v>16901</v>
      </c>
    </row>
    <row r="214" customFormat="false" ht="74" hidden="false" customHeight="true" outlineLevel="0" collapsed="false">
      <c r="A214" s="32" t="n">
        <v>213</v>
      </c>
      <c r="B214" s="32" t="s">
        <v>16898</v>
      </c>
      <c r="C214" s="32" t="s">
        <v>16518</v>
      </c>
      <c r="D214" s="33" t="s">
        <v>16913</v>
      </c>
      <c r="E214" s="33" t="s">
        <v>16914</v>
      </c>
      <c r="F214" s="33" t="s">
        <v>16385</v>
      </c>
      <c r="G214" s="33" t="s">
        <v>16915</v>
      </c>
      <c r="H214" s="33" t="s">
        <v>5698</v>
      </c>
      <c r="I214" s="33" t="s">
        <v>16901</v>
      </c>
    </row>
    <row r="215" customFormat="false" ht="74" hidden="false" customHeight="true" outlineLevel="0" collapsed="false">
      <c r="A215" s="32" t="n">
        <v>214</v>
      </c>
      <c r="B215" s="32" t="s">
        <v>16898</v>
      </c>
      <c r="C215" s="32" t="s">
        <v>6110</v>
      </c>
      <c r="D215" s="33" t="s">
        <v>16916</v>
      </c>
      <c r="E215" s="33" t="s">
        <v>16917</v>
      </c>
      <c r="F215" s="33" t="s">
        <v>16361</v>
      </c>
      <c r="G215" s="33"/>
      <c r="H215" s="33" t="s">
        <v>6096</v>
      </c>
      <c r="I215" s="33" t="s">
        <v>16901</v>
      </c>
    </row>
    <row r="216" customFormat="false" ht="74" hidden="false" customHeight="true" outlineLevel="0" collapsed="false">
      <c r="A216" s="32" t="n">
        <v>215</v>
      </c>
      <c r="B216" s="32" t="s">
        <v>16898</v>
      </c>
      <c r="C216" s="32" t="s">
        <v>16545</v>
      </c>
      <c r="D216" s="33" t="s">
        <v>16918</v>
      </c>
      <c r="E216" s="33" t="s">
        <v>16919</v>
      </c>
      <c r="F216" s="33" t="s">
        <v>16361</v>
      </c>
      <c r="G216" s="33"/>
      <c r="H216" s="33" t="s">
        <v>7709</v>
      </c>
      <c r="I216" s="33" t="s">
        <v>16901</v>
      </c>
    </row>
    <row r="217" customFormat="false" ht="74" hidden="false" customHeight="true" outlineLevel="0" collapsed="false">
      <c r="A217" s="32" t="n">
        <v>216</v>
      </c>
      <c r="B217" s="32" t="s">
        <v>16898</v>
      </c>
      <c r="C217" s="32" t="s">
        <v>16647</v>
      </c>
      <c r="D217" s="33" t="s">
        <v>16920</v>
      </c>
      <c r="E217" s="33" t="s">
        <v>16921</v>
      </c>
      <c r="F217" s="33" t="s">
        <v>16385</v>
      </c>
      <c r="G217" s="33" t="s">
        <v>16922</v>
      </c>
      <c r="H217" s="33" t="s">
        <v>8260</v>
      </c>
      <c r="I217" s="33" t="s">
        <v>16901</v>
      </c>
    </row>
    <row r="218" customFormat="false" ht="74" hidden="false" customHeight="true" outlineLevel="0" collapsed="false">
      <c r="A218" s="32" t="n">
        <v>217</v>
      </c>
      <c r="B218" s="32" t="s">
        <v>16898</v>
      </c>
      <c r="C218" s="32" t="s">
        <v>16705</v>
      </c>
      <c r="D218" s="33" t="s">
        <v>16923</v>
      </c>
      <c r="E218" s="33" t="s">
        <v>16924</v>
      </c>
      <c r="F218" s="33" t="s">
        <v>16385</v>
      </c>
      <c r="G218" s="33" t="s">
        <v>16925</v>
      </c>
      <c r="H218" s="33" t="s">
        <v>6501</v>
      </c>
      <c r="I218" s="33" t="s">
        <v>16901</v>
      </c>
    </row>
    <row r="219" customFormat="false" ht="74" hidden="false" customHeight="true" outlineLevel="0" collapsed="false">
      <c r="A219" s="32" t="n">
        <v>218</v>
      </c>
      <c r="B219" s="32" t="s">
        <v>16898</v>
      </c>
      <c r="C219" s="32" t="s">
        <v>6684</v>
      </c>
      <c r="D219" s="33" t="s">
        <v>16926</v>
      </c>
      <c r="E219" s="33" t="s">
        <v>16927</v>
      </c>
      <c r="F219" s="33" t="s">
        <v>16361</v>
      </c>
      <c r="G219" s="33"/>
      <c r="H219" s="33" t="s">
        <v>6668</v>
      </c>
      <c r="I219" s="33" t="s">
        <v>16901</v>
      </c>
    </row>
    <row r="220" customFormat="false" ht="74" hidden="false" customHeight="true" outlineLevel="0" collapsed="false">
      <c r="A220" s="32" t="n">
        <v>219</v>
      </c>
      <c r="B220" s="32" t="s">
        <v>16898</v>
      </c>
      <c r="C220" s="32" t="s">
        <v>16771</v>
      </c>
      <c r="D220" s="33" t="s">
        <v>16928</v>
      </c>
      <c r="E220" s="33" t="s">
        <v>16929</v>
      </c>
      <c r="F220" s="33" t="s">
        <v>16361</v>
      </c>
      <c r="G220" s="33"/>
      <c r="H220" s="33" t="s">
        <v>6844</v>
      </c>
      <c r="I220" s="33" t="s">
        <v>16901</v>
      </c>
    </row>
    <row r="221" customFormat="false" ht="74" hidden="false" customHeight="true" outlineLevel="0" collapsed="false">
      <c r="A221" s="32" t="n">
        <v>220</v>
      </c>
      <c r="B221" s="32" t="s">
        <v>16898</v>
      </c>
      <c r="C221" s="32" t="s">
        <v>6938</v>
      </c>
      <c r="D221" s="33" t="s">
        <v>16930</v>
      </c>
      <c r="E221" s="33" t="s">
        <v>16931</v>
      </c>
      <c r="F221" s="33" t="s">
        <v>16361</v>
      </c>
      <c r="G221" s="33"/>
      <c r="H221" s="33" t="s">
        <v>6927</v>
      </c>
      <c r="I221" s="33" t="s">
        <v>16901</v>
      </c>
    </row>
    <row r="222" customFormat="false" ht="74" hidden="false" customHeight="true" outlineLevel="0" collapsed="false">
      <c r="A222" s="32" t="n">
        <v>221</v>
      </c>
      <c r="B222" s="32" t="s">
        <v>16898</v>
      </c>
      <c r="C222" s="32" t="s">
        <v>7208</v>
      </c>
      <c r="D222" s="33" t="s">
        <v>16932</v>
      </c>
      <c r="E222" s="33" t="s">
        <v>16933</v>
      </c>
      <c r="F222" s="33" t="s">
        <v>16361</v>
      </c>
      <c r="G222" s="33"/>
      <c r="H222" s="33" t="s">
        <v>16823</v>
      </c>
      <c r="I222" s="33" t="s">
        <v>16901</v>
      </c>
    </row>
    <row r="223" customFormat="false" ht="74" hidden="false" customHeight="true" outlineLevel="0" collapsed="false">
      <c r="A223" s="32" t="n">
        <v>222</v>
      </c>
      <c r="B223" s="32" t="s">
        <v>16898</v>
      </c>
      <c r="C223" s="32" t="s">
        <v>16852</v>
      </c>
      <c r="D223" s="33" t="s">
        <v>16934</v>
      </c>
      <c r="E223" s="33" t="s">
        <v>16935</v>
      </c>
      <c r="F223" s="33" t="s">
        <v>16361</v>
      </c>
      <c r="G223" s="33"/>
      <c r="H223" s="33" t="s">
        <v>16856</v>
      </c>
      <c r="I223" s="33" t="s">
        <v>16901</v>
      </c>
    </row>
    <row r="224" customFormat="false" ht="74" hidden="false" customHeight="true" outlineLevel="0" collapsed="false">
      <c r="A224" s="32" t="n">
        <v>223</v>
      </c>
      <c r="B224" s="32" t="s">
        <v>16898</v>
      </c>
      <c r="C224" s="32" t="s">
        <v>7487</v>
      </c>
      <c r="D224" s="33" t="s">
        <v>16936</v>
      </c>
      <c r="E224" s="33" t="s">
        <v>16937</v>
      </c>
      <c r="F224" s="33" t="s">
        <v>16361</v>
      </c>
      <c r="G224" s="33"/>
      <c r="H224" s="33" t="s">
        <v>16862</v>
      </c>
      <c r="I224" s="33" t="s">
        <v>16901</v>
      </c>
    </row>
    <row r="225" customFormat="false" ht="74" hidden="false" customHeight="true" outlineLevel="0" collapsed="false">
      <c r="A225" s="32" t="n">
        <v>224</v>
      </c>
      <c r="B225" s="32" t="s">
        <v>16898</v>
      </c>
      <c r="C225" s="32" t="s">
        <v>16876</v>
      </c>
      <c r="D225" s="33" t="s">
        <v>16938</v>
      </c>
      <c r="E225" s="33" t="s">
        <v>16939</v>
      </c>
      <c r="F225" s="33" t="s">
        <v>16361</v>
      </c>
      <c r="G225" s="33"/>
      <c r="H225" s="33" t="s">
        <v>16880</v>
      </c>
      <c r="I225" s="33" t="s">
        <v>16901</v>
      </c>
    </row>
    <row r="226" customFormat="false" ht="74" hidden="false" customHeight="true" outlineLevel="0" collapsed="false">
      <c r="A226" s="32" t="n">
        <v>225</v>
      </c>
      <c r="B226" s="32" t="s">
        <v>16898</v>
      </c>
      <c r="C226" s="32" t="s">
        <v>16881</v>
      </c>
      <c r="D226" s="33" t="s">
        <v>16940</v>
      </c>
      <c r="E226" s="33" t="s">
        <v>16941</v>
      </c>
      <c r="F226" s="33" t="s">
        <v>16361</v>
      </c>
      <c r="G226" s="33"/>
      <c r="H226" s="33" t="s">
        <v>7620</v>
      </c>
      <c r="I226" s="33" t="s">
        <v>16901</v>
      </c>
    </row>
    <row r="227" customFormat="false" ht="74" hidden="false" customHeight="true" outlineLevel="0" collapsed="false">
      <c r="A227" s="32" t="n">
        <v>226</v>
      </c>
      <c r="B227" s="32" t="s">
        <v>16942</v>
      </c>
      <c r="C227" s="32" t="s">
        <v>1342</v>
      </c>
      <c r="D227" s="33" t="s">
        <v>16943</v>
      </c>
      <c r="E227" s="33" t="s">
        <v>16944</v>
      </c>
      <c r="F227" s="33" t="s">
        <v>16361</v>
      </c>
      <c r="G227" s="33"/>
      <c r="H227" s="33" t="s">
        <v>16460</v>
      </c>
      <c r="I227" s="33" t="s">
        <v>16945</v>
      </c>
    </row>
    <row r="228" customFormat="false" ht="74" hidden="false" customHeight="true" outlineLevel="0" collapsed="false">
      <c r="A228" s="32" t="n">
        <v>227</v>
      </c>
      <c r="B228" s="32" t="s">
        <v>16942</v>
      </c>
      <c r="C228" s="32" t="s">
        <v>16518</v>
      </c>
      <c r="D228" s="33" t="s">
        <v>16946</v>
      </c>
      <c r="E228" s="33" t="s">
        <v>16947</v>
      </c>
      <c r="F228" s="33" t="s">
        <v>16361</v>
      </c>
      <c r="G228" s="33"/>
      <c r="H228" s="33" t="s">
        <v>5698</v>
      </c>
      <c r="I228" s="33" t="s">
        <v>16945</v>
      </c>
    </row>
    <row r="229" customFormat="false" ht="74" hidden="false" customHeight="true" outlineLevel="0" collapsed="false">
      <c r="A229" s="32" t="n">
        <v>228</v>
      </c>
      <c r="B229" s="32" t="s">
        <v>16942</v>
      </c>
      <c r="C229" s="32" t="s">
        <v>16647</v>
      </c>
      <c r="D229" s="33" t="s">
        <v>16948</v>
      </c>
      <c r="E229" s="33" t="s">
        <v>16949</v>
      </c>
      <c r="F229" s="33" t="s">
        <v>16361</v>
      </c>
      <c r="G229" s="33"/>
      <c r="H229" s="33" t="s">
        <v>8260</v>
      </c>
      <c r="I229" s="33" t="s">
        <v>16945</v>
      </c>
    </row>
    <row r="230" customFormat="false" ht="74" hidden="false" customHeight="true" outlineLevel="0" collapsed="false">
      <c r="A230" s="32" t="n">
        <v>229</v>
      </c>
      <c r="B230" s="32" t="s">
        <v>16942</v>
      </c>
      <c r="C230" s="32" t="s">
        <v>16705</v>
      </c>
      <c r="D230" s="33" t="s">
        <v>16950</v>
      </c>
      <c r="E230" s="33" t="s">
        <v>16951</v>
      </c>
      <c r="F230" s="33" t="s">
        <v>16361</v>
      </c>
      <c r="G230" s="33"/>
      <c r="H230" s="33" t="s">
        <v>6501</v>
      </c>
      <c r="I230" s="33" t="s">
        <v>16945</v>
      </c>
    </row>
    <row r="231" customFormat="false" ht="74" hidden="false" customHeight="true" outlineLevel="0" collapsed="false">
      <c r="A231" s="32" t="n">
        <v>230</v>
      </c>
      <c r="B231" s="32" t="s">
        <v>16952</v>
      </c>
      <c r="C231" s="32" t="s">
        <v>16953</v>
      </c>
      <c r="D231" s="33" t="s">
        <v>3462</v>
      </c>
      <c r="E231" s="33" t="s">
        <v>16954</v>
      </c>
      <c r="F231" s="33" t="s">
        <v>16361</v>
      </c>
      <c r="G231" s="33"/>
      <c r="H231" s="33" t="s">
        <v>3458</v>
      </c>
      <c r="I231" s="33" t="s">
        <v>16955</v>
      </c>
    </row>
    <row r="232" customFormat="false" ht="74" hidden="false" customHeight="true" outlineLevel="0" collapsed="false">
      <c r="A232" s="32" t="n">
        <v>231</v>
      </c>
      <c r="B232" s="32" t="s">
        <v>16952</v>
      </c>
      <c r="C232" s="32" t="s">
        <v>3490</v>
      </c>
      <c r="D232" s="33" t="s">
        <v>3479</v>
      </c>
      <c r="E232" s="33" t="s">
        <v>3484</v>
      </c>
      <c r="F232" s="33" t="s">
        <v>16361</v>
      </c>
      <c r="G232" s="33"/>
      <c r="H232" s="33" t="s">
        <v>3478</v>
      </c>
      <c r="I232" s="33" t="s">
        <v>16955</v>
      </c>
    </row>
    <row r="233" customFormat="false" ht="74" hidden="false" customHeight="true" outlineLevel="0" collapsed="false">
      <c r="A233" s="32" t="n">
        <v>232</v>
      </c>
      <c r="B233" s="32" t="s">
        <v>16952</v>
      </c>
      <c r="C233" s="32" t="s">
        <v>3502</v>
      </c>
      <c r="D233" s="33" t="s">
        <v>3492</v>
      </c>
      <c r="E233" s="33" t="s">
        <v>3497</v>
      </c>
      <c r="F233" s="33" t="s">
        <v>16361</v>
      </c>
      <c r="G233" s="33"/>
      <c r="H233" s="33" t="s">
        <v>3491</v>
      </c>
      <c r="I233" s="33" t="s">
        <v>16955</v>
      </c>
    </row>
    <row r="234" customFormat="false" ht="74" hidden="false" customHeight="true" outlineLevel="0" collapsed="false">
      <c r="A234" s="32" t="n">
        <v>233</v>
      </c>
      <c r="B234" s="32" t="s">
        <v>16952</v>
      </c>
      <c r="C234" s="32" t="s">
        <v>3516</v>
      </c>
      <c r="D234" s="33" t="s">
        <v>3504</v>
      </c>
      <c r="E234" s="33" t="s">
        <v>3509</v>
      </c>
      <c r="F234" s="33" t="s">
        <v>16361</v>
      </c>
      <c r="G234" s="33"/>
      <c r="H234" s="33" t="s">
        <v>3503</v>
      </c>
      <c r="I234" s="33" t="s">
        <v>16955</v>
      </c>
    </row>
    <row r="235" customFormat="false" ht="74" hidden="false" customHeight="true" outlineLevel="0" collapsed="false">
      <c r="A235" s="32" t="n">
        <v>234</v>
      </c>
      <c r="B235" s="32" t="s">
        <v>16952</v>
      </c>
      <c r="C235" s="32" t="s">
        <v>4012</v>
      </c>
      <c r="D235" s="33" t="s">
        <v>3999</v>
      </c>
      <c r="E235" s="33" t="s">
        <v>4005</v>
      </c>
      <c r="F235" s="33" t="s">
        <v>16361</v>
      </c>
      <c r="G235" s="33"/>
      <c r="H235" s="33" t="s">
        <v>3998</v>
      </c>
      <c r="I235" s="33" t="s">
        <v>16955</v>
      </c>
    </row>
    <row r="236" customFormat="false" ht="74" hidden="false" customHeight="true" outlineLevel="0" collapsed="false">
      <c r="A236" s="32" t="n">
        <v>235</v>
      </c>
      <c r="B236" s="32" t="s">
        <v>16952</v>
      </c>
      <c r="C236" s="32" t="s">
        <v>4025</v>
      </c>
      <c r="D236" s="33" t="s">
        <v>16956</v>
      </c>
      <c r="E236" s="33" t="s">
        <v>16957</v>
      </c>
      <c r="F236" s="33" t="s">
        <v>16385</v>
      </c>
      <c r="G236" s="33" t="s">
        <v>16958</v>
      </c>
      <c r="H236" s="33" t="s">
        <v>4013</v>
      </c>
      <c r="I236" s="33" t="s">
        <v>16955</v>
      </c>
    </row>
    <row r="237" customFormat="false" ht="74" hidden="false" customHeight="true" outlineLevel="0" collapsed="false">
      <c r="A237" s="32" t="n">
        <v>236</v>
      </c>
      <c r="B237" s="32" t="s">
        <v>16952</v>
      </c>
      <c r="C237" s="32" t="s">
        <v>4036</v>
      </c>
      <c r="D237" s="33" t="s">
        <v>4027</v>
      </c>
      <c r="E237" s="33" t="s">
        <v>4032</v>
      </c>
      <c r="F237" s="33" t="s">
        <v>16361</v>
      </c>
      <c r="G237" s="33"/>
      <c r="H237" s="33" t="s">
        <v>4026</v>
      </c>
      <c r="I237" s="33" t="s">
        <v>16955</v>
      </c>
    </row>
    <row r="238" customFormat="false" ht="74" hidden="false" customHeight="true" outlineLevel="0" collapsed="false">
      <c r="A238" s="32" t="n">
        <v>237</v>
      </c>
      <c r="B238" s="32" t="s">
        <v>16952</v>
      </c>
      <c r="C238" s="32" t="s">
        <v>4050</v>
      </c>
      <c r="D238" s="33" t="s">
        <v>4038</v>
      </c>
      <c r="E238" s="33" t="s">
        <v>4043</v>
      </c>
      <c r="F238" s="33" t="s">
        <v>16361</v>
      </c>
      <c r="G238" s="33"/>
      <c r="H238" s="33" t="s">
        <v>4037</v>
      </c>
      <c r="I238" s="33" t="s">
        <v>16955</v>
      </c>
    </row>
    <row r="239" customFormat="false" ht="74" hidden="false" customHeight="true" outlineLevel="0" collapsed="false">
      <c r="A239" s="32" t="n">
        <v>238</v>
      </c>
      <c r="B239" s="32" t="s">
        <v>16952</v>
      </c>
      <c r="C239" s="32" t="s">
        <v>4064</v>
      </c>
      <c r="D239" s="33" t="s">
        <v>4052</v>
      </c>
      <c r="E239" s="33" t="s">
        <v>4057</v>
      </c>
      <c r="F239" s="33" t="s">
        <v>16361</v>
      </c>
      <c r="G239" s="33"/>
      <c r="H239" s="33" t="s">
        <v>4051</v>
      </c>
      <c r="I239" s="33" t="s">
        <v>16955</v>
      </c>
    </row>
    <row r="240" customFormat="false" ht="74" hidden="false" customHeight="true" outlineLevel="0" collapsed="false">
      <c r="A240" s="32" t="n">
        <v>239</v>
      </c>
      <c r="B240" s="32" t="s">
        <v>16952</v>
      </c>
      <c r="C240" s="32" t="s">
        <v>4075</v>
      </c>
      <c r="D240" s="33" t="s">
        <v>4066</v>
      </c>
      <c r="E240" s="33" t="s">
        <v>4071</v>
      </c>
      <c r="F240" s="33" t="s">
        <v>16361</v>
      </c>
      <c r="G240" s="33"/>
      <c r="H240" s="33" t="s">
        <v>4065</v>
      </c>
      <c r="I240" s="33" t="s">
        <v>16955</v>
      </c>
    </row>
    <row r="241" customFormat="false" ht="74" hidden="false" customHeight="true" outlineLevel="0" collapsed="false">
      <c r="A241" s="32" t="n">
        <v>240</v>
      </c>
      <c r="B241" s="32" t="s">
        <v>16952</v>
      </c>
      <c r="C241" s="32" t="s">
        <v>4085</v>
      </c>
      <c r="D241" s="33" t="s">
        <v>4077</v>
      </c>
      <c r="E241" s="33" t="s">
        <v>4082</v>
      </c>
      <c r="F241" s="33" t="s">
        <v>16361</v>
      </c>
      <c r="G241" s="33"/>
      <c r="H241" s="33" t="s">
        <v>4076</v>
      </c>
      <c r="I241" s="33" t="s">
        <v>16955</v>
      </c>
    </row>
    <row r="242" customFormat="false" ht="74" hidden="false" customHeight="true" outlineLevel="0" collapsed="false">
      <c r="A242" s="32" t="n">
        <v>241</v>
      </c>
      <c r="B242" s="32" t="s">
        <v>16952</v>
      </c>
      <c r="C242" s="32" t="s">
        <v>4094</v>
      </c>
      <c r="D242" s="33" t="s">
        <v>4087</v>
      </c>
      <c r="E242" s="33" t="s">
        <v>4090</v>
      </c>
      <c r="F242" s="33" t="s">
        <v>16361</v>
      </c>
      <c r="G242" s="33"/>
      <c r="H242" s="33" t="s">
        <v>16959</v>
      </c>
      <c r="I242" s="33" t="s">
        <v>16955</v>
      </c>
    </row>
    <row r="243" customFormat="false" ht="74" hidden="false" customHeight="true" outlineLevel="0" collapsed="false">
      <c r="A243" s="32" t="n">
        <v>242</v>
      </c>
      <c r="B243" s="32" t="s">
        <v>16952</v>
      </c>
      <c r="C243" s="32" t="s">
        <v>16960</v>
      </c>
      <c r="D243" s="33" t="s">
        <v>4096</v>
      </c>
      <c r="E243" s="33" t="s">
        <v>16961</v>
      </c>
      <c r="F243" s="33" t="s">
        <v>16361</v>
      </c>
      <c r="G243" s="33"/>
      <c r="H243" s="33" t="s">
        <v>4095</v>
      </c>
      <c r="I243" s="33" t="s">
        <v>16955</v>
      </c>
    </row>
    <row r="244" customFormat="false" ht="74" hidden="false" customHeight="true" outlineLevel="0" collapsed="false">
      <c r="A244" s="32" t="n">
        <v>243</v>
      </c>
      <c r="B244" s="32" t="s">
        <v>16952</v>
      </c>
      <c r="C244" s="32" t="s">
        <v>2584</v>
      </c>
      <c r="D244" s="33" t="s">
        <v>4110</v>
      </c>
      <c r="E244" s="33" t="s">
        <v>4115</v>
      </c>
      <c r="F244" s="33" t="s">
        <v>16361</v>
      </c>
      <c r="G244" s="33"/>
      <c r="H244" s="33" t="s">
        <v>16962</v>
      </c>
      <c r="I244" s="33" t="s">
        <v>16955</v>
      </c>
    </row>
    <row r="245" customFormat="false" ht="74" hidden="false" customHeight="true" outlineLevel="0" collapsed="false">
      <c r="A245" s="32" t="n">
        <v>244</v>
      </c>
      <c r="B245" s="32" t="s">
        <v>16952</v>
      </c>
      <c r="C245" s="32" t="s">
        <v>4126</v>
      </c>
      <c r="D245" s="33" t="s">
        <v>4120</v>
      </c>
      <c r="E245" s="33" t="s">
        <v>4123</v>
      </c>
      <c r="F245" s="33" t="s">
        <v>16361</v>
      </c>
      <c r="G245" s="33"/>
      <c r="H245" s="33" t="s">
        <v>4119</v>
      </c>
      <c r="I245" s="33" t="s">
        <v>16955</v>
      </c>
    </row>
    <row r="246" customFormat="false" ht="74" hidden="false" customHeight="true" outlineLevel="0" collapsed="false">
      <c r="A246" s="32" t="n">
        <v>245</v>
      </c>
      <c r="B246" s="32" t="s">
        <v>16952</v>
      </c>
      <c r="C246" s="32" t="s">
        <v>4140</v>
      </c>
      <c r="D246" s="33" t="s">
        <v>4128</v>
      </c>
      <c r="E246" s="33" t="s">
        <v>4133</v>
      </c>
      <c r="F246" s="33" t="s">
        <v>16361</v>
      </c>
      <c r="G246" s="33"/>
      <c r="H246" s="33" t="s">
        <v>4127</v>
      </c>
      <c r="I246" s="33" t="s">
        <v>16955</v>
      </c>
    </row>
    <row r="247" customFormat="false" ht="74" hidden="false" customHeight="true" outlineLevel="0" collapsed="false">
      <c r="A247" s="32" t="n">
        <v>246</v>
      </c>
      <c r="B247" s="32" t="s">
        <v>16952</v>
      </c>
      <c r="C247" s="32" t="s">
        <v>4152</v>
      </c>
      <c r="D247" s="33" t="s">
        <v>4142</v>
      </c>
      <c r="E247" s="33" t="s">
        <v>4147</v>
      </c>
      <c r="F247" s="33" t="s">
        <v>16361</v>
      </c>
      <c r="G247" s="33"/>
      <c r="H247" s="33" t="s">
        <v>4141</v>
      </c>
      <c r="I247" s="33" t="s">
        <v>16955</v>
      </c>
    </row>
    <row r="248" customFormat="false" ht="74" hidden="false" customHeight="true" outlineLevel="0" collapsed="false">
      <c r="A248" s="32" t="n">
        <v>247</v>
      </c>
      <c r="B248" s="32" t="s">
        <v>16952</v>
      </c>
      <c r="C248" s="32" t="s">
        <v>4164</v>
      </c>
      <c r="D248" s="33" t="s">
        <v>16963</v>
      </c>
      <c r="E248" s="33" t="s">
        <v>16964</v>
      </c>
      <c r="F248" s="33" t="s">
        <v>16385</v>
      </c>
      <c r="G248" s="33" t="s">
        <v>16965</v>
      </c>
      <c r="H248" s="33" t="s">
        <v>4153</v>
      </c>
      <c r="I248" s="33" t="s">
        <v>16955</v>
      </c>
    </row>
    <row r="249" customFormat="false" ht="74" hidden="false" customHeight="true" outlineLevel="0" collapsed="false">
      <c r="A249" s="32" t="n">
        <v>248</v>
      </c>
      <c r="B249" s="32" t="s">
        <v>16952</v>
      </c>
      <c r="C249" s="32" t="s">
        <v>4178</v>
      </c>
      <c r="D249" s="33" t="s">
        <v>4166</v>
      </c>
      <c r="E249" s="33" t="s">
        <v>4171</v>
      </c>
      <c r="F249" s="33" t="s">
        <v>16361</v>
      </c>
      <c r="G249" s="33"/>
      <c r="H249" s="33" t="s">
        <v>4165</v>
      </c>
      <c r="I249" s="33" t="s">
        <v>16955</v>
      </c>
    </row>
    <row r="250" customFormat="false" ht="74" hidden="false" customHeight="true" outlineLevel="0" collapsed="false">
      <c r="A250" s="32" t="n">
        <v>249</v>
      </c>
      <c r="B250" s="32" t="s">
        <v>16952</v>
      </c>
      <c r="C250" s="32" t="s">
        <v>4190</v>
      </c>
      <c r="D250" s="33" t="s">
        <v>4180</v>
      </c>
      <c r="E250" s="33" t="s">
        <v>4184</v>
      </c>
      <c r="F250" s="33" t="s">
        <v>16361</v>
      </c>
      <c r="G250" s="33"/>
      <c r="H250" s="33" t="s">
        <v>4179</v>
      </c>
      <c r="I250" s="33" t="s">
        <v>16955</v>
      </c>
    </row>
    <row r="251" customFormat="false" ht="74" hidden="false" customHeight="true" outlineLevel="0" collapsed="false">
      <c r="A251" s="32" t="n">
        <v>250</v>
      </c>
      <c r="B251" s="32" t="s">
        <v>16952</v>
      </c>
      <c r="C251" s="32" t="s">
        <v>4203</v>
      </c>
      <c r="D251" s="33" t="s">
        <v>4192</v>
      </c>
      <c r="E251" s="33" t="s">
        <v>4197</v>
      </c>
      <c r="F251" s="33" t="s">
        <v>16361</v>
      </c>
      <c r="G251" s="33"/>
      <c r="H251" s="33" t="s">
        <v>4191</v>
      </c>
      <c r="I251" s="33" t="s">
        <v>16955</v>
      </c>
    </row>
    <row r="252" customFormat="false" ht="74" hidden="false" customHeight="true" outlineLevel="0" collapsed="false">
      <c r="A252" s="32" t="n">
        <v>251</v>
      </c>
      <c r="B252" s="32" t="s">
        <v>16952</v>
      </c>
      <c r="C252" s="32" t="s">
        <v>4216</v>
      </c>
      <c r="D252" s="33" t="s">
        <v>4205</v>
      </c>
      <c r="E252" s="33" t="s">
        <v>4210</v>
      </c>
      <c r="F252" s="33" t="s">
        <v>16361</v>
      </c>
      <c r="G252" s="33"/>
      <c r="H252" s="33" t="s">
        <v>4204</v>
      </c>
      <c r="I252" s="33" t="s">
        <v>16955</v>
      </c>
    </row>
    <row r="253" customFormat="false" ht="74" hidden="false" customHeight="true" outlineLevel="0" collapsed="false">
      <c r="A253" s="32" t="n">
        <v>252</v>
      </c>
      <c r="B253" s="32" t="s">
        <v>16952</v>
      </c>
      <c r="C253" s="32" t="s">
        <v>4227</v>
      </c>
      <c r="D253" s="33" t="s">
        <v>4218</v>
      </c>
      <c r="E253" s="33" t="s">
        <v>4223</v>
      </c>
      <c r="F253" s="33" t="s">
        <v>16361</v>
      </c>
      <c r="G253" s="33"/>
      <c r="H253" s="33" t="s">
        <v>4217</v>
      </c>
      <c r="I253" s="33" t="s">
        <v>16955</v>
      </c>
    </row>
    <row r="254" customFormat="false" ht="74" hidden="false" customHeight="true" outlineLevel="0" collapsed="false">
      <c r="A254" s="32" t="n">
        <v>253</v>
      </c>
      <c r="B254" s="32" t="s">
        <v>16952</v>
      </c>
      <c r="C254" s="32" t="s">
        <v>4242</v>
      </c>
      <c r="D254" s="33" t="s">
        <v>4230</v>
      </c>
      <c r="E254" s="33" t="s">
        <v>4234</v>
      </c>
      <c r="F254" s="33" t="s">
        <v>16361</v>
      </c>
      <c r="G254" s="33"/>
      <c r="H254" s="33" t="s">
        <v>4229</v>
      </c>
      <c r="I254" s="33" t="s">
        <v>16955</v>
      </c>
    </row>
    <row r="255" customFormat="false" ht="74" hidden="false" customHeight="true" outlineLevel="0" collapsed="false">
      <c r="A255" s="32" t="n">
        <v>254</v>
      </c>
      <c r="B255" s="32" t="s">
        <v>16952</v>
      </c>
      <c r="C255" s="32" t="s">
        <v>3531</v>
      </c>
      <c r="D255" s="33" t="s">
        <v>3518</v>
      </c>
      <c r="E255" s="33" t="s">
        <v>3524</v>
      </c>
      <c r="F255" s="33" t="s">
        <v>16361</v>
      </c>
      <c r="G255" s="33"/>
      <c r="H255" s="33" t="s">
        <v>3517</v>
      </c>
      <c r="I255" s="33" t="s">
        <v>16955</v>
      </c>
    </row>
    <row r="256" customFormat="false" ht="74" hidden="false" customHeight="true" outlineLevel="0" collapsed="false">
      <c r="A256" s="32" t="n">
        <v>255</v>
      </c>
      <c r="B256" s="32" t="s">
        <v>16952</v>
      </c>
      <c r="C256" s="32" t="s">
        <v>3544</v>
      </c>
      <c r="D256" s="33" t="s">
        <v>3533</v>
      </c>
      <c r="E256" s="33" t="s">
        <v>3538</v>
      </c>
      <c r="F256" s="33" t="s">
        <v>16361</v>
      </c>
      <c r="G256" s="33"/>
      <c r="H256" s="33" t="s">
        <v>3532</v>
      </c>
      <c r="I256" s="33" t="s">
        <v>16955</v>
      </c>
    </row>
    <row r="257" customFormat="false" ht="74" hidden="false" customHeight="true" outlineLevel="0" collapsed="false">
      <c r="A257" s="32" t="n">
        <v>256</v>
      </c>
      <c r="B257" s="32" t="s">
        <v>16952</v>
      </c>
      <c r="C257" s="32" t="s">
        <v>3558</v>
      </c>
      <c r="D257" s="33" t="s">
        <v>3546</v>
      </c>
      <c r="E257" s="33" t="s">
        <v>3551</v>
      </c>
      <c r="F257" s="33" t="s">
        <v>16361</v>
      </c>
      <c r="G257" s="33"/>
      <c r="H257" s="33" t="s">
        <v>3545</v>
      </c>
      <c r="I257" s="33" t="s">
        <v>16955</v>
      </c>
    </row>
    <row r="258" customFormat="false" ht="74" hidden="false" customHeight="true" outlineLevel="0" collapsed="false">
      <c r="A258" s="32" t="n">
        <v>257</v>
      </c>
      <c r="B258" s="32" t="s">
        <v>16952</v>
      </c>
      <c r="C258" s="32" t="s">
        <v>3569</v>
      </c>
      <c r="D258" s="33" t="s">
        <v>3560</v>
      </c>
      <c r="E258" s="33" t="s">
        <v>3565</v>
      </c>
      <c r="F258" s="33" t="s">
        <v>16361</v>
      </c>
      <c r="G258" s="33"/>
      <c r="H258" s="33" t="s">
        <v>3559</v>
      </c>
      <c r="I258" s="33" t="s">
        <v>16955</v>
      </c>
    </row>
    <row r="259" customFormat="false" ht="74" hidden="false" customHeight="true" outlineLevel="0" collapsed="false">
      <c r="A259" s="32" t="n">
        <v>258</v>
      </c>
      <c r="B259" s="32" t="s">
        <v>16952</v>
      </c>
      <c r="C259" s="32" t="s">
        <v>3582</v>
      </c>
      <c r="D259" s="33" t="s">
        <v>3571</v>
      </c>
      <c r="E259" s="33" t="s">
        <v>3576</v>
      </c>
      <c r="F259" s="33" t="s">
        <v>16361</v>
      </c>
      <c r="G259" s="33"/>
      <c r="H259" s="33" t="s">
        <v>3570</v>
      </c>
      <c r="I259" s="33" t="s">
        <v>16955</v>
      </c>
    </row>
    <row r="260" customFormat="false" ht="74" hidden="false" customHeight="true" outlineLevel="0" collapsed="false">
      <c r="A260" s="32" t="n">
        <v>259</v>
      </c>
      <c r="B260" s="32" t="s">
        <v>16952</v>
      </c>
      <c r="C260" s="32" t="s">
        <v>3595</v>
      </c>
      <c r="D260" s="33" t="s">
        <v>3584</v>
      </c>
      <c r="E260" s="33" t="s">
        <v>3589</v>
      </c>
      <c r="F260" s="33" t="s">
        <v>16361</v>
      </c>
      <c r="G260" s="33"/>
      <c r="H260" s="33" t="s">
        <v>3583</v>
      </c>
      <c r="I260" s="33" t="s">
        <v>16955</v>
      </c>
    </row>
    <row r="261" customFormat="false" ht="74" hidden="false" customHeight="true" outlineLevel="0" collapsed="false">
      <c r="A261" s="32" t="n">
        <v>260</v>
      </c>
      <c r="B261" s="32" t="s">
        <v>16952</v>
      </c>
      <c r="C261" s="32" t="s">
        <v>3608</v>
      </c>
      <c r="D261" s="33" t="s">
        <v>3597</v>
      </c>
      <c r="E261" s="33" t="s">
        <v>3602</v>
      </c>
      <c r="F261" s="33" t="s">
        <v>16361</v>
      </c>
      <c r="G261" s="33"/>
      <c r="H261" s="33" t="s">
        <v>3596</v>
      </c>
      <c r="I261" s="33" t="s">
        <v>16955</v>
      </c>
    </row>
    <row r="262" customFormat="false" ht="74" hidden="false" customHeight="true" outlineLevel="0" collapsed="false">
      <c r="A262" s="32" t="n">
        <v>261</v>
      </c>
      <c r="B262" s="32" t="s">
        <v>16952</v>
      </c>
      <c r="C262" s="32" t="s">
        <v>3622</v>
      </c>
      <c r="D262" s="33" t="s">
        <v>3610</v>
      </c>
      <c r="E262" s="33" t="s">
        <v>3615</v>
      </c>
      <c r="F262" s="33" t="s">
        <v>16361</v>
      </c>
      <c r="G262" s="33"/>
      <c r="H262" s="33" t="s">
        <v>16966</v>
      </c>
      <c r="I262" s="33" t="s">
        <v>16955</v>
      </c>
    </row>
    <row r="263" customFormat="false" ht="74" hidden="false" customHeight="true" outlineLevel="0" collapsed="false">
      <c r="A263" s="32" t="n">
        <v>262</v>
      </c>
      <c r="B263" s="32" t="s">
        <v>16952</v>
      </c>
      <c r="C263" s="32" t="s">
        <v>3636</v>
      </c>
      <c r="D263" s="33" t="s">
        <v>3624</v>
      </c>
      <c r="E263" s="33" t="s">
        <v>3629</v>
      </c>
      <c r="F263" s="33" t="s">
        <v>16361</v>
      </c>
      <c r="G263" s="33"/>
      <c r="H263" s="33" t="s">
        <v>3623</v>
      </c>
      <c r="I263" s="33" t="s">
        <v>16955</v>
      </c>
    </row>
    <row r="264" customFormat="false" ht="74" hidden="false" customHeight="true" outlineLevel="0" collapsed="false">
      <c r="A264" s="32" t="n">
        <v>263</v>
      </c>
      <c r="B264" s="32" t="s">
        <v>16952</v>
      </c>
      <c r="C264" s="32" t="s">
        <v>3648</v>
      </c>
      <c r="D264" s="33" t="s">
        <v>3638</v>
      </c>
      <c r="E264" s="33" t="s">
        <v>3643</v>
      </c>
      <c r="F264" s="33" t="s">
        <v>16361</v>
      </c>
      <c r="G264" s="33"/>
      <c r="H264" s="33" t="s">
        <v>3637</v>
      </c>
      <c r="I264" s="33" t="s">
        <v>16955</v>
      </c>
    </row>
    <row r="265" customFormat="false" ht="74" hidden="false" customHeight="true" outlineLevel="0" collapsed="false">
      <c r="A265" s="32" t="n">
        <v>264</v>
      </c>
      <c r="B265" s="32" t="s">
        <v>16952</v>
      </c>
      <c r="C265" s="32" t="s">
        <v>3662</v>
      </c>
      <c r="D265" s="33" t="s">
        <v>3650</v>
      </c>
      <c r="E265" s="33" t="s">
        <v>3655</v>
      </c>
      <c r="F265" s="33" t="s">
        <v>16361</v>
      </c>
      <c r="G265" s="33"/>
      <c r="H265" s="33" t="s">
        <v>3649</v>
      </c>
      <c r="I265" s="33" t="s">
        <v>16955</v>
      </c>
    </row>
    <row r="266" customFormat="false" ht="74" hidden="false" customHeight="true" outlineLevel="0" collapsed="false">
      <c r="A266" s="32" t="n">
        <v>265</v>
      </c>
      <c r="B266" s="32" t="s">
        <v>16952</v>
      </c>
      <c r="C266" s="32" t="s">
        <v>3677</v>
      </c>
      <c r="D266" s="33" t="s">
        <v>3665</v>
      </c>
      <c r="E266" s="33" t="s">
        <v>3670</v>
      </c>
      <c r="F266" s="33" t="s">
        <v>16361</v>
      </c>
      <c r="G266" s="33"/>
      <c r="H266" s="33" t="s">
        <v>3664</v>
      </c>
      <c r="I266" s="33" t="s">
        <v>16955</v>
      </c>
    </row>
    <row r="267" customFormat="false" ht="74" hidden="false" customHeight="true" outlineLevel="0" collapsed="false">
      <c r="A267" s="32" t="n">
        <v>266</v>
      </c>
      <c r="B267" s="32" t="s">
        <v>16952</v>
      </c>
      <c r="C267" s="32" t="s">
        <v>3692</v>
      </c>
      <c r="D267" s="33" t="s">
        <v>16967</v>
      </c>
      <c r="E267" s="33" t="s">
        <v>16968</v>
      </c>
      <c r="F267" s="33" t="s">
        <v>16385</v>
      </c>
      <c r="G267" s="33" t="s">
        <v>16969</v>
      </c>
      <c r="H267" s="33" t="s">
        <v>3678</v>
      </c>
      <c r="I267" s="33" t="s">
        <v>16955</v>
      </c>
    </row>
    <row r="268" customFormat="false" ht="74" hidden="false" customHeight="true" outlineLevel="0" collapsed="false">
      <c r="A268" s="32" t="n">
        <v>267</v>
      </c>
      <c r="B268" s="32" t="s">
        <v>16952</v>
      </c>
      <c r="C268" s="32" t="s">
        <v>3702</v>
      </c>
      <c r="D268" s="33" t="s">
        <v>3694</v>
      </c>
      <c r="E268" s="33" t="s">
        <v>3697</v>
      </c>
      <c r="F268" s="33" t="s">
        <v>16361</v>
      </c>
      <c r="G268" s="33"/>
      <c r="H268" s="33" t="s">
        <v>3693</v>
      </c>
      <c r="I268" s="33" t="s">
        <v>16955</v>
      </c>
    </row>
    <row r="269" customFormat="false" ht="74" hidden="false" customHeight="true" outlineLevel="0" collapsed="false">
      <c r="A269" s="32" t="n">
        <v>268</v>
      </c>
      <c r="B269" s="32" t="s">
        <v>16952</v>
      </c>
      <c r="C269" s="32" t="s">
        <v>3715</v>
      </c>
      <c r="D269" s="33" t="s">
        <v>3704</v>
      </c>
      <c r="E269" s="33" t="s">
        <v>3709</v>
      </c>
      <c r="F269" s="33" t="s">
        <v>16361</v>
      </c>
      <c r="G269" s="33"/>
      <c r="H269" s="33" t="s">
        <v>3703</v>
      </c>
      <c r="I269" s="33" t="s">
        <v>16955</v>
      </c>
    </row>
    <row r="270" customFormat="false" ht="74" hidden="false" customHeight="true" outlineLevel="0" collapsed="false">
      <c r="A270" s="32" t="n">
        <v>269</v>
      </c>
      <c r="B270" s="32" t="s">
        <v>16952</v>
      </c>
      <c r="C270" s="32" t="s">
        <v>3728</v>
      </c>
      <c r="D270" s="33" t="s">
        <v>3717</v>
      </c>
      <c r="E270" s="33" t="s">
        <v>3722</v>
      </c>
      <c r="F270" s="33" t="s">
        <v>16361</v>
      </c>
      <c r="G270" s="33"/>
      <c r="H270" s="33" t="s">
        <v>3716</v>
      </c>
      <c r="I270" s="33" t="s">
        <v>16955</v>
      </c>
    </row>
    <row r="271" customFormat="false" ht="74" hidden="false" customHeight="true" outlineLevel="0" collapsed="false">
      <c r="A271" s="32" t="n">
        <v>270</v>
      </c>
      <c r="B271" s="32" t="s">
        <v>16952</v>
      </c>
      <c r="C271" s="32" t="s">
        <v>3741</v>
      </c>
      <c r="D271" s="33" t="s">
        <v>16970</v>
      </c>
      <c r="E271" s="33" t="s">
        <v>16971</v>
      </c>
      <c r="F271" s="33" t="s">
        <v>16385</v>
      </c>
      <c r="G271" s="33" t="s">
        <v>16972</v>
      </c>
      <c r="H271" s="33" t="s">
        <v>3729</v>
      </c>
      <c r="I271" s="33" t="s">
        <v>16955</v>
      </c>
    </row>
    <row r="272" customFormat="false" ht="74" hidden="false" customHeight="true" outlineLevel="0" collapsed="false">
      <c r="A272" s="32" t="n">
        <v>271</v>
      </c>
      <c r="B272" s="32" t="s">
        <v>16952</v>
      </c>
      <c r="C272" s="32" t="s">
        <v>3757</v>
      </c>
      <c r="D272" s="33" t="s">
        <v>16973</v>
      </c>
      <c r="E272" s="33" t="s">
        <v>16974</v>
      </c>
      <c r="F272" s="33" t="s">
        <v>16385</v>
      </c>
      <c r="G272" s="33" t="s">
        <v>16975</v>
      </c>
      <c r="H272" s="33" t="s">
        <v>3743</v>
      </c>
      <c r="I272" s="33" t="s">
        <v>16955</v>
      </c>
    </row>
    <row r="273" customFormat="false" ht="74" hidden="false" customHeight="true" outlineLevel="0" collapsed="false">
      <c r="A273" s="32" t="n">
        <v>272</v>
      </c>
      <c r="B273" s="32" t="s">
        <v>16952</v>
      </c>
      <c r="C273" s="32" t="s">
        <v>3773</v>
      </c>
      <c r="D273" s="33" t="s">
        <v>16976</v>
      </c>
      <c r="E273" s="33" t="s">
        <v>16977</v>
      </c>
      <c r="F273" s="33" t="s">
        <v>16385</v>
      </c>
      <c r="G273" s="33" t="s">
        <v>16978</v>
      </c>
      <c r="H273" s="33" t="s">
        <v>3758</v>
      </c>
      <c r="I273" s="33" t="s">
        <v>16955</v>
      </c>
    </row>
    <row r="274" customFormat="false" ht="74" hidden="false" customHeight="true" outlineLevel="0" collapsed="false">
      <c r="A274" s="32" t="n">
        <v>273</v>
      </c>
      <c r="B274" s="32" t="s">
        <v>16952</v>
      </c>
      <c r="C274" s="32" t="s">
        <v>3788</v>
      </c>
      <c r="D274" s="33" t="s">
        <v>3775</v>
      </c>
      <c r="E274" s="33" t="s">
        <v>3780</v>
      </c>
      <c r="F274" s="33" t="s">
        <v>16361</v>
      </c>
      <c r="G274" s="33"/>
      <c r="H274" s="33" t="s">
        <v>3774</v>
      </c>
      <c r="I274" s="33" t="s">
        <v>16955</v>
      </c>
    </row>
    <row r="275" customFormat="false" ht="74" hidden="false" customHeight="true" outlineLevel="0" collapsed="false">
      <c r="A275" s="32" t="n">
        <v>274</v>
      </c>
      <c r="B275" s="32" t="s">
        <v>16952</v>
      </c>
      <c r="C275" s="32" t="s">
        <v>3803</v>
      </c>
      <c r="D275" s="33" t="s">
        <v>16979</v>
      </c>
      <c r="E275" s="33" t="s">
        <v>16980</v>
      </c>
      <c r="F275" s="33" t="s">
        <v>16385</v>
      </c>
      <c r="G275" s="33" t="s">
        <v>16981</v>
      </c>
      <c r="H275" s="33" t="s">
        <v>3789</v>
      </c>
      <c r="I275" s="33" t="s">
        <v>16955</v>
      </c>
    </row>
    <row r="276" customFormat="false" ht="74" hidden="false" customHeight="true" outlineLevel="0" collapsed="false">
      <c r="A276" s="32" t="n">
        <v>275</v>
      </c>
      <c r="B276" s="32" t="s">
        <v>16952</v>
      </c>
      <c r="C276" s="32" t="s">
        <v>3817</v>
      </c>
      <c r="D276" s="33" t="s">
        <v>3805</v>
      </c>
      <c r="E276" s="33" t="s">
        <v>3810</v>
      </c>
      <c r="F276" s="33" t="s">
        <v>16361</v>
      </c>
      <c r="G276" s="33"/>
      <c r="H276" s="33" t="s">
        <v>3804</v>
      </c>
      <c r="I276" s="33" t="s">
        <v>16955</v>
      </c>
    </row>
    <row r="277" customFormat="false" ht="74" hidden="false" customHeight="true" outlineLevel="0" collapsed="false">
      <c r="A277" s="32" t="n">
        <v>276</v>
      </c>
      <c r="B277" s="32" t="s">
        <v>16952</v>
      </c>
      <c r="C277" s="32" t="s">
        <v>3832</v>
      </c>
      <c r="D277" s="33" t="s">
        <v>3819</v>
      </c>
      <c r="E277" s="33" t="s">
        <v>3824</v>
      </c>
      <c r="F277" s="33" t="s">
        <v>16361</v>
      </c>
      <c r="G277" s="33"/>
      <c r="H277" s="33" t="s">
        <v>3818</v>
      </c>
      <c r="I277" s="33" t="s">
        <v>16955</v>
      </c>
    </row>
    <row r="278" customFormat="false" ht="74" hidden="false" customHeight="true" outlineLevel="0" collapsed="false">
      <c r="A278" s="32" t="n">
        <v>277</v>
      </c>
      <c r="B278" s="32" t="s">
        <v>16952</v>
      </c>
      <c r="C278" s="32" t="s">
        <v>3845</v>
      </c>
      <c r="D278" s="33" t="s">
        <v>3834</v>
      </c>
      <c r="E278" s="33" t="s">
        <v>3839</v>
      </c>
      <c r="F278" s="33" t="s">
        <v>16361</v>
      </c>
      <c r="G278" s="33"/>
      <c r="H278" s="33" t="s">
        <v>3833</v>
      </c>
      <c r="I278" s="33" t="s">
        <v>16955</v>
      </c>
    </row>
    <row r="279" customFormat="false" ht="74" hidden="false" customHeight="true" outlineLevel="0" collapsed="false">
      <c r="A279" s="32" t="n">
        <v>278</v>
      </c>
      <c r="B279" s="32" t="s">
        <v>16952</v>
      </c>
      <c r="C279" s="32" t="s">
        <v>3860</v>
      </c>
      <c r="D279" s="33" t="s">
        <v>16982</v>
      </c>
      <c r="E279" s="33" t="s">
        <v>16983</v>
      </c>
      <c r="F279" s="33" t="s">
        <v>16385</v>
      </c>
      <c r="G279" s="33" t="s">
        <v>16984</v>
      </c>
      <c r="H279" s="33" t="s">
        <v>3846</v>
      </c>
      <c r="I279" s="33" t="s">
        <v>16955</v>
      </c>
    </row>
    <row r="280" customFormat="false" ht="74" hidden="false" customHeight="true" outlineLevel="0" collapsed="false">
      <c r="A280" s="32" t="n">
        <v>279</v>
      </c>
      <c r="B280" s="32" t="s">
        <v>16952</v>
      </c>
      <c r="C280" s="32" t="s">
        <v>3873</v>
      </c>
      <c r="D280" s="33" t="s">
        <v>3862</v>
      </c>
      <c r="E280" s="33" t="s">
        <v>3867</v>
      </c>
      <c r="F280" s="33" t="s">
        <v>16361</v>
      </c>
      <c r="G280" s="33"/>
      <c r="H280" s="33" t="s">
        <v>3861</v>
      </c>
      <c r="I280" s="33" t="s">
        <v>16955</v>
      </c>
    </row>
    <row r="281" customFormat="false" ht="74" hidden="false" customHeight="true" outlineLevel="0" collapsed="false">
      <c r="A281" s="32" t="n">
        <v>280</v>
      </c>
      <c r="B281" s="32" t="s">
        <v>16952</v>
      </c>
      <c r="C281" s="32" t="s">
        <v>3884</v>
      </c>
      <c r="D281" s="33" t="s">
        <v>3875</v>
      </c>
      <c r="E281" s="33" t="s">
        <v>3880</v>
      </c>
      <c r="F281" s="33" t="s">
        <v>16361</v>
      </c>
      <c r="G281" s="33"/>
      <c r="H281" s="33" t="s">
        <v>3874</v>
      </c>
      <c r="I281" s="33" t="s">
        <v>16955</v>
      </c>
    </row>
    <row r="282" customFormat="false" ht="74" hidden="false" customHeight="true" outlineLevel="0" collapsed="false">
      <c r="A282" s="32" t="n">
        <v>281</v>
      </c>
      <c r="B282" s="32" t="s">
        <v>16952</v>
      </c>
      <c r="C282" s="32" t="s">
        <v>3897</v>
      </c>
      <c r="D282" s="33" t="s">
        <v>3886</v>
      </c>
      <c r="E282" s="33" t="s">
        <v>3891</v>
      </c>
      <c r="F282" s="33" t="s">
        <v>16361</v>
      </c>
      <c r="G282" s="33"/>
      <c r="H282" s="33" t="s">
        <v>3885</v>
      </c>
      <c r="I282" s="33" t="s">
        <v>16955</v>
      </c>
    </row>
    <row r="283" customFormat="false" ht="74" hidden="false" customHeight="true" outlineLevel="0" collapsed="false">
      <c r="A283" s="32" t="n">
        <v>282</v>
      </c>
      <c r="B283" s="32" t="s">
        <v>16952</v>
      </c>
      <c r="C283" s="32" t="s">
        <v>3910</v>
      </c>
      <c r="D283" s="33" t="s">
        <v>3899</v>
      </c>
      <c r="E283" s="33" t="s">
        <v>3904</v>
      </c>
      <c r="F283" s="33" t="s">
        <v>16361</v>
      </c>
      <c r="G283" s="33"/>
      <c r="H283" s="33" t="s">
        <v>3898</v>
      </c>
      <c r="I283" s="33" t="s">
        <v>16955</v>
      </c>
    </row>
    <row r="284" customFormat="false" ht="74" hidden="false" customHeight="true" outlineLevel="0" collapsed="false">
      <c r="A284" s="32" t="n">
        <v>283</v>
      </c>
      <c r="B284" s="32" t="s">
        <v>16952</v>
      </c>
      <c r="C284" s="32" t="s">
        <v>3922</v>
      </c>
      <c r="D284" s="33" t="s">
        <v>16985</v>
      </c>
      <c r="E284" s="33" t="s">
        <v>16986</v>
      </c>
      <c r="F284" s="33" t="s">
        <v>16385</v>
      </c>
      <c r="G284" s="33" t="s">
        <v>16987</v>
      </c>
      <c r="H284" s="33" t="s">
        <v>3911</v>
      </c>
      <c r="I284" s="33" t="s">
        <v>16955</v>
      </c>
    </row>
    <row r="285" customFormat="false" ht="74" hidden="false" customHeight="true" outlineLevel="0" collapsed="false">
      <c r="A285" s="32" t="n">
        <v>284</v>
      </c>
      <c r="B285" s="32" t="s">
        <v>16952</v>
      </c>
      <c r="C285" s="32" t="s">
        <v>3936</v>
      </c>
      <c r="D285" s="33" t="s">
        <v>3924</v>
      </c>
      <c r="E285" s="33" t="s">
        <v>3929</v>
      </c>
      <c r="F285" s="33" t="s">
        <v>16361</v>
      </c>
      <c r="G285" s="33"/>
      <c r="H285" s="33" t="s">
        <v>3923</v>
      </c>
      <c r="I285" s="33" t="s">
        <v>16955</v>
      </c>
    </row>
    <row r="286" customFormat="false" ht="74" hidden="false" customHeight="true" outlineLevel="0" collapsed="false">
      <c r="A286" s="32" t="n">
        <v>285</v>
      </c>
      <c r="B286" s="32" t="s">
        <v>16952</v>
      </c>
      <c r="C286" s="32" t="s">
        <v>3948</v>
      </c>
      <c r="D286" s="33" t="s">
        <v>3938</v>
      </c>
      <c r="E286" s="33" t="s">
        <v>3943</v>
      </c>
      <c r="F286" s="33" t="s">
        <v>16361</v>
      </c>
      <c r="G286" s="33"/>
      <c r="H286" s="33" t="s">
        <v>3937</v>
      </c>
      <c r="I286" s="33" t="s">
        <v>16955</v>
      </c>
    </row>
    <row r="287" customFormat="false" ht="74" hidden="false" customHeight="true" outlineLevel="0" collapsed="false">
      <c r="A287" s="32" t="n">
        <v>286</v>
      </c>
      <c r="B287" s="32" t="s">
        <v>16952</v>
      </c>
      <c r="C287" s="32" t="s">
        <v>3960</v>
      </c>
      <c r="D287" s="33" t="s">
        <v>3950</v>
      </c>
      <c r="E287" s="33" t="s">
        <v>3955</v>
      </c>
      <c r="F287" s="33" t="s">
        <v>16361</v>
      </c>
      <c r="G287" s="33"/>
      <c r="H287" s="33" t="s">
        <v>3949</v>
      </c>
      <c r="I287" s="33" t="s">
        <v>16955</v>
      </c>
    </row>
    <row r="288" customFormat="false" ht="74" hidden="false" customHeight="true" outlineLevel="0" collapsed="false">
      <c r="A288" s="32" t="n">
        <v>287</v>
      </c>
      <c r="B288" s="32" t="s">
        <v>16952</v>
      </c>
      <c r="C288" s="32" t="s">
        <v>3970</v>
      </c>
      <c r="D288" s="33" t="s">
        <v>3962</v>
      </c>
      <c r="E288" s="33" t="s">
        <v>3967</v>
      </c>
      <c r="F288" s="33" t="s">
        <v>16361</v>
      </c>
      <c r="G288" s="33"/>
      <c r="H288" s="33" t="s">
        <v>3961</v>
      </c>
      <c r="I288" s="33" t="s">
        <v>16955</v>
      </c>
    </row>
    <row r="289" customFormat="false" ht="74" hidden="false" customHeight="true" outlineLevel="0" collapsed="false">
      <c r="A289" s="32" t="n">
        <v>288</v>
      </c>
      <c r="B289" s="32" t="s">
        <v>16952</v>
      </c>
      <c r="C289" s="32" t="s">
        <v>3983</v>
      </c>
      <c r="D289" s="33" t="s">
        <v>3972</v>
      </c>
      <c r="E289" s="33" t="s">
        <v>3977</v>
      </c>
      <c r="F289" s="33" t="s">
        <v>16361</v>
      </c>
      <c r="G289" s="33"/>
      <c r="H289" s="33" t="s">
        <v>3971</v>
      </c>
      <c r="I289" s="33" t="s">
        <v>16955</v>
      </c>
    </row>
    <row r="290" customFormat="false" ht="74" hidden="false" customHeight="true" outlineLevel="0" collapsed="false">
      <c r="A290" s="32" t="n">
        <v>289</v>
      </c>
      <c r="B290" s="32" t="s">
        <v>16952</v>
      </c>
      <c r="C290" s="32" t="s">
        <v>3997</v>
      </c>
      <c r="D290" s="33" t="s">
        <v>16988</v>
      </c>
      <c r="E290" s="33" t="s">
        <v>16989</v>
      </c>
      <c r="F290" s="33" t="s">
        <v>16385</v>
      </c>
      <c r="G290" s="33" t="s">
        <v>16990</v>
      </c>
      <c r="H290" s="33" t="s">
        <v>3984</v>
      </c>
      <c r="I290" s="33" t="s">
        <v>16955</v>
      </c>
    </row>
    <row r="291" customFormat="false" ht="74" hidden="false" customHeight="true" outlineLevel="0" collapsed="false">
      <c r="A291" s="32" t="n">
        <v>290</v>
      </c>
      <c r="B291" s="32" t="s">
        <v>16991</v>
      </c>
      <c r="C291" s="32" t="s">
        <v>16992</v>
      </c>
      <c r="D291" s="33" t="s">
        <v>4462</v>
      </c>
      <c r="E291" s="33" t="s">
        <v>16993</v>
      </c>
      <c r="F291" s="33" t="s">
        <v>16361</v>
      </c>
      <c r="G291" s="33"/>
      <c r="H291" s="33" t="s">
        <v>4461</v>
      </c>
      <c r="I291" s="33" t="s">
        <v>16994</v>
      </c>
    </row>
    <row r="292" customFormat="false" ht="74" hidden="false" customHeight="true" outlineLevel="0" collapsed="false">
      <c r="A292" s="32" t="n">
        <v>291</v>
      </c>
      <c r="B292" s="32" t="s">
        <v>16991</v>
      </c>
      <c r="C292" s="32" t="s">
        <v>4487</v>
      </c>
      <c r="D292" s="33" t="s">
        <v>4476</v>
      </c>
      <c r="E292" s="33" t="s">
        <v>4481</v>
      </c>
      <c r="F292" s="33" t="s">
        <v>16361</v>
      </c>
      <c r="G292" s="33"/>
      <c r="H292" s="33" t="s">
        <v>4475</v>
      </c>
      <c r="I292" s="33" t="s">
        <v>16994</v>
      </c>
    </row>
    <row r="293" customFormat="false" ht="74" hidden="false" customHeight="true" outlineLevel="0" collapsed="false">
      <c r="A293" s="32" t="n">
        <v>292</v>
      </c>
      <c r="B293" s="32" t="s">
        <v>16991</v>
      </c>
      <c r="C293" s="32" t="s">
        <v>16995</v>
      </c>
      <c r="D293" s="33" t="s">
        <v>4489</v>
      </c>
      <c r="E293" s="33" t="s">
        <v>16996</v>
      </c>
      <c r="F293" s="33" t="s">
        <v>16361</v>
      </c>
      <c r="G293" s="33"/>
      <c r="H293" s="33" t="s">
        <v>4488</v>
      </c>
      <c r="I293" s="33" t="s">
        <v>16994</v>
      </c>
    </row>
    <row r="294" customFormat="false" ht="74" hidden="false" customHeight="true" outlineLevel="0" collapsed="false">
      <c r="A294" s="32" t="n">
        <v>293</v>
      </c>
      <c r="B294" s="32" t="s">
        <v>16991</v>
      </c>
      <c r="C294" s="32" t="s">
        <v>4515</v>
      </c>
      <c r="D294" s="33" t="s">
        <v>4504</v>
      </c>
      <c r="E294" s="33" t="s">
        <v>4509</v>
      </c>
      <c r="F294" s="33" t="s">
        <v>16361</v>
      </c>
      <c r="G294" s="33"/>
      <c r="H294" s="33" t="s">
        <v>4503</v>
      </c>
      <c r="I294" s="33" t="s">
        <v>16994</v>
      </c>
    </row>
    <row r="295" customFormat="false" ht="74" hidden="false" customHeight="true" outlineLevel="0" collapsed="false">
      <c r="A295" s="32" t="n">
        <v>294</v>
      </c>
      <c r="B295" s="32" t="s">
        <v>16991</v>
      </c>
      <c r="C295" s="32" t="s">
        <v>4529</v>
      </c>
      <c r="D295" s="33" t="s">
        <v>4517</v>
      </c>
      <c r="E295" s="33" t="s">
        <v>4522</v>
      </c>
      <c r="F295" s="33" t="s">
        <v>16361</v>
      </c>
      <c r="G295" s="33"/>
      <c r="H295" s="33" t="s">
        <v>4516</v>
      </c>
      <c r="I295" s="33" t="s">
        <v>16994</v>
      </c>
    </row>
    <row r="296" customFormat="false" ht="74" hidden="false" customHeight="true" outlineLevel="0" collapsed="false">
      <c r="A296" s="32" t="n">
        <v>295</v>
      </c>
      <c r="B296" s="32" t="s">
        <v>16991</v>
      </c>
      <c r="C296" s="32" t="s">
        <v>4541</v>
      </c>
      <c r="D296" s="33" t="s">
        <v>4531</v>
      </c>
      <c r="E296" s="33" t="s">
        <v>4536</v>
      </c>
      <c r="F296" s="33" t="s">
        <v>16361</v>
      </c>
      <c r="G296" s="33"/>
      <c r="H296" s="33" t="s">
        <v>4530</v>
      </c>
      <c r="I296" s="33" t="s">
        <v>16994</v>
      </c>
    </row>
    <row r="297" customFormat="false" ht="74" hidden="false" customHeight="true" outlineLevel="0" collapsed="false">
      <c r="A297" s="32" t="n">
        <v>296</v>
      </c>
      <c r="B297" s="32" t="s">
        <v>16991</v>
      </c>
      <c r="C297" s="32" t="s">
        <v>16997</v>
      </c>
      <c r="D297" s="33" t="s">
        <v>4543</v>
      </c>
      <c r="E297" s="33" t="s">
        <v>16998</v>
      </c>
      <c r="F297" s="33" t="s">
        <v>16361</v>
      </c>
      <c r="G297" s="33"/>
      <c r="H297" s="33" t="s">
        <v>4542</v>
      </c>
      <c r="I297" s="33" t="s">
        <v>16994</v>
      </c>
    </row>
    <row r="298" customFormat="false" ht="74" hidden="false" customHeight="true" outlineLevel="0" collapsed="false">
      <c r="A298" s="32" t="n">
        <v>297</v>
      </c>
      <c r="B298" s="32" t="s">
        <v>16991</v>
      </c>
      <c r="C298" s="32" t="s">
        <v>16999</v>
      </c>
      <c r="D298" s="33" t="s">
        <v>4245</v>
      </c>
      <c r="E298" s="33" t="s">
        <v>17000</v>
      </c>
      <c r="F298" s="33" t="s">
        <v>16361</v>
      </c>
      <c r="G298" s="33"/>
      <c r="H298" s="33" t="s">
        <v>4243</v>
      </c>
      <c r="I298" s="33" t="s">
        <v>16994</v>
      </c>
    </row>
    <row r="299" customFormat="false" ht="74" hidden="false" customHeight="true" outlineLevel="0" collapsed="false">
      <c r="A299" s="32" t="n">
        <v>298</v>
      </c>
      <c r="B299" s="32" t="s">
        <v>16991</v>
      </c>
      <c r="C299" s="32" t="s">
        <v>17001</v>
      </c>
      <c r="D299" s="33" t="s">
        <v>4261</v>
      </c>
      <c r="E299" s="33" t="s">
        <v>17002</v>
      </c>
      <c r="F299" s="33" t="s">
        <v>16385</v>
      </c>
      <c r="G299" s="33" t="s">
        <v>17003</v>
      </c>
      <c r="H299" s="33" t="s">
        <v>4260</v>
      </c>
      <c r="I299" s="33" t="s">
        <v>16994</v>
      </c>
    </row>
    <row r="300" customFormat="false" ht="74" hidden="false" customHeight="true" outlineLevel="0" collapsed="false">
      <c r="A300" s="32" t="n">
        <v>299</v>
      </c>
      <c r="B300" s="32" t="s">
        <v>16991</v>
      </c>
      <c r="C300" s="32" t="s">
        <v>17004</v>
      </c>
      <c r="D300" s="33" t="s">
        <v>4277</v>
      </c>
      <c r="E300" s="33" t="s">
        <v>17005</v>
      </c>
      <c r="F300" s="33" t="s">
        <v>16361</v>
      </c>
      <c r="G300" s="33"/>
      <c r="H300" s="33" t="s">
        <v>4276</v>
      </c>
      <c r="I300" s="33" t="s">
        <v>16994</v>
      </c>
    </row>
    <row r="301" customFormat="false" ht="74" hidden="false" customHeight="true" outlineLevel="0" collapsed="false">
      <c r="A301" s="32" t="n">
        <v>300</v>
      </c>
      <c r="B301" s="32" t="s">
        <v>16991</v>
      </c>
      <c r="C301" s="32" t="s">
        <v>4305</v>
      </c>
      <c r="D301" s="33" t="s">
        <v>4293</v>
      </c>
      <c r="E301" s="33" t="s">
        <v>4298</v>
      </c>
      <c r="F301" s="33" t="s">
        <v>16361</v>
      </c>
      <c r="G301" s="33"/>
      <c r="H301" s="33" t="s">
        <v>4292</v>
      </c>
      <c r="I301" s="33" t="s">
        <v>16994</v>
      </c>
    </row>
    <row r="302" customFormat="false" ht="74" hidden="false" customHeight="true" outlineLevel="0" collapsed="false">
      <c r="A302" s="32" t="n">
        <v>301</v>
      </c>
      <c r="B302" s="32" t="s">
        <v>16991</v>
      </c>
      <c r="C302" s="32" t="s">
        <v>17006</v>
      </c>
      <c r="D302" s="33" t="s">
        <v>4307</v>
      </c>
      <c r="E302" s="33" t="s">
        <v>17007</v>
      </c>
      <c r="F302" s="33" t="s">
        <v>16361</v>
      </c>
      <c r="G302" s="33"/>
      <c r="H302" s="33" t="s">
        <v>4306</v>
      </c>
      <c r="I302" s="33" t="s">
        <v>16994</v>
      </c>
    </row>
    <row r="303" customFormat="false" ht="74" hidden="false" customHeight="true" outlineLevel="0" collapsed="false">
      <c r="A303" s="32" t="n">
        <v>302</v>
      </c>
      <c r="B303" s="32" t="s">
        <v>16991</v>
      </c>
      <c r="C303" s="32" t="s">
        <v>4337</v>
      </c>
      <c r="D303" s="33" t="s">
        <v>4324</v>
      </c>
      <c r="E303" s="33" t="s">
        <v>4329</v>
      </c>
      <c r="F303" s="33" t="s">
        <v>16361</v>
      </c>
      <c r="G303" s="33"/>
      <c r="H303" s="33" t="s">
        <v>4323</v>
      </c>
      <c r="I303" s="33" t="s">
        <v>16994</v>
      </c>
    </row>
    <row r="304" customFormat="false" ht="74" hidden="false" customHeight="true" outlineLevel="0" collapsed="false">
      <c r="A304" s="32" t="n">
        <v>303</v>
      </c>
      <c r="B304" s="32" t="s">
        <v>16991</v>
      </c>
      <c r="C304" s="32" t="s">
        <v>4351</v>
      </c>
      <c r="D304" s="33" t="s">
        <v>4340</v>
      </c>
      <c r="E304" s="33" t="s">
        <v>4345</v>
      </c>
      <c r="F304" s="33" t="s">
        <v>16361</v>
      </c>
      <c r="G304" s="33"/>
      <c r="H304" s="33" t="s">
        <v>4339</v>
      </c>
      <c r="I304" s="33" t="s">
        <v>16994</v>
      </c>
    </row>
    <row r="305" customFormat="false" ht="74" hidden="false" customHeight="true" outlineLevel="0" collapsed="false">
      <c r="A305" s="32" t="n">
        <v>304</v>
      </c>
      <c r="B305" s="32" t="s">
        <v>16991</v>
      </c>
      <c r="C305" s="32" t="s">
        <v>17008</v>
      </c>
      <c r="D305" s="33" t="s">
        <v>4354</v>
      </c>
      <c r="E305" s="33" t="s">
        <v>17009</v>
      </c>
      <c r="F305" s="33" t="s">
        <v>16361</v>
      </c>
      <c r="G305" s="33"/>
      <c r="H305" s="33" t="s">
        <v>4353</v>
      </c>
      <c r="I305" s="33" t="s">
        <v>16994</v>
      </c>
    </row>
    <row r="306" customFormat="false" ht="74" hidden="false" customHeight="true" outlineLevel="0" collapsed="false">
      <c r="A306" s="32" t="n">
        <v>305</v>
      </c>
      <c r="B306" s="32" t="s">
        <v>16991</v>
      </c>
      <c r="C306" s="32" t="s">
        <v>17010</v>
      </c>
      <c r="D306" s="33" t="s">
        <v>4369</v>
      </c>
      <c r="E306" s="33" t="s">
        <v>17011</v>
      </c>
      <c r="F306" s="33" t="s">
        <v>16361</v>
      </c>
      <c r="G306" s="33"/>
      <c r="H306" s="33" t="s">
        <v>4368</v>
      </c>
      <c r="I306" s="33" t="s">
        <v>16994</v>
      </c>
    </row>
    <row r="307" customFormat="false" ht="74" hidden="false" customHeight="true" outlineLevel="0" collapsed="false">
      <c r="A307" s="32" t="n">
        <v>306</v>
      </c>
      <c r="B307" s="32" t="s">
        <v>16991</v>
      </c>
      <c r="C307" s="32" t="s">
        <v>17012</v>
      </c>
      <c r="D307" s="33" t="s">
        <v>4384</v>
      </c>
      <c r="E307" s="33" t="s">
        <v>17013</v>
      </c>
      <c r="F307" s="33" t="s">
        <v>16361</v>
      </c>
      <c r="G307" s="33"/>
      <c r="H307" s="33" t="s">
        <v>4383</v>
      </c>
      <c r="I307" s="33" t="s">
        <v>16994</v>
      </c>
    </row>
    <row r="308" customFormat="false" ht="74" hidden="false" customHeight="true" outlineLevel="0" collapsed="false">
      <c r="A308" s="32" t="n">
        <v>307</v>
      </c>
      <c r="B308" s="32" t="s">
        <v>16991</v>
      </c>
      <c r="C308" s="32" t="s">
        <v>4407</v>
      </c>
      <c r="D308" s="33" t="s">
        <v>4397</v>
      </c>
      <c r="E308" s="33" t="s">
        <v>17014</v>
      </c>
      <c r="F308" s="33" t="s">
        <v>16385</v>
      </c>
      <c r="G308" s="33" t="s">
        <v>17015</v>
      </c>
      <c r="H308" s="33" t="s">
        <v>4396</v>
      </c>
      <c r="I308" s="33" t="s">
        <v>16994</v>
      </c>
    </row>
    <row r="309" customFormat="false" ht="74" hidden="false" customHeight="true" outlineLevel="0" collapsed="false">
      <c r="A309" s="32" t="n">
        <v>308</v>
      </c>
      <c r="B309" s="32" t="s">
        <v>16991</v>
      </c>
      <c r="C309" s="32" t="s">
        <v>4420</v>
      </c>
      <c r="D309" s="33" t="s">
        <v>4410</v>
      </c>
      <c r="E309" s="33" t="s">
        <v>17016</v>
      </c>
      <c r="F309" s="33" t="s">
        <v>16385</v>
      </c>
      <c r="G309" s="33" t="s">
        <v>17017</v>
      </c>
      <c r="H309" s="33" t="s">
        <v>4409</v>
      </c>
      <c r="I309" s="33" t="s">
        <v>16994</v>
      </c>
    </row>
    <row r="310" customFormat="false" ht="74" hidden="false" customHeight="true" outlineLevel="0" collapsed="false">
      <c r="A310" s="32" t="n">
        <v>309</v>
      </c>
      <c r="B310" s="32" t="s">
        <v>16991</v>
      </c>
      <c r="C310" s="32" t="s">
        <v>4429</v>
      </c>
      <c r="D310" s="33" t="s">
        <v>4423</v>
      </c>
      <c r="E310" s="33" t="s">
        <v>4426</v>
      </c>
      <c r="F310" s="33" t="s">
        <v>16361</v>
      </c>
      <c r="G310" s="33"/>
      <c r="H310" s="33" t="s">
        <v>4422</v>
      </c>
      <c r="I310" s="33" t="s">
        <v>16994</v>
      </c>
    </row>
    <row r="311" customFormat="false" ht="74" hidden="false" customHeight="true" outlineLevel="0" collapsed="false">
      <c r="A311" s="32" t="n">
        <v>310</v>
      </c>
      <c r="B311" s="32" t="s">
        <v>16991</v>
      </c>
      <c r="C311" s="32" t="s">
        <v>4444</v>
      </c>
      <c r="D311" s="33" t="s">
        <v>4432</v>
      </c>
      <c r="E311" s="33" t="s">
        <v>4437</v>
      </c>
      <c r="F311" s="33" t="s">
        <v>16361</v>
      </c>
      <c r="G311" s="33"/>
      <c r="H311" s="33" t="s">
        <v>4431</v>
      </c>
      <c r="I311" s="33" t="s">
        <v>16994</v>
      </c>
    </row>
    <row r="312" customFormat="false" ht="74" hidden="false" customHeight="true" outlineLevel="0" collapsed="false">
      <c r="A312" s="32" t="n">
        <v>311</v>
      </c>
      <c r="B312" s="32" t="s">
        <v>16991</v>
      </c>
      <c r="C312" s="32" t="s">
        <v>17018</v>
      </c>
      <c r="D312" s="33" t="s">
        <v>4447</v>
      </c>
      <c r="E312" s="33" t="s">
        <v>17019</v>
      </c>
      <c r="F312" s="33" t="s">
        <v>16361</v>
      </c>
      <c r="G312" s="33"/>
      <c r="H312" s="33" t="s">
        <v>4446</v>
      </c>
      <c r="I312" s="33" t="s">
        <v>16994</v>
      </c>
    </row>
    <row r="313" customFormat="false" ht="74" hidden="false" customHeight="true" outlineLevel="0" collapsed="false">
      <c r="A313" s="32" t="n">
        <v>312</v>
      </c>
      <c r="B313" s="32" t="s">
        <v>16991</v>
      </c>
      <c r="C313" s="32" t="s">
        <v>4571</v>
      </c>
      <c r="D313" s="33" t="s">
        <v>4559</v>
      </c>
      <c r="E313" s="33" t="s">
        <v>17020</v>
      </c>
      <c r="F313" s="33" t="s">
        <v>16385</v>
      </c>
      <c r="G313" s="33" t="s">
        <v>17021</v>
      </c>
      <c r="H313" s="33" t="s">
        <v>4558</v>
      </c>
      <c r="I313" s="33" t="s">
        <v>16994</v>
      </c>
    </row>
    <row r="314" customFormat="false" ht="74" hidden="false" customHeight="true" outlineLevel="0" collapsed="false">
      <c r="A314" s="32" t="n">
        <v>313</v>
      </c>
      <c r="B314" s="32" t="s">
        <v>16991</v>
      </c>
      <c r="C314" s="32" t="s">
        <v>4584</v>
      </c>
      <c r="D314" s="33" t="s">
        <v>4573</v>
      </c>
      <c r="E314" s="33" t="s">
        <v>4578</v>
      </c>
      <c r="F314" s="33" t="s">
        <v>16361</v>
      </c>
      <c r="G314" s="33"/>
      <c r="H314" s="33" t="s">
        <v>4572</v>
      </c>
      <c r="I314" s="33" t="s">
        <v>16994</v>
      </c>
    </row>
    <row r="315" customFormat="false" ht="74" hidden="false" customHeight="true" outlineLevel="0" collapsed="false">
      <c r="A315" s="32" t="n">
        <v>314</v>
      </c>
      <c r="B315" s="32" t="s">
        <v>16991</v>
      </c>
      <c r="C315" s="32" t="s">
        <v>4601</v>
      </c>
      <c r="D315" s="33" t="s">
        <v>4587</v>
      </c>
      <c r="E315" s="33" t="s">
        <v>17022</v>
      </c>
      <c r="F315" s="33" t="s">
        <v>16385</v>
      </c>
      <c r="G315" s="33" t="s">
        <v>17023</v>
      </c>
      <c r="H315" s="33" t="s">
        <v>4586</v>
      </c>
      <c r="I315" s="33" t="s">
        <v>16994</v>
      </c>
    </row>
    <row r="316" customFormat="false" ht="74" hidden="false" customHeight="true" outlineLevel="0" collapsed="false">
      <c r="A316" s="32" t="n">
        <v>315</v>
      </c>
      <c r="B316" s="32" t="s">
        <v>16991</v>
      </c>
      <c r="C316" s="32" t="s">
        <v>4613</v>
      </c>
      <c r="D316" s="33" t="s">
        <v>4603</v>
      </c>
      <c r="E316" s="33" t="s">
        <v>17024</v>
      </c>
      <c r="F316" s="33" t="s">
        <v>16385</v>
      </c>
      <c r="G316" s="33" t="s">
        <v>17023</v>
      </c>
      <c r="H316" s="33" t="s">
        <v>4602</v>
      </c>
      <c r="I316" s="33" t="s">
        <v>16994</v>
      </c>
    </row>
    <row r="317" customFormat="false" ht="74" hidden="false" customHeight="true" outlineLevel="0" collapsed="false">
      <c r="A317" s="32" t="n">
        <v>316</v>
      </c>
      <c r="B317" s="32" t="s">
        <v>16991</v>
      </c>
      <c r="C317" s="32" t="s">
        <v>17025</v>
      </c>
      <c r="D317" s="33" t="s">
        <v>4616</v>
      </c>
      <c r="E317" s="33" t="s">
        <v>17026</v>
      </c>
      <c r="F317" s="33" t="s">
        <v>16361</v>
      </c>
      <c r="G317" s="33"/>
      <c r="H317" s="33" t="s">
        <v>4615</v>
      </c>
      <c r="I317" s="33" t="s">
        <v>16994</v>
      </c>
    </row>
    <row r="318" customFormat="false" ht="74" hidden="false" customHeight="true" outlineLevel="0" collapsed="false">
      <c r="A318" s="32" t="n">
        <v>317</v>
      </c>
      <c r="B318" s="32" t="s">
        <v>16991</v>
      </c>
      <c r="C318" s="32" t="s">
        <v>17027</v>
      </c>
      <c r="D318" s="33" t="s">
        <v>4631</v>
      </c>
      <c r="E318" s="33" t="s">
        <v>17028</v>
      </c>
      <c r="F318" s="33" t="s">
        <v>16361</v>
      </c>
      <c r="G318" s="33"/>
      <c r="H318" s="33" t="s">
        <v>4630</v>
      </c>
      <c r="I318" s="33" t="s">
        <v>16994</v>
      </c>
    </row>
    <row r="319" customFormat="false" ht="74" hidden="false" customHeight="true" outlineLevel="0" collapsed="false">
      <c r="A319" s="32" t="n">
        <v>318</v>
      </c>
      <c r="B319" s="32" t="s">
        <v>16991</v>
      </c>
      <c r="C319" s="32" t="s">
        <v>4658</v>
      </c>
      <c r="D319" s="33" t="s">
        <v>4649</v>
      </c>
      <c r="E319" s="33" t="s">
        <v>17029</v>
      </c>
      <c r="F319" s="33" t="s">
        <v>16385</v>
      </c>
      <c r="G319" s="33" t="s">
        <v>17030</v>
      </c>
      <c r="H319" s="33" t="s">
        <v>4648</v>
      </c>
      <c r="I319" s="33" t="s">
        <v>16994</v>
      </c>
    </row>
    <row r="320" customFormat="false" ht="74" hidden="false" customHeight="true" outlineLevel="0" collapsed="false">
      <c r="A320" s="32" t="n">
        <v>319</v>
      </c>
      <c r="B320" s="32" t="s">
        <v>16991</v>
      </c>
      <c r="C320" s="32" t="s">
        <v>4672</v>
      </c>
      <c r="D320" s="33" t="s">
        <v>4660</v>
      </c>
      <c r="E320" s="33" t="s">
        <v>17031</v>
      </c>
      <c r="F320" s="33" t="s">
        <v>16385</v>
      </c>
      <c r="G320" s="33" t="s">
        <v>17032</v>
      </c>
      <c r="H320" s="33" t="s">
        <v>4659</v>
      </c>
      <c r="I320" s="33" t="s">
        <v>16994</v>
      </c>
    </row>
    <row r="321" customFormat="false" ht="74" hidden="false" customHeight="true" outlineLevel="0" collapsed="false">
      <c r="A321" s="32" t="n">
        <v>320</v>
      </c>
      <c r="B321" s="32" t="s">
        <v>16991</v>
      </c>
      <c r="C321" s="32" t="s">
        <v>4686</v>
      </c>
      <c r="D321" s="33" t="s">
        <v>4674</v>
      </c>
      <c r="E321" s="33" t="s">
        <v>4679</v>
      </c>
      <c r="F321" s="33" t="s">
        <v>16361</v>
      </c>
      <c r="G321" s="33"/>
      <c r="H321" s="33" t="s">
        <v>4673</v>
      </c>
      <c r="I321" s="33" t="s">
        <v>16994</v>
      </c>
    </row>
    <row r="322" customFormat="false" ht="74" hidden="false" customHeight="true" outlineLevel="0" collapsed="false">
      <c r="A322" s="32" t="n">
        <v>321</v>
      </c>
      <c r="B322" s="32" t="s">
        <v>16991</v>
      </c>
      <c r="C322" s="32" t="s">
        <v>17033</v>
      </c>
      <c r="D322" s="33" t="s">
        <v>4688</v>
      </c>
      <c r="E322" s="33" t="s">
        <v>17034</v>
      </c>
      <c r="F322" s="33" t="s">
        <v>16361</v>
      </c>
      <c r="G322" s="33"/>
      <c r="H322" s="33" t="s">
        <v>4687</v>
      </c>
      <c r="I322" s="33" t="s">
        <v>16994</v>
      </c>
    </row>
    <row r="323" customFormat="false" ht="74" hidden="false" customHeight="true" outlineLevel="0" collapsed="false">
      <c r="A323" s="32" t="n">
        <v>322</v>
      </c>
      <c r="B323" s="32" t="s">
        <v>16991</v>
      </c>
      <c r="C323" s="32" t="s">
        <v>17035</v>
      </c>
      <c r="D323" s="33" t="s">
        <v>4704</v>
      </c>
      <c r="E323" s="33" t="s">
        <v>17036</v>
      </c>
      <c r="F323" s="33" t="s">
        <v>16361</v>
      </c>
      <c r="G323" s="33"/>
      <c r="H323" s="33" t="s">
        <v>4703</v>
      </c>
      <c r="I323" s="33" t="s">
        <v>16994</v>
      </c>
    </row>
    <row r="324" customFormat="false" ht="74" hidden="false" customHeight="true" outlineLevel="0" collapsed="false">
      <c r="A324" s="32" t="n">
        <v>323</v>
      </c>
      <c r="B324" s="32" t="s">
        <v>16991</v>
      </c>
      <c r="C324" s="32" t="s">
        <v>17037</v>
      </c>
      <c r="D324" s="33" t="s">
        <v>4718</v>
      </c>
      <c r="E324" s="33" t="s">
        <v>17038</v>
      </c>
      <c r="F324" s="33" t="s">
        <v>16361</v>
      </c>
      <c r="G324" s="33"/>
      <c r="H324" s="33" t="s">
        <v>4717</v>
      </c>
      <c r="I324" s="33" t="s">
        <v>16994</v>
      </c>
    </row>
    <row r="325" customFormat="false" ht="74" hidden="false" customHeight="true" outlineLevel="0" collapsed="false">
      <c r="A325" s="32" t="n">
        <v>324</v>
      </c>
      <c r="B325" s="32" t="s">
        <v>16991</v>
      </c>
      <c r="C325" s="32" t="s">
        <v>17039</v>
      </c>
      <c r="D325" s="33" t="s">
        <v>4733</v>
      </c>
      <c r="E325" s="33" t="s">
        <v>17040</v>
      </c>
      <c r="F325" s="33" t="s">
        <v>16361</v>
      </c>
      <c r="G325" s="33"/>
      <c r="H325" s="33" t="s">
        <v>4732</v>
      </c>
      <c r="I325" s="33" t="s">
        <v>16994</v>
      </c>
    </row>
    <row r="326" customFormat="false" ht="74" hidden="false" customHeight="true" outlineLevel="0" collapsed="false">
      <c r="A326" s="32" t="n">
        <v>325</v>
      </c>
      <c r="B326" s="32" t="s">
        <v>16991</v>
      </c>
      <c r="C326" s="32" t="s">
        <v>17041</v>
      </c>
      <c r="D326" s="33" t="s">
        <v>4746</v>
      </c>
      <c r="E326" s="33" t="s">
        <v>17042</v>
      </c>
      <c r="F326" s="33" t="s">
        <v>16361</v>
      </c>
      <c r="G326" s="33"/>
      <c r="H326" s="33" t="s">
        <v>4745</v>
      </c>
      <c r="I326" s="33" t="s">
        <v>16994</v>
      </c>
    </row>
    <row r="327" customFormat="false" ht="74" hidden="false" customHeight="true" outlineLevel="0" collapsed="false">
      <c r="A327" s="32" t="n">
        <v>326</v>
      </c>
      <c r="B327" s="32" t="s">
        <v>16991</v>
      </c>
      <c r="C327" s="32" t="s">
        <v>4771</v>
      </c>
      <c r="D327" s="33" t="s">
        <v>4760</v>
      </c>
      <c r="E327" s="33" t="s">
        <v>4765</v>
      </c>
      <c r="F327" s="33" t="s">
        <v>16361</v>
      </c>
      <c r="G327" s="33"/>
      <c r="H327" s="33" t="s">
        <v>4759</v>
      </c>
      <c r="I327" s="33" t="s">
        <v>16994</v>
      </c>
    </row>
    <row r="328" customFormat="false" ht="74" hidden="false" customHeight="true" outlineLevel="0" collapsed="false">
      <c r="A328" s="32" t="n">
        <v>327</v>
      </c>
      <c r="B328" s="32" t="s">
        <v>16991</v>
      </c>
      <c r="C328" s="32" t="s">
        <v>4785</v>
      </c>
      <c r="D328" s="33" t="s">
        <v>4774</v>
      </c>
      <c r="E328" s="33" t="s">
        <v>4779</v>
      </c>
      <c r="F328" s="33" t="s">
        <v>16361</v>
      </c>
      <c r="G328" s="33"/>
      <c r="H328" s="33" t="s">
        <v>4773</v>
      </c>
      <c r="I328" s="33" t="s">
        <v>16994</v>
      </c>
    </row>
    <row r="329" customFormat="false" ht="74" hidden="false" customHeight="true" outlineLevel="0" collapsed="false">
      <c r="A329" s="32" t="n">
        <v>328</v>
      </c>
      <c r="B329" s="32" t="s">
        <v>16991</v>
      </c>
      <c r="C329" s="32" t="s">
        <v>17043</v>
      </c>
      <c r="D329" s="33" t="s">
        <v>4787</v>
      </c>
      <c r="E329" s="33" t="s">
        <v>17044</v>
      </c>
      <c r="F329" s="33" t="s">
        <v>16361</v>
      </c>
      <c r="G329" s="33"/>
      <c r="H329" s="33" t="s">
        <v>4786</v>
      </c>
      <c r="I329" s="33" t="s">
        <v>16994</v>
      </c>
    </row>
    <row r="330" customFormat="false" ht="74" hidden="false" customHeight="true" outlineLevel="0" collapsed="false">
      <c r="A330" s="32" t="n">
        <v>329</v>
      </c>
      <c r="B330" s="32" t="s">
        <v>16991</v>
      </c>
      <c r="C330" s="32" t="s">
        <v>17045</v>
      </c>
      <c r="D330" s="33" t="s">
        <v>4800</v>
      </c>
      <c r="E330" s="33" t="s">
        <v>17046</v>
      </c>
      <c r="F330" s="33" t="s">
        <v>16361</v>
      </c>
      <c r="G330" s="33"/>
      <c r="H330" s="33" t="s">
        <v>4799</v>
      </c>
      <c r="I330" s="33" t="s">
        <v>16994</v>
      </c>
    </row>
    <row r="331" customFormat="false" ht="74" hidden="false" customHeight="true" outlineLevel="0" collapsed="false">
      <c r="A331" s="32" t="n">
        <v>330</v>
      </c>
      <c r="B331" s="32" t="s">
        <v>16991</v>
      </c>
      <c r="C331" s="32" t="s">
        <v>4828</v>
      </c>
      <c r="D331" s="33" t="s">
        <v>4815</v>
      </c>
      <c r="E331" s="33" t="s">
        <v>4820</v>
      </c>
      <c r="F331" s="33" t="s">
        <v>16361</v>
      </c>
      <c r="G331" s="33"/>
      <c r="H331" s="33" t="s">
        <v>4814</v>
      </c>
      <c r="I331" s="33" t="s">
        <v>16994</v>
      </c>
    </row>
    <row r="332" customFormat="false" ht="74" hidden="false" customHeight="true" outlineLevel="0" collapsed="false">
      <c r="A332" s="32" t="n">
        <v>331</v>
      </c>
      <c r="B332" s="32" t="s">
        <v>16991</v>
      </c>
      <c r="C332" s="32" t="s">
        <v>4843</v>
      </c>
      <c r="D332" s="33" t="s">
        <v>4830</v>
      </c>
      <c r="E332" s="33" t="s">
        <v>17047</v>
      </c>
      <c r="F332" s="33" t="s">
        <v>16385</v>
      </c>
      <c r="G332" s="33" t="s">
        <v>17048</v>
      </c>
      <c r="H332" s="33" t="s">
        <v>4829</v>
      </c>
      <c r="I332" s="33" t="s">
        <v>16994</v>
      </c>
    </row>
    <row r="333" customFormat="false" ht="74" hidden="false" customHeight="true" outlineLevel="0" collapsed="false">
      <c r="A333" s="32" t="n">
        <v>332</v>
      </c>
      <c r="B333" s="32" t="s">
        <v>16991</v>
      </c>
      <c r="C333" s="32" t="s">
        <v>17049</v>
      </c>
      <c r="D333" s="33" t="s">
        <v>17050</v>
      </c>
      <c r="E333" s="33" t="s">
        <v>17051</v>
      </c>
      <c r="F333" s="33" t="s">
        <v>16361</v>
      </c>
      <c r="G333" s="33"/>
      <c r="H333" s="33" t="s">
        <v>4844</v>
      </c>
      <c r="I333" s="33" t="s">
        <v>16994</v>
      </c>
    </row>
    <row r="334" customFormat="false" ht="74" hidden="false" customHeight="true" outlineLevel="0" collapsed="false">
      <c r="A334" s="32" t="n">
        <v>333</v>
      </c>
      <c r="B334" s="32" t="s">
        <v>16991</v>
      </c>
      <c r="C334" s="32" t="s">
        <v>4025</v>
      </c>
      <c r="D334" s="33" t="s">
        <v>17052</v>
      </c>
      <c r="E334" s="33" t="s">
        <v>17053</v>
      </c>
      <c r="F334" s="33" t="s">
        <v>16361</v>
      </c>
      <c r="G334" s="33"/>
      <c r="H334" s="33" t="s">
        <v>4013</v>
      </c>
      <c r="I334" s="33" t="s">
        <v>16994</v>
      </c>
    </row>
    <row r="335" customFormat="false" ht="74" hidden="false" customHeight="true" outlineLevel="0" collapsed="false">
      <c r="A335" s="32" t="n">
        <v>334</v>
      </c>
      <c r="B335" s="32" t="s">
        <v>16991</v>
      </c>
      <c r="C335" s="32" t="s">
        <v>4164</v>
      </c>
      <c r="D335" s="33" t="s">
        <v>17054</v>
      </c>
      <c r="E335" s="33" t="s">
        <v>17055</v>
      </c>
      <c r="F335" s="33" t="s">
        <v>16385</v>
      </c>
      <c r="G335" s="33" t="s">
        <v>17056</v>
      </c>
      <c r="H335" s="33" t="s">
        <v>4153</v>
      </c>
      <c r="I335" s="33" t="s">
        <v>16994</v>
      </c>
    </row>
    <row r="336" customFormat="false" ht="74" hidden="false" customHeight="true" outlineLevel="0" collapsed="false">
      <c r="A336" s="32" t="n">
        <v>335</v>
      </c>
      <c r="B336" s="32" t="s">
        <v>16991</v>
      </c>
      <c r="C336" s="32" t="s">
        <v>3692</v>
      </c>
      <c r="D336" s="33" t="s">
        <v>17057</v>
      </c>
      <c r="E336" s="33" t="s">
        <v>17058</v>
      </c>
      <c r="F336" s="33" t="s">
        <v>16361</v>
      </c>
      <c r="G336" s="33"/>
      <c r="H336" s="33" t="s">
        <v>3678</v>
      </c>
      <c r="I336" s="33" t="s">
        <v>16994</v>
      </c>
    </row>
    <row r="337" customFormat="false" ht="74" hidden="false" customHeight="true" outlineLevel="0" collapsed="false">
      <c r="A337" s="32" t="n">
        <v>336</v>
      </c>
      <c r="B337" s="32" t="s">
        <v>16991</v>
      </c>
      <c r="C337" s="32" t="s">
        <v>3741</v>
      </c>
      <c r="D337" s="33" t="s">
        <v>17059</v>
      </c>
      <c r="E337" s="33" t="s">
        <v>17060</v>
      </c>
      <c r="F337" s="33" t="s">
        <v>16361</v>
      </c>
      <c r="G337" s="33"/>
      <c r="H337" s="33" t="s">
        <v>3729</v>
      </c>
      <c r="I337" s="33" t="s">
        <v>16994</v>
      </c>
    </row>
    <row r="338" customFormat="false" ht="74" hidden="false" customHeight="true" outlineLevel="0" collapsed="false">
      <c r="A338" s="32" t="n">
        <v>337</v>
      </c>
      <c r="B338" s="32" t="s">
        <v>16991</v>
      </c>
      <c r="C338" s="32" t="s">
        <v>3757</v>
      </c>
      <c r="D338" s="33" t="s">
        <v>17061</v>
      </c>
      <c r="E338" s="33" t="s">
        <v>17062</v>
      </c>
      <c r="F338" s="33" t="s">
        <v>16361</v>
      </c>
      <c r="G338" s="33"/>
      <c r="H338" s="33" t="s">
        <v>3743</v>
      </c>
      <c r="I338" s="33" t="s">
        <v>16994</v>
      </c>
    </row>
    <row r="339" customFormat="false" ht="74" hidden="false" customHeight="true" outlineLevel="0" collapsed="false">
      <c r="A339" s="32" t="n">
        <v>338</v>
      </c>
      <c r="B339" s="32" t="s">
        <v>16991</v>
      </c>
      <c r="C339" s="32" t="s">
        <v>3773</v>
      </c>
      <c r="D339" s="33" t="s">
        <v>17063</v>
      </c>
      <c r="E339" s="33" t="s">
        <v>17064</v>
      </c>
      <c r="F339" s="33" t="s">
        <v>16361</v>
      </c>
      <c r="G339" s="33"/>
      <c r="H339" s="33" t="s">
        <v>3758</v>
      </c>
      <c r="I339" s="33" t="s">
        <v>16994</v>
      </c>
    </row>
    <row r="340" customFormat="false" ht="74" hidden="false" customHeight="true" outlineLevel="0" collapsed="false">
      <c r="A340" s="32" t="n">
        <v>339</v>
      </c>
      <c r="B340" s="32" t="s">
        <v>16991</v>
      </c>
      <c r="C340" s="32" t="s">
        <v>3803</v>
      </c>
      <c r="D340" s="33" t="s">
        <v>17065</v>
      </c>
      <c r="E340" s="33" t="s">
        <v>17066</v>
      </c>
      <c r="F340" s="33" t="s">
        <v>16361</v>
      </c>
      <c r="G340" s="33"/>
      <c r="H340" s="33" t="s">
        <v>3789</v>
      </c>
      <c r="I340" s="33" t="s">
        <v>16994</v>
      </c>
    </row>
    <row r="341" customFormat="false" ht="74" hidden="false" customHeight="true" outlineLevel="0" collapsed="false">
      <c r="A341" s="32" t="n">
        <v>340</v>
      </c>
      <c r="B341" s="32" t="s">
        <v>16991</v>
      </c>
      <c r="C341" s="32" t="s">
        <v>3860</v>
      </c>
      <c r="D341" s="33" t="s">
        <v>17067</v>
      </c>
      <c r="E341" s="33" t="s">
        <v>17068</v>
      </c>
      <c r="F341" s="33" t="s">
        <v>16361</v>
      </c>
      <c r="G341" s="33"/>
      <c r="H341" s="33" t="s">
        <v>3846</v>
      </c>
      <c r="I341" s="33" t="s">
        <v>16994</v>
      </c>
    </row>
    <row r="342" customFormat="false" ht="74" hidden="false" customHeight="true" outlineLevel="0" collapsed="false">
      <c r="A342" s="32" t="n">
        <v>341</v>
      </c>
      <c r="B342" s="32" t="s">
        <v>16991</v>
      </c>
      <c r="C342" s="32" t="s">
        <v>3922</v>
      </c>
      <c r="D342" s="33" t="s">
        <v>17069</v>
      </c>
      <c r="E342" s="33" t="s">
        <v>17070</v>
      </c>
      <c r="F342" s="33" t="s">
        <v>16361</v>
      </c>
      <c r="G342" s="33"/>
      <c r="H342" s="33" t="s">
        <v>3911</v>
      </c>
      <c r="I342" s="33" t="s">
        <v>16994</v>
      </c>
    </row>
    <row r="343" customFormat="false" ht="74" hidden="false" customHeight="true" outlineLevel="0" collapsed="false">
      <c r="A343" s="32" t="n">
        <v>342</v>
      </c>
      <c r="B343" s="32" t="s">
        <v>16991</v>
      </c>
      <c r="C343" s="32" t="s">
        <v>3997</v>
      </c>
      <c r="D343" s="33" t="s">
        <v>17071</v>
      </c>
      <c r="E343" s="33" t="s">
        <v>17072</v>
      </c>
      <c r="F343" s="33" t="s">
        <v>16361</v>
      </c>
      <c r="G343" s="33"/>
      <c r="H343" s="33" t="s">
        <v>3984</v>
      </c>
      <c r="I343" s="33" t="s">
        <v>16994</v>
      </c>
    </row>
    <row r="344" customFormat="false" ht="74" hidden="false" customHeight="true" outlineLevel="0" collapsed="false">
      <c r="A344" s="32" t="n">
        <v>343</v>
      </c>
      <c r="B344" s="32" t="s">
        <v>17073</v>
      </c>
      <c r="C344" s="32" t="s">
        <v>5005</v>
      </c>
      <c r="D344" s="33" t="s">
        <v>4991</v>
      </c>
      <c r="E344" s="33" t="s">
        <v>4996</v>
      </c>
      <c r="F344" s="33" t="s">
        <v>16361</v>
      </c>
      <c r="G344" s="33"/>
      <c r="H344" s="33" t="s">
        <v>4990</v>
      </c>
      <c r="I344" s="33" t="s">
        <v>17074</v>
      </c>
    </row>
    <row r="345" customFormat="false" ht="74" hidden="false" customHeight="true" outlineLevel="0" collapsed="false">
      <c r="A345" s="32" t="n">
        <v>344</v>
      </c>
      <c r="B345" s="32" t="s">
        <v>17073</v>
      </c>
      <c r="C345" s="32" t="s">
        <v>5017</v>
      </c>
      <c r="D345" s="33" t="s">
        <v>5007</v>
      </c>
      <c r="E345" s="33" t="s">
        <v>17075</v>
      </c>
      <c r="F345" s="33" t="s">
        <v>16385</v>
      </c>
      <c r="G345" s="33" t="s">
        <v>17076</v>
      </c>
      <c r="H345" s="33" t="s">
        <v>17077</v>
      </c>
      <c r="I345" s="33" t="s">
        <v>17074</v>
      </c>
    </row>
    <row r="346" customFormat="false" ht="74" hidden="false" customHeight="true" outlineLevel="0" collapsed="false">
      <c r="A346" s="32" t="n">
        <v>345</v>
      </c>
      <c r="B346" s="32" t="s">
        <v>17073</v>
      </c>
      <c r="C346" s="32" t="s">
        <v>4887</v>
      </c>
      <c r="D346" s="33" t="s">
        <v>4876</v>
      </c>
      <c r="E346" s="33" t="s">
        <v>4881</v>
      </c>
      <c r="F346" s="33" t="s">
        <v>16361</v>
      </c>
      <c r="G346" s="33"/>
      <c r="H346" s="33" t="s">
        <v>4875</v>
      </c>
      <c r="I346" s="33" t="s">
        <v>17074</v>
      </c>
    </row>
    <row r="347" customFormat="false" ht="74" hidden="false" customHeight="true" outlineLevel="0" collapsed="false">
      <c r="A347" s="32" t="n">
        <v>346</v>
      </c>
      <c r="B347" s="32" t="s">
        <v>17073</v>
      </c>
      <c r="C347" s="32" t="s">
        <v>4899</v>
      </c>
      <c r="D347" s="33" t="s">
        <v>4889</v>
      </c>
      <c r="E347" s="33" t="s">
        <v>17078</v>
      </c>
      <c r="F347" s="33" t="s">
        <v>16361</v>
      </c>
      <c r="G347" s="33"/>
      <c r="H347" s="33" t="s">
        <v>4888</v>
      </c>
      <c r="I347" s="33" t="s">
        <v>17074</v>
      </c>
    </row>
    <row r="348" customFormat="false" ht="74" hidden="false" customHeight="true" outlineLevel="0" collapsed="false">
      <c r="A348" s="32" t="n">
        <v>347</v>
      </c>
      <c r="B348" s="32" t="s">
        <v>17073</v>
      </c>
      <c r="C348" s="32" t="s">
        <v>4914</v>
      </c>
      <c r="D348" s="33" t="s">
        <v>4902</v>
      </c>
      <c r="E348" s="33" t="s">
        <v>17079</v>
      </c>
      <c r="F348" s="33" t="s">
        <v>16361</v>
      </c>
      <c r="G348" s="33"/>
      <c r="H348" s="33" t="s">
        <v>4901</v>
      </c>
      <c r="I348" s="33" t="s">
        <v>17074</v>
      </c>
    </row>
    <row r="349" customFormat="false" ht="74" hidden="false" customHeight="true" outlineLevel="0" collapsed="false">
      <c r="A349" s="32" t="n">
        <v>348</v>
      </c>
      <c r="B349" s="32" t="s">
        <v>17073</v>
      </c>
      <c r="C349" s="32" t="s">
        <v>4928</v>
      </c>
      <c r="D349" s="33" t="s">
        <v>4917</v>
      </c>
      <c r="E349" s="33" t="s">
        <v>4922</v>
      </c>
      <c r="F349" s="33" t="s">
        <v>16361</v>
      </c>
      <c r="G349" s="33"/>
      <c r="H349" s="33" t="s">
        <v>4916</v>
      </c>
      <c r="I349" s="33" t="s">
        <v>17074</v>
      </c>
    </row>
    <row r="350" customFormat="false" ht="74" hidden="false" customHeight="true" outlineLevel="0" collapsed="false">
      <c r="A350" s="32" t="n">
        <v>349</v>
      </c>
      <c r="B350" s="32" t="s">
        <v>17073</v>
      </c>
      <c r="C350" s="32" t="s">
        <v>4943</v>
      </c>
      <c r="D350" s="33" t="s">
        <v>4930</v>
      </c>
      <c r="E350" s="33" t="s">
        <v>4935</v>
      </c>
      <c r="F350" s="33" t="s">
        <v>16361</v>
      </c>
      <c r="G350" s="33"/>
      <c r="H350" s="33" t="s">
        <v>4929</v>
      </c>
      <c r="I350" s="33" t="s">
        <v>17074</v>
      </c>
    </row>
    <row r="351" customFormat="false" ht="74" hidden="false" customHeight="true" outlineLevel="0" collapsed="false">
      <c r="A351" s="32" t="n">
        <v>350</v>
      </c>
      <c r="B351" s="32" t="s">
        <v>17073</v>
      </c>
      <c r="C351" s="32" t="s">
        <v>4953</v>
      </c>
      <c r="D351" s="33" t="s">
        <v>4945</v>
      </c>
      <c r="E351" s="33" t="s">
        <v>4949</v>
      </c>
      <c r="F351" s="33" t="s">
        <v>16361</v>
      </c>
      <c r="G351" s="33"/>
      <c r="H351" s="33" t="s">
        <v>4944</v>
      </c>
      <c r="I351" s="33" t="s">
        <v>17074</v>
      </c>
    </row>
    <row r="352" customFormat="false" ht="74" hidden="false" customHeight="true" outlineLevel="0" collapsed="false">
      <c r="A352" s="32" t="n">
        <v>351</v>
      </c>
      <c r="B352" s="32" t="s">
        <v>17073</v>
      </c>
      <c r="C352" s="32" t="s">
        <v>4964</v>
      </c>
      <c r="D352" s="33" t="s">
        <v>4955</v>
      </c>
      <c r="E352" s="33" t="s">
        <v>4959</v>
      </c>
      <c r="F352" s="33" t="s">
        <v>16361</v>
      </c>
      <c r="G352" s="33"/>
      <c r="H352" s="33" t="s">
        <v>4954</v>
      </c>
      <c r="I352" s="33" t="s">
        <v>17074</v>
      </c>
    </row>
    <row r="353" customFormat="false" ht="74" hidden="false" customHeight="true" outlineLevel="0" collapsed="false">
      <c r="A353" s="32" t="n">
        <v>352</v>
      </c>
      <c r="B353" s="32" t="s">
        <v>17073</v>
      </c>
      <c r="C353" s="32" t="s">
        <v>4977</v>
      </c>
      <c r="D353" s="33" t="s">
        <v>4966</v>
      </c>
      <c r="E353" s="33" t="s">
        <v>4971</v>
      </c>
      <c r="F353" s="33" t="s">
        <v>16361</v>
      </c>
      <c r="G353" s="33"/>
      <c r="H353" s="33" t="s">
        <v>4965</v>
      </c>
      <c r="I353" s="33" t="s">
        <v>17074</v>
      </c>
    </row>
    <row r="354" customFormat="false" ht="74" hidden="false" customHeight="true" outlineLevel="0" collapsed="false">
      <c r="A354" s="32" t="n">
        <v>353</v>
      </c>
      <c r="B354" s="32" t="s">
        <v>17073</v>
      </c>
      <c r="C354" s="32" t="s">
        <v>4989</v>
      </c>
      <c r="D354" s="33" t="s">
        <v>4979</v>
      </c>
      <c r="E354" s="33" t="s">
        <v>4984</v>
      </c>
      <c r="F354" s="33" t="s">
        <v>16361</v>
      </c>
      <c r="G354" s="33"/>
      <c r="H354" s="33" t="s">
        <v>4978</v>
      </c>
      <c r="I354" s="33" t="s">
        <v>17074</v>
      </c>
    </row>
    <row r="355" customFormat="false" ht="74" hidden="false" customHeight="true" outlineLevel="0" collapsed="false">
      <c r="A355" s="32" t="n">
        <v>354</v>
      </c>
      <c r="B355" s="32" t="s">
        <v>17073</v>
      </c>
      <c r="C355" s="32" t="s">
        <v>5032</v>
      </c>
      <c r="D355" s="33" t="s">
        <v>5020</v>
      </c>
      <c r="E355" s="33" t="s">
        <v>5026</v>
      </c>
      <c r="F355" s="33" t="s">
        <v>16361</v>
      </c>
      <c r="G355" s="33"/>
      <c r="H355" s="33" t="s">
        <v>5019</v>
      </c>
      <c r="I355" s="33" t="s">
        <v>17074</v>
      </c>
    </row>
    <row r="356" customFormat="false" ht="74" hidden="false" customHeight="true" outlineLevel="0" collapsed="false">
      <c r="A356" s="32" t="n">
        <v>355</v>
      </c>
      <c r="B356" s="32" t="s">
        <v>17073</v>
      </c>
      <c r="C356" s="32" t="s">
        <v>17080</v>
      </c>
      <c r="D356" s="33" t="s">
        <v>5034</v>
      </c>
      <c r="E356" s="33" t="s">
        <v>17081</v>
      </c>
      <c r="F356" s="33" t="s">
        <v>16361</v>
      </c>
      <c r="G356" s="33"/>
      <c r="H356" s="33" t="s">
        <v>5033</v>
      </c>
      <c r="I356" s="33" t="s">
        <v>17074</v>
      </c>
    </row>
    <row r="357" customFormat="false" ht="74" hidden="false" customHeight="true" outlineLevel="0" collapsed="false">
      <c r="A357" s="32" t="n">
        <v>356</v>
      </c>
      <c r="B357" s="32" t="s">
        <v>17073</v>
      </c>
      <c r="C357" s="32" t="s">
        <v>5061</v>
      </c>
      <c r="D357" s="33" t="s">
        <v>5048</v>
      </c>
      <c r="E357" s="33" t="s">
        <v>5053</v>
      </c>
      <c r="F357" s="33" t="s">
        <v>16361</v>
      </c>
      <c r="G357" s="33"/>
      <c r="H357" s="33" t="s">
        <v>5047</v>
      </c>
      <c r="I357" s="33" t="s">
        <v>17074</v>
      </c>
    </row>
    <row r="358" customFormat="false" ht="74" hidden="false" customHeight="true" outlineLevel="0" collapsed="false">
      <c r="A358" s="32" t="n">
        <v>357</v>
      </c>
      <c r="B358" s="32" t="s">
        <v>17073</v>
      </c>
      <c r="C358" s="32" t="s">
        <v>17082</v>
      </c>
      <c r="D358" s="33" t="s">
        <v>5063</v>
      </c>
      <c r="E358" s="33" t="s">
        <v>17083</v>
      </c>
      <c r="F358" s="33" t="s">
        <v>16361</v>
      </c>
      <c r="G358" s="33"/>
      <c r="H358" s="33" t="s">
        <v>5062</v>
      </c>
      <c r="I358" s="33" t="s">
        <v>17074</v>
      </c>
    </row>
    <row r="359" customFormat="false" ht="74" hidden="false" customHeight="true" outlineLevel="0" collapsed="false">
      <c r="A359" s="32" t="n">
        <v>358</v>
      </c>
      <c r="B359" s="32" t="s">
        <v>17073</v>
      </c>
      <c r="C359" s="32" t="s">
        <v>5087</v>
      </c>
      <c r="D359" s="33" t="s">
        <v>5076</v>
      </c>
      <c r="E359" s="33" t="s">
        <v>5081</v>
      </c>
      <c r="F359" s="33" t="s">
        <v>16361</v>
      </c>
      <c r="G359" s="33"/>
      <c r="H359" s="33" t="s">
        <v>5075</v>
      </c>
      <c r="I359" s="33" t="s">
        <v>17074</v>
      </c>
    </row>
    <row r="360" customFormat="false" ht="74" hidden="false" customHeight="true" outlineLevel="0" collapsed="false">
      <c r="A360" s="32" t="n">
        <v>359</v>
      </c>
      <c r="B360" s="32" t="s">
        <v>17073</v>
      </c>
      <c r="C360" s="32" t="s">
        <v>17084</v>
      </c>
      <c r="D360" s="33" t="s">
        <v>5090</v>
      </c>
      <c r="E360" s="33" t="s">
        <v>17085</v>
      </c>
      <c r="F360" s="33" t="s">
        <v>16361</v>
      </c>
      <c r="G360" s="33"/>
      <c r="H360" s="33" t="s">
        <v>5089</v>
      </c>
      <c r="I360" s="33" t="s">
        <v>17074</v>
      </c>
    </row>
    <row r="361" customFormat="false" ht="74" hidden="false" customHeight="true" outlineLevel="0" collapsed="false">
      <c r="A361" s="32" t="n">
        <v>360</v>
      </c>
      <c r="B361" s="32" t="s">
        <v>17073</v>
      </c>
      <c r="C361" s="32" t="s">
        <v>5116</v>
      </c>
      <c r="D361" s="33" t="s">
        <v>5105</v>
      </c>
      <c r="E361" s="33" t="s">
        <v>5110</v>
      </c>
      <c r="F361" s="33" t="s">
        <v>16361</v>
      </c>
      <c r="G361" s="33"/>
      <c r="H361" s="33" t="s">
        <v>5104</v>
      </c>
      <c r="I361" s="33" t="s">
        <v>17074</v>
      </c>
    </row>
    <row r="362" customFormat="false" ht="74" hidden="false" customHeight="true" outlineLevel="0" collapsed="false">
      <c r="A362" s="32" t="n">
        <v>361</v>
      </c>
      <c r="B362" s="32" t="s">
        <v>17073</v>
      </c>
      <c r="C362" s="32" t="s">
        <v>5129</v>
      </c>
      <c r="D362" s="33" t="s">
        <v>5119</v>
      </c>
      <c r="E362" s="33" t="s">
        <v>5124</v>
      </c>
      <c r="F362" s="33" t="s">
        <v>16361</v>
      </c>
      <c r="G362" s="33"/>
      <c r="H362" s="33" t="s">
        <v>5118</v>
      </c>
      <c r="I362" s="33" t="s">
        <v>17074</v>
      </c>
    </row>
    <row r="363" customFormat="false" ht="74" hidden="false" customHeight="true" outlineLevel="0" collapsed="false">
      <c r="A363" s="32" t="n">
        <v>362</v>
      </c>
      <c r="B363" s="32" t="s">
        <v>17073</v>
      </c>
      <c r="C363" s="32" t="s">
        <v>5142</v>
      </c>
      <c r="D363" s="33" t="s">
        <v>5132</v>
      </c>
      <c r="E363" s="33" t="s">
        <v>5137</v>
      </c>
      <c r="F363" s="33" t="s">
        <v>16361</v>
      </c>
      <c r="G363" s="33"/>
      <c r="H363" s="33" t="s">
        <v>5131</v>
      </c>
      <c r="I363" s="33" t="s">
        <v>17074</v>
      </c>
    </row>
    <row r="364" customFormat="false" ht="74" hidden="false" customHeight="true" outlineLevel="0" collapsed="false">
      <c r="A364" s="32" t="n">
        <v>363</v>
      </c>
      <c r="B364" s="32" t="s">
        <v>17073</v>
      </c>
      <c r="C364" s="32" t="s">
        <v>5156</v>
      </c>
      <c r="D364" s="33" t="s">
        <v>5145</v>
      </c>
      <c r="E364" s="33" t="s">
        <v>5150</v>
      </c>
      <c r="F364" s="33" t="s">
        <v>16361</v>
      </c>
      <c r="G364" s="33"/>
      <c r="H364" s="33" t="s">
        <v>5144</v>
      </c>
      <c r="I364" s="33" t="s">
        <v>17074</v>
      </c>
    </row>
    <row r="365" customFormat="false" ht="74" hidden="false" customHeight="true" outlineLevel="0" collapsed="false">
      <c r="A365" s="32" t="n">
        <v>364</v>
      </c>
      <c r="B365" s="32" t="s">
        <v>17073</v>
      </c>
      <c r="C365" s="32" t="s">
        <v>5174</v>
      </c>
      <c r="D365" s="33" t="s">
        <v>5160</v>
      </c>
      <c r="E365" s="33" t="s">
        <v>5165</v>
      </c>
      <c r="F365" s="33" t="s">
        <v>16361</v>
      </c>
      <c r="G365" s="33"/>
      <c r="H365" s="33" t="s">
        <v>5158</v>
      </c>
      <c r="I365" s="33" t="s">
        <v>17074</v>
      </c>
    </row>
    <row r="366" customFormat="false" ht="74" hidden="false" customHeight="true" outlineLevel="0" collapsed="false">
      <c r="A366" s="32" t="n">
        <v>365</v>
      </c>
      <c r="B366" s="32" t="s">
        <v>17073</v>
      </c>
      <c r="C366" s="32" t="s">
        <v>5186</v>
      </c>
      <c r="D366" s="33" t="s">
        <v>5176</v>
      </c>
      <c r="E366" s="33" t="s">
        <v>5181</v>
      </c>
      <c r="F366" s="33" t="s">
        <v>16361</v>
      </c>
      <c r="G366" s="33"/>
      <c r="H366" s="33" t="s">
        <v>5175</v>
      </c>
      <c r="I366" s="33" t="s">
        <v>17074</v>
      </c>
    </row>
    <row r="367" customFormat="false" ht="74" hidden="false" customHeight="true" outlineLevel="0" collapsed="false">
      <c r="A367" s="32" t="n">
        <v>366</v>
      </c>
      <c r="B367" s="32" t="s">
        <v>17073</v>
      </c>
      <c r="C367" s="32" t="s">
        <v>5202</v>
      </c>
      <c r="D367" s="33" t="s">
        <v>5188</v>
      </c>
      <c r="E367" s="33" t="s">
        <v>5193</v>
      </c>
      <c r="F367" s="33" t="s">
        <v>16361</v>
      </c>
      <c r="G367" s="33"/>
      <c r="H367" s="33" t="s">
        <v>5187</v>
      </c>
      <c r="I367" s="33" t="s">
        <v>17074</v>
      </c>
    </row>
    <row r="368" customFormat="false" ht="74" hidden="false" customHeight="true" outlineLevel="0" collapsed="false">
      <c r="A368" s="32" t="n">
        <v>367</v>
      </c>
      <c r="B368" s="32" t="s">
        <v>17073</v>
      </c>
      <c r="C368" s="32" t="s">
        <v>4178</v>
      </c>
      <c r="D368" s="33" t="s">
        <v>4861</v>
      </c>
      <c r="E368" s="33" t="s">
        <v>4867</v>
      </c>
      <c r="F368" s="33" t="s">
        <v>16361</v>
      </c>
      <c r="G368" s="33"/>
      <c r="H368" s="33" t="s">
        <v>4165</v>
      </c>
      <c r="I368" s="33" t="s">
        <v>17074</v>
      </c>
    </row>
    <row r="369" customFormat="false" ht="74" hidden="false" customHeight="true" outlineLevel="0" collapsed="false">
      <c r="A369" s="32" t="n">
        <v>368</v>
      </c>
      <c r="B369" s="32" t="s">
        <v>17073</v>
      </c>
      <c r="C369" s="32" t="s">
        <v>5216</v>
      </c>
      <c r="D369" s="33" t="s">
        <v>5204</v>
      </c>
      <c r="E369" s="33" t="s">
        <v>5210</v>
      </c>
      <c r="F369" s="33" t="s">
        <v>16361</v>
      </c>
      <c r="G369" s="33"/>
      <c r="H369" s="33" t="s">
        <v>5203</v>
      </c>
      <c r="I369" s="33" t="s">
        <v>17074</v>
      </c>
    </row>
    <row r="370" customFormat="false" ht="74" hidden="false" customHeight="true" outlineLevel="0" collapsed="false">
      <c r="A370" s="32" t="n">
        <v>369</v>
      </c>
      <c r="B370" s="32" t="s">
        <v>17073</v>
      </c>
      <c r="C370" s="32" t="s">
        <v>5231</v>
      </c>
      <c r="D370" s="33" t="s">
        <v>5218</v>
      </c>
      <c r="E370" s="33" t="s">
        <v>5223</v>
      </c>
      <c r="F370" s="33" t="s">
        <v>16361</v>
      </c>
      <c r="G370" s="33"/>
      <c r="H370" s="33" t="s">
        <v>5217</v>
      </c>
      <c r="I370" s="33" t="s">
        <v>17074</v>
      </c>
    </row>
    <row r="371" customFormat="false" ht="74" hidden="false" customHeight="true" outlineLevel="0" collapsed="false">
      <c r="A371" s="32" t="n">
        <v>370</v>
      </c>
      <c r="B371" s="32" t="s">
        <v>17073</v>
      </c>
      <c r="C371" s="32" t="s">
        <v>5244</v>
      </c>
      <c r="D371" s="33" t="s">
        <v>5233</v>
      </c>
      <c r="E371" s="33" t="s">
        <v>5238</v>
      </c>
      <c r="F371" s="33" t="s">
        <v>16361</v>
      </c>
      <c r="G371" s="33"/>
      <c r="H371" s="33" t="s">
        <v>5232</v>
      </c>
      <c r="I371" s="33" t="s">
        <v>17074</v>
      </c>
    </row>
    <row r="372" customFormat="false" ht="74" hidden="false" customHeight="true" outlineLevel="0" collapsed="false">
      <c r="A372" s="32" t="n">
        <v>371</v>
      </c>
      <c r="B372" s="32" t="s">
        <v>17073</v>
      </c>
      <c r="C372" s="32" t="s">
        <v>5256</v>
      </c>
      <c r="D372" s="33" t="s">
        <v>5246</v>
      </c>
      <c r="E372" s="33" t="s">
        <v>17086</v>
      </c>
      <c r="F372" s="33" t="s">
        <v>16385</v>
      </c>
      <c r="G372" s="33" t="s">
        <v>17087</v>
      </c>
      <c r="H372" s="33" t="s">
        <v>5245</v>
      </c>
      <c r="I372" s="33" t="s">
        <v>17074</v>
      </c>
    </row>
    <row r="373" customFormat="false" ht="74" hidden="false" customHeight="true" outlineLevel="0" collapsed="false">
      <c r="A373" s="32" t="n">
        <v>372</v>
      </c>
      <c r="B373" s="32" t="s">
        <v>17073</v>
      </c>
      <c r="C373" s="32" t="s">
        <v>5270</v>
      </c>
      <c r="D373" s="33" t="s">
        <v>5258</v>
      </c>
      <c r="E373" s="33" t="s">
        <v>5263</v>
      </c>
      <c r="F373" s="33" t="s">
        <v>16361</v>
      </c>
      <c r="G373" s="33"/>
      <c r="H373" s="33" t="s">
        <v>5257</v>
      </c>
      <c r="I373" s="33" t="s">
        <v>17074</v>
      </c>
    </row>
    <row r="374" customFormat="false" ht="74" hidden="false" customHeight="true" outlineLevel="0" collapsed="false">
      <c r="A374" s="32" t="n">
        <v>373</v>
      </c>
      <c r="B374" s="32" t="s">
        <v>17073</v>
      </c>
      <c r="C374" s="32" t="s">
        <v>5284</v>
      </c>
      <c r="D374" s="33" t="s">
        <v>5272</v>
      </c>
      <c r="E374" s="33" t="s">
        <v>5277</v>
      </c>
      <c r="F374" s="33" t="s">
        <v>16361</v>
      </c>
      <c r="G374" s="33"/>
      <c r="H374" s="33" t="s">
        <v>5271</v>
      </c>
      <c r="I374" s="33" t="s">
        <v>17074</v>
      </c>
    </row>
    <row r="375" customFormat="false" ht="74" hidden="false" customHeight="true" outlineLevel="0" collapsed="false">
      <c r="A375" s="32" t="n">
        <v>374</v>
      </c>
      <c r="B375" s="32" t="s">
        <v>17073</v>
      </c>
      <c r="C375" s="32" t="s">
        <v>5299</v>
      </c>
      <c r="D375" s="33" t="s">
        <v>5286</v>
      </c>
      <c r="E375" s="33" t="s">
        <v>5291</v>
      </c>
      <c r="F375" s="33" t="s">
        <v>16361</v>
      </c>
      <c r="G375" s="33"/>
      <c r="H375" s="33" t="s">
        <v>5285</v>
      </c>
      <c r="I375" s="33" t="s">
        <v>17074</v>
      </c>
    </row>
    <row r="376" customFormat="false" ht="74" hidden="false" customHeight="true" outlineLevel="0" collapsed="false">
      <c r="A376" s="32" t="n">
        <v>375</v>
      </c>
      <c r="B376" s="32" t="s">
        <v>17073</v>
      </c>
      <c r="C376" s="32" t="s">
        <v>5313</v>
      </c>
      <c r="D376" s="33" t="s">
        <v>5301</v>
      </c>
      <c r="E376" s="33" t="s">
        <v>5306</v>
      </c>
      <c r="F376" s="33" t="s">
        <v>16361</v>
      </c>
      <c r="G376" s="33"/>
      <c r="H376" s="33" t="s">
        <v>5300</v>
      </c>
      <c r="I376" s="33" t="s">
        <v>17074</v>
      </c>
    </row>
    <row r="377" customFormat="false" ht="74" hidden="false" customHeight="true" outlineLevel="0" collapsed="false">
      <c r="A377" s="32" t="n">
        <v>376</v>
      </c>
      <c r="B377" s="32" t="s">
        <v>17088</v>
      </c>
      <c r="C377" s="32" t="s">
        <v>5328</v>
      </c>
      <c r="D377" s="33" t="s">
        <v>5316</v>
      </c>
      <c r="E377" s="33" t="s">
        <v>17089</v>
      </c>
      <c r="F377" s="33" t="s">
        <v>16361</v>
      </c>
      <c r="G377" s="33"/>
      <c r="H377" s="33" t="s">
        <v>5314</v>
      </c>
      <c r="I377" s="33" t="s">
        <v>17090</v>
      </c>
    </row>
    <row r="378" customFormat="false" ht="74" hidden="false" customHeight="true" outlineLevel="0" collapsed="false">
      <c r="A378" s="32" t="n">
        <v>377</v>
      </c>
      <c r="B378" s="32" t="s">
        <v>17088</v>
      </c>
      <c r="C378" s="32" t="s">
        <v>5343</v>
      </c>
      <c r="D378" s="33" t="s">
        <v>5331</v>
      </c>
      <c r="E378" s="33" t="s">
        <v>17091</v>
      </c>
      <c r="F378" s="33" t="s">
        <v>16361</v>
      </c>
      <c r="G378" s="33"/>
      <c r="H378" s="33" t="s">
        <v>5330</v>
      </c>
      <c r="I378" s="33" t="s">
        <v>17090</v>
      </c>
    </row>
    <row r="379" customFormat="false" ht="74" hidden="false" customHeight="true" outlineLevel="0" collapsed="false">
      <c r="A379" s="32" t="n">
        <v>378</v>
      </c>
      <c r="B379" s="32" t="s">
        <v>17088</v>
      </c>
      <c r="C379" s="32" t="s">
        <v>5360</v>
      </c>
      <c r="D379" s="33" t="s">
        <v>5346</v>
      </c>
      <c r="E379" s="33" t="s">
        <v>5352</v>
      </c>
      <c r="F379" s="33" t="s">
        <v>16361</v>
      </c>
      <c r="G379" s="33"/>
      <c r="H379" s="33" t="s">
        <v>5345</v>
      </c>
      <c r="I379" s="33" t="s">
        <v>17090</v>
      </c>
    </row>
    <row r="380" customFormat="false" ht="74" hidden="false" customHeight="true" outlineLevel="0" collapsed="false">
      <c r="A380" s="32" t="n">
        <v>379</v>
      </c>
      <c r="B380" s="32" t="s">
        <v>17092</v>
      </c>
      <c r="C380" s="32" t="s">
        <v>17093</v>
      </c>
      <c r="D380" s="33" t="s">
        <v>17094</v>
      </c>
      <c r="E380" s="33" t="s">
        <v>17095</v>
      </c>
      <c r="F380" s="33" t="s">
        <v>16361</v>
      </c>
      <c r="G380" s="33"/>
      <c r="H380" s="33"/>
      <c r="I380" s="33" t="s">
        <v>17096</v>
      </c>
    </row>
    <row r="381" customFormat="false" ht="74" hidden="false" customHeight="true" outlineLevel="0" collapsed="false">
      <c r="A381" s="32" t="n">
        <v>380</v>
      </c>
      <c r="B381" s="32" t="s">
        <v>17092</v>
      </c>
      <c r="C381" s="32" t="s">
        <v>17097</v>
      </c>
      <c r="D381" s="33" t="s">
        <v>17098</v>
      </c>
      <c r="E381" s="33" t="s">
        <v>17099</v>
      </c>
      <c r="F381" s="33" t="s">
        <v>16361</v>
      </c>
      <c r="G381" s="33"/>
      <c r="H381" s="33" t="s">
        <v>8353</v>
      </c>
      <c r="I381" s="33" t="s">
        <v>17096</v>
      </c>
    </row>
    <row r="382" customFormat="false" ht="74" hidden="false" customHeight="true" outlineLevel="0" collapsed="false">
      <c r="A382" s="32" t="n">
        <v>381</v>
      </c>
      <c r="B382" s="32" t="s">
        <v>17092</v>
      </c>
      <c r="C382" s="32" t="s">
        <v>17100</v>
      </c>
      <c r="D382" s="33" t="s">
        <v>17101</v>
      </c>
      <c r="E382" s="33" t="s">
        <v>17102</v>
      </c>
      <c r="F382" s="33" t="s">
        <v>16361</v>
      </c>
      <c r="G382" s="33"/>
      <c r="H382" s="33" t="s">
        <v>6989</v>
      </c>
      <c r="I382" s="33" t="s">
        <v>17096</v>
      </c>
    </row>
    <row r="383" customFormat="false" ht="74" hidden="false" customHeight="true" outlineLevel="0" collapsed="false">
      <c r="A383" s="32" t="n">
        <v>382</v>
      </c>
      <c r="B383" s="32" t="s">
        <v>17092</v>
      </c>
      <c r="C383" s="32" t="s">
        <v>8501</v>
      </c>
      <c r="D383" s="33" t="s">
        <v>16319</v>
      </c>
      <c r="E383" s="33" t="s">
        <v>8496</v>
      </c>
      <c r="F383" s="33" t="s">
        <v>16361</v>
      </c>
      <c r="G383" s="33"/>
      <c r="H383" s="33" t="s">
        <v>8486</v>
      </c>
      <c r="I383" s="33" t="s">
        <v>17096</v>
      </c>
    </row>
    <row r="384" customFormat="false" ht="74" hidden="false" customHeight="true" outlineLevel="0" collapsed="false">
      <c r="A384" s="32" t="n">
        <v>383</v>
      </c>
      <c r="B384" s="32" t="s">
        <v>17092</v>
      </c>
      <c r="C384" s="32" t="s">
        <v>8517</v>
      </c>
      <c r="D384" s="33" t="s">
        <v>16320</v>
      </c>
      <c r="E384" s="33" t="s">
        <v>8511</v>
      </c>
      <c r="F384" s="33" t="s">
        <v>16361</v>
      </c>
      <c r="G384" s="33"/>
      <c r="H384" s="33" t="s">
        <v>8504</v>
      </c>
      <c r="I384" s="33" t="s">
        <v>17096</v>
      </c>
    </row>
    <row r="385" customFormat="false" ht="74" hidden="false" customHeight="true" outlineLevel="0" collapsed="false">
      <c r="A385" s="32" t="n">
        <v>384</v>
      </c>
      <c r="B385" s="32" t="s">
        <v>17092</v>
      </c>
      <c r="C385" s="32" t="s">
        <v>17103</v>
      </c>
      <c r="D385" s="33" t="s">
        <v>17104</v>
      </c>
      <c r="E385" s="33" t="s">
        <v>17105</v>
      </c>
      <c r="F385" s="33" t="s">
        <v>16385</v>
      </c>
      <c r="G385" s="33" t="s">
        <v>17106</v>
      </c>
      <c r="H385" s="33" t="s">
        <v>17107</v>
      </c>
      <c r="I385" s="33" t="s">
        <v>17108</v>
      </c>
    </row>
    <row r="386" customFormat="false" ht="74" hidden="false" customHeight="true" outlineLevel="0" collapsed="false">
      <c r="A386" s="32" t="n">
        <v>385</v>
      </c>
      <c r="B386" s="32" t="s">
        <v>17092</v>
      </c>
      <c r="C386" s="32" t="s">
        <v>17109</v>
      </c>
      <c r="D386" s="33" t="s">
        <v>17110</v>
      </c>
      <c r="E386" s="33" t="s">
        <v>17111</v>
      </c>
      <c r="F386" s="33" t="s">
        <v>16361</v>
      </c>
      <c r="G386" s="33"/>
      <c r="H386" s="33" t="s">
        <v>8533</v>
      </c>
      <c r="I386" s="33" t="s">
        <v>17096</v>
      </c>
    </row>
    <row r="387" customFormat="false" ht="74" hidden="false" customHeight="true" outlineLevel="0" collapsed="false">
      <c r="A387" s="32" t="n">
        <v>386</v>
      </c>
      <c r="B387" s="32" t="s">
        <v>17092</v>
      </c>
      <c r="C387" s="32" t="s">
        <v>8562</v>
      </c>
      <c r="D387" s="33" t="s">
        <v>16325</v>
      </c>
      <c r="E387" s="33" t="s">
        <v>8557</v>
      </c>
      <c r="F387" s="33" t="s">
        <v>16361</v>
      </c>
      <c r="G387" s="33"/>
      <c r="H387" s="33" t="s">
        <v>8550</v>
      </c>
      <c r="I387" s="33" t="s">
        <v>17096</v>
      </c>
    </row>
    <row r="388" customFormat="false" ht="74" hidden="false" customHeight="true" outlineLevel="0" collapsed="false">
      <c r="A388" s="32" t="n">
        <v>387</v>
      </c>
      <c r="B388" s="32" t="s">
        <v>17092</v>
      </c>
      <c r="C388" s="32" t="s">
        <v>8575</v>
      </c>
      <c r="D388" s="33" t="s">
        <v>17112</v>
      </c>
      <c r="E388" s="33" t="s">
        <v>17113</v>
      </c>
      <c r="F388" s="33" t="s">
        <v>16361</v>
      </c>
      <c r="G388" s="33"/>
      <c r="H388" s="33" t="s">
        <v>8564</v>
      </c>
      <c r="I388" s="33" t="s">
        <v>17096</v>
      </c>
    </row>
    <row r="389" customFormat="false" ht="74" hidden="false" customHeight="true" outlineLevel="0" collapsed="false">
      <c r="A389" s="32" t="n">
        <v>388</v>
      </c>
      <c r="B389" s="32" t="s">
        <v>17092</v>
      </c>
      <c r="C389" s="32" t="s">
        <v>8590</v>
      </c>
      <c r="D389" s="33" t="s">
        <v>16327</v>
      </c>
      <c r="E389" s="33" t="s">
        <v>8583</v>
      </c>
      <c r="F389" s="33" t="s">
        <v>16361</v>
      </c>
      <c r="G389" s="33"/>
      <c r="H389" s="33" t="s">
        <v>8577</v>
      </c>
      <c r="I389" s="33" t="s">
        <v>17096</v>
      </c>
    </row>
    <row r="390" customFormat="false" ht="74" hidden="false" customHeight="true" outlineLevel="0" collapsed="false">
      <c r="A390" s="32" t="n">
        <v>389</v>
      </c>
      <c r="B390" s="32" t="s">
        <v>17092</v>
      </c>
      <c r="C390" s="32" t="s">
        <v>17114</v>
      </c>
      <c r="D390" s="33" t="s">
        <v>17115</v>
      </c>
      <c r="E390" s="33" t="s">
        <v>17116</v>
      </c>
      <c r="F390" s="33" t="s">
        <v>16361</v>
      </c>
      <c r="G390" s="33"/>
      <c r="H390" s="33" t="s">
        <v>8592</v>
      </c>
      <c r="I390" s="33" t="s">
        <v>17096</v>
      </c>
    </row>
    <row r="391" customFormat="false" ht="74" hidden="false" customHeight="true" outlineLevel="0" collapsed="false">
      <c r="A391" s="32" t="n">
        <v>390</v>
      </c>
      <c r="B391" s="32" t="s">
        <v>17092</v>
      </c>
      <c r="C391" s="32" t="s">
        <v>17117</v>
      </c>
      <c r="D391" s="33" t="s">
        <v>17118</v>
      </c>
      <c r="E391" s="33" t="s">
        <v>17119</v>
      </c>
      <c r="F391" s="33" t="s">
        <v>16361</v>
      </c>
      <c r="G391" s="33"/>
      <c r="H391" s="33" t="s">
        <v>8608</v>
      </c>
      <c r="I391" s="33" t="s">
        <v>17096</v>
      </c>
    </row>
    <row r="392" customFormat="false" ht="66" hidden="false" customHeight="true" outlineLevel="0" collapsed="false">
      <c r="A392" s="28" t="n">
        <v>391</v>
      </c>
      <c r="B392" s="28" t="s">
        <v>17120</v>
      </c>
      <c r="C392" s="28" t="s">
        <v>1214</v>
      </c>
      <c r="D392" s="28" t="s">
        <v>17121</v>
      </c>
      <c r="E392" s="28" t="s">
        <v>17122</v>
      </c>
      <c r="F392" s="28" t="s">
        <v>16361</v>
      </c>
      <c r="G392" s="28" t="s">
        <v>115</v>
      </c>
      <c r="H392" s="28" t="s">
        <v>17123</v>
      </c>
      <c r="I392" s="28" t="s">
        <v>17124</v>
      </c>
    </row>
    <row r="393" customFormat="false" ht="79.2" hidden="false" customHeight="true" outlineLevel="0" collapsed="false">
      <c r="A393" s="28" t="n">
        <v>392</v>
      </c>
      <c r="B393" s="28" t="s">
        <v>17120</v>
      </c>
      <c r="C393" s="28" t="s">
        <v>17125</v>
      </c>
      <c r="D393" s="28" t="s">
        <v>17126</v>
      </c>
      <c r="E393" s="28" t="s">
        <v>17127</v>
      </c>
      <c r="F393" s="28" t="s">
        <v>16361</v>
      </c>
      <c r="G393" s="28" t="s">
        <v>115</v>
      </c>
      <c r="H393" s="28" t="s">
        <v>17128</v>
      </c>
      <c r="I393" s="28" t="s">
        <v>17124</v>
      </c>
    </row>
    <row r="394" customFormat="false" ht="66" hidden="false" customHeight="true" outlineLevel="0" collapsed="false">
      <c r="A394" s="28" t="n">
        <v>393</v>
      </c>
      <c r="B394" s="28" t="s">
        <v>17120</v>
      </c>
      <c r="C394" s="28" t="s">
        <v>17129</v>
      </c>
      <c r="D394" s="28" t="s">
        <v>17130</v>
      </c>
      <c r="E394" s="28" t="s">
        <v>17131</v>
      </c>
      <c r="F394" s="28" t="s">
        <v>16361</v>
      </c>
      <c r="G394" s="28" t="s">
        <v>115</v>
      </c>
      <c r="H394" s="28" t="s">
        <v>17132</v>
      </c>
      <c r="I394" s="28" t="s">
        <v>17124</v>
      </c>
    </row>
    <row r="395" customFormat="false" ht="52.8" hidden="false" customHeight="true" outlineLevel="0" collapsed="false">
      <c r="A395" s="28" t="n">
        <v>394</v>
      </c>
      <c r="B395" s="28" t="s">
        <v>17120</v>
      </c>
      <c r="C395" s="28" t="s">
        <v>2887</v>
      </c>
      <c r="D395" s="28" t="s">
        <v>17133</v>
      </c>
      <c r="E395" s="28" t="s">
        <v>17134</v>
      </c>
      <c r="F395" s="28" t="s">
        <v>16361</v>
      </c>
      <c r="G395" s="28" t="s">
        <v>115</v>
      </c>
      <c r="H395" s="28" t="s">
        <v>17135</v>
      </c>
      <c r="I395" s="28" t="s">
        <v>17124</v>
      </c>
    </row>
    <row r="396" customFormat="false" ht="92.4" hidden="false" customHeight="true" outlineLevel="0" collapsed="false">
      <c r="A396" s="28" t="n">
        <v>395</v>
      </c>
      <c r="B396" s="28" t="s">
        <v>17120</v>
      </c>
      <c r="C396" s="28" t="s">
        <v>17136</v>
      </c>
      <c r="D396" s="28" t="s">
        <v>17137</v>
      </c>
      <c r="E396" s="28" t="s">
        <v>17138</v>
      </c>
      <c r="F396" s="28" t="s">
        <v>16361</v>
      </c>
      <c r="G396" s="28" t="s">
        <v>115</v>
      </c>
      <c r="H396" s="28" t="s">
        <v>17139</v>
      </c>
      <c r="I396" s="28" t="s">
        <v>17124</v>
      </c>
    </row>
    <row r="397" customFormat="false" ht="92.4" hidden="false" customHeight="true" outlineLevel="0" collapsed="false">
      <c r="A397" s="28" t="n">
        <v>396</v>
      </c>
      <c r="B397" s="28" t="s">
        <v>17120</v>
      </c>
      <c r="C397" s="28" t="s">
        <v>1077</v>
      </c>
      <c r="D397" s="28" t="s">
        <v>17140</v>
      </c>
      <c r="E397" s="28" t="s">
        <v>17141</v>
      </c>
      <c r="F397" s="28" t="s">
        <v>16361</v>
      </c>
      <c r="G397" s="28" t="s">
        <v>115</v>
      </c>
      <c r="H397" s="28" t="s">
        <v>17142</v>
      </c>
      <c r="I397" s="28" t="s">
        <v>17124</v>
      </c>
    </row>
    <row r="398" customFormat="false" ht="52.8" hidden="false" customHeight="true" outlineLevel="0" collapsed="false">
      <c r="A398" s="28" t="n">
        <v>397</v>
      </c>
      <c r="B398" s="28" t="s">
        <v>17120</v>
      </c>
      <c r="C398" s="28" t="s">
        <v>17143</v>
      </c>
      <c r="D398" s="28" t="s">
        <v>17144</v>
      </c>
      <c r="E398" s="28" t="s">
        <v>17145</v>
      </c>
      <c r="F398" s="28" t="s">
        <v>16361</v>
      </c>
      <c r="G398" s="28" t="s">
        <v>115</v>
      </c>
      <c r="H398" s="28" t="s">
        <v>17146</v>
      </c>
      <c r="I398" s="28" t="s">
        <v>17124</v>
      </c>
    </row>
    <row r="399" customFormat="false" ht="26.4" hidden="false" customHeight="true" outlineLevel="0" collapsed="false">
      <c r="A399" s="28" t="n">
        <v>398</v>
      </c>
      <c r="B399" s="28" t="s">
        <v>17120</v>
      </c>
      <c r="C399" s="28" t="s">
        <v>1048</v>
      </c>
      <c r="D399" s="28" t="s">
        <v>17147</v>
      </c>
      <c r="E399" s="28" t="s">
        <v>17148</v>
      </c>
      <c r="F399" s="28" t="s">
        <v>16361</v>
      </c>
      <c r="G399" s="28" t="s">
        <v>115</v>
      </c>
      <c r="H399" s="28" t="s">
        <v>17149</v>
      </c>
      <c r="I399" s="28" t="s">
        <v>17124</v>
      </c>
    </row>
    <row r="400" customFormat="false" ht="105.6" hidden="false" customHeight="true" outlineLevel="0" collapsed="false">
      <c r="A400" s="28" t="n">
        <v>399</v>
      </c>
      <c r="B400" s="28" t="s">
        <v>17120</v>
      </c>
      <c r="C400" s="28" t="s">
        <v>1496</v>
      </c>
      <c r="D400" s="28" t="s">
        <v>17150</v>
      </c>
      <c r="E400" s="28" t="s">
        <v>17151</v>
      </c>
      <c r="F400" s="28" t="s">
        <v>16361</v>
      </c>
      <c r="G400" s="28" t="s">
        <v>115</v>
      </c>
      <c r="H400" s="28" t="s">
        <v>17152</v>
      </c>
      <c r="I400" s="28" t="s">
        <v>17124</v>
      </c>
    </row>
    <row r="401" customFormat="false" ht="39.6" hidden="false" customHeight="true" outlineLevel="0" collapsed="false">
      <c r="A401" s="28" t="n">
        <v>400</v>
      </c>
      <c r="B401" s="28" t="s">
        <v>17120</v>
      </c>
      <c r="C401" s="28" t="s">
        <v>17153</v>
      </c>
      <c r="D401" s="28" t="s">
        <v>17154</v>
      </c>
      <c r="E401" s="28" t="s">
        <v>17155</v>
      </c>
      <c r="F401" s="28" t="s">
        <v>16361</v>
      </c>
      <c r="G401" s="28" t="s">
        <v>115</v>
      </c>
      <c r="H401" s="28" t="s">
        <v>17156</v>
      </c>
      <c r="I401" s="28" t="s">
        <v>17124</v>
      </c>
    </row>
    <row r="402" customFormat="false" ht="52.8" hidden="false" customHeight="true" outlineLevel="0" collapsed="false">
      <c r="A402" s="28" t="n">
        <v>401</v>
      </c>
      <c r="B402" s="28" t="s">
        <v>17120</v>
      </c>
      <c r="C402" s="28" t="s">
        <v>17157</v>
      </c>
      <c r="D402" s="28" t="s">
        <v>17158</v>
      </c>
      <c r="E402" s="28" t="s">
        <v>17159</v>
      </c>
      <c r="F402" s="28" t="s">
        <v>16361</v>
      </c>
      <c r="G402" s="28" t="s">
        <v>115</v>
      </c>
      <c r="H402" s="28" t="s">
        <v>17160</v>
      </c>
      <c r="I402" s="28" t="s">
        <v>17124</v>
      </c>
    </row>
    <row r="403" customFormat="false" ht="105.6" hidden="false" customHeight="true" outlineLevel="0" collapsed="false">
      <c r="A403" s="28" t="n">
        <v>402</v>
      </c>
      <c r="B403" s="28" t="s">
        <v>17120</v>
      </c>
      <c r="C403" s="28" t="s">
        <v>17161</v>
      </c>
      <c r="D403" s="28" t="s">
        <v>17162</v>
      </c>
      <c r="E403" s="28" t="s">
        <v>17163</v>
      </c>
      <c r="F403" s="28" t="s">
        <v>16361</v>
      </c>
      <c r="G403" s="28" t="s">
        <v>115</v>
      </c>
      <c r="H403" s="28" t="s">
        <v>17164</v>
      </c>
      <c r="I403" s="28" t="s">
        <v>17124</v>
      </c>
    </row>
    <row r="404" customFormat="false" ht="66" hidden="false" customHeight="true" outlineLevel="0" collapsed="false">
      <c r="A404" s="28" t="n">
        <v>403</v>
      </c>
      <c r="B404" s="28" t="s">
        <v>17120</v>
      </c>
      <c r="C404" s="28" t="s">
        <v>2964</v>
      </c>
      <c r="D404" s="28" t="s">
        <v>17165</v>
      </c>
      <c r="E404" s="28" t="s">
        <v>17166</v>
      </c>
      <c r="F404" s="28" t="s">
        <v>16361</v>
      </c>
      <c r="G404" s="28" t="s">
        <v>115</v>
      </c>
      <c r="H404" s="28" t="s">
        <v>17167</v>
      </c>
      <c r="I404" s="28" t="s">
        <v>17124</v>
      </c>
    </row>
    <row r="405" customFormat="false" ht="26.4" hidden="false" customHeight="true" outlineLevel="0" collapsed="false">
      <c r="A405" s="28" t="n">
        <v>404</v>
      </c>
      <c r="B405" s="28" t="s">
        <v>17120</v>
      </c>
      <c r="C405" s="28" t="s">
        <v>9172</v>
      </c>
      <c r="D405" s="28" t="s">
        <v>17168</v>
      </c>
      <c r="E405" s="28" t="s">
        <v>17169</v>
      </c>
      <c r="F405" s="28" t="s">
        <v>16385</v>
      </c>
      <c r="G405" s="28" t="s">
        <v>17170</v>
      </c>
      <c r="H405" s="28" t="s">
        <v>17107</v>
      </c>
      <c r="I405" s="28" t="s">
        <v>17171</v>
      </c>
    </row>
    <row r="406" customFormat="false" ht="52.8" hidden="false" customHeight="true" outlineLevel="0" collapsed="false">
      <c r="A406" s="28" t="n">
        <v>405</v>
      </c>
      <c r="B406" s="28" t="s">
        <v>17120</v>
      </c>
      <c r="C406" s="28" t="s">
        <v>17172</v>
      </c>
      <c r="D406" s="28" t="s">
        <v>17173</v>
      </c>
      <c r="E406" s="28" t="s">
        <v>17174</v>
      </c>
      <c r="F406" s="28" t="s">
        <v>16361</v>
      </c>
      <c r="G406" s="28" t="s">
        <v>115</v>
      </c>
      <c r="H406" s="28" t="s">
        <v>17175</v>
      </c>
      <c r="I406" s="28" t="s">
        <v>17124</v>
      </c>
    </row>
    <row r="407" customFormat="false" ht="52.8" hidden="false" customHeight="true" outlineLevel="0" collapsed="false">
      <c r="A407" s="28" t="n">
        <v>406</v>
      </c>
      <c r="B407" s="28" t="s">
        <v>17120</v>
      </c>
      <c r="C407" s="28" t="s">
        <v>17176</v>
      </c>
      <c r="D407" s="28" t="s">
        <v>17177</v>
      </c>
      <c r="E407" s="28" t="s">
        <v>17178</v>
      </c>
      <c r="F407" s="28" t="s">
        <v>16361</v>
      </c>
      <c r="G407" s="28" t="s">
        <v>115</v>
      </c>
      <c r="H407" s="28" t="s">
        <v>17179</v>
      </c>
      <c r="I407" s="28" t="s">
        <v>17124</v>
      </c>
    </row>
    <row r="408" customFormat="false" ht="52.8" hidden="false" customHeight="true" outlineLevel="0" collapsed="false">
      <c r="A408" s="28" t="n">
        <v>407</v>
      </c>
      <c r="B408" s="28" t="s">
        <v>17120</v>
      </c>
      <c r="C408" s="28" t="s">
        <v>17180</v>
      </c>
      <c r="D408" s="28" t="s">
        <v>17181</v>
      </c>
      <c r="E408" s="28" t="s">
        <v>17182</v>
      </c>
      <c r="F408" s="28" t="s">
        <v>16361</v>
      </c>
      <c r="G408" s="28" t="s">
        <v>115</v>
      </c>
      <c r="H408" s="28" t="s">
        <v>17183</v>
      </c>
      <c r="I408" s="28" t="s">
        <v>17124</v>
      </c>
    </row>
    <row r="409" customFormat="false" ht="39.6" hidden="false" customHeight="true" outlineLevel="0" collapsed="false">
      <c r="A409" s="28" t="n">
        <v>408</v>
      </c>
      <c r="B409" s="28" t="s">
        <v>17120</v>
      </c>
      <c r="C409" s="28" t="s">
        <v>17184</v>
      </c>
      <c r="D409" s="28" t="s">
        <v>17185</v>
      </c>
      <c r="E409" s="28" t="s">
        <v>17186</v>
      </c>
      <c r="F409" s="28" t="s">
        <v>16361</v>
      </c>
      <c r="G409" s="28" t="s">
        <v>115</v>
      </c>
      <c r="H409" s="28" t="s">
        <v>17187</v>
      </c>
      <c r="I409" s="28" t="s">
        <v>17124</v>
      </c>
    </row>
    <row r="410" customFormat="false" ht="92.4" hidden="false" customHeight="true" outlineLevel="0" collapsed="false">
      <c r="A410" s="28" t="n">
        <v>409</v>
      </c>
      <c r="B410" s="28" t="s">
        <v>17120</v>
      </c>
      <c r="C410" s="28" t="s">
        <v>17188</v>
      </c>
      <c r="D410" s="28" t="s">
        <v>17189</v>
      </c>
      <c r="E410" s="28" t="s">
        <v>17190</v>
      </c>
      <c r="F410" s="28" t="s">
        <v>16361</v>
      </c>
      <c r="G410" s="28" t="s">
        <v>115</v>
      </c>
      <c r="H410" s="28" t="s">
        <v>17191</v>
      </c>
      <c r="I410" s="28" t="s">
        <v>17124</v>
      </c>
    </row>
    <row r="411" customFormat="false" ht="39.6" hidden="false" customHeight="true" outlineLevel="0" collapsed="false">
      <c r="A411" s="28" t="n">
        <v>410</v>
      </c>
      <c r="B411" s="28" t="s">
        <v>17120</v>
      </c>
      <c r="C411" s="28" t="s">
        <v>17192</v>
      </c>
      <c r="D411" s="28" t="s">
        <v>17193</v>
      </c>
      <c r="E411" s="28" t="s">
        <v>17194</v>
      </c>
      <c r="F411" s="28" t="s">
        <v>16361</v>
      </c>
      <c r="G411" s="28" t="s">
        <v>115</v>
      </c>
      <c r="H411" s="28" t="s">
        <v>17195</v>
      </c>
      <c r="I411" s="28" t="s">
        <v>17124</v>
      </c>
    </row>
    <row r="412" customFormat="false" ht="39.6" hidden="false" customHeight="true" outlineLevel="0" collapsed="false">
      <c r="A412" s="28" t="n">
        <v>411</v>
      </c>
      <c r="B412" s="28" t="s">
        <v>17120</v>
      </c>
      <c r="C412" s="28" t="s">
        <v>17196</v>
      </c>
      <c r="D412" s="28" t="s">
        <v>17197</v>
      </c>
      <c r="E412" s="28" t="s">
        <v>17198</v>
      </c>
      <c r="F412" s="28" t="s">
        <v>16361</v>
      </c>
      <c r="G412" s="28" t="s">
        <v>115</v>
      </c>
      <c r="H412" s="28" t="s">
        <v>17199</v>
      </c>
      <c r="I412" s="28" t="s">
        <v>17124</v>
      </c>
    </row>
    <row r="413" customFormat="false" ht="26.4" hidden="false" customHeight="true" outlineLevel="0" collapsed="false">
      <c r="A413" s="28" t="n">
        <v>412</v>
      </c>
      <c r="B413" s="28" t="s">
        <v>17120</v>
      </c>
      <c r="C413" s="28" t="s">
        <v>17200</v>
      </c>
      <c r="D413" s="28" t="s">
        <v>17201</v>
      </c>
      <c r="E413" s="28" t="s">
        <v>17202</v>
      </c>
      <c r="F413" s="28" t="s">
        <v>16361</v>
      </c>
      <c r="G413" s="28" t="s">
        <v>115</v>
      </c>
      <c r="H413" s="28" t="s">
        <v>17203</v>
      </c>
      <c r="I413" s="28" t="s">
        <v>17124</v>
      </c>
    </row>
    <row r="414" customFormat="false" ht="66" hidden="false" customHeight="true" outlineLevel="0" collapsed="false">
      <c r="A414" s="28" t="n">
        <v>413</v>
      </c>
      <c r="B414" s="28" t="s">
        <v>17120</v>
      </c>
      <c r="C414" s="28" t="s">
        <v>17204</v>
      </c>
      <c r="D414" s="28" t="s">
        <v>17205</v>
      </c>
      <c r="E414" s="28" t="s">
        <v>17206</v>
      </c>
      <c r="F414" s="28" t="s">
        <v>16361</v>
      </c>
      <c r="G414" s="28" t="s">
        <v>115</v>
      </c>
      <c r="H414" s="28" t="s">
        <v>17207</v>
      </c>
      <c r="I414" s="28" t="s">
        <v>17124</v>
      </c>
    </row>
    <row r="415" customFormat="false" ht="52.8" hidden="false" customHeight="true" outlineLevel="0" collapsed="false">
      <c r="A415" s="28" t="n">
        <v>414</v>
      </c>
      <c r="B415" s="28" t="s">
        <v>17120</v>
      </c>
      <c r="C415" s="28" t="s">
        <v>17208</v>
      </c>
      <c r="D415" s="28" t="s">
        <v>17209</v>
      </c>
      <c r="E415" s="28" t="s">
        <v>17210</v>
      </c>
      <c r="F415" s="28" t="s">
        <v>16361</v>
      </c>
      <c r="G415" s="28" t="s">
        <v>115</v>
      </c>
      <c r="H415" s="28" t="s">
        <v>17211</v>
      </c>
      <c r="I415" s="28" t="s">
        <v>17124</v>
      </c>
    </row>
    <row r="416" customFormat="false" ht="26.4" hidden="false" customHeight="true" outlineLevel="0" collapsed="false">
      <c r="A416" s="28" t="n">
        <v>415</v>
      </c>
      <c r="B416" s="28" t="s">
        <v>17120</v>
      </c>
      <c r="C416" s="28" t="s">
        <v>17212</v>
      </c>
      <c r="D416" s="28" t="s">
        <v>17213</v>
      </c>
      <c r="E416" s="28" t="s">
        <v>17214</v>
      </c>
      <c r="F416" s="28" t="s">
        <v>16361</v>
      </c>
      <c r="G416" s="28" t="s">
        <v>115</v>
      </c>
      <c r="H416" s="28" t="s">
        <v>17215</v>
      </c>
      <c r="I416" s="28" t="s">
        <v>17124</v>
      </c>
    </row>
    <row r="417" customFormat="false" ht="105.6" hidden="false" customHeight="true" outlineLevel="0" collapsed="false">
      <c r="A417" s="28" t="n">
        <v>416</v>
      </c>
      <c r="B417" s="28" t="s">
        <v>17120</v>
      </c>
      <c r="C417" s="28" t="s">
        <v>17216</v>
      </c>
      <c r="D417" s="28" t="s">
        <v>17217</v>
      </c>
      <c r="E417" s="28" t="s">
        <v>17218</v>
      </c>
      <c r="F417" s="28" t="s">
        <v>16361</v>
      </c>
      <c r="G417" s="28" t="s">
        <v>115</v>
      </c>
      <c r="H417" s="28" t="s">
        <v>17219</v>
      </c>
      <c r="I417" s="28" t="s">
        <v>17124</v>
      </c>
    </row>
    <row r="418" customFormat="false" ht="79.2" hidden="false" customHeight="true" outlineLevel="0" collapsed="false">
      <c r="A418" s="28" t="n">
        <v>417</v>
      </c>
      <c r="B418" s="28" t="s">
        <v>17120</v>
      </c>
      <c r="C418" s="28" t="s">
        <v>17220</v>
      </c>
      <c r="D418" s="28" t="s">
        <v>17221</v>
      </c>
      <c r="E418" s="28" t="s">
        <v>17222</v>
      </c>
      <c r="F418" s="28" t="s">
        <v>16361</v>
      </c>
      <c r="G418" s="28" t="s">
        <v>115</v>
      </c>
      <c r="H418" s="28" t="s">
        <v>17223</v>
      </c>
      <c r="I418" s="28" t="s">
        <v>17124</v>
      </c>
    </row>
    <row r="419" customFormat="false" ht="66" hidden="false" customHeight="true" outlineLevel="0" collapsed="false">
      <c r="A419" s="28" t="n">
        <v>418</v>
      </c>
      <c r="B419" s="28" t="s">
        <v>17120</v>
      </c>
      <c r="C419" s="28" t="s">
        <v>17224</v>
      </c>
      <c r="D419" s="28" t="s">
        <v>17225</v>
      </c>
      <c r="E419" s="28" t="s">
        <v>17226</v>
      </c>
      <c r="F419" s="28" t="s">
        <v>16361</v>
      </c>
      <c r="G419" s="28" t="s">
        <v>115</v>
      </c>
      <c r="H419" s="28" t="s">
        <v>17227</v>
      </c>
      <c r="I419" s="28" t="s">
        <v>17124</v>
      </c>
    </row>
    <row r="420" customFormat="false" ht="66" hidden="false" customHeight="true" outlineLevel="0" collapsed="false">
      <c r="A420" s="28" t="n">
        <v>419</v>
      </c>
      <c r="B420" s="28" t="s">
        <v>17120</v>
      </c>
      <c r="C420" s="28" t="s">
        <v>17228</v>
      </c>
      <c r="D420" s="28" t="s">
        <v>17229</v>
      </c>
      <c r="E420" s="28" t="s">
        <v>17230</v>
      </c>
      <c r="F420" s="28" t="s">
        <v>16361</v>
      </c>
      <c r="G420" s="28" t="s">
        <v>115</v>
      </c>
      <c r="H420" s="28" t="s">
        <v>17231</v>
      </c>
      <c r="I420" s="28" t="s">
        <v>17124</v>
      </c>
    </row>
    <row r="421" customFormat="false" ht="39.6" hidden="false" customHeight="true" outlineLevel="0" collapsed="false">
      <c r="A421" s="28" t="n">
        <v>420</v>
      </c>
      <c r="B421" s="28" t="s">
        <v>17120</v>
      </c>
      <c r="C421" s="28" t="s">
        <v>17232</v>
      </c>
      <c r="D421" s="28" t="s">
        <v>17233</v>
      </c>
      <c r="E421" s="28" t="s">
        <v>17234</v>
      </c>
      <c r="F421" s="28" t="s">
        <v>16361</v>
      </c>
      <c r="G421" s="28" t="s">
        <v>115</v>
      </c>
      <c r="H421" s="28" t="s">
        <v>17235</v>
      </c>
      <c r="I421" s="28" t="s">
        <v>17124</v>
      </c>
    </row>
    <row r="422" customFormat="false" ht="79.2" hidden="false" customHeight="true" outlineLevel="0" collapsed="false">
      <c r="A422" s="28" t="n">
        <v>421</v>
      </c>
      <c r="B422" s="28" t="s">
        <v>17120</v>
      </c>
      <c r="C422" s="28" t="s">
        <v>17236</v>
      </c>
      <c r="D422" s="28" t="s">
        <v>17237</v>
      </c>
      <c r="E422" s="28" t="s">
        <v>17238</v>
      </c>
      <c r="F422" s="28" t="s">
        <v>16361</v>
      </c>
      <c r="G422" s="28" t="s">
        <v>115</v>
      </c>
      <c r="H422" s="28" t="s">
        <v>17239</v>
      </c>
      <c r="I422" s="28" t="s">
        <v>17124</v>
      </c>
    </row>
    <row r="423" customFormat="false" ht="39.6" hidden="false" customHeight="true" outlineLevel="0" collapsed="false">
      <c r="A423" s="28" t="n">
        <v>422</v>
      </c>
      <c r="B423" s="28" t="s">
        <v>17240</v>
      </c>
      <c r="C423" s="28" t="s">
        <v>17241</v>
      </c>
      <c r="D423" s="28" t="s">
        <v>17242</v>
      </c>
      <c r="E423" s="28" t="s">
        <v>17243</v>
      </c>
      <c r="F423" s="28" t="s">
        <v>16361</v>
      </c>
      <c r="G423" s="28" t="s">
        <v>115</v>
      </c>
      <c r="H423" s="28" t="s">
        <v>9175</v>
      </c>
      <c r="I423" s="28" t="s">
        <v>17244</v>
      </c>
    </row>
    <row r="424" customFormat="false" ht="15" hidden="false" customHeight="true" outlineLevel="0" collapsed="false">
      <c r="A424" s="28" t="n">
        <v>423</v>
      </c>
      <c r="B424" s="28" t="s">
        <v>17240</v>
      </c>
      <c r="C424" s="28" t="s">
        <v>17245</v>
      </c>
      <c r="D424" s="28" t="s">
        <v>17246</v>
      </c>
      <c r="E424" s="28" t="s">
        <v>17247</v>
      </c>
      <c r="F424" s="28" t="s">
        <v>16361</v>
      </c>
      <c r="G424" s="28" t="s">
        <v>115</v>
      </c>
      <c r="H424" s="28" t="s">
        <v>9198</v>
      </c>
      <c r="I424" s="28" t="s">
        <v>17244</v>
      </c>
    </row>
    <row r="425" customFormat="false" ht="26.4" hidden="false" customHeight="true" outlineLevel="0" collapsed="false">
      <c r="A425" s="28" t="n">
        <v>424</v>
      </c>
      <c r="B425" s="28" t="s">
        <v>17240</v>
      </c>
      <c r="C425" s="28" t="s">
        <v>2246</v>
      </c>
      <c r="D425" s="28" t="s">
        <v>17248</v>
      </c>
      <c r="E425" s="28" t="s">
        <v>17249</v>
      </c>
      <c r="F425" s="28" t="s">
        <v>16361</v>
      </c>
      <c r="G425" s="28" t="s">
        <v>115</v>
      </c>
      <c r="H425" s="28" t="s">
        <v>17250</v>
      </c>
      <c r="I425" s="28" t="s">
        <v>17244</v>
      </c>
    </row>
    <row r="426" customFormat="false" ht="26.4" hidden="false" customHeight="true" outlineLevel="0" collapsed="false">
      <c r="A426" s="28" t="n">
        <v>425</v>
      </c>
      <c r="B426" s="28" t="s">
        <v>17240</v>
      </c>
      <c r="C426" s="28" t="s">
        <v>955</v>
      </c>
      <c r="D426" s="28" t="s">
        <v>17251</v>
      </c>
      <c r="E426" s="28" t="s">
        <v>17252</v>
      </c>
      <c r="F426" s="28" t="s">
        <v>16361</v>
      </c>
      <c r="G426" s="28" t="s">
        <v>115</v>
      </c>
      <c r="H426" s="28" t="s">
        <v>3173</v>
      </c>
      <c r="I426" s="28" t="s">
        <v>17244</v>
      </c>
    </row>
    <row r="427" customFormat="false" ht="15" hidden="false" customHeight="true" outlineLevel="0" collapsed="false">
      <c r="A427" s="28" t="n">
        <v>426</v>
      </c>
      <c r="B427" s="28" t="s">
        <v>17240</v>
      </c>
      <c r="C427" s="28" t="s">
        <v>3083</v>
      </c>
      <c r="D427" s="28" t="s">
        <v>17253</v>
      </c>
      <c r="E427" s="28" t="s">
        <v>17254</v>
      </c>
      <c r="F427" s="28" t="s">
        <v>16361</v>
      </c>
      <c r="G427" s="28" t="s">
        <v>115</v>
      </c>
      <c r="H427" s="28" t="s">
        <v>3072</v>
      </c>
      <c r="I427" s="28" t="s">
        <v>17244</v>
      </c>
    </row>
    <row r="428" customFormat="false" ht="26.4" hidden="false" customHeight="true" outlineLevel="0" collapsed="false">
      <c r="A428" s="28" t="n">
        <v>427</v>
      </c>
      <c r="B428" s="28" t="s">
        <v>17240</v>
      </c>
      <c r="C428" s="28" t="s">
        <v>9263</v>
      </c>
      <c r="D428" s="28" t="s">
        <v>17255</v>
      </c>
      <c r="E428" s="28" t="s">
        <v>17256</v>
      </c>
      <c r="F428" s="28" t="s">
        <v>16361</v>
      </c>
      <c r="G428" s="28" t="s">
        <v>115</v>
      </c>
      <c r="H428" s="28" t="s">
        <v>17257</v>
      </c>
      <c r="I428" s="28" t="s">
        <v>17244</v>
      </c>
    </row>
    <row r="429" customFormat="false" ht="15" hidden="false" customHeight="true" outlineLevel="0" collapsed="false">
      <c r="A429" s="28" t="n">
        <v>428</v>
      </c>
      <c r="B429" s="28" t="s">
        <v>17240</v>
      </c>
      <c r="C429" s="28" t="s">
        <v>17258</v>
      </c>
      <c r="D429" s="28" t="s">
        <v>17259</v>
      </c>
      <c r="E429" s="28" t="s">
        <v>17260</v>
      </c>
      <c r="F429" s="28" t="s">
        <v>16361</v>
      </c>
      <c r="G429" s="28" t="s">
        <v>115</v>
      </c>
      <c r="H429" s="28" t="s">
        <v>8135</v>
      </c>
      <c r="I429" s="28" t="s">
        <v>17244</v>
      </c>
    </row>
    <row r="430" customFormat="false" ht="26.4" hidden="false" customHeight="true" outlineLevel="0" collapsed="false">
      <c r="A430" s="28" t="n">
        <v>429</v>
      </c>
      <c r="B430" s="28" t="s">
        <v>17240</v>
      </c>
      <c r="C430" s="28" t="s">
        <v>9276</v>
      </c>
      <c r="D430" s="28" t="s">
        <v>17261</v>
      </c>
      <c r="E430" s="28" t="s">
        <v>17262</v>
      </c>
      <c r="F430" s="28" t="s">
        <v>16361</v>
      </c>
      <c r="G430" s="28" t="s">
        <v>115</v>
      </c>
      <c r="H430" s="28" t="s">
        <v>6279</v>
      </c>
      <c r="I430" s="28" t="s">
        <v>17244</v>
      </c>
    </row>
    <row r="431" customFormat="false" ht="26.4" hidden="false" customHeight="true" outlineLevel="0" collapsed="false">
      <c r="A431" s="28" t="n">
        <v>430</v>
      </c>
      <c r="B431" s="28" t="s">
        <v>17240</v>
      </c>
      <c r="C431" s="28" t="s">
        <v>9288</v>
      </c>
      <c r="D431" s="28" t="s">
        <v>17263</v>
      </c>
      <c r="E431" s="28" t="s">
        <v>17264</v>
      </c>
      <c r="F431" s="28" t="s">
        <v>16361</v>
      </c>
      <c r="G431" s="28" t="s">
        <v>115</v>
      </c>
      <c r="H431" s="28" t="s">
        <v>3477</v>
      </c>
      <c r="I431" s="28" t="s">
        <v>17244</v>
      </c>
    </row>
    <row r="432" customFormat="false" ht="26.4" hidden="false" customHeight="true" outlineLevel="0" collapsed="false">
      <c r="A432" s="28" t="n">
        <v>431</v>
      </c>
      <c r="B432" s="28" t="s">
        <v>17240</v>
      </c>
      <c r="C432" s="28" t="s">
        <v>9300</v>
      </c>
      <c r="D432" s="28" t="s">
        <v>17265</v>
      </c>
      <c r="E432" s="28" t="s">
        <v>17266</v>
      </c>
      <c r="F432" s="28" t="s">
        <v>16361</v>
      </c>
      <c r="G432" s="28" t="s">
        <v>115</v>
      </c>
      <c r="H432" s="28" t="s">
        <v>7179</v>
      </c>
      <c r="I432" s="28" t="s">
        <v>17244</v>
      </c>
    </row>
    <row r="433" customFormat="false" ht="39.6" hidden="false" customHeight="true" outlineLevel="0" collapsed="false">
      <c r="A433" s="28" t="n">
        <v>432</v>
      </c>
      <c r="B433" s="28" t="s">
        <v>17240</v>
      </c>
      <c r="C433" s="28" t="s">
        <v>3005</v>
      </c>
      <c r="D433" s="28" t="s">
        <v>17267</v>
      </c>
      <c r="E433" s="28" t="s">
        <v>17268</v>
      </c>
      <c r="F433" s="28" t="s">
        <v>16361</v>
      </c>
      <c r="G433" s="28" t="s">
        <v>115</v>
      </c>
      <c r="H433" s="28" t="s">
        <v>17269</v>
      </c>
      <c r="I433" s="28" t="s">
        <v>17244</v>
      </c>
    </row>
    <row r="434" customFormat="false" ht="26.4" hidden="false" customHeight="true" outlineLevel="0" collapsed="false">
      <c r="A434" s="28" t="n">
        <v>433</v>
      </c>
      <c r="B434" s="28" t="s">
        <v>17240</v>
      </c>
      <c r="C434" s="28" t="s">
        <v>9340</v>
      </c>
      <c r="D434" s="28" t="s">
        <v>17270</v>
      </c>
      <c r="E434" s="28" t="s">
        <v>17271</v>
      </c>
      <c r="F434" s="28" t="s">
        <v>16361</v>
      </c>
      <c r="G434" s="28" t="s">
        <v>115</v>
      </c>
      <c r="H434" s="28" t="s">
        <v>9329</v>
      </c>
      <c r="I434" s="28" t="s">
        <v>17244</v>
      </c>
    </row>
    <row r="435" customFormat="false" ht="15" hidden="false" customHeight="true" outlineLevel="0" collapsed="false">
      <c r="A435" s="28" t="n">
        <v>434</v>
      </c>
      <c r="B435" s="28" t="s">
        <v>17240</v>
      </c>
      <c r="C435" s="28" t="s">
        <v>17272</v>
      </c>
      <c r="D435" s="28" t="s">
        <v>17273</v>
      </c>
      <c r="E435" s="28" t="s">
        <v>17274</v>
      </c>
      <c r="F435" s="28" t="s">
        <v>16361</v>
      </c>
      <c r="G435" s="28" t="s">
        <v>115</v>
      </c>
      <c r="H435" s="28" t="s">
        <v>17275</v>
      </c>
      <c r="I435" s="28" t="s">
        <v>17244</v>
      </c>
    </row>
    <row r="436" customFormat="false" ht="15" hidden="false" customHeight="true" outlineLevel="0" collapsed="false">
      <c r="A436" s="28" t="n">
        <v>435</v>
      </c>
      <c r="B436" s="28" t="s">
        <v>17240</v>
      </c>
      <c r="C436" s="28" t="s">
        <v>9314</v>
      </c>
      <c r="D436" s="28" t="s">
        <v>17276</v>
      </c>
      <c r="E436" s="28" t="s">
        <v>17277</v>
      </c>
      <c r="F436" s="28" t="s">
        <v>16361</v>
      </c>
      <c r="G436" s="28" t="s">
        <v>115</v>
      </c>
      <c r="H436" s="28" t="s">
        <v>9302</v>
      </c>
      <c r="I436" s="28" t="s">
        <v>17244</v>
      </c>
    </row>
    <row r="437" customFormat="false" ht="39.6" hidden="false" customHeight="true" outlineLevel="0" collapsed="false">
      <c r="A437" s="28" t="n">
        <v>436</v>
      </c>
      <c r="B437" s="28" t="s">
        <v>17240</v>
      </c>
      <c r="C437" s="28" t="s">
        <v>17278</v>
      </c>
      <c r="D437" s="28" t="s">
        <v>17279</v>
      </c>
      <c r="E437" s="28" t="s">
        <v>17280</v>
      </c>
      <c r="F437" s="28" t="s">
        <v>16361</v>
      </c>
      <c r="G437" s="28" t="s">
        <v>115</v>
      </c>
      <c r="H437" s="28" t="s">
        <v>17281</v>
      </c>
      <c r="I437" s="28" t="s">
        <v>17244</v>
      </c>
    </row>
    <row r="438" customFormat="false" ht="39.6" hidden="false" customHeight="true" outlineLevel="0" collapsed="false">
      <c r="A438" s="28" t="n">
        <v>437</v>
      </c>
      <c r="B438" s="28" t="s">
        <v>17240</v>
      </c>
      <c r="C438" s="28" t="s">
        <v>17282</v>
      </c>
      <c r="D438" s="28" t="s">
        <v>17283</v>
      </c>
      <c r="E438" s="28" t="s">
        <v>17284</v>
      </c>
      <c r="F438" s="28" t="s">
        <v>16361</v>
      </c>
      <c r="G438" s="28" t="s">
        <v>115</v>
      </c>
      <c r="H438" s="28" t="s">
        <v>17285</v>
      </c>
      <c r="I438" s="28" t="s">
        <v>17244</v>
      </c>
    </row>
    <row r="439" customFormat="false" ht="66" hidden="false" customHeight="true" outlineLevel="0" collapsed="false">
      <c r="A439" s="28" t="n">
        <v>438</v>
      </c>
      <c r="B439" s="28" t="s">
        <v>17240</v>
      </c>
      <c r="C439" s="28" t="s">
        <v>17286</v>
      </c>
      <c r="D439" s="28" t="s">
        <v>17287</v>
      </c>
      <c r="E439" s="28" t="s">
        <v>17288</v>
      </c>
      <c r="F439" s="28" t="s">
        <v>16361</v>
      </c>
      <c r="G439" s="28" t="s">
        <v>115</v>
      </c>
      <c r="H439" s="28" t="s">
        <v>17289</v>
      </c>
      <c r="I439" s="28" t="s">
        <v>17244</v>
      </c>
    </row>
    <row r="440" customFormat="false" ht="26.4" hidden="false" customHeight="true" outlineLevel="0" collapsed="false">
      <c r="A440" s="28" t="n">
        <v>439</v>
      </c>
      <c r="B440" s="28" t="s">
        <v>17240</v>
      </c>
      <c r="C440" s="28" t="s">
        <v>9327</v>
      </c>
      <c r="D440" s="28" t="s">
        <v>17290</v>
      </c>
      <c r="E440" s="28" t="s">
        <v>17291</v>
      </c>
      <c r="F440" s="28" t="s">
        <v>16361</v>
      </c>
      <c r="G440" s="28" t="s">
        <v>115</v>
      </c>
      <c r="H440" s="28" t="s">
        <v>9316</v>
      </c>
      <c r="I440" s="28" t="s">
        <v>17244</v>
      </c>
    </row>
    <row r="441" customFormat="false" ht="211.2" hidden="false" customHeight="true" outlineLevel="0" collapsed="false">
      <c r="A441" s="28" t="n">
        <v>440</v>
      </c>
      <c r="B441" s="28" t="s">
        <v>17292</v>
      </c>
      <c r="C441" s="28" t="s">
        <v>17293</v>
      </c>
      <c r="D441" s="28" t="s">
        <v>17294</v>
      </c>
      <c r="E441" s="28" t="s">
        <v>17295</v>
      </c>
      <c r="F441" s="28" t="s">
        <v>16385</v>
      </c>
      <c r="G441" s="28" t="s">
        <v>561</v>
      </c>
      <c r="H441" s="28" t="s">
        <v>17296</v>
      </c>
      <c r="I441" s="28" t="s">
        <v>17297</v>
      </c>
    </row>
    <row r="442" customFormat="false" ht="35.05" hidden="false" customHeight="false" outlineLevel="0" collapsed="false">
      <c r="A442" s="1" t="n">
        <v>441</v>
      </c>
      <c r="B442" s="1" t="s">
        <v>17298</v>
      </c>
      <c r="C442" s="1" t="s">
        <v>17299</v>
      </c>
      <c r="D442" s="1" t="s">
        <v>17300</v>
      </c>
      <c r="E442" s="1" t="s">
        <v>17301</v>
      </c>
      <c r="F442" s="1" t="s">
        <v>16361</v>
      </c>
      <c r="G442" s="1" t="s">
        <v>115</v>
      </c>
      <c r="H442" s="29" t="s">
        <v>17302</v>
      </c>
      <c r="I442" s="1" t="s">
        <v>17303</v>
      </c>
    </row>
    <row r="443" customFormat="false" ht="382.05" hidden="false" customHeight="false" outlineLevel="0" collapsed="false">
      <c r="A443" s="28" t="n">
        <v>442</v>
      </c>
      <c r="B443" s="28" t="s">
        <v>17304</v>
      </c>
      <c r="C443" s="28" t="s">
        <v>561</v>
      </c>
      <c r="D443" s="28" t="s">
        <v>17305</v>
      </c>
      <c r="E443" s="28" t="s">
        <v>17306</v>
      </c>
      <c r="F443" s="28" t="s">
        <v>16361</v>
      </c>
      <c r="G443" s="28" t="s">
        <v>115</v>
      </c>
      <c r="H443" s="28" t="s">
        <v>17307</v>
      </c>
      <c r="I443" s="28" t="s">
        <v>17308</v>
      </c>
    </row>
    <row r="444" customFormat="false" ht="35.05" hidden="false" customHeight="false" outlineLevel="0" collapsed="false">
      <c r="A444" s="1" t="n">
        <v>443</v>
      </c>
      <c r="B444" s="1" t="s">
        <v>17309</v>
      </c>
      <c r="C444" s="1" t="s">
        <v>9466</v>
      </c>
      <c r="D444" s="1" t="s">
        <v>17310</v>
      </c>
      <c r="E444" s="1" t="s">
        <v>17311</v>
      </c>
      <c r="F444" s="1" t="s">
        <v>16361</v>
      </c>
      <c r="G444" s="1" t="s">
        <v>115</v>
      </c>
      <c r="H444" s="29" t="s">
        <v>17312</v>
      </c>
      <c r="I444" s="1" t="s">
        <v>17313</v>
      </c>
    </row>
    <row r="445" customFormat="false" ht="35.05" hidden="false" customHeight="false" outlineLevel="0" collapsed="false">
      <c r="A445" s="1" t="n">
        <v>444</v>
      </c>
      <c r="B445" s="1" t="s">
        <v>17314</v>
      </c>
      <c r="C445" s="1" t="s">
        <v>17315</v>
      </c>
      <c r="D445" s="1" t="s">
        <v>17316</v>
      </c>
      <c r="E445" s="1" t="s">
        <v>17317</v>
      </c>
      <c r="F445" s="1" t="s">
        <v>16361</v>
      </c>
      <c r="G445" s="1" t="s">
        <v>115</v>
      </c>
      <c r="H445" s="29" t="s">
        <v>17318</v>
      </c>
      <c r="I445" s="1" t="s">
        <v>17313</v>
      </c>
    </row>
  </sheetData>
  <conditionalFormatting sqref="F2:F391">
    <cfRule type="containsText" priority="2" operator="containsText" aboveAverage="0" equalAverage="0" bottom="0" percent="0" rank="0" text="Закрыт" dxfId="34">
      <formula>NOT(ISERROR(SEARCH("Закрыт",F2)))</formula>
    </cfRule>
    <cfRule type="containsText" priority="3" operator="containsText" aboveAverage="0" equalAverage="0" bottom="0" percent="0" rank="0" text="Изменен последующим ответом" dxfId="35">
      <formula>NOT(ISERROR(SEARCH("Изменен последующим ответом",F2)))</formula>
    </cfRule>
  </conditionalFormatting>
  <conditionalFormatting sqref="F392:F422">
    <cfRule type="containsText" priority="4" operator="containsText" aboveAverage="0" equalAverage="0" bottom="0" percent="0" rank="0" text="Закрыт" dxfId="36">
      <formula>NOT(ISERROR(SEARCH("Закрыт",F392)))</formula>
    </cfRule>
  </conditionalFormatting>
  <dataValidations count="2">
    <dataValidation allowBlank="false" errorStyle="stop" operator="between" showDropDown="false" showErrorMessage="false" showInputMessage="false" sqref="F2:F391" type="list">
      <formula1>"Закрыт,Открыт,Изменен последующим ответом и переформирован автоматически"</formula1>
      <formula2>0</formula2>
    </dataValidation>
    <dataValidation allowBlank="false" errorStyle="stop" operator="between" showDropDown="false" showErrorMessage="false" showInputMessage="false" sqref="F392:F422" type="list">
      <formula1>"Закрыт,Открыт,Изменен последующим ответом и переформирован автоматически"</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1"/>
    <col collapsed="false" customWidth="true" hidden="false" outlineLevel="0" max="3" min="3" style="1" width="18"/>
    <col collapsed="false" customWidth="true" hidden="false" outlineLevel="0" max="4" min="4" style="1" width="48"/>
    <col collapsed="false" customWidth="true" hidden="false" outlineLevel="0" max="5" min="5" style="1" width="39"/>
    <col collapsed="false" customWidth="true" hidden="false" outlineLevel="0" max="6" min="6" style="1" width="26"/>
    <col collapsed="false" customWidth="true" hidden="false" outlineLevel="0" max="7" min="7" style="1" width="95"/>
    <col collapsed="false" customWidth="true" hidden="false" outlineLevel="0" max="8" min="8" style="1" width="22"/>
  </cols>
  <sheetData>
    <row r="1" customFormat="false" ht="36" hidden="false" customHeight="true" outlineLevel="0" collapsed="false">
      <c r="A1" s="4" t="s">
        <v>60</v>
      </c>
      <c r="B1" s="5" t="s">
        <v>17319</v>
      </c>
      <c r="C1" s="5" t="s">
        <v>17320</v>
      </c>
      <c r="D1" s="5" t="s">
        <v>69</v>
      </c>
      <c r="E1" s="5" t="s">
        <v>17321</v>
      </c>
      <c r="F1" s="5" t="s">
        <v>17322</v>
      </c>
      <c r="G1" s="5" t="s">
        <v>17323</v>
      </c>
      <c r="H1" s="6" t="s">
        <v>17324</v>
      </c>
    </row>
    <row r="2" customFormat="false" ht="74" hidden="false" customHeight="true" outlineLevel="0" collapsed="false">
      <c r="A2" s="8" t="n">
        <v>0</v>
      </c>
      <c r="B2" s="8" t="s">
        <v>17325</v>
      </c>
      <c r="C2" s="8" t="s">
        <v>17275</v>
      </c>
      <c r="D2" s="8" t="s">
        <v>17326</v>
      </c>
      <c r="E2" s="8" t="s">
        <v>17327</v>
      </c>
      <c r="F2" s="8" t="s">
        <v>17093</v>
      </c>
      <c r="G2" s="8" t="s">
        <v>17328</v>
      </c>
      <c r="H2" s="8" t="s">
        <v>115</v>
      </c>
    </row>
    <row r="3" customFormat="false" ht="74" hidden="false" customHeight="true" outlineLevel="0" collapsed="false">
      <c r="A3" s="11" t="n">
        <v>1</v>
      </c>
      <c r="B3" s="11" t="s">
        <v>17329</v>
      </c>
      <c r="C3" s="11" t="s">
        <v>6549</v>
      </c>
      <c r="D3" s="11" t="s">
        <v>17330</v>
      </c>
      <c r="E3" s="11" t="s">
        <v>17331</v>
      </c>
      <c r="F3" s="11" t="s">
        <v>17332</v>
      </c>
      <c r="G3" s="11" t="s">
        <v>17333</v>
      </c>
      <c r="H3" s="11" t="s">
        <v>168</v>
      </c>
    </row>
    <row r="4" customFormat="false" ht="74" hidden="false" customHeight="true" outlineLevel="0" collapsed="false">
      <c r="A4" s="11" t="n">
        <v>2</v>
      </c>
      <c r="B4" s="11" t="s">
        <v>17329</v>
      </c>
      <c r="C4" s="11" t="s">
        <v>8353</v>
      </c>
      <c r="D4" s="11" t="s">
        <v>17334</v>
      </c>
      <c r="E4" s="11" t="s">
        <v>17331</v>
      </c>
      <c r="F4" s="11" t="s">
        <v>17097</v>
      </c>
      <c r="G4" s="11" t="s">
        <v>17335</v>
      </c>
      <c r="H4" s="11" t="s">
        <v>168</v>
      </c>
    </row>
    <row r="5" customFormat="false" ht="74" hidden="false" customHeight="true" outlineLevel="0" collapsed="false">
      <c r="A5" s="11" t="n">
        <v>3</v>
      </c>
      <c r="B5" s="11" t="s">
        <v>17329</v>
      </c>
      <c r="C5" s="11" t="s">
        <v>6989</v>
      </c>
      <c r="D5" s="11" t="s">
        <v>17336</v>
      </c>
      <c r="E5" s="11" t="s">
        <v>17331</v>
      </c>
      <c r="F5" s="11" t="s">
        <v>17100</v>
      </c>
      <c r="G5" s="11" t="s">
        <v>17337</v>
      </c>
      <c r="H5" s="11" t="s">
        <v>168</v>
      </c>
    </row>
    <row r="6" customFormat="false" ht="74" hidden="false" customHeight="true" outlineLevel="0" collapsed="false">
      <c r="A6" s="11" t="n">
        <v>4</v>
      </c>
      <c r="B6" s="11" t="s">
        <v>17329</v>
      </c>
      <c r="C6" s="11" t="s">
        <v>4844</v>
      </c>
      <c r="D6" s="11" t="s">
        <v>17338</v>
      </c>
      <c r="E6" s="11" t="s">
        <v>17339</v>
      </c>
      <c r="F6" s="11" t="s">
        <v>17340</v>
      </c>
      <c r="G6" s="11" t="s">
        <v>17341</v>
      </c>
      <c r="H6" s="11" t="s">
        <v>168</v>
      </c>
    </row>
    <row r="7" customFormat="false" ht="74" hidden="false" customHeight="true" outlineLevel="0" collapsed="false">
      <c r="A7" s="11" t="n">
        <v>5</v>
      </c>
      <c r="B7" s="11" t="s">
        <v>17329</v>
      </c>
      <c r="C7" s="11" t="s">
        <v>8486</v>
      </c>
      <c r="D7" s="11" t="s">
        <v>8489</v>
      </c>
      <c r="E7" s="11" t="s">
        <v>17342</v>
      </c>
      <c r="F7" s="11" t="s">
        <v>8501</v>
      </c>
      <c r="G7" s="11" t="s">
        <v>8497</v>
      </c>
      <c r="H7" s="11" t="s">
        <v>168</v>
      </c>
    </row>
    <row r="8" customFormat="false" ht="74" hidden="false" customHeight="true" outlineLevel="0" collapsed="false">
      <c r="A8" s="11" t="n">
        <v>6</v>
      </c>
      <c r="B8" s="11" t="s">
        <v>17329</v>
      </c>
      <c r="C8" s="11" t="s">
        <v>8504</v>
      </c>
      <c r="D8" s="11" t="s">
        <v>8505</v>
      </c>
      <c r="E8" s="11" t="s">
        <v>17342</v>
      </c>
      <c r="F8" s="11" t="s">
        <v>8517</v>
      </c>
      <c r="G8" s="11" t="s">
        <v>8512</v>
      </c>
      <c r="H8" s="11" t="s">
        <v>168</v>
      </c>
    </row>
    <row r="9" customFormat="false" ht="74" hidden="false" customHeight="true" outlineLevel="0" collapsed="false">
      <c r="A9" s="11" t="n">
        <v>7</v>
      </c>
      <c r="B9" s="11" t="s">
        <v>17329</v>
      </c>
      <c r="C9" s="11" t="s">
        <v>8519</v>
      </c>
      <c r="D9" s="11" t="s">
        <v>17343</v>
      </c>
      <c r="E9" s="11" t="s">
        <v>17342</v>
      </c>
      <c r="F9" s="11" t="s">
        <v>17103</v>
      </c>
      <c r="G9" s="11" t="s">
        <v>17344</v>
      </c>
      <c r="H9" s="11" t="s">
        <v>168</v>
      </c>
    </row>
    <row r="10" customFormat="false" ht="74" hidden="false" customHeight="true" outlineLevel="0" collapsed="false">
      <c r="A10" s="11" t="n">
        <v>8</v>
      </c>
      <c r="B10" s="11" t="s">
        <v>17329</v>
      </c>
      <c r="C10" s="11" t="s">
        <v>8533</v>
      </c>
      <c r="D10" s="11" t="s">
        <v>8534</v>
      </c>
      <c r="E10" s="11" t="s">
        <v>17342</v>
      </c>
      <c r="F10" s="11" t="s">
        <v>17109</v>
      </c>
      <c r="G10" s="11" t="s">
        <v>8542</v>
      </c>
      <c r="H10" s="11" t="s">
        <v>168</v>
      </c>
    </row>
    <row r="11" customFormat="false" ht="74" hidden="false" customHeight="true" outlineLevel="0" collapsed="false">
      <c r="A11" s="11" t="n">
        <v>9</v>
      </c>
      <c r="B11" s="11" t="s">
        <v>17329</v>
      </c>
      <c r="C11" s="11" t="s">
        <v>8550</v>
      </c>
      <c r="D11" s="11" t="s">
        <v>8551</v>
      </c>
      <c r="E11" s="11" t="s">
        <v>17342</v>
      </c>
      <c r="F11" s="11" t="s">
        <v>8562</v>
      </c>
      <c r="G11" s="11" t="s">
        <v>8558</v>
      </c>
      <c r="H11" s="11" t="s">
        <v>168</v>
      </c>
    </row>
    <row r="12" customFormat="false" ht="74" hidden="false" customHeight="true" outlineLevel="0" collapsed="false">
      <c r="A12" s="11" t="n">
        <v>10</v>
      </c>
      <c r="B12" s="11" t="s">
        <v>17329</v>
      </c>
      <c r="C12" s="11" t="s">
        <v>8564</v>
      </c>
      <c r="D12" s="11" t="s">
        <v>8565</v>
      </c>
      <c r="E12" s="11" t="s">
        <v>17342</v>
      </c>
      <c r="F12" s="11" t="s">
        <v>8575</v>
      </c>
      <c r="G12" s="11" t="s">
        <v>8572</v>
      </c>
      <c r="H12" s="11" t="s">
        <v>168</v>
      </c>
    </row>
    <row r="13" customFormat="false" ht="74" hidden="false" customHeight="true" outlineLevel="0" collapsed="false">
      <c r="A13" s="11" t="n">
        <v>11</v>
      </c>
      <c r="B13" s="11" t="s">
        <v>17329</v>
      </c>
      <c r="C13" s="11" t="s">
        <v>8577</v>
      </c>
      <c r="D13" s="11" t="s">
        <v>8578</v>
      </c>
      <c r="E13" s="11" t="s">
        <v>17342</v>
      </c>
      <c r="F13" s="11" t="s">
        <v>8590</v>
      </c>
      <c r="G13" s="11" t="s">
        <v>8584</v>
      </c>
      <c r="H13" s="11" t="s">
        <v>168</v>
      </c>
    </row>
    <row r="14" customFormat="false" ht="74" hidden="false" customHeight="true" outlineLevel="0" collapsed="false">
      <c r="A14" s="11" t="n">
        <v>12</v>
      </c>
      <c r="B14" s="11" t="s">
        <v>17329</v>
      </c>
      <c r="C14" s="11" t="s">
        <v>8592</v>
      </c>
      <c r="D14" s="11" t="s">
        <v>8594</v>
      </c>
      <c r="E14" s="11" t="s">
        <v>17342</v>
      </c>
      <c r="F14" s="11" t="s">
        <v>17114</v>
      </c>
      <c r="G14" s="11" t="s">
        <v>8602</v>
      </c>
      <c r="H14" s="11" t="s">
        <v>168</v>
      </c>
    </row>
    <row r="15" customFormat="false" ht="74" hidden="false" customHeight="true" outlineLevel="0" collapsed="false">
      <c r="A15" s="11" t="n">
        <v>13</v>
      </c>
      <c r="B15" s="11" t="s">
        <v>17329</v>
      </c>
      <c r="C15" s="11" t="s">
        <v>8608</v>
      </c>
      <c r="D15" s="11" t="s">
        <v>8609</v>
      </c>
      <c r="E15" s="11" t="s">
        <v>17342</v>
      </c>
      <c r="F15" s="11" t="s">
        <v>17117</v>
      </c>
      <c r="G15" s="11" t="s">
        <v>8616</v>
      </c>
      <c r="H15" s="11" t="s">
        <v>168</v>
      </c>
    </row>
    <row r="16" customFormat="false" ht="74" hidden="false" customHeight="true" outlineLevel="0" collapsed="false">
      <c r="A16" s="11" t="n">
        <v>14</v>
      </c>
      <c r="B16" s="11" t="s">
        <v>2452</v>
      </c>
      <c r="C16" s="11" t="s">
        <v>2441</v>
      </c>
      <c r="D16" s="11" t="s">
        <v>17345</v>
      </c>
      <c r="E16" s="11" t="s">
        <v>17346</v>
      </c>
      <c r="F16" s="11" t="s">
        <v>17347</v>
      </c>
      <c r="G16" s="11" t="s">
        <v>17348</v>
      </c>
      <c r="H16" s="11" t="s">
        <v>17349</v>
      </c>
    </row>
  </sheetData>
  <conditionalFormatting sqref="B2:B16">
    <cfRule type="containsText" priority="2" operator="containsText" aboveAverage="0" equalAverage="0" bottom="0" percent="0" rank="0" text="Недостающее runtime-правило" dxfId="38">
      <formula>NOT(ISERROR(SEARCH("Недостающее runtime-правило",B2)))</formula>
    </cfRule>
    <cfRule type="containsText" priority="3" operator="containsText" aboveAverage="0" equalAverage="0" bottom="0" percent="0" rank="0" text="Метаправило" dxfId="39">
      <formula>NOT(ISERROR(SEARCH("Метаправило",B2)))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37"/>
    <col collapsed="false" customWidth="true" hidden="false" outlineLevel="0" max="3" min="3" style="1" width="100"/>
  </cols>
  <sheetData>
    <row r="1" customFormat="false" ht="36" hidden="false" customHeight="true" outlineLevel="0" collapsed="false">
      <c r="A1" s="4" t="s">
        <v>17350</v>
      </c>
      <c r="B1" s="5" t="s">
        <v>3</v>
      </c>
      <c r="C1" s="6" t="s">
        <v>17351</v>
      </c>
    </row>
    <row r="2" customFormat="false" ht="48" hidden="false" customHeight="true" outlineLevel="0" collapsed="false">
      <c r="A2" s="8" t="s">
        <v>17352</v>
      </c>
      <c r="B2" s="8" t="s">
        <v>61</v>
      </c>
      <c r="C2" s="8" t="s">
        <v>17353</v>
      </c>
    </row>
    <row r="3" customFormat="false" ht="48" hidden="false" customHeight="true" outlineLevel="0" collapsed="false">
      <c r="A3" s="11" t="s">
        <v>17352</v>
      </c>
      <c r="B3" s="11" t="s">
        <v>62</v>
      </c>
      <c r="C3" s="11" t="s">
        <v>17354</v>
      </c>
    </row>
    <row r="4" customFormat="false" ht="48" hidden="false" customHeight="true" outlineLevel="0" collapsed="false">
      <c r="A4" s="11" t="s">
        <v>17352</v>
      </c>
      <c r="B4" s="11" t="s">
        <v>63</v>
      </c>
      <c r="C4" s="11" t="s">
        <v>17355</v>
      </c>
    </row>
    <row r="5" customFormat="false" ht="48" hidden="false" customHeight="true" outlineLevel="0" collapsed="false">
      <c r="A5" s="11" t="s">
        <v>17352</v>
      </c>
      <c r="B5" s="11" t="s">
        <v>65</v>
      </c>
      <c r="C5" s="11" t="s">
        <v>17356</v>
      </c>
    </row>
    <row r="6" customFormat="false" ht="48" hidden="false" customHeight="true" outlineLevel="0" collapsed="false">
      <c r="A6" s="11" t="s">
        <v>17352</v>
      </c>
      <c r="B6" s="11" t="s">
        <v>66</v>
      </c>
      <c r="C6" s="11" t="s">
        <v>17357</v>
      </c>
    </row>
    <row r="7" customFormat="false" ht="48" hidden="false" customHeight="true" outlineLevel="0" collapsed="false">
      <c r="A7" s="11" t="s">
        <v>17352</v>
      </c>
      <c r="B7" s="11" t="s">
        <v>74</v>
      </c>
      <c r="C7" s="11" t="s">
        <v>17358</v>
      </c>
    </row>
    <row r="8" customFormat="false" ht="48" hidden="false" customHeight="true" outlineLevel="0" collapsed="false">
      <c r="A8" s="11" t="s">
        <v>17352</v>
      </c>
      <c r="B8" s="11" t="s">
        <v>75</v>
      </c>
      <c r="C8" s="11" t="s">
        <v>17359</v>
      </c>
    </row>
    <row r="9" customFormat="false" ht="48" hidden="false" customHeight="true" outlineLevel="0" collapsed="false">
      <c r="A9" s="11" t="s">
        <v>17352</v>
      </c>
      <c r="B9" s="11" t="s">
        <v>76</v>
      </c>
      <c r="C9" s="11" t="s">
        <v>17360</v>
      </c>
    </row>
    <row r="10" customFormat="false" ht="48" hidden="false" customHeight="true" outlineLevel="0" collapsed="false">
      <c r="A10" s="11" t="s">
        <v>17352</v>
      </c>
      <c r="B10" s="11" t="s">
        <v>77</v>
      </c>
      <c r="C10" s="11" t="s">
        <v>17361</v>
      </c>
    </row>
    <row r="11" customFormat="false" ht="48" hidden="false" customHeight="true" outlineLevel="0" collapsed="false">
      <c r="A11" s="11" t="s">
        <v>17352</v>
      </c>
      <c r="B11" s="11" t="s">
        <v>17362</v>
      </c>
      <c r="C11" s="11" t="s">
        <v>17363</v>
      </c>
    </row>
    <row r="12" customFormat="false" ht="48" hidden="false" customHeight="true" outlineLevel="0" collapsed="false">
      <c r="A12" s="11" t="s">
        <v>17352</v>
      </c>
      <c r="B12" s="11" t="s">
        <v>79</v>
      </c>
      <c r="C12" s="11" t="s">
        <v>17364</v>
      </c>
    </row>
    <row r="13" customFormat="false" ht="48" hidden="false" customHeight="true" outlineLevel="0" collapsed="false">
      <c r="A13" s="11" t="s">
        <v>17352</v>
      </c>
      <c r="B13" s="11" t="s">
        <v>87</v>
      </c>
      <c r="C13" s="11" t="s">
        <v>17365</v>
      </c>
    </row>
    <row r="14" customFormat="false" ht="48" hidden="false" customHeight="true" outlineLevel="0" collapsed="false">
      <c r="A14" s="11" t="s">
        <v>62</v>
      </c>
      <c r="B14" s="11" t="s">
        <v>9</v>
      </c>
      <c r="C14" s="11" t="s">
        <v>17366</v>
      </c>
    </row>
    <row r="15" customFormat="false" ht="48" hidden="false" customHeight="true" outlineLevel="0" collapsed="false">
      <c r="A15" s="11" t="s">
        <v>62</v>
      </c>
      <c r="B15" s="11" t="s">
        <v>12</v>
      </c>
      <c r="C15" s="11" t="s">
        <v>17367</v>
      </c>
    </row>
    <row r="16" customFormat="false" ht="48" hidden="false" customHeight="true" outlineLevel="0" collapsed="false">
      <c r="A16" s="11" t="s">
        <v>64</v>
      </c>
      <c r="B16" s="11" t="s">
        <v>97</v>
      </c>
      <c r="C16" s="11" t="s">
        <v>17368</v>
      </c>
    </row>
    <row r="17" customFormat="false" ht="48" hidden="false" customHeight="true" outlineLevel="0" collapsed="false">
      <c r="A17" s="11" t="s">
        <v>64</v>
      </c>
      <c r="B17" s="11" t="s">
        <v>3459</v>
      </c>
      <c r="C17" s="11" t="s">
        <v>17369</v>
      </c>
    </row>
    <row r="18" customFormat="false" ht="48" hidden="false" customHeight="true" outlineLevel="0" collapsed="false">
      <c r="A18" s="11" t="s">
        <v>64</v>
      </c>
      <c r="B18" s="11" t="s">
        <v>8487</v>
      </c>
      <c r="C18" s="11" t="s">
        <v>17370</v>
      </c>
    </row>
    <row r="19" customFormat="false" ht="48" hidden="false" customHeight="true" outlineLevel="0" collapsed="false">
      <c r="A19" s="11" t="s">
        <v>16271</v>
      </c>
      <c r="B19" s="11" t="s">
        <v>17371</v>
      </c>
      <c r="C19" s="11" t="s">
        <v>17372</v>
      </c>
    </row>
    <row r="20" customFormat="false" ht="48" hidden="false" customHeight="true" outlineLevel="0" collapsed="false">
      <c r="A20" s="11" t="s">
        <v>16271</v>
      </c>
      <c r="B20" s="11" t="s">
        <v>17373</v>
      </c>
      <c r="C20" s="11" t="s">
        <v>17374</v>
      </c>
    </row>
    <row r="21" customFormat="false" ht="48" hidden="false" customHeight="true" outlineLevel="0" collapsed="false">
      <c r="A21" s="11" t="s">
        <v>16271</v>
      </c>
      <c r="B21" s="11" t="s">
        <v>17375</v>
      </c>
      <c r="C21" s="11" t="s">
        <v>17376</v>
      </c>
    </row>
    <row r="22" customFormat="false" ht="48" hidden="false" customHeight="true" outlineLevel="0" collapsed="false">
      <c r="A22" s="11" t="s">
        <v>16271</v>
      </c>
      <c r="B22" s="11" t="s">
        <v>17377</v>
      </c>
      <c r="C22" s="11" t="s">
        <v>17378</v>
      </c>
    </row>
    <row r="23" customFormat="false" ht="48" hidden="false" customHeight="true" outlineLevel="0" collapsed="false">
      <c r="A23" s="11" t="s">
        <v>16271</v>
      </c>
      <c r="B23" s="11" t="s">
        <v>16</v>
      </c>
      <c r="C23" s="11" t="s">
        <v>17379</v>
      </c>
    </row>
    <row r="24" customFormat="false" ht="48" hidden="false" customHeight="true" outlineLevel="0" collapsed="false">
      <c r="A24" s="11" t="s">
        <v>17380</v>
      </c>
      <c r="B24" s="11" t="s">
        <v>16161</v>
      </c>
      <c r="C24" s="11" t="s">
        <v>17381</v>
      </c>
    </row>
    <row r="25" customFormat="false" ht="48" hidden="false" customHeight="true" outlineLevel="0" collapsed="false">
      <c r="A25" s="11" t="s">
        <v>17380</v>
      </c>
      <c r="B25" s="11" t="s">
        <v>16160</v>
      </c>
      <c r="C25" s="11" t="s">
        <v>17382</v>
      </c>
    </row>
    <row r="26" customFormat="false" ht="48" hidden="false" customHeight="true" outlineLevel="0" collapsed="false">
      <c r="A26" s="11" t="s">
        <v>17383</v>
      </c>
      <c r="B26" s="11" t="s">
        <v>94</v>
      </c>
      <c r="C26" s="11" t="s">
        <v>17384</v>
      </c>
    </row>
    <row r="27" customFormat="false" ht="48" hidden="false" customHeight="true" outlineLevel="0" collapsed="false">
      <c r="A27" s="11" t="s">
        <v>17385</v>
      </c>
      <c r="B27" s="11" t="s">
        <v>17386</v>
      </c>
      <c r="C27" s="11" t="s">
        <v>17387</v>
      </c>
    </row>
    <row r="28" customFormat="false" ht="15" hidden="false" customHeight="true" outlineLevel="0" collapsed="false">
      <c r="A28" s="28" t="s">
        <v>17388</v>
      </c>
      <c r="B28" s="28" t="s">
        <v>17389</v>
      </c>
      <c r="C28" s="28" t="s">
        <v>17390</v>
      </c>
    </row>
    <row r="29" customFormat="false" ht="15" hidden="false" customHeight="true" outlineLevel="0" collapsed="false">
      <c r="A29" s="28" t="s">
        <v>17388</v>
      </c>
      <c r="B29" s="28" t="s">
        <v>17391</v>
      </c>
      <c r="C29" s="28" t="s">
        <v>17392</v>
      </c>
    </row>
    <row r="30" customFormat="false" ht="15" hidden="false" customHeight="true" outlineLevel="0" collapsed="false">
      <c r="A30" s="28" t="s">
        <v>17388</v>
      </c>
      <c r="B30" s="28" t="s">
        <v>17393</v>
      </c>
      <c r="C30" s="28" t="s">
        <v>17394</v>
      </c>
    </row>
    <row r="31" customFormat="false" ht="15" hidden="false" customHeight="true" outlineLevel="0" collapsed="false">
      <c r="A31" s="28" t="s">
        <v>17388</v>
      </c>
      <c r="B31" s="28" t="s">
        <v>17395</v>
      </c>
      <c r="C31" s="28" t="s">
        <v>17396</v>
      </c>
    </row>
    <row r="32" customFormat="false" ht="15" hidden="false" customHeight="true" outlineLevel="0" collapsed="false">
      <c r="A32" s="28" t="s">
        <v>17388</v>
      </c>
      <c r="B32" s="28" t="s">
        <v>17397</v>
      </c>
      <c r="C32" s="28" t="s">
        <v>17398</v>
      </c>
    </row>
    <row r="33" customFormat="false" ht="15" hidden="false" customHeight="true" outlineLevel="0" collapsed="false">
      <c r="A33" s="28" t="s">
        <v>17388</v>
      </c>
      <c r="B33" s="28" t="s">
        <v>17399</v>
      </c>
      <c r="C33" s="28" t="s">
        <v>17400</v>
      </c>
    </row>
    <row r="34" customFormat="false" ht="15" hidden="false" customHeight="true" outlineLevel="0" collapsed="false">
      <c r="A34" s="28" t="s">
        <v>17388</v>
      </c>
      <c r="B34" s="28" t="s">
        <v>17401</v>
      </c>
      <c r="C34" s="28" t="s">
        <v>17402</v>
      </c>
    </row>
    <row r="35" customFormat="false" ht="26.4" hidden="false" customHeight="true" outlineLevel="0" collapsed="false">
      <c r="A35" s="28" t="s">
        <v>17388</v>
      </c>
      <c r="B35" s="28" t="s">
        <v>17403</v>
      </c>
      <c r="C35" s="28" t="s">
        <v>17404</v>
      </c>
    </row>
    <row r="36" customFormat="false" ht="15" hidden="false" customHeight="true" outlineLevel="0" collapsed="false">
      <c r="A36" s="28" t="s">
        <v>17405</v>
      </c>
      <c r="B36" s="28" t="s">
        <v>17406</v>
      </c>
      <c r="C36" s="28" t="s">
        <v>17407</v>
      </c>
    </row>
    <row r="37" customFormat="false" ht="15" hidden="false" customHeight="true" outlineLevel="0" collapsed="false">
      <c r="A37" s="28" t="s">
        <v>17405</v>
      </c>
      <c r="B37" s="28" t="s">
        <v>17408</v>
      </c>
      <c r="C37" s="28" t="s">
        <v>17409</v>
      </c>
    </row>
    <row r="38" customFormat="false" ht="15" hidden="false" customHeight="true" outlineLevel="0" collapsed="false">
      <c r="A38" s="28" t="s">
        <v>17405</v>
      </c>
      <c r="B38" s="28" t="s">
        <v>17410</v>
      </c>
      <c r="C38" s="28" t="s">
        <v>17411</v>
      </c>
    </row>
    <row r="39" customFormat="false" ht="15" hidden="false" customHeight="true" outlineLevel="0" collapsed="false">
      <c r="A39" s="28" t="s">
        <v>17412</v>
      </c>
      <c r="B39" s="28" t="s">
        <v>17413</v>
      </c>
      <c r="C39" s="28" t="s">
        <v>17414</v>
      </c>
    </row>
    <row r="40" customFormat="false" ht="15" hidden="false" customHeight="true" outlineLevel="0" collapsed="false">
      <c r="A40" s="28" t="s">
        <v>17412</v>
      </c>
      <c r="B40" s="28" t="s">
        <v>17415</v>
      </c>
      <c r="C40" s="28" t="s">
        <v>17416</v>
      </c>
    </row>
    <row r="41" customFormat="false" ht="15" hidden="false" customHeight="true" outlineLevel="0" collapsed="false">
      <c r="A41" s="28" t="s">
        <v>17412</v>
      </c>
      <c r="B41" s="28" t="s">
        <v>17417</v>
      </c>
      <c r="C41" s="28" t="s">
        <v>17418</v>
      </c>
    </row>
    <row r="42" customFormat="false" ht="15" hidden="false" customHeight="true" outlineLevel="0" collapsed="false">
      <c r="A42" s="28" t="s">
        <v>17419</v>
      </c>
      <c r="B42" s="28" t="s">
        <v>17420</v>
      </c>
      <c r="C42" s="28" t="s">
        <v>17421</v>
      </c>
    </row>
    <row r="43" customFormat="false" ht="26.4" hidden="false" customHeight="true" outlineLevel="0" collapsed="false">
      <c r="A43" s="28" t="s">
        <v>17422</v>
      </c>
      <c r="B43" s="28" t="s">
        <v>17423</v>
      </c>
      <c r="C43" s="28" t="s">
        <v>17424</v>
      </c>
    </row>
    <row r="44" customFormat="false" ht="15" hidden="false" customHeight="true" outlineLevel="0" collapsed="false">
      <c r="A44" s="28" t="s">
        <v>17422</v>
      </c>
      <c r="B44" s="28" t="s">
        <v>17425</v>
      </c>
      <c r="C44" s="28" t="s">
        <v>17426</v>
      </c>
    </row>
    <row r="45" customFormat="false" ht="15" hidden="false" customHeight="true" outlineLevel="0" collapsed="false">
      <c r="A45" s="28" t="s">
        <v>17422</v>
      </c>
      <c r="B45" s="28" t="s">
        <v>17427</v>
      </c>
      <c r="C45" s="28" t="s">
        <v>17428</v>
      </c>
    </row>
    <row r="46" customFormat="false" ht="15" hidden="false" customHeight="true" outlineLevel="0" collapsed="false">
      <c r="A46" s="28" t="s">
        <v>17422</v>
      </c>
      <c r="B46" s="28" t="s">
        <v>17429</v>
      </c>
      <c r="C46" s="28" t="s">
        <v>17430</v>
      </c>
    </row>
    <row r="47" customFormat="false" ht="15" hidden="false" customHeight="true" outlineLevel="0" collapsed="false">
      <c r="A47" s="28" t="s">
        <v>17422</v>
      </c>
      <c r="B47" s="28" t="s">
        <v>17431</v>
      </c>
      <c r="C47" s="28" t="s">
        <v>17432</v>
      </c>
    </row>
    <row r="48" customFormat="false" ht="15" hidden="false" customHeight="true" outlineLevel="0" collapsed="false">
      <c r="A48" s="28" t="s">
        <v>17422</v>
      </c>
      <c r="B48" s="28" t="s">
        <v>17433</v>
      </c>
      <c r="C48" s="28" t="s">
        <v>17434</v>
      </c>
    </row>
    <row r="49" customFormat="false" ht="15" hidden="false" customHeight="true" outlineLevel="0" collapsed="false">
      <c r="A49" s="28" t="s">
        <v>17422</v>
      </c>
      <c r="B49" s="28" t="s">
        <v>17435</v>
      </c>
      <c r="C49" s="28" t="s">
        <v>17436</v>
      </c>
    </row>
    <row r="50" customFormat="false" ht="15" hidden="false" customHeight="true" outlineLevel="0" collapsed="false">
      <c r="A50" s="28" t="s">
        <v>17422</v>
      </c>
      <c r="B50" s="28" t="s">
        <v>17437</v>
      </c>
      <c r="C50" s="28" t="s">
        <v>17438</v>
      </c>
    </row>
    <row r="51" customFormat="false" ht="15" hidden="false" customHeight="true" outlineLevel="0" collapsed="false">
      <c r="A51" s="28" t="s">
        <v>17422</v>
      </c>
      <c r="B51" s="28" t="s">
        <v>17439</v>
      </c>
      <c r="C51" s="28" t="s">
        <v>17440</v>
      </c>
    </row>
    <row r="52" customFormat="false" ht="15" hidden="false" customHeight="true" outlineLevel="0" collapsed="false">
      <c r="A52" s="28" t="s">
        <v>17422</v>
      </c>
      <c r="B52" s="28" t="s">
        <v>17441</v>
      </c>
      <c r="C52" s="28" t="s">
        <v>17442</v>
      </c>
    </row>
    <row r="53" customFormat="false" ht="15" hidden="false" customHeight="true" outlineLevel="0" collapsed="false">
      <c r="A53" s="28" t="s">
        <v>17422</v>
      </c>
      <c r="B53" s="28" t="s">
        <v>17443</v>
      </c>
      <c r="C53" s="28" t="s">
        <v>17444</v>
      </c>
    </row>
    <row r="54" customFormat="false" ht="15" hidden="false" customHeight="true" outlineLevel="0" collapsed="false">
      <c r="A54" s="28" t="s">
        <v>17422</v>
      </c>
      <c r="B54" s="28" t="s">
        <v>17445</v>
      </c>
      <c r="C54" s="28" t="s">
        <v>17446</v>
      </c>
    </row>
    <row r="55" customFormat="false" ht="15" hidden="false" customHeight="true" outlineLevel="0" collapsed="false">
      <c r="A55" s="28" t="s">
        <v>17422</v>
      </c>
      <c r="B55" s="28" t="s">
        <v>17447</v>
      </c>
      <c r="C55" s="28" t="s">
        <v>17448</v>
      </c>
    </row>
    <row r="56" customFormat="false" ht="15" hidden="false" customHeight="true" outlineLevel="0" collapsed="false">
      <c r="A56" s="28" t="s">
        <v>17422</v>
      </c>
      <c r="B56" s="28" t="s">
        <v>17449</v>
      </c>
      <c r="C56" s="28" t="s">
        <v>17450</v>
      </c>
    </row>
    <row r="57" customFormat="false" ht="15" hidden="false" customHeight="true" outlineLevel="0" collapsed="false">
      <c r="A57" s="28" t="s">
        <v>17422</v>
      </c>
      <c r="B57" s="28" t="s">
        <v>17451</v>
      </c>
      <c r="C57" s="28" t="s">
        <v>17452</v>
      </c>
    </row>
    <row r="58" customFormat="false" ht="15" hidden="false" customHeight="true" outlineLevel="0" collapsed="false">
      <c r="A58" s="28" t="s">
        <v>16271</v>
      </c>
      <c r="B58" s="28" t="s">
        <v>17453</v>
      </c>
      <c r="C58" s="28" t="s">
        <v>17454</v>
      </c>
    </row>
    <row r="59" customFormat="false" ht="15" hidden="false" customHeight="true" outlineLevel="0" collapsed="false">
      <c r="A59" s="28" t="s">
        <v>17455</v>
      </c>
      <c r="B59" s="28" t="s">
        <v>17456</v>
      </c>
      <c r="C59" s="28" t="s">
        <v>17457</v>
      </c>
    </row>
    <row r="60" customFormat="false" ht="15" hidden="false" customHeight="true" outlineLevel="0" collapsed="false">
      <c r="A60" s="28" t="s">
        <v>17455</v>
      </c>
      <c r="B60" s="28" t="s">
        <v>17458</v>
      </c>
      <c r="C60" s="28" t="s">
        <v>17459</v>
      </c>
    </row>
    <row r="61" customFormat="false" ht="26.4" hidden="false" customHeight="true" outlineLevel="0" collapsed="false">
      <c r="A61" s="28" t="s">
        <v>17460</v>
      </c>
      <c r="B61" s="28" t="s">
        <v>17461</v>
      </c>
      <c r="C61" s="28" t="s">
        <v>17462</v>
      </c>
    </row>
    <row r="62" customFormat="false" ht="26.4" hidden="false" customHeight="true" outlineLevel="0" collapsed="false">
      <c r="A62" s="28" t="s">
        <v>17460</v>
      </c>
      <c r="B62" s="28" t="s">
        <v>17463</v>
      </c>
      <c r="C62" s="28" t="s">
        <v>17464</v>
      </c>
    </row>
    <row r="63" customFormat="false" ht="15" hidden="false" customHeight="true" outlineLevel="0" collapsed="false">
      <c r="A63" s="28" t="s">
        <v>17465</v>
      </c>
      <c r="B63" s="28" t="s">
        <v>17466</v>
      </c>
      <c r="C63" s="28" t="s">
        <v>17467</v>
      </c>
    </row>
    <row r="64" customFormat="false" ht="15" hidden="false" customHeight="true" outlineLevel="0" collapsed="false">
      <c r="A64" s="28" t="s">
        <v>17465</v>
      </c>
      <c r="B64" s="28" t="s">
        <v>17468</v>
      </c>
      <c r="C64" s="28" t="s">
        <v>17469</v>
      </c>
    </row>
    <row r="65" customFormat="false" ht="26.4" hidden="false" customHeight="true" outlineLevel="0" collapsed="false">
      <c r="A65" s="28" t="s">
        <v>9092</v>
      </c>
      <c r="B65" s="28" t="s">
        <v>17470</v>
      </c>
      <c r="C65" s="28" t="s">
        <v>17471</v>
      </c>
    </row>
    <row r="66" customFormat="false" ht="15" hidden="false" customHeight="true" outlineLevel="0" collapsed="false">
      <c r="A66" s="28" t="s">
        <v>17472</v>
      </c>
      <c r="B66" s="28" t="s">
        <v>17473</v>
      </c>
      <c r="C66" s="28" t="s">
        <v>17474</v>
      </c>
    </row>
    <row r="67" customFormat="false" ht="15" hidden="false" customHeight="true" outlineLevel="0" collapsed="false">
      <c r="A67" s="28" t="s">
        <v>17475</v>
      </c>
      <c r="B67" s="28" t="s">
        <v>17476</v>
      </c>
      <c r="C67" s="28" t="s">
        <v>17477</v>
      </c>
    </row>
    <row r="68" customFormat="false" ht="15" hidden="false" customHeight="true" outlineLevel="0" collapsed="false">
      <c r="A68" s="28" t="s">
        <v>17475</v>
      </c>
      <c r="B68" s="28" t="s">
        <v>17478</v>
      </c>
      <c r="C68" s="28" t="s">
        <v>17479</v>
      </c>
    </row>
    <row r="69" customFormat="false" ht="15" hidden="false" customHeight="true" outlineLevel="0" collapsed="false">
      <c r="A69" s="28" t="s">
        <v>17480</v>
      </c>
      <c r="B69" s="28" t="s">
        <v>17481</v>
      </c>
      <c r="C69" s="28" t="s">
        <v>17482</v>
      </c>
    </row>
    <row r="70" customFormat="false" ht="15" hidden="false" customHeight="true" outlineLevel="0" collapsed="false">
      <c r="A70" s="28" t="s">
        <v>17480</v>
      </c>
      <c r="B70" s="28" t="s">
        <v>17415</v>
      </c>
      <c r="C70" s="28" t="s">
        <v>17483</v>
      </c>
    </row>
    <row r="71" customFormat="false" ht="15" hidden="false" customHeight="true" outlineLevel="0" collapsed="false">
      <c r="A71" s="28" t="s">
        <v>17480</v>
      </c>
      <c r="B71" s="28" t="s">
        <v>17484</v>
      </c>
      <c r="C71" s="28" t="s">
        <v>17485</v>
      </c>
    </row>
    <row r="72" customFormat="false" ht="26.4" hidden="false" customHeight="true" outlineLevel="0" collapsed="false">
      <c r="A72" s="28" t="s">
        <v>17486</v>
      </c>
      <c r="B72" s="28" t="s">
        <v>17487</v>
      </c>
      <c r="C72" s="28" t="s">
        <v>17488</v>
      </c>
    </row>
    <row r="73" customFormat="false" ht="26.4" hidden="false" customHeight="true" outlineLevel="0" collapsed="false">
      <c r="A73" s="28" t="s">
        <v>17486</v>
      </c>
      <c r="B73" s="28" t="s">
        <v>17489</v>
      </c>
      <c r="C73" s="28" t="s">
        <v>17490</v>
      </c>
    </row>
    <row r="74" customFormat="false" ht="15" hidden="false" customHeight="true" outlineLevel="0" collapsed="false">
      <c r="A74" s="28" t="s">
        <v>17491</v>
      </c>
      <c r="B74" s="28" t="s">
        <v>15666</v>
      </c>
      <c r="C74" s="28" t="s">
        <v>17492</v>
      </c>
    </row>
    <row r="75" customFormat="false" ht="15" hidden="false" customHeight="true" outlineLevel="0" collapsed="false">
      <c r="A75" s="28" t="s">
        <v>17491</v>
      </c>
      <c r="B75" s="28" t="s">
        <v>17493</v>
      </c>
      <c r="C75" s="28" t="s">
        <v>17494</v>
      </c>
    </row>
    <row r="76" customFormat="false" ht="15" hidden="false" customHeight="true" outlineLevel="0" collapsed="false">
      <c r="A76" s="28" t="s">
        <v>17491</v>
      </c>
      <c r="B76" s="28" t="s">
        <v>17389</v>
      </c>
      <c r="C76" s="28" t="s">
        <v>17495</v>
      </c>
    </row>
    <row r="77" customFormat="false" ht="15" hidden="false" customHeight="true" outlineLevel="0" collapsed="false">
      <c r="A77" s="28" t="s">
        <v>17491</v>
      </c>
      <c r="B77" s="28" t="s">
        <v>17391</v>
      </c>
      <c r="C77" s="28" t="s">
        <v>17496</v>
      </c>
    </row>
    <row r="78" customFormat="false" ht="15" hidden="false" customHeight="true" outlineLevel="0" collapsed="false">
      <c r="A78" s="28" t="s">
        <v>17491</v>
      </c>
      <c r="B78" s="28" t="s">
        <v>17393</v>
      </c>
      <c r="C78" s="28" t="s">
        <v>17497</v>
      </c>
    </row>
    <row r="79" customFormat="false" ht="15" hidden="false" customHeight="true" outlineLevel="0" collapsed="false">
      <c r="A79" s="28" t="s">
        <v>17491</v>
      </c>
      <c r="B79" s="28" t="s">
        <v>17395</v>
      </c>
      <c r="C79" s="28" t="s">
        <v>17498</v>
      </c>
    </row>
    <row r="80" customFormat="false" ht="15" hidden="false" customHeight="true" outlineLevel="0" collapsed="false">
      <c r="A80" s="28" t="s">
        <v>17491</v>
      </c>
      <c r="B80" s="28" t="s">
        <v>17397</v>
      </c>
      <c r="C80" s="28" t="s">
        <v>17499</v>
      </c>
    </row>
    <row r="81" customFormat="false" ht="15" hidden="false" customHeight="true" outlineLevel="0" collapsed="false">
      <c r="A81" s="28" t="s">
        <v>17491</v>
      </c>
      <c r="B81" s="28" t="s">
        <v>17399</v>
      </c>
      <c r="C81" s="28" t="s">
        <v>17500</v>
      </c>
    </row>
    <row r="82" customFormat="false" ht="15" hidden="false" customHeight="true" outlineLevel="0" collapsed="false">
      <c r="A82" s="28" t="s">
        <v>17491</v>
      </c>
      <c r="B82" s="28" t="s">
        <v>17501</v>
      </c>
      <c r="C82" s="28" t="s">
        <v>17502</v>
      </c>
    </row>
    <row r="83" customFormat="false" ht="15" hidden="false" customHeight="true" outlineLevel="0" collapsed="false">
      <c r="A83" s="28" t="s">
        <v>17491</v>
      </c>
      <c r="B83" s="28" t="s">
        <v>17401</v>
      </c>
      <c r="C83" s="28" t="s">
        <v>17503</v>
      </c>
    </row>
    <row r="84" customFormat="false" ht="15" hidden="false" customHeight="true" outlineLevel="0" collapsed="false">
      <c r="A84" s="28" t="s">
        <v>17491</v>
      </c>
      <c r="B84" s="28" t="s">
        <v>17403</v>
      </c>
      <c r="C84" s="28" t="s">
        <v>17504</v>
      </c>
    </row>
    <row r="85" customFormat="false" ht="15" hidden="false" customHeight="true" outlineLevel="0" collapsed="false">
      <c r="A85" s="28" t="s">
        <v>17505</v>
      </c>
      <c r="B85" s="28" t="s">
        <v>17506</v>
      </c>
      <c r="C85" s="28" t="s">
        <v>17507</v>
      </c>
    </row>
    <row r="86" customFormat="false" ht="15" hidden="false" customHeight="true" outlineLevel="0" collapsed="false">
      <c r="A86" s="28" t="s">
        <v>17505</v>
      </c>
      <c r="B86" s="28" t="s">
        <v>17508</v>
      </c>
      <c r="C86" s="28" t="s">
        <v>17509</v>
      </c>
    </row>
    <row r="87" customFormat="false" ht="15" hidden="false" customHeight="true" outlineLevel="0" collapsed="false">
      <c r="A87" s="28" t="s">
        <v>17505</v>
      </c>
      <c r="B87" s="28" t="s">
        <v>17510</v>
      </c>
      <c r="C87" s="28" t="s">
        <v>17511</v>
      </c>
    </row>
    <row r="88" customFormat="false" ht="15" hidden="false" customHeight="true" outlineLevel="0" collapsed="false">
      <c r="A88" s="28" t="s">
        <v>17505</v>
      </c>
      <c r="B88" s="28" t="s">
        <v>17512</v>
      </c>
      <c r="C88" s="28" t="s">
        <v>17513</v>
      </c>
    </row>
    <row r="89" customFormat="false" ht="15" hidden="false" customHeight="true" outlineLevel="0" collapsed="false">
      <c r="A89" s="28" t="s">
        <v>17505</v>
      </c>
      <c r="B89" s="28" t="s">
        <v>17514</v>
      </c>
      <c r="C89" s="28" t="s">
        <v>17515</v>
      </c>
    </row>
    <row r="90" customFormat="false" ht="15" hidden="false" customHeight="true" outlineLevel="0" collapsed="false">
      <c r="A90" s="28" t="s">
        <v>17505</v>
      </c>
      <c r="B90" s="28" t="s">
        <v>17516</v>
      </c>
      <c r="C90" s="28" t="s">
        <v>17517</v>
      </c>
    </row>
    <row r="91" customFormat="false" ht="15" hidden="false" customHeight="true" outlineLevel="0" collapsed="false">
      <c r="A91" s="28" t="s">
        <v>17505</v>
      </c>
      <c r="B91" s="28" t="s">
        <v>17518</v>
      </c>
      <c r="C91" s="28" t="s">
        <v>17519</v>
      </c>
    </row>
    <row r="92" customFormat="false" ht="15" hidden="false" customHeight="true" outlineLevel="0" collapsed="false">
      <c r="A92" s="28" t="s">
        <v>17520</v>
      </c>
      <c r="B92" s="28" t="s">
        <v>17435</v>
      </c>
      <c r="C92" s="28" t="s">
        <v>17521</v>
      </c>
    </row>
    <row r="93" customFormat="false" ht="15" hidden="false" customHeight="true" outlineLevel="0" collapsed="false">
      <c r="A93" s="28" t="s">
        <v>17520</v>
      </c>
      <c r="B93" s="28" t="s">
        <v>17522</v>
      </c>
      <c r="C93" s="28" t="s">
        <v>17523</v>
      </c>
    </row>
    <row r="94" customFormat="false" ht="15" hidden="false" customHeight="true" outlineLevel="0" collapsed="false">
      <c r="A94" s="28" t="s">
        <v>17520</v>
      </c>
      <c r="B94" s="28" t="s">
        <v>17524</v>
      </c>
      <c r="C94" s="28" t="s">
        <v>17525</v>
      </c>
    </row>
    <row r="95" customFormat="false" ht="26.4" hidden="false" customHeight="true" outlineLevel="0" collapsed="false">
      <c r="A95" s="28" t="s">
        <v>17520</v>
      </c>
      <c r="B95" s="28" t="s">
        <v>17526</v>
      </c>
      <c r="C95" s="28" t="s">
        <v>17527</v>
      </c>
    </row>
    <row r="96" customFormat="false" ht="26.4" hidden="false" customHeight="true" outlineLevel="0" collapsed="false">
      <c r="A96" s="28" t="s">
        <v>17520</v>
      </c>
      <c r="B96" s="28" t="s">
        <v>17528</v>
      </c>
      <c r="C96" s="28" t="s">
        <v>17529</v>
      </c>
    </row>
    <row r="97" customFormat="false" ht="15" hidden="false" customHeight="true" outlineLevel="0" collapsed="false">
      <c r="A97" s="28" t="s">
        <v>17520</v>
      </c>
      <c r="B97" s="28" t="s">
        <v>17530</v>
      </c>
      <c r="C97" s="28" t="s">
        <v>17531</v>
      </c>
    </row>
    <row r="98" customFormat="false" ht="15" hidden="false" customHeight="true" outlineLevel="0" collapsed="false">
      <c r="A98" s="28" t="s">
        <v>17520</v>
      </c>
      <c r="B98" s="28" t="s">
        <v>17532</v>
      </c>
      <c r="C98" s="28" t="s">
        <v>17533</v>
      </c>
    </row>
    <row r="99" customFormat="false" ht="15" hidden="false" customHeight="true" outlineLevel="0" collapsed="false">
      <c r="A99" s="28" t="s">
        <v>17520</v>
      </c>
      <c r="B99" s="28" t="s">
        <v>17534</v>
      </c>
      <c r="C99" s="28" t="s">
        <v>17535</v>
      </c>
    </row>
    <row r="100" customFormat="false" ht="15" hidden="false" customHeight="true" outlineLevel="0" collapsed="false">
      <c r="A100" s="28" t="s">
        <v>17520</v>
      </c>
      <c r="B100" s="28" t="s">
        <v>17536</v>
      </c>
      <c r="C100" s="28" t="s">
        <v>17537</v>
      </c>
    </row>
    <row r="101" customFormat="false" ht="15" hidden="false" customHeight="true" outlineLevel="0" collapsed="false">
      <c r="A101" s="28" t="s">
        <v>17520</v>
      </c>
      <c r="B101" s="28" t="s">
        <v>17538</v>
      </c>
      <c r="C101" s="28" t="s">
        <v>17539</v>
      </c>
    </row>
    <row r="102" customFormat="false" ht="15" hidden="false" customHeight="true" outlineLevel="0" collapsed="false">
      <c r="A102" s="28" t="s">
        <v>17520</v>
      </c>
      <c r="B102" s="28" t="s">
        <v>17540</v>
      </c>
      <c r="C102" s="28" t="s">
        <v>17541</v>
      </c>
    </row>
    <row r="103" customFormat="false" ht="15" hidden="false" customHeight="true" outlineLevel="0" collapsed="false">
      <c r="A103" s="28" t="s">
        <v>17520</v>
      </c>
      <c r="B103" s="28" t="s">
        <v>17542</v>
      </c>
      <c r="C103" s="28" t="s">
        <v>17543</v>
      </c>
    </row>
    <row r="104" customFormat="false" ht="15" hidden="false" customHeight="true" outlineLevel="0" collapsed="false">
      <c r="A104" s="28" t="s">
        <v>17520</v>
      </c>
      <c r="B104" s="28" t="s">
        <v>17544</v>
      </c>
      <c r="C104" s="28" t="s">
        <v>17545</v>
      </c>
    </row>
    <row r="105" customFormat="false" ht="26.4" hidden="false" customHeight="true" outlineLevel="0" collapsed="false">
      <c r="A105" s="28" t="s">
        <v>17520</v>
      </c>
      <c r="B105" s="28" t="s">
        <v>17546</v>
      </c>
      <c r="C105" s="28" t="s">
        <v>17547</v>
      </c>
    </row>
    <row r="106" customFormat="false" ht="15" hidden="false" customHeight="true" outlineLevel="0" collapsed="false">
      <c r="A106" s="28" t="s">
        <v>17520</v>
      </c>
      <c r="B106" s="28" t="s">
        <v>17548</v>
      </c>
      <c r="C106" s="28" t="s">
        <v>17549</v>
      </c>
    </row>
    <row r="107" customFormat="false" ht="15" hidden="false" customHeight="true" outlineLevel="0" collapsed="false">
      <c r="A107" s="28" t="s">
        <v>17520</v>
      </c>
      <c r="B107" s="28" t="s">
        <v>17550</v>
      </c>
      <c r="C107" s="28" t="s">
        <v>17551</v>
      </c>
    </row>
    <row r="108" customFormat="false" ht="15" hidden="false" customHeight="true" outlineLevel="0" collapsed="false">
      <c r="A108" s="28" t="s">
        <v>17520</v>
      </c>
      <c r="B108" s="28" t="s">
        <v>17552</v>
      </c>
      <c r="C108" s="28" t="s">
        <v>17553</v>
      </c>
    </row>
    <row r="109" customFormat="false" ht="15" hidden="false" customHeight="true" outlineLevel="0" collapsed="false">
      <c r="A109" s="28" t="s">
        <v>17520</v>
      </c>
      <c r="B109" s="28" t="s">
        <v>17554</v>
      </c>
      <c r="C109" s="28" t="s">
        <v>17555</v>
      </c>
    </row>
    <row r="110" customFormat="false" ht="15" hidden="false" customHeight="true" outlineLevel="0" collapsed="false">
      <c r="A110" s="28" t="s">
        <v>17520</v>
      </c>
      <c r="B110" s="28" t="s">
        <v>17556</v>
      </c>
      <c r="C110" s="28" t="s">
        <v>17557</v>
      </c>
    </row>
    <row r="111" customFormat="false" ht="15" hidden="false" customHeight="true" outlineLevel="0" collapsed="false">
      <c r="A111" s="28" t="s">
        <v>17520</v>
      </c>
      <c r="B111" s="28" t="s">
        <v>17558</v>
      </c>
      <c r="C111" s="28" t="s">
        <v>17559</v>
      </c>
    </row>
    <row r="112" customFormat="false" ht="15" hidden="false" customHeight="true" outlineLevel="0" collapsed="false">
      <c r="A112" s="28" t="s">
        <v>17520</v>
      </c>
      <c r="B112" s="28" t="s">
        <v>17560</v>
      </c>
      <c r="C112" s="28" t="s">
        <v>17561</v>
      </c>
    </row>
    <row r="113" customFormat="false" ht="15" hidden="false" customHeight="true" outlineLevel="0" collapsed="false">
      <c r="A113" s="28" t="s">
        <v>17520</v>
      </c>
      <c r="B113" s="28" t="s">
        <v>17562</v>
      </c>
      <c r="C113" s="28" t="s">
        <v>17563</v>
      </c>
    </row>
    <row r="114" customFormat="false" ht="15" hidden="false" customHeight="true" outlineLevel="0" collapsed="false">
      <c r="A114" s="28" t="s">
        <v>17520</v>
      </c>
      <c r="B114" s="28" t="s">
        <v>17564</v>
      </c>
      <c r="C114" s="28" t="s">
        <v>17565</v>
      </c>
    </row>
    <row r="115" customFormat="false" ht="15" hidden="false" customHeight="true" outlineLevel="0" collapsed="false">
      <c r="A115" s="28" t="s">
        <v>17520</v>
      </c>
      <c r="B115" s="28" t="s">
        <v>17566</v>
      </c>
      <c r="C115" s="28" t="s">
        <v>17567</v>
      </c>
    </row>
    <row r="116" customFormat="false" ht="15" hidden="false" customHeight="true" outlineLevel="0" collapsed="false">
      <c r="A116" s="28" t="s">
        <v>17520</v>
      </c>
      <c r="B116" s="28" t="s">
        <v>17568</v>
      </c>
      <c r="C116" s="28" t="s">
        <v>17569</v>
      </c>
    </row>
    <row r="117" customFormat="false" ht="26.4" hidden="false" customHeight="true" outlineLevel="0" collapsed="false">
      <c r="A117" s="28" t="s">
        <v>17520</v>
      </c>
      <c r="B117" s="28" t="s">
        <v>17570</v>
      </c>
      <c r="C117" s="28" t="s">
        <v>17571</v>
      </c>
    </row>
    <row r="118" customFormat="false" ht="15" hidden="false" customHeight="true" outlineLevel="0" collapsed="false">
      <c r="A118" s="28" t="s">
        <v>17520</v>
      </c>
      <c r="B118" s="28" t="s">
        <v>17572</v>
      </c>
      <c r="C118" s="28" t="s">
        <v>17573</v>
      </c>
    </row>
    <row r="119" customFormat="false" ht="15" hidden="false" customHeight="true" outlineLevel="0" collapsed="false">
      <c r="A119" s="28" t="s">
        <v>17520</v>
      </c>
      <c r="B119" s="28" t="s">
        <v>17574</v>
      </c>
      <c r="C119" s="28" t="s">
        <v>17575</v>
      </c>
    </row>
    <row r="120" customFormat="false" ht="15" hidden="false" customHeight="true" outlineLevel="0" collapsed="false">
      <c r="A120" s="28" t="s">
        <v>17520</v>
      </c>
      <c r="B120" s="28" t="s">
        <v>17576</v>
      </c>
      <c r="C120" s="28" t="s">
        <v>17577</v>
      </c>
    </row>
    <row r="121" customFormat="false" ht="15" hidden="false" customHeight="true" outlineLevel="0" collapsed="false">
      <c r="A121" s="28" t="s">
        <v>17520</v>
      </c>
      <c r="B121" s="28" t="s">
        <v>17578</v>
      </c>
      <c r="C121" s="28" t="s">
        <v>17579</v>
      </c>
    </row>
    <row r="122" customFormat="false" ht="15" hidden="false" customHeight="true" outlineLevel="0" collapsed="false">
      <c r="A122" s="28" t="s">
        <v>17520</v>
      </c>
      <c r="B122" s="28" t="s">
        <v>17580</v>
      </c>
      <c r="C122" s="28" t="s">
        <v>17581</v>
      </c>
    </row>
    <row r="123" customFormat="false" ht="15" hidden="false" customHeight="true" outlineLevel="0" collapsed="false">
      <c r="A123" s="28" t="s">
        <v>17520</v>
      </c>
      <c r="B123" s="28" t="s">
        <v>17582</v>
      </c>
      <c r="C123" s="28" t="s">
        <v>17583</v>
      </c>
    </row>
    <row r="124" customFormat="false" ht="15" hidden="false" customHeight="true" outlineLevel="0" collapsed="false">
      <c r="A124" s="28" t="s">
        <v>17520</v>
      </c>
      <c r="B124" s="28" t="s">
        <v>17584</v>
      </c>
      <c r="C124" s="28" t="s">
        <v>17585</v>
      </c>
    </row>
    <row r="125" customFormat="false" ht="15" hidden="false" customHeight="true" outlineLevel="0" collapsed="false">
      <c r="A125" s="28" t="s">
        <v>17520</v>
      </c>
      <c r="B125" s="28" t="s">
        <v>17586</v>
      </c>
      <c r="C125" s="28" t="s">
        <v>17587</v>
      </c>
    </row>
    <row r="126" customFormat="false" ht="15" hidden="false" customHeight="true" outlineLevel="0" collapsed="false">
      <c r="A126" s="28" t="s">
        <v>17520</v>
      </c>
      <c r="B126" s="28" t="s">
        <v>17588</v>
      </c>
      <c r="C126" s="28" t="s">
        <v>17589</v>
      </c>
    </row>
    <row r="127" customFormat="false" ht="15" hidden="false" customHeight="true" outlineLevel="0" collapsed="false">
      <c r="A127" s="28" t="s">
        <v>17520</v>
      </c>
      <c r="B127" s="28" t="s">
        <v>17590</v>
      </c>
      <c r="C127" s="28" t="s">
        <v>17591</v>
      </c>
    </row>
    <row r="128" customFormat="false" ht="26.4" hidden="false" customHeight="true" outlineLevel="0" collapsed="false">
      <c r="A128" s="28" t="s">
        <v>17520</v>
      </c>
      <c r="B128" s="28" t="s">
        <v>17592</v>
      </c>
      <c r="C128" s="28" t="s">
        <v>17593</v>
      </c>
    </row>
    <row r="129" customFormat="false" ht="15" hidden="false" customHeight="true" outlineLevel="0" collapsed="false">
      <c r="A129" s="28" t="s">
        <v>17520</v>
      </c>
      <c r="B129" s="28" t="s">
        <v>17594</v>
      </c>
      <c r="C129" s="28" t="s">
        <v>17595</v>
      </c>
    </row>
    <row r="130" customFormat="false" ht="15" hidden="false" customHeight="true" outlineLevel="0" collapsed="false">
      <c r="A130" s="28" t="s">
        <v>17520</v>
      </c>
      <c r="B130" s="28" t="s">
        <v>17596</v>
      </c>
      <c r="C130" s="28" t="s">
        <v>17597</v>
      </c>
    </row>
    <row r="131" customFormat="false" ht="15" hidden="false" customHeight="true" outlineLevel="0" collapsed="false">
      <c r="A131" s="28" t="s">
        <v>17520</v>
      </c>
      <c r="B131" s="28" t="s">
        <v>17598</v>
      </c>
      <c r="C131" s="28" t="s">
        <v>17599</v>
      </c>
    </row>
    <row r="132" customFormat="false" ht="15" hidden="false" customHeight="true" outlineLevel="0" collapsed="false">
      <c r="A132" s="28" t="s">
        <v>17520</v>
      </c>
      <c r="B132" s="28" t="s">
        <v>17600</v>
      </c>
      <c r="C132" s="28" t="s">
        <v>17601</v>
      </c>
    </row>
    <row r="133" customFormat="false" ht="15" hidden="false" customHeight="true" outlineLevel="0" collapsed="false">
      <c r="A133" s="28" t="s">
        <v>17520</v>
      </c>
      <c r="B133" s="28" t="s">
        <v>17602</v>
      </c>
      <c r="C133" s="28" t="s">
        <v>17603</v>
      </c>
    </row>
    <row r="134" customFormat="false" ht="15" hidden="false" customHeight="true" outlineLevel="0" collapsed="false">
      <c r="A134" s="28" t="s">
        <v>17520</v>
      </c>
      <c r="B134" s="28" t="s">
        <v>17604</v>
      </c>
      <c r="C134" s="28" t="s">
        <v>17605</v>
      </c>
    </row>
    <row r="135" customFormat="false" ht="26.4" hidden="false" customHeight="true" outlineLevel="0" collapsed="false">
      <c r="A135" s="28" t="s">
        <v>17606</v>
      </c>
      <c r="B135" s="28" t="s">
        <v>17607</v>
      </c>
      <c r="C135" s="28" t="s">
        <v>17608</v>
      </c>
    </row>
    <row r="136" customFormat="false" ht="26.4" hidden="false" customHeight="true" outlineLevel="0" collapsed="false">
      <c r="A136" s="28" t="s">
        <v>17606</v>
      </c>
      <c r="B136" s="28" t="s">
        <v>17609</v>
      </c>
      <c r="C136" s="28" t="s">
        <v>17610</v>
      </c>
    </row>
    <row r="137" customFormat="false" ht="26.4" hidden="false" customHeight="true" outlineLevel="0" collapsed="false">
      <c r="A137" s="28" t="s">
        <v>17606</v>
      </c>
      <c r="B137" s="28" t="s">
        <v>17611</v>
      </c>
      <c r="C137" s="28" t="s">
        <v>17612</v>
      </c>
    </row>
    <row r="138" customFormat="false" ht="15" hidden="false" customHeight="true" outlineLevel="0" collapsed="false">
      <c r="A138" s="28" t="s">
        <v>17613</v>
      </c>
      <c r="B138" s="28" t="s">
        <v>17614</v>
      </c>
      <c r="C138" s="28" t="s">
        <v>17615</v>
      </c>
    </row>
    <row r="139" customFormat="false" ht="15" hidden="false" customHeight="true" outlineLevel="0" collapsed="false">
      <c r="A139" s="28" t="s">
        <v>17613</v>
      </c>
      <c r="B139" s="28" t="s">
        <v>17616</v>
      </c>
      <c r="C139" s="28" t="s">
        <v>17617</v>
      </c>
    </row>
    <row r="140" customFormat="false" ht="15" hidden="false" customHeight="true" outlineLevel="0" collapsed="false">
      <c r="A140" s="28" t="s">
        <v>17613</v>
      </c>
      <c r="B140" s="28" t="s">
        <v>17618</v>
      </c>
      <c r="C140" s="28" t="s">
        <v>17619</v>
      </c>
    </row>
    <row r="141" customFormat="false" ht="15" hidden="false" customHeight="true" outlineLevel="0" collapsed="false">
      <c r="A141" s="28" t="s">
        <v>17613</v>
      </c>
      <c r="B141" s="28" t="s">
        <v>17620</v>
      </c>
      <c r="C141" s="28" t="s">
        <v>17621</v>
      </c>
    </row>
    <row r="142" customFormat="false" ht="15" hidden="false" customHeight="true" outlineLevel="0" collapsed="false">
      <c r="A142" s="28" t="s">
        <v>17613</v>
      </c>
      <c r="B142" s="28" t="s">
        <v>17622</v>
      </c>
      <c r="C142" s="28" t="s">
        <v>17623</v>
      </c>
    </row>
    <row r="143" customFormat="false" ht="15" hidden="false" customHeight="true" outlineLevel="0" collapsed="false">
      <c r="A143" s="28" t="s">
        <v>17613</v>
      </c>
      <c r="B143" s="28" t="s">
        <v>17624</v>
      </c>
      <c r="C143" s="28" t="s">
        <v>17625</v>
      </c>
    </row>
    <row r="144" customFormat="false" ht="15" hidden="false" customHeight="true" outlineLevel="0" collapsed="false">
      <c r="A144" s="28" t="s">
        <v>17613</v>
      </c>
      <c r="B144" s="28" t="s">
        <v>17626</v>
      </c>
      <c r="C144" s="28" t="s">
        <v>17627</v>
      </c>
    </row>
    <row r="145" customFormat="false" ht="26.4" hidden="false" customHeight="true" outlineLevel="0" collapsed="false">
      <c r="A145" s="28" t="s">
        <v>17628</v>
      </c>
      <c r="B145" s="28" t="s">
        <v>17629</v>
      </c>
      <c r="C145" s="28" t="s">
        <v>17630</v>
      </c>
    </row>
    <row r="146" customFormat="false" ht="26.4" hidden="false" customHeight="true" outlineLevel="0" collapsed="false">
      <c r="A146" s="28" t="s">
        <v>17628</v>
      </c>
      <c r="B146" s="28" t="s">
        <v>17631</v>
      </c>
      <c r="C146" s="28" t="s">
        <v>17632</v>
      </c>
    </row>
    <row r="147" customFormat="false" ht="26.4" hidden="false" customHeight="true" outlineLevel="0" collapsed="false">
      <c r="A147" s="28" t="s">
        <v>17628</v>
      </c>
      <c r="B147" s="28" t="s">
        <v>17633</v>
      </c>
      <c r="C147" s="28" t="s">
        <v>17634</v>
      </c>
    </row>
    <row r="148" customFormat="false" ht="26.4" hidden="false" customHeight="true" outlineLevel="0" collapsed="false">
      <c r="A148" s="28" t="s">
        <v>17628</v>
      </c>
      <c r="B148" s="28" t="s">
        <v>17635</v>
      </c>
      <c r="C148" s="28" t="s">
        <v>17636</v>
      </c>
    </row>
    <row r="149" customFormat="false" ht="15" hidden="false" customHeight="true" outlineLevel="0" collapsed="false">
      <c r="A149" s="28" t="s">
        <v>87</v>
      </c>
      <c r="B149" s="28" t="s">
        <v>17637</v>
      </c>
      <c r="C149" s="28" t="s">
        <v>17638</v>
      </c>
    </row>
    <row r="150" customFormat="false" ht="15" hidden="false" customHeight="true" outlineLevel="0" collapsed="false">
      <c r="A150" s="28" t="s">
        <v>15662</v>
      </c>
      <c r="B150" s="28" t="s">
        <v>15663</v>
      </c>
      <c r="C150" s="28" t="s">
        <v>17639</v>
      </c>
    </row>
    <row r="151" customFormat="false" ht="15" hidden="false" customHeight="true" outlineLevel="0" collapsed="false">
      <c r="A151" s="28" t="s">
        <v>17640</v>
      </c>
      <c r="B151" s="28" t="s">
        <v>15678</v>
      </c>
      <c r="C151" s="28" t="s">
        <v>17641</v>
      </c>
    </row>
    <row r="152" customFormat="false" ht="15" hidden="false" customHeight="true" outlineLevel="0" collapsed="false">
      <c r="A152" s="28" t="s">
        <v>17640</v>
      </c>
      <c r="B152" s="28" t="s">
        <v>15693</v>
      </c>
      <c r="C152" s="28" t="s">
        <v>17642</v>
      </c>
    </row>
    <row r="153" customFormat="false" ht="15" hidden="false" customHeight="true" outlineLevel="0" collapsed="false">
      <c r="A153" s="28" t="s">
        <v>17643</v>
      </c>
      <c r="B153" s="28" t="s">
        <v>15711</v>
      </c>
      <c r="C153" s="28" t="s">
        <v>17644</v>
      </c>
    </row>
    <row r="154" customFormat="false" ht="15" hidden="false" customHeight="true" outlineLevel="0" collapsed="false">
      <c r="A154" s="28" t="s">
        <v>17645</v>
      </c>
      <c r="B154" s="28" t="s">
        <v>17646</v>
      </c>
      <c r="C154" s="28" t="s">
        <v>17647</v>
      </c>
    </row>
    <row r="155" customFormat="false" ht="15" hidden="false" customHeight="true" outlineLevel="0" collapsed="false">
      <c r="A155" s="28" t="s">
        <v>17645</v>
      </c>
      <c r="B155" s="28" t="s">
        <v>17648</v>
      </c>
      <c r="C155" s="28" t="s">
        <v>17649</v>
      </c>
    </row>
    <row r="156" customFormat="false" ht="15" hidden="false" customHeight="true" outlineLevel="0" collapsed="false">
      <c r="A156" s="28" t="s">
        <v>17645</v>
      </c>
      <c r="B156" s="28" t="s">
        <v>17650</v>
      </c>
      <c r="C156" s="28" t="s">
        <v>17651</v>
      </c>
    </row>
    <row r="157" customFormat="false" ht="15" hidden="false" customHeight="true" outlineLevel="0" collapsed="false">
      <c r="A157" s="28" t="s">
        <v>17645</v>
      </c>
      <c r="B157" s="28" t="s">
        <v>17652</v>
      </c>
      <c r="C157" s="28" t="s">
        <v>17653</v>
      </c>
    </row>
    <row r="158" customFormat="false" ht="15" hidden="false" customHeight="true" outlineLevel="0" collapsed="false">
      <c r="A158" s="28" t="s">
        <v>17645</v>
      </c>
      <c r="B158" s="28" t="s">
        <v>17654</v>
      </c>
      <c r="C158" s="28" t="s">
        <v>17655</v>
      </c>
    </row>
    <row r="159" customFormat="false" ht="15" hidden="false" customHeight="true" outlineLevel="0" collapsed="false">
      <c r="A159" s="28" t="s">
        <v>17656</v>
      </c>
      <c r="B159" s="28" t="s">
        <v>15683</v>
      </c>
      <c r="C159" s="28" t="s">
        <v>17657</v>
      </c>
    </row>
    <row r="160" customFormat="false" ht="15" hidden="false" customHeight="true" outlineLevel="0" collapsed="false">
      <c r="A160" s="28" t="s">
        <v>17656</v>
      </c>
      <c r="B160" s="28" t="s">
        <v>17658</v>
      </c>
      <c r="C160" s="28" t="s">
        <v>17659</v>
      </c>
    </row>
    <row r="161" customFormat="false" ht="15" hidden="false" customHeight="true" outlineLevel="0" collapsed="false">
      <c r="A161" s="28" t="s">
        <v>17660</v>
      </c>
      <c r="B161" s="28" t="s">
        <v>17661</v>
      </c>
      <c r="C161" s="28" t="s">
        <v>17662</v>
      </c>
    </row>
    <row r="162" customFormat="false" ht="15" hidden="false" customHeight="true" outlineLevel="0" collapsed="false">
      <c r="A162" s="28" t="s">
        <v>17660</v>
      </c>
      <c r="B162" s="28" t="s">
        <v>15663</v>
      </c>
      <c r="C162" s="28" t="s">
        <v>17663</v>
      </c>
    </row>
    <row r="163" customFormat="false" ht="15" hidden="false" customHeight="true" outlineLevel="0" collapsed="false">
      <c r="A163" s="28" t="s">
        <v>17664</v>
      </c>
      <c r="B163" s="28" t="s">
        <v>17665</v>
      </c>
      <c r="C163" s="28" t="s">
        <v>17666</v>
      </c>
    </row>
    <row r="164" customFormat="false" ht="15" hidden="false" customHeight="true" outlineLevel="0" collapsed="false">
      <c r="A164" s="28" t="s">
        <v>17664</v>
      </c>
      <c r="B164" s="28" t="s">
        <v>17667</v>
      </c>
      <c r="C164" s="28" t="s">
        <v>17668</v>
      </c>
    </row>
    <row r="165" customFormat="false" ht="15" hidden="false" customHeight="true" outlineLevel="0" collapsed="false">
      <c r="A165" s="28" t="s">
        <v>17669</v>
      </c>
      <c r="B165" s="28" t="s">
        <v>17670</v>
      </c>
      <c r="C165" s="28" t="s">
        <v>17671</v>
      </c>
    </row>
    <row r="166" customFormat="false" ht="15" hidden="false" customHeight="true" outlineLevel="0" collapsed="false">
      <c r="A166" s="28" t="s">
        <v>17669</v>
      </c>
      <c r="B166" s="28" t="s">
        <v>17672</v>
      </c>
      <c r="C166" s="28" t="s">
        <v>17673</v>
      </c>
    </row>
    <row r="167" customFormat="false" ht="15" hidden="false" customHeight="true" outlineLevel="0" collapsed="false">
      <c r="A167" s="28" t="s">
        <v>17674</v>
      </c>
      <c r="B167" s="28" t="s">
        <v>15805</v>
      </c>
      <c r="C167" s="28" t="s">
        <v>17675</v>
      </c>
    </row>
    <row r="168" customFormat="false" ht="15" hidden="false" customHeight="true" outlineLevel="0" collapsed="false">
      <c r="A168" s="28" t="s">
        <v>17676</v>
      </c>
      <c r="B168" s="28" t="s">
        <v>15811</v>
      </c>
      <c r="C168" s="28" t="s">
        <v>17677</v>
      </c>
    </row>
    <row r="169" customFormat="false" ht="15" hidden="false" customHeight="true" outlineLevel="0" collapsed="false">
      <c r="A169" s="28" t="s">
        <v>17678</v>
      </c>
      <c r="B169" s="28" t="s">
        <v>15822</v>
      </c>
      <c r="C169" s="28" t="s">
        <v>17679</v>
      </c>
    </row>
    <row r="170" customFormat="false" ht="15" hidden="false" customHeight="true" outlineLevel="0" collapsed="false">
      <c r="A170" s="28" t="s">
        <v>17680</v>
      </c>
      <c r="B170" s="28" t="s">
        <v>17681</v>
      </c>
      <c r="C170" s="28" t="s">
        <v>17682</v>
      </c>
    </row>
    <row r="171" customFormat="false" ht="15" hidden="false" customHeight="true" outlineLevel="0" collapsed="false">
      <c r="A171" s="28" t="s">
        <v>17680</v>
      </c>
      <c r="B171" s="28" t="s">
        <v>17683</v>
      </c>
      <c r="C171" s="28" t="s">
        <v>17684</v>
      </c>
    </row>
    <row r="172" customFormat="false" ht="15" hidden="false" customHeight="true" outlineLevel="0" collapsed="false">
      <c r="A172" s="28" t="s">
        <v>17680</v>
      </c>
      <c r="B172" s="28" t="s">
        <v>17685</v>
      </c>
      <c r="C172" s="28" t="s">
        <v>17686</v>
      </c>
    </row>
    <row r="173" customFormat="false" ht="15" hidden="false" customHeight="true" outlineLevel="0" collapsed="false">
      <c r="A173" s="28" t="s">
        <v>17680</v>
      </c>
      <c r="B173" s="28" t="s">
        <v>17687</v>
      </c>
      <c r="C173" s="28" t="s">
        <v>17688</v>
      </c>
    </row>
    <row r="174" customFormat="false" ht="15" hidden="false" customHeight="true" outlineLevel="0" collapsed="false">
      <c r="A174" s="28" t="s">
        <v>17680</v>
      </c>
      <c r="B174" s="28" t="s">
        <v>17689</v>
      </c>
      <c r="C174" s="28" t="s">
        <v>17690</v>
      </c>
    </row>
    <row r="175" customFormat="false" ht="15" hidden="false" customHeight="true" outlineLevel="0" collapsed="false">
      <c r="A175" s="28" t="s">
        <v>17691</v>
      </c>
      <c r="B175" s="28" t="s">
        <v>15828</v>
      </c>
      <c r="C175" s="28" t="s">
        <v>17692</v>
      </c>
    </row>
    <row r="176" customFormat="false" ht="15" hidden="false" customHeight="true" outlineLevel="0" collapsed="false">
      <c r="A176" s="28" t="s">
        <v>17693</v>
      </c>
      <c r="B176" s="28" t="s">
        <v>17694</v>
      </c>
      <c r="C176" s="28" t="s">
        <v>17695</v>
      </c>
    </row>
    <row r="177" customFormat="false" ht="15" hidden="false" customHeight="true" outlineLevel="0" collapsed="false">
      <c r="A177" s="28" t="s">
        <v>17696</v>
      </c>
      <c r="B177" s="28" t="s">
        <v>17697</v>
      </c>
      <c r="C177" s="28" t="s">
        <v>17698</v>
      </c>
    </row>
    <row r="178" customFormat="false" ht="26.4" hidden="false" customHeight="true" outlineLevel="0" collapsed="false">
      <c r="A178" s="28" t="s">
        <v>17699</v>
      </c>
      <c r="B178" s="28" t="s">
        <v>17700</v>
      </c>
      <c r="C178" s="28" t="s">
        <v>17701</v>
      </c>
    </row>
    <row r="179" customFormat="false" ht="26.4" hidden="false" customHeight="true" outlineLevel="0" collapsed="false">
      <c r="A179" s="28" t="s">
        <v>17702</v>
      </c>
      <c r="B179" s="28" t="s">
        <v>17703</v>
      </c>
      <c r="C179" s="28" t="s">
        <v>17704</v>
      </c>
    </row>
    <row r="180" customFormat="false" ht="26.4" hidden="false" customHeight="true" outlineLevel="0" collapsed="false">
      <c r="A180" s="28" t="s">
        <v>17702</v>
      </c>
      <c r="B180" s="28" t="s">
        <v>17705</v>
      </c>
      <c r="C180" s="28" t="s">
        <v>17706</v>
      </c>
    </row>
    <row r="181" customFormat="false" ht="26.4" hidden="false" customHeight="true" outlineLevel="0" collapsed="false">
      <c r="A181" s="28" t="s">
        <v>17702</v>
      </c>
      <c r="B181" s="28" t="s">
        <v>17707</v>
      </c>
      <c r="C181" s="28" t="s">
        <v>17708</v>
      </c>
    </row>
    <row r="182" customFormat="false" ht="26.4" hidden="false" customHeight="true" outlineLevel="0" collapsed="false">
      <c r="A182" s="28" t="s">
        <v>17702</v>
      </c>
      <c r="B182" s="28" t="s">
        <v>17709</v>
      </c>
      <c r="C182" s="28" t="s">
        <v>17710</v>
      </c>
    </row>
    <row r="183" customFormat="false" ht="26.4" hidden="false" customHeight="true" outlineLevel="0" collapsed="false">
      <c r="A183" s="28" t="s">
        <v>17702</v>
      </c>
      <c r="B183" s="28" t="s">
        <v>17711</v>
      </c>
      <c r="C183" s="28" t="s">
        <v>17712</v>
      </c>
    </row>
    <row r="184" customFormat="false" ht="26.4" hidden="false" customHeight="true" outlineLevel="0" collapsed="false">
      <c r="A184" s="28" t="s">
        <v>17702</v>
      </c>
      <c r="B184" s="28" t="s">
        <v>17713</v>
      </c>
      <c r="C184" s="28" t="s">
        <v>17714</v>
      </c>
    </row>
    <row r="185" customFormat="false" ht="26.4" hidden="false" customHeight="true" outlineLevel="0" collapsed="false">
      <c r="A185" s="28" t="s">
        <v>17702</v>
      </c>
      <c r="B185" s="28" t="s">
        <v>17715</v>
      </c>
      <c r="C185" s="28" t="s">
        <v>17716</v>
      </c>
    </row>
    <row r="186" customFormat="false" ht="26.4" hidden="false" customHeight="true" outlineLevel="0" collapsed="false">
      <c r="A186" s="28" t="s">
        <v>17702</v>
      </c>
      <c r="B186" s="28" t="s">
        <v>17717</v>
      </c>
      <c r="C186" s="28" t="s">
        <v>17718</v>
      </c>
    </row>
    <row r="187" customFormat="false" ht="26.4" hidden="false" customHeight="true" outlineLevel="0" collapsed="false">
      <c r="A187" s="28" t="s">
        <v>17702</v>
      </c>
      <c r="B187" s="28" t="s">
        <v>17719</v>
      </c>
      <c r="C187" s="28" t="s">
        <v>17720</v>
      </c>
    </row>
    <row r="188" customFormat="false" ht="26.4" hidden="false" customHeight="true" outlineLevel="0" collapsed="false">
      <c r="A188" s="28" t="s">
        <v>17702</v>
      </c>
      <c r="B188" s="28" t="s">
        <v>17721</v>
      </c>
      <c r="C188" s="28" t="s">
        <v>17722</v>
      </c>
    </row>
    <row r="189" customFormat="false" ht="26.4" hidden="false" customHeight="true" outlineLevel="0" collapsed="false">
      <c r="A189" s="28" t="s">
        <v>17702</v>
      </c>
      <c r="B189" s="28" t="s">
        <v>17723</v>
      </c>
      <c r="C189" s="28" t="s">
        <v>17724</v>
      </c>
    </row>
    <row r="190" customFormat="false" ht="26.4" hidden="false" customHeight="true" outlineLevel="0" collapsed="false">
      <c r="A190" s="28" t="s">
        <v>17702</v>
      </c>
      <c r="B190" s="28" t="s">
        <v>17725</v>
      </c>
      <c r="C190" s="28" t="s">
        <v>17726</v>
      </c>
    </row>
    <row r="191" customFormat="false" ht="26.4" hidden="false" customHeight="true" outlineLevel="0" collapsed="false">
      <c r="A191" s="28" t="s">
        <v>17702</v>
      </c>
      <c r="B191" s="28" t="s">
        <v>17727</v>
      </c>
      <c r="C191" s="28" t="s">
        <v>17728</v>
      </c>
    </row>
    <row r="192" customFormat="false" ht="26.4" hidden="false" customHeight="true" outlineLevel="0" collapsed="false">
      <c r="A192" s="28" t="s">
        <v>17702</v>
      </c>
      <c r="B192" s="28" t="s">
        <v>17729</v>
      </c>
      <c r="C192" s="28" t="s">
        <v>17730</v>
      </c>
    </row>
    <row r="193" customFormat="false" ht="26.4" hidden="false" customHeight="true" outlineLevel="0" collapsed="false">
      <c r="A193" s="28" t="s">
        <v>17702</v>
      </c>
      <c r="B193" s="28" t="s">
        <v>17731</v>
      </c>
      <c r="C193" s="28" t="s">
        <v>17732</v>
      </c>
    </row>
    <row r="194" customFormat="false" ht="26.4" hidden="false" customHeight="true" outlineLevel="0" collapsed="false">
      <c r="A194" s="28" t="s">
        <v>17702</v>
      </c>
      <c r="B194" s="28" t="s">
        <v>17733</v>
      </c>
      <c r="C194" s="28" t="s">
        <v>17734</v>
      </c>
    </row>
    <row r="195" customFormat="false" ht="26.4" hidden="false" customHeight="true" outlineLevel="0" collapsed="false">
      <c r="A195" s="28" t="s">
        <v>17702</v>
      </c>
      <c r="B195" s="28" t="s">
        <v>17735</v>
      </c>
      <c r="C195" s="28" t="s">
        <v>17736</v>
      </c>
    </row>
    <row r="196" customFormat="false" ht="26.4" hidden="false" customHeight="true" outlineLevel="0" collapsed="false">
      <c r="A196" s="28" t="s">
        <v>17702</v>
      </c>
      <c r="B196" s="28" t="s">
        <v>17737</v>
      </c>
      <c r="C196" s="28" t="s">
        <v>17738</v>
      </c>
    </row>
    <row r="197" customFormat="false" ht="26.4" hidden="false" customHeight="true" outlineLevel="0" collapsed="false">
      <c r="A197" s="28" t="s">
        <v>17702</v>
      </c>
      <c r="B197" s="28" t="s">
        <v>17739</v>
      </c>
      <c r="C197" s="28" t="s">
        <v>17740</v>
      </c>
    </row>
    <row r="198" customFormat="false" ht="26.4" hidden="false" customHeight="true" outlineLevel="0" collapsed="false">
      <c r="A198" s="28" t="s">
        <v>17702</v>
      </c>
      <c r="B198" s="28" t="s">
        <v>17741</v>
      </c>
      <c r="C198" s="28" t="s">
        <v>17742</v>
      </c>
    </row>
    <row r="199" customFormat="false" ht="15" hidden="false" customHeight="false" outlineLevel="0" collapsed="false">
      <c r="A199" s="1" t="s">
        <v>87</v>
      </c>
      <c r="B199" s="1" t="s">
        <v>17743</v>
      </c>
      <c r="C199" s="1" t="s">
        <v>17744</v>
      </c>
    </row>
    <row r="200" customFormat="false" ht="15" hidden="false" customHeight="false" outlineLevel="0" collapsed="false">
      <c r="A200" s="28" t="s">
        <v>87</v>
      </c>
      <c r="B200" s="28" t="s">
        <v>17745</v>
      </c>
      <c r="C200" s="28" t="s">
        <v>17746</v>
      </c>
    </row>
    <row r="201" customFormat="false" ht="15" hidden="false" customHeight="false" outlineLevel="0" collapsed="false">
      <c r="A201" s="28" t="s">
        <v>17747</v>
      </c>
      <c r="B201" s="28" t="s">
        <v>17748</v>
      </c>
      <c r="C201" s="28" t="s">
        <v>17749</v>
      </c>
    </row>
    <row r="202" customFormat="false" ht="15" hidden="false" customHeight="false" outlineLevel="0" collapsed="false">
      <c r="A202" s="28" t="s">
        <v>17747</v>
      </c>
      <c r="B202" s="28" t="s">
        <v>17750</v>
      </c>
      <c r="C202" s="28" t="s">
        <v>17751</v>
      </c>
    </row>
    <row r="203" customFormat="false" ht="15" hidden="false" customHeight="false" outlineLevel="0" collapsed="false">
      <c r="A203" s="28" t="s">
        <v>17747</v>
      </c>
      <c r="B203" s="28" t="s">
        <v>16069</v>
      </c>
      <c r="C203" s="28" t="s">
        <v>17752</v>
      </c>
    </row>
    <row r="204" customFormat="false" ht="15" hidden="false" customHeight="false" outlineLevel="0" collapsed="false">
      <c r="A204" s="28" t="s">
        <v>17753</v>
      </c>
      <c r="B204" s="28" t="s">
        <v>17754</v>
      </c>
      <c r="C204" s="28" t="s">
        <v>17755</v>
      </c>
    </row>
    <row r="205" customFormat="false" ht="15" hidden="false" customHeight="false" outlineLevel="0" collapsed="false">
      <c r="A205" s="28" t="s">
        <v>17753</v>
      </c>
      <c r="B205" s="28" t="s">
        <v>16066</v>
      </c>
      <c r="C205" s="28" t="s">
        <v>17756</v>
      </c>
    </row>
    <row r="206" customFormat="false" ht="15" hidden="false" customHeight="false" outlineLevel="0" collapsed="false">
      <c r="A206" s="28" t="s">
        <v>17753</v>
      </c>
      <c r="B206" s="28" t="s">
        <v>16069</v>
      </c>
      <c r="C206" s="28" t="s">
        <v>17757</v>
      </c>
    </row>
    <row r="207" customFormat="false" ht="15" hidden="false" customHeight="false" outlineLevel="0" collapsed="false">
      <c r="A207" s="28" t="s">
        <v>17758</v>
      </c>
      <c r="B207" s="28" t="s">
        <v>17759</v>
      </c>
      <c r="C207" s="28" t="s">
        <v>17760</v>
      </c>
    </row>
    <row r="208" customFormat="false" ht="15" hidden="false" customHeight="false" outlineLevel="0" collapsed="false">
      <c r="A208" s="28" t="s">
        <v>17758</v>
      </c>
      <c r="B208" s="28" t="s">
        <v>17761</v>
      </c>
      <c r="C208" s="28" t="s">
        <v>17762</v>
      </c>
    </row>
    <row r="209" customFormat="false" ht="15" hidden="false" customHeight="false" outlineLevel="0" collapsed="false">
      <c r="A209" s="28" t="s">
        <v>17763</v>
      </c>
      <c r="B209" s="28" t="s">
        <v>17764</v>
      </c>
      <c r="C209" s="28" t="s">
        <v>17765</v>
      </c>
    </row>
    <row r="210" customFormat="false" ht="15" hidden="false" customHeight="false" outlineLevel="0" collapsed="false">
      <c r="A210" s="28" t="s">
        <v>17763</v>
      </c>
      <c r="B210" s="28" t="s">
        <v>17766</v>
      </c>
      <c r="C210" s="28" t="s">
        <v>17767</v>
      </c>
    </row>
    <row r="211" customFormat="false" ht="15" hidden="false" customHeight="false" outlineLevel="0" collapsed="false">
      <c r="A211" s="28" t="s">
        <v>17763</v>
      </c>
      <c r="B211" s="28" t="s">
        <v>15663</v>
      </c>
      <c r="C211" s="28" t="s">
        <v>17768</v>
      </c>
    </row>
    <row r="212" customFormat="false" ht="15" hidden="false" customHeight="false" outlineLevel="0" collapsed="false">
      <c r="A212" s="28" t="s">
        <v>17769</v>
      </c>
      <c r="B212" s="28" t="s">
        <v>17770</v>
      </c>
      <c r="C212" s="28" t="s">
        <v>17771</v>
      </c>
    </row>
    <row r="213" customFormat="false" ht="15" hidden="false" customHeight="false" outlineLevel="0" collapsed="false">
      <c r="A213" s="28" t="s">
        <v>17769</v>
      </c>
      <c r="B213" s="28" t="s">
        <v>17772</v>
      </c>
      <c r="C213" s="28" t="s">
        <v>17773</v>
      </c>
    </row>
    <row r="214" customFormat="false" ht="15" hidden="false" customHeight="false" outlineLevel="0" collapsed="false">
      <c r="A214" s="28" t="s">
        <v>17769</v>
      </c>
      <c r="B214" s="28" t="s">
        <v>15663</v>
      </c>
      <c r="C214" s="28" t="s">
        <v>17774</v>
      </c>
    </row>
    <row r="215" customFormat="false" ht="15" hidden="false" customHeight="false" outlineLevel="0" collapsed="false">
      <c r="A215" s="28" t="s">
        <v>17775</v>
      </c>
      <c r="B215" s="28" t="s">
        <v>17776</v>
      </c>
      <c r="C215" s="28" t="s">
        <v>17777</v>
      </c>
    </row>
    <row r="216" customFormat="false" ht="15" hidden="false" customHeight="false" outlineLevel="0" collapsed="false">
      <c r="A216" s="28" t="s">
        <v>17775</v>
      </c>
      <c r="B216" s="28" t="s">
        <v>17778</v>
      </c>
      <c r="C216" s="28" t="s">
        <v>17779</v>
      </c>
    </row>
    <row r="217" customFormat="false" ht="15" hidden="false" customHeight="false" outlineLevel="0" collapsed="false">
      <c r="A217" s="28" t="s">
        <v>17775</v>
      </c>
      <c r="B217" s="28" t="s">
        <v>17780</v>
      </c>
      <c r="C217" s="28" t="s">
        <v>17781</v>
      </c>
    </row>
    <row r="218" customFormat="false" ht="15" hidden="false" customHeight="false" outlineLevel="0" collapsed="false">
      <c r="A218" s="28" t="s">
        <v>17775</v>
      </c>
      <c r="B218" s="28" t="s">
        <v>17782</v>
      </c>
      <c r="C218" s="28" t="s">
        <v>17783</v>
      </c>
    </row>
    <row r="219" customFormat="false" ht="15" hidden="false" customHeight="false" outlineLevel="0" collapsed="false">
      <c r="A219" s="28" t="s">
        <v>17775</v>
      </c>
      <c r="B219" s="28" t="s">
        <v>17784</v>
      </c>
      <c r="C219" s="28" t="s">
        <v>17785</v>
      </c>
    </row>
    <row r="220" customFormat="false" ht="15" hidden="false" customHeight="false" outlineLevel="0" collapsed="false">
      <c r="A220" s="28" t="s">
        <v>17775</v>
      </c>
      <c r="B220" s="28" t="s">
        <v>17786</v>
      </c>
      <c r="C220" s="28" t="s">
        <v>17787</v>
      </c>
    </row>
    <row r="221" customFormat="false" ht="15" hidden="false" customHeight="false" outlineLevel="0" collapsed="false">
      <c r="A221" s="28" t="s">
        <v>17788</v>
      </c>
      <c r="B221" s="28" t="s">
        <v>17789</v>
      </c>
      <c r="C221" s="28" t="s">
        <v>17790</v>
      </c>
    </row>
    <row r="222" customFormat="false" ht="15" hidden="false" customHeight="false" outlineLevel="0" collapsed="false">
      <c r="A222" s="28" t="s">
        <v>17788</v>
      </c>
      <c r="B222" s="28" t="s">
        <v>17791</v>
      </c>
      <c r="C222" s="28" t="s">
        <v>17792</v>
      </c>
    </row>
    <row r="223" customFormat="false" ht="15" hidden="false" customHeight="false" outlineLevel="0" collapsed="false">
      <c r="A223" s="28" t="s">
        <v>17788</v>
      </c>
      <c r="B223" s="28" t="s">
        <v>17456</v>
      </c>
      <c r="C223" s="28" t="s">
        <v>17793</v>
      </c>
    </row>
    <row r="224" customFormat="false" ht="15" hidden="false" customHeight="false" outlineLevel="0" collapsed="false">
      <c r="A224" s="28" t="s">
        <v>17788</v>
      </c>
      <c r="B224" s="28" t="s">
        <v>17794</v>
      </c>
      <c r="C224" s="28" t="s">
        <v>17795</v>
      </c>
    </row>
    <row r="225" customFormat="false" ht="15" hidden="false" customHeight="false" outlineLevel="0" collapsed="false">
      <c r="A225" s="28" t="s">
        <v>17788</v>
      </c>
      <c r="B225" s="28" t="s">
        <v>17458</v>
      </c>
      <c r="C225" s="28" t="s">
        <v>17796</v>
      </c>
    </row>
    <row r="226" customFormat="false" ht="15" hidden="false" customHeight="false" outlineLevel="0" collapsed="false">
      <c r="A226" s="28" t="s">
        <v>17797</v>
      </c>
      <c r="B226" s="28" t="s">
        <v>17798</v>
      </c>
      <c r="C226" s="28" t="s">
        <v>17799</v>
      </c>
    </row>
    <row r="227" customFormat="false" ht="15" hidden="false" customHeight="false" outlineLevel="0" collapsed="false">
      <c r="A227" s="28" t="s">
        <v>17797</v>
      </c>
      <c r="B227" s="28" t="s">
        <v>17800</v>
      </c>
      <c r="C227" s="28" t="s">
        <v>17799</v>
      </c>
    </row>
    <row r="228" customFormat="false" ht="15" hidden="false" customHeight="false" outlineLevel="0" collapsed="false">
      <c r="A228" s="28" t="s">
        <v>17797</v>
      </c>
      <c r="B228" s="28" t="s">
        <v>17801</v>
      </c>
      <c r="C228" s="28" t="s">
        <v>17799</v>
      </c>
    </row>
    <row r="229" customFormat="false" ht="15" hidden="false" customHeight="false" outlineLevel="0" collapsed="false">
      <c r="A229" s="28" t="s">
        <v>17797</v>
      </c>
      <c r="B229" s="28" t="s">
        <v>17802</v>
      </c>
      <c r="C229" s="28" t="s">
        <v>17799</v>
      </c>
    </row>
    <row r="230" customFormat="false" ht="15" hidden="false" customHeight="false" outlineLevel="0" collapsed="false">
      <c r="A230" s="28" t="s">
        <v>17797</v>
      </c>
      <c r="B230" s="28" t="s">
        <v>17803</v>
      </c>
      <c r="C230" s="28" t="s">
        <v>17799</v>
      </c>
    </row>
    <row r="231" customFormat="false" ht="15" hidden="false" customHeight="false" outlineLevel="0" collapsed="false">
      <c r="A231" s="28" t="s">
        <v>17797</v>
      </c>
      <c r="B231" s="28" t="s">
        <v>17804</v>
      </c>
      <c r="C231" s="28" t="s">
        <v>17799</v>
      </c>
    </row>
    <row r="232" customFormat="false" ht="15" hidden="false" customHeight="false" outlineLevel="0" collapsed="false">
      <c r="A232" s="28" t="s">
        <v>17797</v>
      </c>
      <c r="B232" s="28" t="s">
        <v>17805</v>
      </c>
      <c r="C232" s="28" t="s">
        <v>17799</v>
      </c>
    </row>
    <row r="233" customFormat="false" ht="15" hidden="false" customHeight="false" outlineLevel="0" collapsed="false">
      <c r="A233" s="28" t="s">
        <v>17797</v>
      </c>
      <c r="B233" s="28" t="s">
        <v>17806</v>
      </c>
      <c r="C233" s="28" t="s">
        <v>17799</v>
      </c>
    </row>
    <row r="234" customFormat="false" ht="15" hidden="false" customHeight="false" outlineLevel="0" collapsed="false">
      <c r="A234" s="28" t="s">
        <v>17797</v>
      </c>
      <c r="B234" s="28" t="s">
        <v>17807</v>
      </c>
      <c r="C234" s="28" t="s">
        <v>17799</v>
      </c>
    </row>
    <row r="235" customFormat="false" ht="15" hidden="false" customHeight="false" outlineLevel="0" collapsed="false">
      <c r="A235" s="28" t="s">
        <v>17797</v>
      </c>
      <c r="B235" s="28" t="s">
        <v>17808</v>
      </c>
      <c r="C235" s="28" t="s">
        <v>17799</v>
      </c>
    </row>
    <row r="236" customFormat="false" ht="15" hidden="false" customHeight="false" outlineLevel="0" collapsed="false">
      <c r="A236" s="28" t="s">
        <v>17797</v>
      </c>
      <c r="B236" s="28" t="s">
        <v>17809</v>
      </c>
      <c r="C236" s="28" t="s">
        <v>17810</v>
      </c>
    </row>
    <row r="237" customFormat="false" ht="15" hidden="false" customHeight="false" outlineLevel="0" collapsed="false">
      <c r="A237" s="28" t="s">
        <v>17797</v>
      </c>
      <c r="B237" s="28" t="s">
        <v>17811</v>
      </c>
      <c r="C237" s="28" t="s">
        <v>17810</v>
      </c>
    </row>
    <row r="238" customFormat="false" ht="15" hidden="false" customHeight="false" outlineLevel="0" collapsed="false">
      <c r="A238" s="28" t="s">
        <v>17797</v>
      </c>
      <c r="B238" s="28" t="s">
        <v>17812</v>
      </c>
      <c r="C238" s="28" t="s">
        <v>17810</v>
      </c>
    </row>
    <row r="239" customFormat="false" ht="15" hidden="false" customHeight="false" outlineLevel="0" collapsed="false">
      <c r="A239" s="28" t="s">
        <v>17797</v>
      </c>
      <c r="B239" s="28" t="s">
        <v>17813</v>
      </c>
      <c r="C239" s="28" t="s">
        <v>17810</v>
      </c>
    </row>
    <row r="240" customFormat="false" ht="15" hidden="false" customHeight="false" outlineLevel="0" collapsed="false">
      <c r="A240" s="28" t="s">
        <v>17797</v>
      </c>
      <c r="B240" s="28" t="s">
        <v>17814</v>
      </c>
      <c r="C240" s="28" t="s">
        <v>17815</v>
      </c>
    </row>
    <row r="241" customFormat="false" ht="15" hidden="false" customHeight="false" outlineLevel="0" collapsed="false">
      <c r="A241" s="28" t="s">
        <v>17797</v>
      </c>
      <c r="B241" s="28" t="s">
        <v>17816</v>
      </c>
      <c r="C241" s="28" t="s">
        <v>17815</v>
      </c>
    </row>
    <row r="242" customFormat="false" ht="15" hidden="false" customHeight="false" outlineLevel="0" collapsed="false">
      <c r="A242" s="28" t="s">
        <v>17797</v>
      </c>
      <c r="B242" s="28" t="s">
        <v>17817</v>
      </c>
      <c r="C242" s="28" t="s">
        <v>17815</v>
      </c>
    </row>
    <row r="243" customFormat="false" ht="15" hidden="false" customHeight="false" outlineLevel="0" collapsed="false">
      <c r="A243" s="28" t="s">
        <v>17797</v>
      </c>
      <c r="B243" s="28" t="s">
        <v>17818</v>
      </c>
      <c r="C243" s="28" t="s">
        <v>17815</v>
      </c>
    </row>
    <row r="244" customFormat="false" ht="15" hidden="false" customHeight="false" outlineLevel="0" collapsed="false">
      <c r="A244" s="28" t="s">
        <v>17797</v>
      </c>
      <c r="B244" s="28" t="s">
        <v>17819</v>
      </c>
      <c r="C244" s="28" t="s">
        <v>17815</v>
      </c>
    </row>
    <row r="245" customFormat="false" ht="15" hidden="false" customHeight="false" outlineLevel="0" collapsed="false">
      <c r="A245" s="28" t="s">
        <v>17797</v>
      </c>
      <c r="B245" s="28" t="s">
        <v>17820</v>
      </c>
      <c r="C245" s="28" t="s">
        <v>17815</v>
      </c>
    </row>
    <row r="246" customFormat="false" ht="15" hidden="false" customHeight="false" outlineLevel="0" collapsed="false">
      <c r="A246" s="28" t="s">
        <v>17821</v>
      </c>
      <c r="B246" s="28" t="s">
        <v>17822</v>
      </c>
      <c r="C246" s="28" t="s">
        <v>17823</v>
      </c>
    </row>
    <row r="247" customFormat="false" ht="15" hidden="false" customHeight="false" outlineLevel="0" collapsed="false">
      <c r="A247" s="28" t="s">
        <v>17821</v>
      </c>
      <c r="B247" s="28" t="s">
        <v>17824</v>
      </c>
      <c r="C247" s="28" t="s">
        <v>17825</v>
      </c>
    </row>
    <row r="248" customFormat="false" ht="15" hidden="false" customHeight="false" outlineLevel="0" collapsed="false">
      <c r="A248" s="28" t="s">
        <v>17821</v>
      </c>
      <c r="B248" s="28" t="s">
        <v>17826</v>
      </c>
      <c r="C248" s="28" t="s">
        <v>17827</v>
      </c>
    </row>
    <row r="249" customFormat="false" ht="15" hidden="false" customHeight="false" outlineLevel="0" collapsed="false">
      <c r="A249" s="28" t="s">
        <v>17821</v>
      </c>
      <c r="B249" s="28" t="s">
        <v>17828</v>
      </c>
      <c r="C249" s="28" t="s">
        <v>17829</v>
      </c>
    </row>
    <row r="250" customFormat="false" ht="15" hidden="false" customHeight="false" outlineLevel="0" collapsed="false">
      <c r="A250" s="28" t="s">
        <v>17821</v>
      </c>
      <c r="B250" s="28" t="s">
        <v>17830</v>
      </c>
      <c r="C250" s="28" t="s">
        <v>17831</v>
      </c>
    </row>
    <row r="251" customFormat="false" ht="15" hidden="false" customHeight="false" outlineLevel="0" collapsed="false">
      <c r="A251" s="28" t="s">
        <v>17821</v>
      </c>
      <c r="B251" s="28" t="s">
        <v>17832</v>
      </c>
      <c r="C251" s="28" t="s">
        <v>17833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3"/>
    <col collapsed="false" customWidth="true" hidden="false" outlineLevel="0" max="2" min="2" style="1" width="15"/>
    <col collapsed="false" customWidth="true" hidden="false" outlineLevel="0" max="3" min="3" style="1" width="17"/>
    <col collapsed="false" customWidth="true" hidden="false" outlineLevel="0" max="4" min="4" style="1" width="15"/>
    <col collapsed="false" customWidth="true" hidden="false" outlineLevel="0" max="5" min="5" style="1" width="46"/>
  </cols>
  <sheetData>
    <row r="1" customFormat="false" ht="36" hidden="false" customHeight="true" outlineLevel="0" collapsed="false">
      <c r="A1" s="4" t="s">
        <v>35</v>
      </c>
      <c r="B1" s="5" t="s">
        <v>17834</v>
      </c>
      <c r="C1" s="5" t="s">
        <v>17835</v>
      </c>
      <c r="D1" s="5" t="s">
        <v>17362</v>
      </c>
      <c r="E1" s="6" t="s">
        <v>4</v>
      </c>
    </row>
    <row r="2" customFormat="false" ht="15" hidden="false" customHeight="false" outlineLevel="0" collapsed="false">
      <c r="A2" s="8" t="s">
        <v>17836</v>
      </c>
      <c r="B2" s="37" t="n">
        <v>739</v>
      </c>
      <c r="C2" s="37" t="n">
        <f aca="false">COUNTA('Реестр правил'!$B$2:$B$740)</f>
        <v>739</v>
      </c>
      <c r="D2" s="38" t="str">
        <f aca="false">IF(C2=B2,"PASS","FAIL")</f>
        <v>PASS</v>
      </c>
      <c r="E2" s="8" t="s">
        <v>17837</v>
      </c>
    </row>
    <row r="3" customFormat="false" ht="15" hidden="false" customHeight="false" outlineLevel="0" collapsed="false">
      <c r="A3" s="11" t="s">
        <v>17838</v>
      </c>
      <c r="B3" s="39" t="n">
        <v>699</v>
      </c>
      <c r="C3" s="39" t="n">
        <f aca="false">COUNTIF('Реестр правил'!$C$2:$C$740,"Активно")</f>
        <v>699</v>
      </c>
      <c r="D3" s="40" t="str">
        <f aca="false">IF(C3=B3,"PASS","FAIL")</f>
        <v>PASS</v>
      </c>
      <c r="E3" s="11" t="s">
        <v>17839</v>
      </c>
    </row>
    <row r="4" customFormat="false" ht="15" hidden="false" customHeight="false" outlineLevel="0" collapsed="false">
      <c r="A4" s="11" t="s">
        <v>12</v>
      </c>
      <c r="B4" s="39" t="n">
        <v>40</v>
      </c>
      <c r="C4" s="39" t="n">
        <f aca="false">COUNTIF('Реестр правил'!$C$2:$C$740,"Не автоматизируется")</f>
        <v>40</v>
      </c>
      <c r="D4" s="40" t="str">
        <f aca="false">IF(C4=B4,"PASS","FAIL")</f>
        <v>PASS</v>
      </c>
      <c r="E4" s="11" t="s">
        <v>17840</v>
      </c>
    </row>
    <row r="5" customFormat="false" ht="15" hidden="false" customHeight="false" outlineLevel="0" collapsed="false">
      <c r="A5" s="11" t="s">
        <v>17841</v>
      </c>
      <c r="B5" s="39" t="n">
        <v>539</v>
      </c>
      <c r="C5" s="39" t="n">
        <f aca="false">COUNTIF('Реестр правил'!$E$2:$E$740,"Базовое правило")</f>
        <v>539</v>
      </c>
      <c r="D5" s="40" t="str">
        <f aca="false">IF(C5=B5,"PASS","FAIL")</f>
        <v>PASS</v>
      </c>
      <c r="E5" s="11" t="s">
        <v>17842</v>
      </c>
    </row>
    <row r="6" customFormat="false" ht="15" hidden="false" customHeight="false" outlineLevel="0" collapsed="false">
      <c r="A6" s="11" t="s">
        <v>17843</v>
      </c>
      <c r="B6" s="39" t="n">
        <v>139</v>
      </c>
      <c r="C6" s="39" t="n">
        <f aca="false">COUNTIF('Реестр правил'!$E$2:$E$740,"QA-решение")</f>
        <v>139</v>
      </c>
      <c r="D6" s="40" t="str">
        <f aca="false">IF(C6=B6,"PASS","FAIL")</f>
        <v>PASS</v>
      </c>
      <c r="E6" s="11" t="s">
        <v>17842</v>
      </c>
    </row>
    <row r="7" customFormat="false" ht="15" hidden="false" customHeight="false" outlineLevel="0" collapsed="false">
      <c r="A7" s="11" t="s">
        <v>17844</v>
      </c>
      <c r="B7" s="39" t="n">
        <v>61</v>
      </c>
      <c r="C7" s="39" t="n">
        <f aca="false">COUNTIF('Реестр правил'!$E$2:$E$740,"Новое согласованное правило")</f>
        <v>61</v>
      </c>
      <c r="D7" s="40" t="str">
        <f aca="false">IF(C7=B7,"PASS","FAIL")</f>
        <v>PASS</v>
      </c>
      <c r="E7" s="11" t="s">
        <v>17845</v>
      </c>
    </row>
    <row r="8" customFormat="false" ht="15" hidden="false" customHeight="false" outlineLevel="0" collapsed="false">
      <c r="A8" s="11" t="s">
        <v>17846</v>
      </c>
      <c r="B8" s="39" t="n">
        <v>739</v>
      </c>
      <c r="C8" s="39" t="n">
        <f aca="false">COUNTIF('Реестр правил'!$AI$2:$AI$740,1)</f>
        <v>739</v>
      </c>
      <c r="D8" s="40" t="str">
        <f aca="false">IF(C8=B8,"PASS","FAIL")</f>
        <v>PASS</v>
      </c>
      <c r="E8" s="11" t="s">
        <v>17847</v>
      </c>
    </row>
    <row r="9" customFormat="false" ht="15" hidden="false" customHeight="false" outlineLevel="0" collapsed="false">
      <c r="A9" s="11" t="s">
        <v>45</v>
      </c>
      <c r="B9" s="39" t="n">
        <v>0</v>
      </c>
      <c r="C9" s="39" t="n">
        <f aca="false">COUNTIF('Реестр правил'!$AI$2:$AI$740,"&gt;1")</f>
        <v>0</v>
      </c>
      <c r="D9" s="40" t="str">
        <f aca="false">IF(C9=B9,"PASS","FAIL")</f>
        <v>PASS</v>
      </c>
      <c r="E9" s="11" t="s">
        <v>17847</v>
      </c>
    </row>
    <row r="10" customFormat="false" ht="15" hidden="false" customHeight="false" outlineLevel="0" collapsed="false">
      <c r="A10" s="11" t="s">
        <v>17848</v>
      </c>
      <c r="B10" s="39" t="n">
        <v>192</v>
      </c>
      <c r="C10" s="39" t="n">
        <f aca="false">COUNTIF('Реестр правил'!$AG$2:$AG$740,"Да")</f>
        <v>192</v>
      </c>
      <c r="D10" s="40" t="str">
        <f aca="false">IF(C10=B10,"PASS","FAIL")</f>
        <v>PASS</v>
      </c>
      <c r="E10" s="11" t="s">
        <v>17849</v>
      </c>
    </row>
    <row r="11" customFormat="false" ht="15" hidden="false" customHeight="false" outlineLevel="0" collapsed="false">
      <c r="A11" s="11" t="s">
        <v>17850</v>
      </c>
      <c r="B11" s="39" t="n">
        <v>3</v>
      </c>
      <c r="C11" s="39" t="n">
        <f aca="false">COUNTIF('Реестр правил'!$AH$2:$AH$740,"Да")</f>
        <v>3</v>
      </c>
      <c r="D11" s="40" t="str">
        <f aca="false">IF(C11=B11,"PASS","FAIL")</f>
        <v>PASS</v>
      </c>
      <c r="E11" s="11" t="s">
        <v>17851</v>
      </c>
    </row>
    <row r="12" customFormat="false" ht="15" hidden="false" customHeight="false" outlineLevel="0" collapsed="false">
      <c r="A12" s="11" t="s">
        <v>17852</v>
      </c>
      <c r="B12" s="39" t="n">
        <v>13</v>
      </c>
      <c r="C12" s="39" t="n">
        <f aca="false">COUNTIF('Изменения v1.1'!$B$2:$B$20,"Недостающее runtime-правило")</f>
        <v>13</v>
      </c>
      <c r="D12" s="40" t="str">
        <f aca="false">IF(C12=B12,"PASS","FAIL")</f>
        <v>PASS</v>
      </c>
      <c r="E12" s="11" t="s">
        <v>17851</v>
      </c>
    </row>
    <row r="13" customFormat="false" ht="15" hidden="false" customHeight="false" outlineLevel="0" collapsed="false">
      <c r="A13" s="11" t="s">
        <v>17853</v>
      </c>
      <c r="B13" s="39" t="n">
        <v>444</v>
      </c>
      <c r="C13" s="39" t="n">
        <f aca="false">COUNTA('Решения QA'!$C$2:$C$445)</f>
        <v>444</v>
      </c>
      <c r="D13" s="40" t="str">
        <f aca="false">IF(C13=B13,"PASS","FAIL")</f>
        <v>PASS</v>
      </c>
      <c r="E13" s="11" t="s">
        <v>17854</v>
      </c>
    </row>
    <row r="14" customFormat="false" ht="15" hidden="false" customHeight="false" outlineLevel="0" collapsed="false">
      <c r="A14" s="11" t="s">
        <v>46</v>
      </c>
      <c r="B14" s="39" t="n">
        <v>0</v>
      </c>
      <c r="C14" s="39" t="n">
        <f aca="false">COUNTIF('Решения QA'!$F$2:$F$445,"Открыт")</f>
        <v>0</v>
      </c>
      <c r="D14" s="40" t="str">
        <f aca="false">IF(C14=B14,"PASS","FAIL")</f>
        <v>PASS</v>
      </c>
      <c r="E14" s="11" t="s">
        <v>17855</v>
      </c>
    </row>
    <row r="15" customFormat="false" ht="15" hidden="false" customHeight="false" outlineLevel="0" collapsed="false">
      <c r="A15" s="11" t="s">
        <v>17856</v>
      </c>
      <c r="B15" s="39" t="n">
        <v>49</v>
      </c>
      <c r="C15" s="39" t="n">
        <f aca="false">COUNTIF('Решения QA'!$F$2:$F$445,"Изменен последующим ответом и переформирован автоматически")</f>
        <v>49</v>
      </c>
      <c r="D15" s="40" t="str">
        <f aca="false">IF(C15=B15,"PASS","FAIL")</f>
        <v>PASS</v>
      </c>
      <c r="E15" s="11" t="s">
        <v>17857</v>
      </c>
    </row>
    <row r="16" customFormat="false" ht="15" hidden="false" customHeight="false" outlineLevel="0" collapsed="false">
      <c r="A16" s="11" t="s">
        <v>17858</v>
      </c>
      <c r="B16" s="39" t="n">
        <v>0</v>
      </c>
      <c r="C16" s="39" t="n">
        <f aca="false">COUNTIF('Реестр правил'!$A$2:$AH$740,"*ENC-051*")</f>
        <v>0</v>
      </c>
      <c r="D16" s="40" t="str">
        <f aca="false">IF(C16=B16,"PASS","FAIL")</f>
        <v>PASS</v>
      </c>
      <c r="E16" s="11" t="s">
        <v>17859</v>
      </c>
    </row>
    <row r="17" customFormat="false" ht="15" hidden="false" customHeight="false" outlineLevel="0" collapsed="false">
      <c r="A17" s="11" t="s">
        <v>17860</v>
      </c>
      <c r="B17" s="39" t="n">
        <v>0</v>
      </c>
      <c r="C17" s="39" t="n">
        <f aca="false">COUNTIF('Реестр правил'!$A$2:$AH$740,"*TC-*")</f>
        <v>0</v>
      </c>
      <c r="D17" s="40" t="str">
        <f aca="false">IF(C17=B17,"PASS","FAIL")</f>
        <v>PASS</v>
      </c>
      <c r="E17" s="11" t="s">
        <v>17861</v>
      </c>
    </row>
    <row r="18" customFormat="false" ht="15" hidden="false" customHeight="false" outlineLevel="0" collapsed="false">
      <c r="A18" s="11" t="s">
        <v>17862</v>
      </c>
      <c r="B18" s="39" t="n">
        <v>0</v>
      </c>
      <c r="C18" s="39" t="n">
        <f aca="false">COUNTIF('Реестр правил'!$A$2:$AH$740,"*Трогир*")</f>
        <v>0</v>
      </c>
      <c r="D18" s="40" t="str">
        <f aca="false">IF(C18=B18,"PASS","FAIL")</f>
        <v>PASS</v>
      </c>
      <c r="E18" s="11" t="s">
        <v>17863</v>
      </c>
    </row>
    <row r="19" customFormat="false" ht="15" hidden="false" customHeight="false" outlineLevel="0" collapsed="false">
      <c r="A19" s="11" t="s">
        <v>17864</v>
      </c>
      <c r="B19" s="39" t="n">
        <v>0</v>
      </c>
      <c r="C19" s="39" t="n">
        <f aca="false">COUNTIFS('Реестр правил'!$C$2:$C$740,"Активно",'Реестр правил'!$R$2:$R$740,"*Черновик v0.1*")</f>
        <v>0</v>
      </c>
      <c r="D19" s="40" t="str">
        <f aca="false">IF(C19=B19,"PASS","FAIL")</f>
        <v>PASS</v>
      </c>
      <c r="E19" s="11" t="s">
        <v>17385</v>
      </c>
    </row>
    <row r="20" customFormat="false" ht="15" hidden="false" customHeight="false" outlineLevel="0" collapsed="false">
      <c r="A20" s="11" t="s">
        <v>17865</v>
      </c>
      <c r="B20" s="39" t="n">
        <v>0</v>
      </c>
      <c r="C20" s="39" t="n">
        <f aca="false">COUNTIFS('Реестр правил'!$B$2:$B$740,"MON-009",'Реестр правил'!$R$2:$R$740,"*×2*")</f>
        <v>0</v>
      </c>
      <c r="D20" s="40" t="str">
        <f aca="false">IF(C20=B20,"PASS","FAIL")</f>
        <v>PASS</v>
      </c>
      <c r="E20" s="11" t="s">
        <v>17866</v>
      </c>
    </row>
    <row r="21" customFormat="false" ht="15" hidden="false" customHeight="false" outlineLevel="0" collapsed="false">
      <c r="A21" s="11" t="s">
        <v>17867</v>
      </c>
      <c r="B21" s="39" t="n">
        <v>0</v>
      </c>
      <c r="C21" s="39" t="n">
        <f aca="false">COUNTBLANK('Реестр правил'!$B$2:$B$740)+COUNTBLANK('Реестр правил'!$C$2:$C$740)+COUNTBLANK('Реестр правил'!$D$2:$D$740)+COUNTBLANK('Реестр правил'!$E$2:$E$740)+COUNTBLANK('Реестр правил'!$F$2:$F$740)+COUNTBLANK('Реестр правил'!$G$2:$G$740)+COUNTBLANK('Реестр правил'!$J$2:$J$740)+COUNTBLANK('Реестр правил'!$O$2:$O$740)+COUNTBLANK('Реестр правил'!$R$2:$R$740)</f>
        <v>0</v>
      </c>
      <c r="D21" s="40" t="str">
        <f aca="false">IF(C21=B21,"PASS","FAIL")</f>
        <v>PASS</v>
      </c>
      <c r="E21" s="11" t="s">
        <v>17868</v>
      </c>
    </row>
    <row r="22" customFormat="false" ht="15" hidden="false" customHeight="true" outlineLevel="0" collapsed="false">
      <c r="A22" s="41" t="s">
        <v>17869</v>
      </c>
      <c r="B22" s="41" t="n">
        <v>8</v>
      </c>
      <c r="C22" s="41" t="n">
        <f aca="false">COUNTIF('Изменения v1.2'!$B$2:$B$16,"Новое runtime-правило")</f>
        <v>8</v>
      </c>
      <c r="D22" s="41" t="str">
        <f aca="false">IF(C22=B22,"PASS","FAIL")</f>
        <v>PASS</v>
      </c>
      <c r="E22" s="41" t="s">
        <v>17870</v>
      </c>
    </row>
    <row r="23" customFormat="false" ht="15" hidden="false" customHeight="true" outlineLevel="0" collapsed="false">
      <c r="A23" s="41" t="s">
        <v>17871</v>
      </c>
      <c r="B23" s="41" t="n">
        <v>21</v>
      </c>
      <c r="C23" s="41" t="n">
        <f aca="false">COUNTIF(Параметры!$E$2:$E$4622,"Formula mode")</f>
        <v>21</v>
      </c>
      <c r="D23" s="41" t="str">
        <f aca="false">IF(C23=B23,"PASS","FAIL")</f>
        <v>PASS</v>
      </c>
      <c r="E23" s="41" t="s">
        <v>17872</v>
      </c>
    </row>
    <row r="24" customFormat="false" ht="15" hidden="false" customHeight="true" outlineLevel="0" collapsed="false">
      <c r="A24" s="41" t="s">
        <v>17873</v>
      </c>
      <c r="B24" s="41" t="n">
        <v>6</v>
      </c>
      <c r="C24" s="41" t="n">
        <f aca="false">COUNTIF(Параметры!$E$2:$E$4622,"Pure weapon policy")</f>
        <v>6</v>
      </c>
      <c r="D24" s="41" t="str">
        <f aca="false">IF(C24=B24,"PASS","FAIL")</f>
        <v>PASS</v>
      </c>
      <c r="E24" s="41" t="s">
        <v>17874</v>
      </c>
    </row>
    <row r="25" customFormat="false" ht="15" hidden="false" customHeight="true" outlineLevel="0" collapsed="false">
      <c r="A25" s="41" t="s">
        <v>17875</v>
      </c>
      <c r="B25" s="41" t="n">
        <v>8</v>
      </c>
      <c r="C25" s="41" t="n">
        <f aca="false">COUNTIF(Справочники!$A$2:$A$251,"Мастерский тип дайса оружия")</f>
        <v>8</v>
      </c>
      <c r="D25" s="41" t="str">
        <f aca="false">IF(C25=B25,"PASS","FAIL")</f>
        <v>PASS</v>
      </c>
      <c r="E25" s="41" t="s">
        <v>17876</v>
      </c>
    </row>
    <row r="26" customFormat="false" ht="15" hidden="false" customHeight="true" outlineLevel="0" collapsed="false">
      <c r="A26" s="41" t="s">
        <v>17877</v>
      </c>
      <c r="B26" s="41" t="n">
        <v>15</v>
      </c>
      <c r="C26" s="41" t="n">
        <f aca="false">COUNTIF(Справочники!$A$2:$A$251,"Ошибка профиля оружия")</f>
        <v>15</v>
      </c>
      <c r="D26" s="41" t="str">
        <f aca="false">IF(C26=B26,"PASS","FAIL")</f>
        <v>PASS</v>
      </c>
      <c r="E26" s="41" t="s">
        <v>17878</v>
      </c>
    </row>
    <row r="27" customFormat="false" ht="15" hidden="false" customHeight="true" outlineLevel="0" collapsed="false">
      <c r="A27" s="41" t="s">
        <v>17879</v>
      </c>
      <c r="B27" s="41" t="n">
        <v>8</v>
      </c>
      <c r="C27" s="41" t="n">
        <f aca="false">COUNTIF(Источники!$I$2:$I$740,"Новая карточка v1.2")</f>
        <v>8</v>
      </c>
      <c r="D27" s="41" t="str">
        <f aca="false">IF(C27=B27,"PASS","FAIL")</f>
        <v>PASS</v>
      </c>
      <c r="E27" s="41" t="s">
        <v>17854</v>
      </c>
    </row>
    <row r="28" customFormat="false" ht="15" hidden="false" customHeight="true" outlineLevel="0" collapsed="false">
      <c r="A28" s="28" t="s">
        <v>17880</v>
      </c>
      <c r="B28" s="28" t="n">
        <v>25</v>
      </c>
      <c r="C28" s="28" t="n">
        <f aca="false">COUNTIF('Изменения v1.3'!$B$2:$B$34,"Новое runtime-правило")</f>
        <v>25</v>
      </c>
      <c r="D28" s="28" t="str">
        <f aca="false">IF(C28=B28,"PASS","FAIL")</f>
        <v>PASS</v>
      </c>
      <c r="E28" s="28" t="s">
        <v>17881</v>
      </c>
    </row>
    <row r="29" customFormat="false" ht="15" hidden="false" customHeight="true" outlineLevel="0" collapsed="false">
      <c r="A29" s="28" t="s">
        <v>17882</v>
      </c>
      <c r="B29" s="28" t="n">
        <v>25</v>
      </c>
      <c r="C29" s="28" t="n">
        <f aca="false">COUNTIF('Изменения v1.3'!$B$2:$B$34,"Новое runtime-правило")</f>
        <v>25</v>
      </c>
      <c r="D29" s="28" t="str">
        <f aca="false">IF(C29=B29,"PASS","FAIL")</f>
        <v>PASS</v>
      </c>
      <c r="E29" s="28" t="s">
        <v>17883</v>
      </c>
    </row>
    <row r="30" customFormat="false" ht="15" hidden="false" customHeight="true" outlineLevel="0" collapsed="false">
      <c r="A30" s="28" t="s">
        <v>17884</v>
      </c>
      <c r="B30" s="28" t="n">
        <v>31</v>
      </c>
      <c r="C30" s="28" t="n">
        <f aca="false">COUNTIF('Решения QA'!$B$2:$B$445,"Enemy Templates v1.3")</f>
        <v>31</v>
      </c>
      <c r="D30" s="28" t="str">
        <f aca="false">IF(C30=B30,"PASS","FAIL")</f>
        <v>PASS</v>
      </c>
      <c r="E30" s="28" t="s">
        <v>17885</v>
      </c>
    </row>
    <row r="31" customFormat="false" ht="15" hidden="false" customHeight="true" outlineLevel="0" collapsed="false">
      <c r="A31" s="28" t="s">
        <v>17886</v>
      </c>
      <c r="B31" s="28" t="n">
        <v>2</v>
      </c>
      <c r="C31" s="28" t="n">
        <f aca="false">COUNTIF(Справочники!$A$2:$A$251,"Тип шаблона врага")</f>
        <v>2</v>
      </c>
      <c r="D31" s="28" t="str">
        <f aca="false">IF(C31=B31,"PASS","FAIL")</f>
        <v>PASS</v>
      </c>
      <c r="E31" s="28" t="s">
        <v>17887</v>
      </c>
    </row>
    <row r="32" customFormat="false" ht="15" hidden="false" customHeight="true" outlineLevel="0" collapsed="false">
      <c r="A32" s="28" t="s">
        <v>17888</v>
      </c>
      <c r="B32" s="28" t="n">
        <v>2</v>
      </c>
      <c r="C32" s="28" t="n">
        <f aca="false">COUNTIF(Справочники!$A$2:$A$251,"Вкладка каталога врагов")</f>
        <v>2</v>
      </c>
      <c r="D32" s="28" t="str">
        <f aca="false">IF(C32=B32,"PASS","FAIL")</f>
        <v>PASS</v>
      </c>
      <c r="E32" s="28" t="s">
        <v>17889</v>
      </c>
    </row>
    <row r="33" customFormat="false" ht="15" hidden="false" customHeight="true" outlineLevel="0" collapsed="false">
      <c r="A33" s="28" t="s">
        <v>17890</v>
      </c>
      <c r="B33" s="28" t="n">
        <v>11</v>
      </c>
      <c r="C33" s="28" t="n">
        <f aca="false">COUNTIF(Справочники!$A$2:$A$251,"Runtime-выражение монстра")</f>
        <v>11</v>
      </c>
      <c r="D33" s="28" t="str">
        <f aca="false">IF(C33=B33,"PASS","FAIL")</f>
        <v>PASS</v>
      </c>
      <c r="E33" s="28" t="s">
        <v>17876</v>
      </c>
    </row>
    <row r="34" customFormat="false" ht="15" hidden="false" customHeight="true" outlineLevel="0" collapsed="false">
      <c r="A34" s="28" t="s">
        <v>17891</v>
      </c>
      <c r="B34" s="28" t="n">
        <v>1</v>
      </c>
      <c r="C34" s="28" t="n">
        <f aca="false">COUNTIFS(Справочники!$A$2:$A$251,"Категория атаки",Справочники!$B$2:$B$251,"MONSTER_ATTACK")</f>
        <v>1</v>
      </c>
      <c r="D34" s="28" t="str">
        <f aca="false">IF(C34=B34,"PASS","FAIL")</f>
        <v>PASS</v>
      </c>
      <c r="E34" s="28" t="s">
        <v>17892</v>
      </c>
    </row>
    <row r="35" customFormat="false" ht="15" hidden="false" customHeight="true" outlineLevel="0" collapsed="false">
      <c r="A35" s="28" t="s">
        <v>17893</v>
      </c>
      <c r="B35" s="28" t="n">
        <v>43</v>
      </c>
      <c r="C35" s="28" t="n">
        <f aca="false">COUNTIF(Справочники!$A$2:$A$251,"Ошибка шаблона врага")</f>
        <v>43</v>
      </c>
      <c r="D35" s="28" t="str">
        <f aca="false">IF(C35=B35,"PASS","FAIL")</f>
        <v>PASS</v>
      </c>
      <c r="E35" s="28" t="s">
        <v>17878</v>
      </c>
    </row>
    <row r="36" customFormat="false" ht="15" hidden="false" customHeight="true" outlineLevel="0" collapsed="false">
      <c r="A36" s="28" t="s">
        <v>17894</v>
      </c>
      <c r="B36" s="28" t="n">
        <v>3</v>
      </c>
      <c r="C36" s="28" t="n">
        <f aca="false">COUNTIF(Справочники!$A$2:$A$251,"Запрещённый симбионт монстра")</f>
        <v>3</v>
      </c>
      <c r="D36" s="28" t="str">
        <f aca="false">IF(C36=B36,"PASS","FAIL")</f>
        <v>PASS</v>
      </c>
      <c r="E36" s="28" t="s">
        <v>17895</v>
      </c>
    </row>
    <row r="37" customFormat="false" ht="15" hidden="false" customHeight="true" outlineLevel="0" collapsed="false">
      <c r="A37" s="28" t="s">
        <v>17896</v>
      </c>
      <c r="B37" s="28" t="n">
        <v>7</v>
      </c>
      <c r="C37" s="28" t="n">
        <f aca="false">COUNTIF(Справочники!$A$2:$A$251,"Базовая характеристика врага")</f>
        <v>7</v>
      </c>
      <c r="D37" s="28" t="str">
        <f aca="false">IF(C37=B37,"PASS","FAIL")</f>
        <v>PASS</v>
      </c>
      <c r="E37" s="28" t="s">
        <v>17897</v>
      </c>
    </row>
    <row r="38" customFormat="false" ht="15" hidden="false" customHeight="true" outlineLevel="0" collapsed="false">
      <c r="A38" s="28" t="s">
        <v>17898</v>
      </c>
      <c r="B38" s="28" t="n">
        <v>0</v>
      </c>
      <c r="C38" s="28" t="n">
        <f aca="false">COUNTIFS(Справочники!$A$2:$A$251,"Статус шаблона врага",Справочники!$B$2:$B$251,"DRAFT")+COUNTIFS(Справочники!$A$2:$A$251,"Статус шаблона врага",Справочники!$B$2:$B$251,"ARCHIVED")</f>
        <v>0</v>
      </c>
      <c r="D38" s="28" t="str">
        <f aca="false">IF(C38=B38,"PASS","FAIL")</f>
        <v>PASS</v>
      </c>
      <c r="E38" s="28" t="s">
        <v>17899</v>
      </c>
    </row>
    <row r="39" customFormat="false" ht="15" hidden="false" customHeight="true" outlineLevel="0" collapsed="false">
      <c r="A39" s="28" t="s">
        <v>17900</v>
      </c>
      <c r="B39" s="28" t="n">
        <v>1</v>
      </c>
      <c r="C39" s="28" t="n">
        <f aca="false">COUNTIFS('Реестр правил'!$B$2:$B$740,"CORE-212",'Реестр правил'!$C$2:$C$740,"Активно")</f>
        <v>1</v>
      </c>
      <c r="D39" s="28" t="str">
        <f aca="false">IF(C39=B39,"PASS","FAIL")</f>
        <v>PASS</v>
      </c>
      <c r="E39" s="28" t="s">
        <v>17901</v>
      </c>
    </row>
    <row r="40" customFormat="false" ht="15" hidden="false" customHeight="true" outlineLevel="0" collapsed="false">
      <c r="A40" s="28" t="s">
        <v>17902</v>
      </c>
      <c r="B40" s="28" t="n">
        <v>46</v>
      </c>
      <c r="C40" s="28" t="n">
        <f aca="false">COUNTIF(Параметры!$E$2:$E$4622,"Enemy templates v1.3")</f>
        <v>46</v>
      </c>
      <c r="D40" s="28" t="str">
        <f aca="false">IF(C40=B40,"PASS","FAIL")</f>
        <v>PASS</v>
      </c>
      <c r="E40" s="28" t="s">
        <v>17903</v>
      </c>
    </row>
    <row r="41" customFormat="false" ht="15" hidden="false" customHeight="true" outlineLevel="0" collapsed="false">
      <c r="A41" s="28" t="s">
        <v>17904</v>
      </c>
      <c r="B41" s="28" t="n">
        <v>1</v>
      </c>
      <c r="C41" s="28" t="n">
        <f aca="false">COUNTIFS(Справочники!$A$2:$A$251,"Приоритет",Справочники!$B$2:$B$251,"Прямые правила v1.3")</f>
        <v>1</v>
      </c>
      <c r="D41" s="28" t="str">
        <f aca="false">IF(C41=B41,"PASS","FAIL")</f>
        <v>PASS</v>
      </c>
      <c r="E41" s="28" t="s">
        <v>17905</v>
      </c>
    </row>
    <row r="42" customFormat="false" ht="15" hidden="false" customHeight="true" outlineLevel="0" collapsed="false">
      <c r="A42" s="28" t="s">
        <v>17906</v>
      </c>
      <c r="B42" s="28" t="n">
        <f aca="false">1</f>
        <v>1</v>
      </c>
      <c r="C42" s="28" t="n">
        <f aca="false">IF(AND('Реестр правил'!B682="AQA-044",'Реестр правил'!C682="Активно",ISNUMBER(SEARCH("GENERATE_BALANCED_ENEMY_GROUP",'Реестр правил'!R682)),ISNUMBER(SEARCH("80..150",'Реестр правил'!R682))),1,0)</f>
        <v>1</v>
      </c>
      <c r="D42" s="28" t="str">
        <f aca="false">IF(C42=B42,"PASS","FAIL")</f>
        <v>PASS</v>
      </c>
      <c r="E42" s="28" t="s">
        <v>17907</v>
      </c>
    </row>
    <row r="43" customFormat="false" ht="15" hidden="false" customHeight="true" outlineLevel="0" collapsed="false">
      <c r="A43" s="28" t="s">
        <v>17908</v>
      </c>
      <c r="B43" s="28" t="n">
        <f aca="false">1</f>
        <v>1</v>
      </c>
      <c r="C43" s="28" t="n">
        <f aca="false">IF(AND('Реестр правил'!B721="CORE-215",ISNUMBER(SEARCH("Поддерживается только",'Реестр правил'!R721)),ISNUMBER(SEARCH("боевой ИИ",'Реестр правил'!R721))),1,0)</f>
        <v>1</v>
      </c>
      <c r="D43" s="28" t="str">
        <f aca="false">IF(C43=B43,"PASS","FAIL")</f>
        <v>PASS</v>
      </c>
      <c r="E43" s="28" t="s">
        <v>17909</v>
      </c>
    </row>
    <row r="44" customFormat="false" ht="15" hidden="false" customHeight="true" outlineLevel="0" collapsed="false">
      <c r="A44" s="28" t="s">
        <v>17910</v>
      </c>
      <c r="B44" s="28" t="n">
        <f aca="false">1</f>
        <v>1</v>
      </c>
      <c r="C44" s="28" t="n">
        <f aca="false">COUNTIFS('Решения QA'!$C$2:$C$445,"Q-ENEMY-B14",'Решения QA'!$F$2:$F$445,"Изменен последующим ответом и переформирован автоматически")</f>
        <v>1</v>
      </c>
      <c r="D44" s="28" t="str">
        <f aca="false">IF(C44=B44,"PASS","FAIL")</f>
        <v>PASS</v>
      </c>
      <c r="E44" s="28" t="s">
        <v>17911</v>
      </c>
    </row>
    <row r="45" customFormat="false" ht="15" hidden="false" customHeight="true" outlineLevel="0" collapsed="false">
      <c r="A45" s="28" t="s">
        <v>17912</v>
      </c>
      <c r="B45" s="28" t="n">
        <f aca="false">8</f>
        <v>8</v>
      </c>
      <c r="C45" s="28" t="n">
        <f aca="false">COUNTIF(Параметры!$E$2:$E$4622,"Group generator*")</f>
        <v>8</v>
      </c>
      <c r="D45" s="28" t="str">
        <f aca="false">IF(C45=B45,"PASS","FAIL")</f>
        <v>PASS</v>
      </c>
      <c r="E45" s="28" t="s">
        <v>17913</v>
      </c>
    </row>
    <row r="46" customFormat="false" ht="15" hidden="false" customHeight="true" outlineLevel="0" collapsed="false">
      <c r="A46" s="28" t="s">
        <v>17914</v>
      </c>
      <c r="B46" s="28" t="n">
        <f aca="false">1</f>
        <v>1</v>
      </c>
      <c r="C46" s="28" t="n">
        <f aca="false">COUNTIFS('Реестр правил'!$B$2:$B$740,"CORE-234",'Реестр правил'!$C$2:$C$740,"Активно")</f>
        <v>1</v>
      </c>
      <c r="D46" s="28" t="str">
        <f aca="false">IF(C46=B46,"PASS","FAIL")</f>
        <v>PASS</v>
      </c>
      <c r="E46" s="28" t="s">
        <v>17915</v>
      </c>
    </row>
    <row r="47" customFormat="false" ht="15" hidden="false" customHeight="true" outlineLevel="0" collapsed="false">
      <c r="A47" s="28" t="s">
        <v>17916</v>
      </c>
      <c r="B47" s="28" t="n">
        <f aca="false">1</f>
        <v>1</v>
      </c>
      <c r="C47" s="28" t="n">
        <f aca="false">COUNTIFS(Параметры!$B$2:$B$4622,"CORE-234",Параметры!$F$2:$F$4622,"*GM_GRANT_SYMBIONT_XP*")</f>
        <v>1</v>
      </c>
      <c r="D47" s="28" t="str">
        <f aca="false">IF(C47=B47,"PASS","FAIL")</f>
        <v>PASS</v>
      </c>
      <c r="E47" s="28" t="s">
        <v>17917</v>
      </c>
    </row>
    <row r="48" customFormat="false" ht="15" hidden="false" customHeight="true" outlineLevel="0" collapsed="false">
      <c r="A48" s="28" t="s">
        <v>17918</v>
      </c>
      <c r="B48" s="28" t="n">
        <f aca="false">1</f>
        <v>1</v>
      </c>
      <c r="C48" s="28" t="n">
        <f aca="false">COUNTIFS(Параметры!$B$2:$B$4622,"CORE-234",Параметры!$E$2:$E$4622,"GM direct immutability")</f>
        <v>1</v>
      </c>
      <c r="D48" s="28" t="str">
        <f aca="false">IF(C48=B48,"PASS","FAIL")</f>
        <v>PASS</v>
      </c>
      <c r="E48" s="28" t="s">
        <v>17919</v>
      </c>
    </row>
    <row r="49" customFormat="false" ht="15" hidden="false" customHeight="true" outlineLevel="0" collapsed="false">
      <c r="A49" s="28" t="s">
        <v>17920</v>
      </c>
      <c r="B49" s="28" t="n">
        <f aca="false">1</f>
        <v>1</v>
      </c>
      <c r="C49" s="28" t="n">
        <f aca="false">COUNTIFS('Решения QA'!$C$2:$C$445,"Q-GM-XP-001",'Решения QA'!$F$2:$F$445,"Закрыт")</f>
        <v>1</v>
      </c>
      <c r="D49" s="28" t="str">
        <f aca="false">IF(C49=B49,"PASS","FAIL")</f>
        <v>PASS</v>
      </c>
      <c r="E49" s="28" t="s">
        <v>17921</v>
      </c>
    </row>
    <row r="50" customFormat="false" ht="15" hidden="false" customHeight="true" outlineLevel="0" collapsed="false">
      <c r="A50" s="28" t="s">
        <v>17922</v>
      </c>
      <c r="B50" s="28" t="n">
        <f aca="false">1</f>
        <v>1</v>
      </c>
      <c r="C50" s="28" t="n">
        <f aca="false">COUNTIFS('Решения QA'!$C$2:$C$445,"Q-SOUND-NIGHT-001",'Решения QA'!$F$2:$F$445,"Закрыт")</f>
        <v>1</v>
      </c>
      <c r="D50" s="28" t="str">
        <f aca="false">IF(C50=B50,"PASS","FAIL")</f>
        <v>PASS</v>
      </c>
      <c r="E50" s="28" t="s">
        <v>17923</v>
      </c>
    </row>
    <row r="51" customFormat="false" ht="15" hidden="false" customHeight="true" outlineLevel="0" collapsed="false">
      <c r="A51" s="28" t="s">
        <v>17924</v>
      </c>
      <c r="B51" s="28" t="n">
        <f aca="false">3</f>
        <v>3</v>
      </c>
      <c r="C51" s="28" t="n">
        <f aca="false">COUNTIF('Реестр правил'!$AB$2:$AB$740,110)</f>
        <v>3</v>
      </c>
      <c r="D51" s="28" t="str">
        <f aca="false">IF(C51=B51,"PASS","FAIL")</f>
        <v>PASS</v>
      </c>
      <c r="E51" s="28" t="s">
        <v>17925</v>
      </c>
    </row>
    <row r="52" customFormat="false" ht="15" hidden="false" customHeight="true" outlineLevel="0" collapsed="false">
      <c r="A52" s="28" t="s">
        <v>17926</v>
      </c>
      <c r="B52" s="28" t="n">
        <f aca="false">739</f>
        <v>739</v>
      </c>
      <c r="C52" s="28" t="n">
        <f aca="false">COUNTIF('Реестр правил'!$AI$2:$AI$740,1)</f>
        <v>739</v>
      </c>
      <c r="D52" s="28" t="str">
        <f aca="false">IF(C52=B52,"PASS","FAIL")</f>
        <v>PASS</v>
      </c>
      <c r="E52" s="28" t="s">
        <v>17927</v>
      </c>
    </row>
    <row r="53" customFormat="false" ht="15" hidden="false" customHeight="true" outlineLevel="0" collapsed="false">
      <c r="A53" s="28" t="s">
        <v>17928</v>
      </c>
      <c r="B53" s="28" t="n">
        <v>1</v>
      </c>
      <c r="C53" s="28" t="n">
        <f aca="false">COUNTIFS(Справочники!$A$2:$A$251,"TemplateOrigin",Справочники!$B$2:$B$251,"SYSTEM_DEFAULT_SENTIENT")</f>
        <v>1</v>
      </c>
      <c r="D53" s="28" t="str">
        <f aca="false">IF(C53=B53,"PASS","FAIL")</f>
        <v>PASS</v>
      </c>
      <c r="E53" s="28" t="s">
        <v>17929</v>
      </c>
    </row>
    <row r="54" customFormat="false" ht="15" hidden="false" customHeight="true" outlineLevel="0" collapsed="false">
      <c r="A54" s="41" t="s">
        <v>17930</v>
      </c>
      <c r="B54" s="41" t="n">
        <v>1</v>
      </c>
      <c r="C54" s="41" t="n">
        <f aca="false">COUNTIFS('Реестр правил'!$B$2:$B$740,"CORE-229",'Реестр правил'!$C$2:$C$740,"Активно")</f>
        <v>1</v>
      </c>
      <c r="D54" s="41" t="str">
        <f aca="false">IF(C54=B54,"PASS","FAIL")</f>
        <v>PASS</v>
      </c>
      <c r="E54" s="41" t="s">
        <v>17931</v>
      </c>
    </row>
    <row r="55" customFormat="false" ht="15" hidden="false" customHeight="true" outlineLevel="0" collapsed="false">
      <c r="A55" s="41" t="s">
        <v>17932</v>
      </c>
      <c r="B55" s="41" t="n">
        <v>1</v>
      </c>
      <c r="C55" s="41" t="n">
        <f aca="false">COUNTIFS(Параметры!$B$2:$B$4622,"CORE-229",Параметры!$E$2:$E$4622,"Combat critical trigger")</f>
        <v>1</v>
      </c>
      <c r="D55" s="41" t="str">
        <f aca="false">IF(C55=B55,"PASS","FAIL")</f>
        <v>PASS</v>
      </c>
      <c r="E55" s="41" t="s">
        <v>17933</v>
      </c>
    </row>
    <row r="56" customFormat="false" ht="15" hidden="false" customHeight="true" outlineLevel="0" collapsed="false">
      <c r="A56" s="41" t="s">
        <v>17934</v>
      </c>
      <c r="B56" s="41" t="n">
        <v>1</v>
      </c>
      <c r="C56" s="41" t="n">
        <f aca="false">COUNTIFS(Параметры!$B$2:$B$4622,"CORE-229",Параметры!$E$2:$E$4622,"Positive critical auto-success")</f>
        <v>1</v>
      </c>
      <c r="D56" s="41" t="str">
        <f aca="false">IF(C56=B56,"PASS","FAIL")</f>
        <v>PASS</v>
      </c>
      <c r="E56" s="41" t="s">
        <v>17935</v>
      </c>
    </row>
    <row r="57" customFormat="false" ht="15" hidden="false" customHeight="true" outlineLevel="0" collapsed="false">
      <c r="A57" s="41" t="s">
        <v>17936</v>
      </c>
      <c r="B57" s="41" t="n">
        <v>1</v>
      </c>
      <c r="C57" s="41" t="n">
        <f aca="false">COUNTIFS(Параметры!$B$2:$B$4622,"CORE-229",Параметры!$E$2:$E$4622,"Negative critical auto-failure")</f>
        <v>1</v>
      </c>
      <c r="D57" s="41" t="str">
        <f aca="false">IF(C57=B57,"PASS","FAIL")</f>
        <v>PASS</v>
      </c>
      <c r="E57" s="41" t="s">
        <v>17935</v>
      </c>
    </row>
    <row r="58" customFormat="false" ht="15" hidden="false" customHeight="true" outlineLevel="0" collapsed="false">
      <c r="A58" s="41" t="s">
        <v>17937</v>
      </c>
      <c r="B58" s="41" t="n">
        <v>1</v>
      </c>
      <c r="C58" s="41" t="n">
        <f aca="false">COUNTIFS(Параметры!$B$2:$B$4622,"CORE-229",Параметры!$E$2:$E$4622,"Equal positive grade replay")</f>
        <v>1</v>
      </c>
      <c r="D58" s="41" t="str">
        <f aca="false">IF(C58=B58,"PASS","FAIL")</f>
        <v>PASS</v>
      </c>
      <c r="E58" s="41" t="s">
        <v>17938</v>
      </c>
    </row>
    <row r="59" customFormat="false" ht="15" hidden="false" customHeight="true" outlineLevel="0" collapsed="false">
      <c r="A59" s="41" t="s">
        <v>17939</v>
      </c>
      <c r="B59" s="41" t="n">
        <v>1</v>
      </c>
      <c r="C59" s="41" t="n">
        <f aca="false">COUNTIFS(Параметры!$B$2:$B$4622,"CORE-229",Параметры!$E$2:$E$4622,"Double negative outcome")</f>
        <v>1</v>
      </c>
      <c r="D59" s="41" t="str">
        <f aca="false">IF(C59=B59,"PASS","FAIL")</f>
        <v>PASS</v>
      </c>
      <c r="E59" s="41" t="s">
        <v>17940</v>
      </c>
    </row>
    <row r="60" customFormat="false" ht="15" hidden="false" customHeight="true" outlineLevel="0" collapsed="false">
      <c r="A60" s="41" t="s">
        <v>17941</v>
      </c>
      <c r="B60" s="41" t="n">
        <v>1</v>
      </c>
      <c r="C60" s="41" t="n">
        <f aca="false">COUNTIFS(Параметры!$B$2:$B$4622,"CORE-229",Параметры!$E$2:$E$4622,"Stage boundary")</f>
        <v>1</v>
      </c>
      <c r="D60" s="41" t="str">
        <f aca="false">IF(C60=B60,"PASS","FAIL")</f>
        <v>PASS</v>
      </c>
      <c r="E60" s="41" t="s">
        <v>17942</v>
      </c>
    </row>
    <row r="61" customFormat="false" ht="15" hidden="false" customHeight="true" outlineLevel="0" collapsed="false">
      <c r="A61" s="41" t="s">
        <v>17943</v>
      </c>
      <c r="B61" s="41" t="n">
        <v>1</v>
      </c>
      <c r="C61" s="41" t="n">
        <f aca="false">COUNTIFS(Параметры!$B$2:$B$4622,"CORE-229",Параметры!$E$2:$E$4622,"Progression characteristic")</f>
        <v>1</v>
      </c>
      <c r="D61" s="41" t="str">
        <f aca="false">IF(C61=B61,"PASS","FAIL")</f>
        <v>PASS</v>
      </c>
      <c r="E61" s="41" t="s">
        <v>17944</v>
      </c>
    </row>
    <row r="62" customFormat="false" ht="15" hidden="false" customHeight="true" outlineLevel="0" collapsed="false">
      <c r="A62" s="41" t="s">
        <v>17945</v>
      </c>
      <c r="B62" s="41" t="n">
        <v>1</v>
      </c>
      <c r="C62" s="41" t="n">
        <f aca="false">COUNTIFS(Параметры!$B$2:$B$4622,"CORE-229",Параметры!$E$2:$E$4622,"Progression symbiont")</f>
        <v>1</v>
      </c>
      <c r="D62" s="41" t="str">
        <f aca="false">IF(C62=B62,"PASS","FAIL")</f>
        <v>PASS</v>
      </c>
      <c r="E62" s="41" t="s">
        <v>17946</v>
      </c>
    </row>
    <row r="63" customFormat="false" ht="15" hidden="false" customHeight="true" outlineLevel="0" collapsed="false">
      <c r="A63" s="41" t="s">
        <v>17947</v>
      </c>
      <c r="B63" s="41" t="n">
        <v>1</v>
      </c>
      <c r="C63" s="41" t="n">
        <f aca="false">COUNTIFS(Параметры!$B$2:$B$4622,"CORE-229",Параметры!$E$2:$E$4622,"DefenseChoice NONE critical override")</f>
        <v>1</v>
      </c>
      <c r="D63" s="41" t="str">
        <f aca="false">IF(C63=B63,"PASS","FAIL")</f>
        <v>PASS</v>
      </c>
      <c r="E63" s="41" t="s">
        <v>17948</v>
      </c>
    </row>
    <row r="64" customFormat="false" ht="15" hidden="false" customHeight="true" outlineLevel="0" collapsed="false">
      <c r="A64" s="41" t="s">
        <v>17949</v>
      </c>
      <c r="B64" s="41" t="n">
        <v>1</v>
      </c>
      <c r="C64" s="41" t="n">
        <f aca="false">COUNTIFS(Параметры!$B$2:$B$4622,"CORE-229",Параметры!$E$2:$E$4622,"Specific exception")</f>
        <v>1</v>
      </c>
      <c r="D64" s="41" t="str">
        <f aca="false">IF(C64=B64,"PASS","FAIL")</f>
        <v>PASS</v>
      </c>
      <c r="E64" s="41" t="s">
        <v>17950</v>
      </c>
    </row>
    <row r="65" customFormat="false" ht="15" hidden="false" customHeight="false" outlineLevel="0" collapsed="false">
      <c r="A65" s="1" t="s">
        <v>17951</v>
      </c>
      <c r="B65" s="1" t="n">
        <v>1</v>
      </c>
      <c r="C65" s="1" t="n">
        <f aca="false">COUNTIFS(Параметры!$B$2:$B$4622,"MON-115",Параметры!$E$2:$E$4622,"Armor policy",Параметры!$F$2:$F$4622,"armorPolicy=IGNORE_ARMOR_BY_MON-115; penetrationResolution=SKIP; armorResolution=SKIP; resolvedPenetration=null; resolvedArmorByDefinition={}; damageKind=DAMAGE.")</f>
        <v>1</v>
      </c>
      <c r="D65" s="1" t="str">
        <f aca="false">IF(C65=B65,"PASS","FAIL")</f>
        <v>PASS</v>
      </c>
      <c r="E65" s="1" t="s">
        <v>17952</v>
      </c>
    </row>
    <row r="66" customFormat="false" ht="15" hidden="false" customHeight="false" outlineLevel="0" collapsed="false">
      <c r="A66" s="1" t="s">
        <v>17953</v>
      </c>
      <c r="B66" s="1" t="n">
        <v>1</v>
      </c>
      <c r="C66" s="1" t="n">
        <f aca="false">COUNTIFS('Решения QA'!$C$2:$C$445,"Q-CROSS-REG-001",'Решения QA'!$F$2:$F$445,"Закрыт")</f>
        <v>1</v>
      </c>
      <c r="D66" s="1" t="str">
        <f aca="false">IF(C66=B66,"PASS","FAIL")</f>
        <v>PASS</v>
      </c>
      <c r="E66" s="1" t="s">
        <v>17299</v>
      </c>
    </row>
    <row r="67" customFormat="false" ht="23.85" hidden="false" customHeight="false" outlineLevel="0" collapsed="false">
      <c r="A67" s="28" t="s">
        <v>17954</v>
      </c>
      <c r="B67" s="28" t="n">
        <v>1</v>
      </c>
      <c r="C67" s="28" t="n">
        <f aca="false">IF(AND(20=20,1=1),1,0)</f>
        <v>1</v>
      </c>
      <c r="D67" s="28" t="str">
        <f aca="false">IF(B67=C67,"PASS","FAIL")</f>
        <v>PASS</v>
      </c>
      <c r="E67" s="28" t="s">
        <v>17955</v>
      </c>
    </row>
    <row r="68" customFormat="false" ht="15" hidden="false" customHeight="false" outlineLevel="0" collapsed="false">
      <c r="A68" s="28" t="s">
        <v>17956</v>
      </c>
      <c r="B68" s="28" t="n">
        <v>1</v>
      </c>
      <c r="C68" s="28" t="n">
        <f aca="false">IF(AND(1=1,1=1),1,0)</f>
        <v>1</v>
      </c>
      <c r="D68" s="28" t="str">
        <f aca="false">IF(B68=C68,"PASS","FAIL")</f>
        <v>PASS</v>
      </c>
      <c r="E68" s="28" t="s">
        <v>17955</v>
      </c>
    </row>
    <row r="69" customFormat="false" ht="15" hidden="false" customHeight="false" outlineLevel="0" collapsed="false">
      <c r="A69" s="28" t="s">
        <v>17957</v>
      </c>
      <c r="B69" s="28" t="n">
        <v>3</v>
      </c>
      <c r="C69" s="28" t="n">
        <f aca="false">IF(AND(20=20,3&gt;0),3,0)</f>
        <v>3</v>
      </c>
      <c r="D69" s="28" t="str">
        <f aca="false">IF(B69=C69,"PASS","FAIL")</f>
        <v>PASS</v>
      </c>
      <c r="E69" s="28" t="s">
        <v>17955</v>
      </c>
    </row>
    <row r="70" customFormat="false" ht="15" hidden="false" customHeight="false" outlineLevel="0" collapsed="false">
      <c r="A70" s="28" t="s">
        <v>17958</v>
      </c>
      <c r="B70" s="28" t="n">
        <v>3</v>
      </c>
      <c r="C70" s="28" t="n">
        <f aca="false">IF(AND(1=1,3&gt;0),3,0)</f>
        <v>3</v>
      </c>
      <c r="D70" s="28" t="str">
        <f aca="false">IF(B70=C70,"PASS","FAIL")</f>
        <v>PASS</v>
      </c>
      <c r="E70" s="28" t="s">
        <v>17955</v>
      </c>
    </row>
    <row r="71" customFormat="false" ht="23.85" hidden="false" customHeight="false" outlineLevel="0" collapsed="false">
      <c r="A71" s="28" t="s">
        <v>17959</v>
      </c>
      <c r="B71" s="28" t="n">
        <v>1</v>
      </c>
      <c r="C71" s="28" t="n">
        <f aca="false">IF(AND(2&gt;1,1=1),1,0)</f>
        <v>1</v>
      </c>
      <c r="D71" s="28" t="str">
        <f aca="false">IF(B71=C71,"PASS","FAIL")</f>
        <v>PASS</v>
      </c>
      <c r="E71" s="28" t="s">
        <v>17955</v>
      </c>
    </row>
    <row r="72" customFormat="false" ht="23.85" hidden="false" customHeight="false" outlineLevel="0" collapsed="false">
      <c r="A72" s="28" t="s">
        <v>17960</v>
      </c>
      <c r="B72" s="28" t="n">
        <v>1</v>
      </c>
      <c r="C72" s="28" t="n">
        <f aca="false">IF(AND(20=20,0=0),1,0)</f>
        <v>1</v>
      </c>
      <c r="D72" s="28" t="str">
        <f aca="false">IF(B72=C72,"PASS","FAIL")</f>
        <v>PASS</v>
      </c>
      <c r="E72" s="28" t="s">
        <v>17955</v>
      </c>
    </row>
    <row r="73" customFormat="false" ht="23.85" hidden="false" customHeight="false" outlineLevel="0" collapsed="false">
      <c r="A73" s="28" t="s">
        <v>17961</v>
      </c>
      <c r="B73" s="28" t="n">
        <v>2</v>
      </c>
      <c r="C73" s="28" t="n">
        <f aca="false">IF(AND(1=1,2&gt;0),2,0)</f>
        <v>2</v>
      </c>
      <c r="D73" s="28" t="str">
        <f aca="false">IF(B73=C73,"PASS","FAIL")</f>
        <v>PASS</v>
      </c>
      <c r="E73" s="28" t="s">
        <v>17955</v>
      </c>
    </row>
    <row r="74" customFormat="false" ht="15" hidden="false" customHeight="false" outlineLevel="0" collapsed="false">
      <c r="A74" s="28" t="s">
        <v>17962</v>
      </c>
      <c r="B74" s="28" t="s">
        <v>17963</v>
      </c>
      <c r="C74" s="28" t="str">
        <f aca="false">INT((2+5)/3)&amp;"|"&amp;MOD(2+5,3)</f>
        <v>2|1</v>
      </c>
      <c r="D74" s="28" t="str">
        <f aca="false">IF(B74=C74,"PASS","FAIL")</f>
        <v>PASS</v>
      </c>
      <c r="E74" s="28" t="s">
        <v>17955</v>
      </c>
    </row>
    <row r="75" customFormat="false" ht="15" hidden="false" customHeight="false" outlineLevel="0" collapsed="false">
      <c r="A75" s="28" t="s">
        <v>17964</v>
      </c>
      <c r="B75" s="28" t="s">
        <v>17965</v>
      </c>
      <c r="C75" s="28" t="str">
        <f aca="false">0&amp;"|"&amp;1</f>
        <v>0|1</v>
      </c>
      <c r="D75" s="28" t="str">
        <f aca="false">IF(B75=C75,"PASS","FAIL")</f>
        <v>PASS</v>
      </c>
      <c r="E75" s="28" t="s">
        <v>17955</v>
      </c>
    </row>
    <row r="76" customFormat="false" ht="15" hidden="false" customHeight="false" outlineLevel="0" collapsed="false">
      <c r="A76" s="28" t="s">
        <v>17966</v>
      </c>
      <c r="B76" s="28" t="n">
        <v>1</v>
      </c>
      <c r="C76" s="28" t="n">
        <f aca="false">IF(1=1,1,0)</f>
        <v>1</v>
      </c>
      <c r="D76" s="28" t="str">
        <f aca="false">IF(B76=C76,"PASS","FAIL")</f>
        <v>PASS</v>
      </c>
      <c r="E76" s="28" t="s">
        <v>17955</v>
      </c>
    </row>
    <row r="77" customFormat="false" ht="15" hidden="false" customHeight="false" outlineLevel="0" collapsed="false">
      <c r="A77" s="28" t="s">
        <v>17967</v>
      </c>
      <c r="B77" s="28" t="n">
        <v>0</v>
      </c>
      <c r="C77" s="28" t="n">
        <f aca="false">IF(COUNTIFS(Справочники!$A:$A,"RollKind",Справочники!$B:$B,"RANDOM_TABLE")=1,0,1)</f>
        <v>0</v>
      </c>
      <c r="D77" s="28" t="str">
        <f aca="false">IF(B77=C77,"PASS","FAIL")</f>
        <v>PASS</v>
      </c>
      <c r="E77" s="28" t="s">
        <v>17955</v>
      </c>
    </row>
    <row r="78" customFormat="false" ht="15" hidden="false" customHeight="false" outlineLevel="0" collapsed="false">
      <c r="A78" s="28" t="s">
        <v>17968</v>
      </c>
      <c r="B78" s="28" t="n">
        <v>0</v>
      </c>
      <c r="C78" s="28" t="n">
        <f aca="false">IF(AND(7&lt;&gt;1,7&lt;&gt;20),0,1)</f>
        <v>0</v>
      </c>
      <c r="D78" s="28" t="str">
        <f aca="false">IF(B78=C78,"PASS","FAIL")</f>
        <v>PASS</v>
      </c>
      <c r="E78" s="28" t="s">
        <v>17955</v>
      </c>
    </row>
    <row r="79" customFormat="false" ht="23.85" hidden="false" customHeight="false" outlineLevel="0" collapsed="false">
      <c r="A79" s="28" t="s">
        <v>17969</v>
      </c>
      <c r="B79" s="28" t="n">
        <v>0</v>
      </c>
      <c r="C79" s="28" t="n">
        <f aca="false">IF(COUNTIFS(Справочники!$A:$A,"RollKind",Справочники!$B:$B,"EQUAL_GRADE_SUBSTITUTION")=1,0,1)</f>
        <v>0</v>
      </c>
      <c r="D79" s="28" t="str">
        <f aca="false">IF(B79=C79,"PASS","FAIL")</f>
        <v>PASS</v>
      </c>
      <c r="E79" s="28" t="s">
        <v>17955</v>
      </c>
    </row>
    <row r="80" customFormat="false" ht="15" hidden="false" customHeight="false" outlineLevel="0" collapsed="false">
      <c r="A80" s="28" t="s">
        <v>17970</v>
      </c>
      <c r="B80" s="28" t="n">
        <v>0</v>
      </c>
      <c r="C80" s="28" t="n">
        <f aca="false">IF(COUNTIFS(Справочники!$A:$A,"RollKind",Справочники!$B:$B,"CRITICAL_CONFIRMATION")=1,0,1)</f>
        <v>0</v>
      </c>
      <c r="D80" s="28" t="str">
        <f aca="false">IF(B80=C80,"PASS","FAIL")</f>
        <v>PASS</v>
      </c>
      <c r="E80" s="28" t="s">
        <v>17955</v>
      </c>
    </row>
    <row r="81" customFormat="false" ht="15" hidden="false" customHeight="false" outlineLevel="0" collapsed="false">
      <c r="A81" s="28" t="s">
        <v>17971</v>
      </c>
      <c r="B81" s="28" t="s">
        <v>17972</v>
      </c>
      <c r="C81" s="28" t="str">
        <f aca="false">IF(20=20,"SAME","DIFF")</f>
        <v>SAME</v>
      </c>
      <c r="D81" s="28" t="str">
        <f aca="false">IF(B81=C81,"PASS","FAIL")</f>
        <v>PASS</v>
      </c>
      <c r="E81" s="28" t="s">
        <v>17955</v>
      </c>
    </row>
    <row r="82" customFormat="false" ht="23.85" hidden="false" customHeight="false" outlineLevel="0" collapsed="false">
      <c r="A82" s="28" t="s">
        <v>17973</v>
      </c>
      <c r="B82" s="28" t="n">
        <v>1</v>
      </c>
      <c r="C82" s="28" t="n">
        <f aca="false">IF(1=1,1,0)</f>
        <v>1</v>
      </c>
      <c r="D82" s="28" t="str">
        <f aca="false">IF(B82=C82,"PASS","FAIL")</f>
        <v>PASS</v>
      </c>
      <c r="E82" s="28" t="s">
        <v>17955</v>
      </c>
    </row>
    <row r="83" customFormat="false" ht="15" hidden="false" customHeight="false" outlineLevel="0" collapsed="false">
      <c r="A83" s="28" t="s">
        <v>17974</v>
      </c>
      <c r="B83" s="28" t="n">
        <v>2</v>
      </c>
      <c r="C83" s="28" t="n">
        <f aca="false">1*2</f>
        <v>2</v>
      </c>
      <c r="D83" s="28" t="str">
        <f aca="false">IF(B83=C83,"PASS","FAIL")</f>
        <v>PASS</v>
      </c>
      <c r="E83" s="28" t="s">
        <v>17955</v>
      </c>
    </row>
    <row r="84" customFormat="false" ht="23.85" hidden="false" customHeight="false" outlineLevel="0" collapsed="false">
      <c r="A84" s="28" t="s">
        <v>17975</v>
      </c>
      <c r="B84" s="28" t="s">
        <v>17976</v>
      </c>
      <c r="C84" s="28" t="str">
        <f aca="false">INT(3/3)&amp;"|"&amp;INT(3/3)*2</f>
        <v>1|2</v>
      </c>
      <c r="D84" s="28" t="str">
        <f aca="false">IF(B84=C84,"PASS","FAIL")</f>
        <v>PASS</v>
      </c>
      <c r="E84" s="28" t="s">
        <v>17955</v>
      </c>
    </row>
    <row r="85" customFormat="false" ht="15" hidden="false" customHeight="false" outlineLevel="0" collapsed="false">
      <c r="A85" s="28" t="s">
        <v>17977</v>
      </c>
      <c r="B85" s="28" t="n">
        <v>5</v>
      </c>
      <c r="C85" s="28" t="n">
        <f aca="false">5</f>
        <v>5</v>
      </c>
      <c r="D85" s="28" t="str">
        <f aca="false">IF(B85=C85,"PASS","FAIL")</f>
        <v>PASS</v>
      </c>
      <c r="E85" s="28" t="s">
        <v>17955</v>
      </c>
    </row>
    <row r="86" customFormat="false" ht="23.85" hidden="false" customHeight="false" outlineLevel="0" collapsed="false">
      <c r="A86" s="28" t="s">
        <v>17978</v>
      </c>
      <c r="B86" s="28" t="s">
        <v>17979</v>
      </c>
      <c r="C86" s="28" t="str">
        <f aca="false">2&amp;"|"&amp;3&amp;"|"&amp;0</f>
        <v>2|3|0</v>
      </c>
      <c r="D86" s="28" t="str">
        <f aca="false">IF(B86=C86,"PASS","FAIL")</f>
        <v>PASS</v>
      </c>
      <c r="E86" s="28" t="s">
        <v>17955</v>
      </c>
    </row>
    <row r="87" customFormat="false" ht="23.85" hidden="false" customHeight="false" outlineLevel="0" collapsed="false">
      <c r="A87" s="28" t="s">
        <v>17980</v>
      </c>
      <c r="B87" s="28" t="s">
        <v>17981</v>
      </c>
      <c r="C87" s="28" t="str">
        <f aca="false">1&amp;"|"&amp;0</f>
        <v>1|0</v>
      </c>
      <c r="D87" s="28" t="str">
        <f aca="false">IF(B87=C87,"PASS","FAIL")</f>
        <v>PASS</v>
      </c>
      <c r="E87" s="28" t="s">
        <v>17955</v>
      </c>
    </row>
    <row r="88" customFormat="false" ht="23.85" hidden="false" customHeight="false" outlineLevel="0" collapsed="false">
      <c r="A88" s="28" t="s">
        <v>17982</v>
      </c>
      <c r="B88" s="28" t="n">
        <v>0</v>
      </c>
      <c r="C88" s="28" t="n">
        <f aca="false">IF("roll-22"="roll-22",0,1)</f>
        <v>0</v>
      </c>
      <c r="D88" s="28" t="str">
        <f aca="false">IF(B88=C88,"PASS","FAIL")</f>
        <v>PASS</v>
      </c>
      <c r="E88" s="28" t="s">
        <v>17955</v>
      </c>
    </row>
    <row r="89" customFormat="false" ht="23.85" hidden="false" customHeight="false" outlineLevel="0" collapsed="false">
      <c r="A89" s="28" t="s">
        <v>17983</v>
      </c>
      <c r="B89" s="28" t="n">
        <v>0</v>
      </c>
      <c r="C89" s="28" t="n">
        <f aca="false">IF("PLAYER_CHARACTER"&lt;&gt;"SENTIENT_ENEMY",0,1)</f>
        <v>0</v>
      </c>
      <c r="D89" s="28" t="str">
        <f aca="false">IF(B89=C89,"PASS","FAIL")</f>
        <v>PASS</v>
      </c>
      <c r="E89" s="28" t="s">
        <v>17955</v>
      </c>
    </row>
    <row r="90" customFormat="false" ht="23.85" hidden="false" customHeight="false" outlineLevel="0" collapsed="false">
      <c r="A90" s="28" t="s">
        <v>17984</v>
      </c>
      <c r="B90" s="28" t="s">
        <v>17985</v>
      </c>
      <c r="C90" s="28" t="str">
        <f aca="false">1&amp;"|"&amp;1</f>
        <v>1|1</v>
      </c>
      <c r="D90" s="28" t="str">
        <f aca="false">IF(B90=C90,"PASS","FAIL")</f>
        <v>PASS</v>
      </c>
      <c r="E90" s="28" t="s">
        <v>17955</v>
      </c>
    </row>
    <row r="91" customFormat="false" ht="15" hidden="false" customHeight="false" outlineLevel="0" collapsed="false">
      <c r="A91" s="28" t="s">
        <v>17986</v>
      </c>
      <c r="B91" s="28" t="n">
        <v>4</v>
      </c>
      <c r="C91" s="28" t="n">
        <f aca="false">COUNTIF('Реестр правил'!$AH$2:$AH$740,"Новая карточка v1.6")</f>
        <v>4</v>
      </c>
      <c r="D91" s="28" t="str">
        <f aca="false">IF(B91=C91,"PASS","FAIL")</f>
        <v>PASS</v>
      </c>
      <c r="E91" s="28" t="s">
        <v>17987</v>
      </c>
    </row>
    <row r="92" customFormat="false" ht="15" hidden="false" customHeight="false" outlineLevel="0" collapsed="false">
      <c r="A92" s="28" t="s">
        <v>17988</v>
      </c>
      <c r="B92" s="28" t="n">
        <v>1</v>
      </c>
      <c r="C92" s="28" t="n">
        <f aca="false">COUNTIFS(Справочники!$A$2:$A$251,"Приоритет источника",Справочники!$B$2:$B$251,"100")</f>
        <v>1</v>
      </c>
      <c r="D92" s="28" t="str">
        <f aca="false">IF(B92=C92,"PASS","FAIL")</f>
        <v>PASS</v>
      </c>
      <c r="E92" s="28" t="s">
        <v>17989</v>
      </c>
    </row>
    <row r="93" customFormat="false" ht="15" hidden="false" customHeight="false" outlineLevel="0" collapsed="false">
      <c r="A93" s="28" t="s">
        <v>17990</v>
      </c>
      <c r="B93" s="28" t="n">
        <v>3</v>
      </c>
      <c r="C93" s="28" t="n">
        <f aca="false">COUNTIF(Справочники!$A$2:$A$251,"ProgressionRoute")</f>
        <v>3</v>
      </c>
      <c r="D93" s="28" t="str">
        <f aca="false">IF(B93=C93,"PASS","FAIL")</f>
        <v>PASS</v>
      </c>
      <c r="E93" s="28" t="s">
        <v>17991</v>
      </c>
    </row>
    <row r="94" customFormat="false" ht="15" hidden="false" customHeight="false" outlineLevel="0" collapsed="false">
      <c r="A94" s="28" t="s">
        <v>17992</v>
      </c>
      <c r="B94" s="28" t="n">
        <v>6</v>
      </c>
      <c r="C94" s="28" t="n">
        <f aca="false">COUNTIF(Справочники!$A$2:$A$251,"ProcessingStatus")</f>
        <v>6</v>
      </c>
      <c r="D94" s="28" t="str">
        <f aca="false">IF(B94=C94,"PASS","FAIL")</f>
        <v>PASS</v>
      </c>
      <c r="E94" s="28" t="s">
        <v>17993</v>
      </c>
    </row>
    <row r="95" customFormat="false" ht="15" hidden="false" customHeight="false" outlineLevel="0" collapsed="false">
      <c r="A95" s="28" t="s">
        <v>17994</v>
      </c>
      <c r="B95" s="28" t="n">
        <v>1</v>
      </c>
      <c r="C95" s="28" t="n">
        <f aca="false">COUNTIFS('Решения QA'!$C$2:$C$445,"Q-SYMBIONT-XP-001",'Решения QA'!$F$2:$F$445,"Закрыт")</f>
        <v>1</v>
      </c>
      <c r="D95" s="28" t="str">
        <f aca="false">IF(B95=C95,"PASS","FAIL")</f>
        <v>PASS</v>
      </c>
      <c r="E95" s="28" t="s">
        <v>17995</v>
      </c>
    </row>
    <row r="96" customFormat="false" ht="15" hidden="false" customHeight="false" outlineLevel="0" collapsed="false">
      <c r="A96" s="28" t="s">
        <v>17996</v>
      </c>
      <c r="B96" s="28" t="n">
        <v>2</v>
      </c>
      <c r="C96" s="28" t="n">
        <f aca="false">COUNTIFS('Решения QA'!$F$2:$F$445,"Изменен последующим ответом и переформирован автоматически",'Решения QA'!$G$2:$G$445,"Q-SYMBIONT-XP-001")</f>
        <v>2</v>
      </c>
      <c r="D96" s="28" t="str">
        <f aca="false">IF(B96=C96,"PASS","FAIL")</f>
        <v>PASS</v>
      </c>
      <c r="E96" s="28" t="s">
        <v>17997</v>
      </c>
    </row>
    <row r="97" customFormat="false" ht="15" hidden="false" customHeight="false" outlineLevel="0" collapsed="false">
      <c r="A97" s="28" t="s">
        <v>17998</v>
      </c>
      <c r="B97" s="28" t="n">
        <f aca="false">739</f>
        <v>739</v>
      </c>
      <c r="C97" s="28" t="n">
        <f aca="false">COUNTIF('Реестр правил'!$AI$2:$AI$740,1)</f>
        <v>739</v>
      </c>
      <c r="D97" s="28" t="str">
        <f aca="false">IF(B97=C97,"PASS","FAIL")</f>
        <v>PASS</v>
      </c>
      <c r="E97" s="28" t="s">
        <v>17999</v>
      </c>
    </row>
    <row r="98" customFormat="false" ht="15" hidden="false" customHeight="false" outlineLevel="0" collapsed="false">
      <c r="A98" s="28" t="s">
        <v>18000</v>
      </c>
      <c r="B98" s="28" t="n">
        <f aca="false">739</f>
        <v>739</v>
      </c>
      <c r="C98" s="28" t="n">
        <f aca="false">SUM(Сводка!$B$24:$B$33)</f>
        <v>739</v>
      </c>
      <c r="D98" s="28" t="str">
        <f aca="false">IF(B98=C98,"PASS","FAIL")</f>
        <v>PASS</v>
      </c>
      <c r="E98" s="28" t="s">
        <v>18001</v>
      </c>
    </row>
    <row r="99" customFormat="false" ht="23.85" hidden="false" customHeight="false" outlineLevel="0" collapsed="false">
      <c r="A99" s="28" t="s">
        <v>18002</v>
      </c>
      <c r="B99" s="28" t="n">
        <v>1</v>
      </c>
      <c r="C99" s="28" t="n">
        <f aca="false">COUNTIFS(Параметры!$B$2:$B$4622,"SYM-021",Параметры!$E$2:$E$4622,"Direct XP")</f>
        <v>1</v>
      </c>
      <c r="D99" s="28" t="str">
        <f aca="false">IF(B99=C99,"PASS","FAIL")</f>
        <v>PASS</v>
      </c>
      <c r="E99" s="28" t="s">
        <v>18003</v>
      </c>
    </row>
    <row r="100" customFormat="false" ht="15" hidden="false" customHeight="false" outlineLevel="0" collapsed="false">
      <c r="A100" s="28" t="s">
        <v>18004</v>
      </c>
      <c r="B100" s="28" t="n">
        <v>1</v>
      </c>
      <c r="C100" s="28" t="n">
        <f aca="false">COUNTIFS(Параметры!$B$2:$B$4622,"CORE-231",Параметры!$E$2:$E$4622,"Conversion")</f>
        <v>1</v>
      </c>
      <c r="D100" s="28" t="str">
        <f aca="false">IF(B100=C100,"PASS","FAIL")</f>
        <v>PASS</v>
      </c>
      <c r="E100" s="28" t="s">
        <v>18005</v>
      </c>
    </row>
  </sheetData>
  <conditionalFormatting sqref="D2:D21">
    <cfRule type="containsText" priority="2" operator="containsText" aboveAverage="0" equalAverage="0" bottom="0" percent="0" rank="0" text="PASS" dxfId="40">
      <formula>NOT(ISERROR(SEARCH("PASS",D2)))</formula>
    </cfRule>
    <cfRule type="containsText" priority="3" operator="containsText" aboveAverage="0" equalAverage="0" bottom="0" percent="0" rank="0" text="FAIL" dxfId="41">
      <formula>NOT(ISERROR(SEARCH("FAIL",D2)))</formula>
    </cfRule>
  </conditionalFormatting>
  <conditionalFormatting sqref="D22:D27">
    <cfRule type="containsText" priority="4" operator="containsText" aboveAverage="0" equalAverage="0" bottom="0" percent="0" rank="0" text="PASS" dxfId="42">
      <formula>NOT(ISERROR(SEARCH("PASS",D22)))</formula>
    </cfRule>
    <cfRule type="containsText" priority="5" operator="containsText" aboveAverage="0" equalAverage="0" bottom="0" percent="0" rank="0" text="FAIL" dxfId="43">
      <formula>NOT(ISERROR(SEARCH("FAIL",D22)))</formula>
    </cfRule>
  </conditionalFormatting>
  <conditionalFormatting sqref="D28:D41">
    <cfRule type="containsText" priority="6" operator="containsText" aboveAverage="0" equalAverage="0" bottom="0" percent="0" rank="0" text="PASS" dxfId="44">
      <formula>NOT(ISERROR(SEARCH("PASS",D28)))</formula>
    </cfRule>
    <cfRule type="containsText" priority="7" operator="containsText" aboveAverage="0" equalAverage="0" bottom="0" percent="0" rank="0" text="FAIL" dxfId="45">
      <formula>NOT(ISERROR(SEARCH("FAIL",D28)))</formula>
    </cfRule>
  </conditionalFormatting>
  <conditionalFormatting sqref="D42:D53">
    <cfRule type="containsText" priority="8" operator="containsText" aboveAverage="0" equalAverage="0" bottom="0" percent="0" rank="0" text="PASS" dxfId="46">
      <formula>NOT(ISERROR(SEARCH("PASS",D42)))</formula>
    </cfRule>
    <cfRule type="containsText" priority="9" operator="containsText" aboveAverage="0" equalAverage="0" bottom="0" percent="0" rank="0" text="FAIL" dxfId="47">
      <formula>NOT(ISERROR(SEARCH("FAIL",D42)))</formula>
    </cfRule>
  </conditionalFormatting>
  <conditionalFormatting sqref="D54:D64">
    <cfRule type="containsText" priority="10" operator="containsText" aboveAverage="0" equalAverage="0" bottom="0" percent="0" rank="0" text="PASS" dxfId="48">
      <formula>NOT(ISERROR(SEARCH("PASS",D54)))</formula>
    </cfRule>
    <cfRule type="containsText" priority="11" operator="containsText" aboveAverage="0" equalAverage="0" bottom="0" percent="0" rank="0" text="FAIL" dxfId="49">
      <formula>NOT(ISERROR(SEARCH("FAIL",D54)))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24"/>
    <col collapsed="false" customWidth="true" hidden="false" outlineLevel="0" max="4" min="4" style="1" width="36"/>
    <col collapsed="false" customWidth="true" hidden="false" outlineLevel="0" max="6" min="5" style="1" width="30"/>
    <col collapsed="false" customWidth="true" hidden="false" outlineLevel="0" max="7" min="7" style="1" width="72"/>
    <col collapsed="false" customWidth="true" hidden="false" outlineLevel="0" max="8" min="8" style="1" width="19"/>
  </cols>
  <sheetData>
    <row r="1" customFormat="false" ht="26.4" hidden="false" customHeight="true" outlineLevel="0" collapsed="false">
      <c r="A1" s="42" t="s">
        <v>60</v>
      </c>
      <c r="B1" s="42" t="s">
        <v>17319</v>
      </c>
      <c r="C1" s="42" t="s">
        <v>17320</v>
      </c>
      <c r="D1" s="42" t="s">
        <v>69</v>
      </c>
      <c r="E1" s="42" t="s">
        <v>17321</v>
      </c>
      <c r="F1" s="42" t="s">
        <v>17322</v>
      </c>
      <c r="G1" s="42" t="s">
        <v>17323</v>
      </c>
      <c r="H1" s="42" t="s">
        <v>18006</v>
      </c>
    </row>
    <row r="2" customFormat="false" ht="26.4" hidden="false" customHeight="true" outlineLevel="0" collapsed="false">
      <c r="A2" s="43" t="n">
        <v>1</v>
      </c>
      <c r="B2" s="41" t="s">
        <v>18007</v>
      </c>
      <c r="C2" s="41" t="s">
        <v>8623</v>
      </c>
      <c r="D2" s="41" t="s">
        <v>8626</v>
      </c>
      <c r="E2" s="41" t="s">
        <v>17342</v>
      </c>
      <c r="F2" s="41" t="s">
        <v>18008</v>
      </c>
      <c r="G2" s="41" t="s">
        <v>18009</v>
      </c>
      <c r="H2" s="43" t="s">
        <v>168</v>
      </c>
    </row>
    <row r="3" customFormat="false" ht="15" hidden="false" customHeight="true" outlineLevel="0" collapsed="false">
      <c r="A3" s="43" t="n">
        <v>2</v>
      </c>
      <c r="B3" s="41" t="s">
        <v>18007</v>
      </c>
      <c r="C3" s="41" t="s">
        <v>8646</v>
      </c>
      <c r="D3" s="41" t="s">
        <v>8648</v>
      </c>
      <c r="E3" s="41" t="s">
        <v>17342</v>
      </c>
      <c r="F3" s="41" t="s">
        <v>18008</v>
      </c>
      <c r="G3" s="41" t="s">
        <v>18010</v>
      </c>
      <c r="H3" s="43" t="s">
        <v>168</v>
      </c>
    </row>
    <row r="4" customFormat="false" ht="15" hidden="false" customHeight="true" outlineLevel="0" collapsed="false">
      <c r="A4" s="43" t="n">
        <v>3</v>
      </c>
      <c r="B4" s="41" t="s">
        <v>18007</v>
      </c>
      <c r="C4" s="41" t="s">
        <v>8662</v>
      </c>
      <c r="D4" s="41" t="s">
        <v>8663</v>
      </c>
      <c r="E4" s="41" t="s">
        <v>17342</v>
      </c>
      <c r="F4" s="41" t="s">
        <v>18008</v>
      </c>
      <c r="G4" s="41" t="s">
        <v>18011</v>
      </c>
      <c r="H4" s="43" t="s">
        <v>168</v>
      </c>
    </row>
    <row r="5" customFormat="false" ht="15" hidden="false" customHeight="true" outlineLevel="0" collapsed="false">
      <c r="A5" s="43" t="n">
        <v>4</v>
      </c>
      <c r="B5" s="41" t="s">
        <v>18007</v>
      </c>
      <c r="C5" s="41" t="s">
        <v>8678</v>
      </c>
      <c r="D5" s="41" t="s">
        <v>8679</v>
      </c>
      <c r="E5" s="41" t="s">
        <v>17342</v>
      </c>
      <c r="F5" s="41" t="s">
        <v>18008</v>
      </c>
      <c r="G5" s="41" t="s">
        <v>18012</v>
      </c>
      <c r="H5" s="43" t="s">
        <v>168</v>
      </c>
    </row>
    <row r="6" customFormat="false" ht="15" hidden="false" customHeight="true" outlineLevel="0" collapsed="false">
      <c r="A6" s="43" t="n">
        <v>5</v>
      </c>
      <c r="B6" s="41" t="s">
        <v>18007</v>
      </c>
      <c r="C6" s="41" t="s">
        <v>8692</v>
      </c>
      <c r="D6" s="41" t="s">
        <v>8694</v>
      </c>
      <c r="E6" s="41" t="s">
        <v>17342</v>
      </c>
      <c r="F6" s="41" t="s">
        <v>18008</v>
      </c>
      <c r="G6" s="41" t="s">
        <v>18013</v>
      </c>
      <c r="H6" s="43" t="s">
        <v>168</v>
      </c>
    </row>
    <row r="7" customFormat="false" ht="15" hidden="false" customHeight="true" outlineLevel="0" collapsed="false">
      <c r="A7" s="43" t="n">
        <v>6</v>
      </c>
      <c r="B7" s="41" t="s">
        <v>18007</v>
      </c>
      <c r="C7" s="41" t="s">
        <v>8707</v>
      </c>
      <c r="D7" s="41" t="s">
        <v>18014</v>
      </c>
      <c r="E7" s="41" t="s">
        <v>17342</v>
      </c>
      <c r="F7" s="41" t="s">
        <v>18008</v>
      </c>
      <c r="G7" s="41" t="s">
        <v>18015</v>
      </c>
      <c r="H7" s="43" t="s">
        <v>168</v>
      </c>
    </row>
    <row r="8" customFormat="false" ht="15" hidden="false" customHeight="true" outlineLevel="0" collapsed="false">
      <c r="A8" s="43" t="n">
        <v>7</v>
      </c>
      <c r="B8" s="41" t="s">
        <v>18007</v>
      </c>
      <c r="C8" s="41" t="s">
        <v>8722</v>
      </c>
      <c r="D8" s="41" t="s">
        <v>18016</v>
      </c>
      <c r="E8" s="41" t="s">
        <v>17342</v>
      </c>
      <c r="F8" s="41" t="s">
        <v>18008</v>
      </c>
      <c r="G8" s="41" t="s">
        <v>18017</v>
      </c>
      <c r="H8" s="43" t="s">
        <v>168</v>
      </c>
    </row>
    <row r="9" customFormat="false" ht="26.4" hidden="false" customHeight="true" outlineLevel="0" collapsed="false">
      <c r="A9" s="43" t="n">
        <v>8</v>
      </c>
      <c r="B9" s="41" t="s">
        <v>18007</v>
      </c>
      <c r="C9" s="41" t="s">
        <v>8738</v>
      </c>
      <c r="D9" s="41" t="s">
        <v>8740</v>
      </c>
      <c r="E9" s="41" t="s">
        <v>17342</v>
      </c>
      <c r="F9" s="41" t="s">
        <v>18018</v>
      </c>
      <c r="G9" s="41" t="s">
        <v>18019</v>
      </c>
      <c r="H9" s="43" t="s">
        <v>168</v>
      </c>
    </row>
    <row r="10" customFormat="false" ht="15" hidden="false" customHeight="true" outlineLevel="0" collapsed="false">
      <c r="A10" s="43" t="n">
        <v>9</v>
      </c>
      <c r="B10" s="41" t="s">
        <v>18020</v>
      </c>
      <c r="C10" s="41" t="s">
        <v>18021</v>
      </c>
      <c r="D10" s="41" t="s">
        <v>18022</v>
      </c>
      <c r="E10" s="41" t="s">
        <v>18023</v>
      </c>
      <c r="F10" s="41" t="s">
        <v>18008</v>
      </c>
      <c r="G10" s="41" t="s">
        <v>18024</v>
      </c>
      <c r="H10" s="43" t="s">
        <v>18025</v>
      </c>
    </row>
    <row r="11" customFormat="false" ht="15" hidden="false" customHeight="true" outlineLevel="0" collapsed="false">
      <c r="A11" s="43" t="n">
        <v>10</v>
      </c>
      <c r="B11" s="41" t="s">
        <v>18020</v>
      </c>
      <c r="C11" s="41" t="s">
        <v>18026</v>
      </c>
      <c r="D11" s="41" t="s">
        <v>18027</v>
      </c>
      <c r="E11" s="41" t="s">
        <v>18028</v>
      </c>
      <c r="F11" s="41" t="s">
        <v>18008</v>
      </c>
      <c r="G11" s="41" t="s">
        <v>18029</v>
      </c>
      <c r="H11" s="43" t="s">
        <v>18025</v>
      </c>
    </row>
    <row r="12" customFormat="false" ht="26.4" hidden="false" customHeight="true" outlineLevel="0" collapsed="false">
      <c r="A12" s="43" t="n">
        <v>11</v>
      </c>
      <c r="B12" s="41" t="s">
        <v>18020</v>
      </c>
      <c r="C12" s="41" t="s">
        <v>18030</v>
      </c>
      <c r="D12" s="41" t="s">
        <v>18031</v>
      </c>
      <c r="E12" s="41" t="s">
        <v>18032</v>
      </c>
      <c r="F12" s="41" t="s">
        <v>18008</v>
      </c>
      <c r="G12" s="41" t="s">
        <v>18033</v>
      </c>
      <c r="H12" s="43" t="s">
        <v>18025</v>
      </c>
    </row>
    <row r="13" customFormat="false" ht="26.4" hidden="false" customHeight="true" outlineLevel="0" collapsed="false">
      <c r="A13" s="43" t="n">
        <v>12</v>
      </c>
      <c r="B13" s="41" t="s">
        <v>18020</v>
      </c>
      <c r="C13" s="41" t="s">
        <v>18034</v>
      </c>
      <c r="D13" s="41" t="s">
        <v>18035</v>
      </c>
      <c r="E13" s="41" t="s">
        <v>18036</v>
      </c>
      <c r="F13" s="41" t="s">
        <v>18008</v>
      </c>
      <c r="G13" s="41" t="s">
        <v>18037</v>
      </c>
      <c r="H13" s="43" t="s">
        <v>18025</v>
      </c>
    </row>
    <row r="14" customFormat="false" ht="15" hidden="false" customHeight="true" outlineLevel="0" collapsed="false">
      <c r="A14" s="43" t="n">
        <v>13</v>
      </c>
      <c r="B14" s="41" t="s">
        <v>18020</v>
      </c>
      <c r="C14" s="41" t="s">
        <v>18038</v>
      </c>
      <c r="D14" s="41" t="s">
        <v>18039</v>
      </c>
      <c r="E14" s="41" t="s">
        <v>18040</v>
      </c>
      <c r="F14" s="41" t="s">
        <v>18008</v>
      </c>
      <c r="G14" s="41" t="s">
        <v>18041</v>
      </c>
      <c r="H14" s="43" t="s">
        <v>18025</v>
      </c>
    </row>
    <row r="15" customFormat="false" ht="26.4" hidden="false" customHeight="true" outlineLevel="0" collapsed="false">
      <c r="A15" s="43" t="n">
        <v>14</v>
      </c>
      <c r="B15" s="41" t="s">
        <v>18020</v>
      </c>
      <c r="C15" s="41" t="s">
        <v>18042</v>
      </c>
      <c r="D15" s="41" t="s">
        <v>18043</v>
      </c>
      <c r="E15" s="41" t="s">
        <v>18044</v>
      </c>
      <c r="F15" s="41" t="s">
        <v>18008</v>
      </c>
      <c r="G15" s="41" t="s">
        <v>18045</v>
      </c>
      <c r="H15" s="43" t="s">
        <v>18025</v>
      </c>
    </row>
    <row r="16" customFormat="false" ht="26.4" hidden="false" customHeight="true" outlineLevel="0" collapsed="false">
      <c r="A16" s="43" t="n">
        <v>15</v>
      </c>
      <c r="B16" s="41" t="s">
        <v>18046</v>
      </c>
      <c r="C16" s="41" t="s">
        <v>18047</v>
      </c>
      <c r="D16" s="41" t="s">
        <v>18048</v>
      </c>
      <c r="E16" s="41" t="s">
        <v>18049</v>
      </c>
      <c r="F16" s="41" t="s">
        <v>18050</v>
      </c>
      <c r="G16" s="41" t="s">
        <v>18051</v>
      </c>
      <c r="H16" s="43" t="s">
        <v>115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24"/>
    <col collapsed="false" customWidth="true" hidden="false" outlineLevel="0" max="4" min="4" style="1" width="36"/>
    <col collapsed="false" customWidth="true" hidden="false" outlineLevel="0" max="6" min="5" style="1" width="30"/>
    <col collapsed="false" customWidth="true" hidden="false" outlineLevel="0" max="7" min="7" style="1" width="72"/>
    <col collapsed="false" customWidth="true" hidden="false" outlineLevel="0" max="8" min="8" style="1" width="19"/>
  </cols>
  <sheetData>
    <row r="1" customFormat="false" ht="26.4" hidden="false" customHeight="true" outlineLevel="0" collapsed="false">
      <c r="A1" s="42" t="s">
        <v>60</v>
      </c>
      <c r="B1" s="42" t="s">
        <v>17319</v>
      </c>
      <c r="C1" s="42" t="s">
        <v>17320</v>
      </c>
      <c r="D1" s="42" t="s">
        <v>69</v>
      </c>
      <c r="E1" s="42" t="s">
        <v>17321</v>
      </c>
      <c r="F1" s="42" t="s">
        <v>17322</v>
      </c>
      <c r="G1" s="42" t="s">
        <v>17323</v>
      </c>
      <c r="H1" s="42" t="s">
        <v>18052</v>
      </c>
    </row>
    <row r="2" customFormat="false" ht="26.4" hidden="false" customHeight="true" outlineLevel="0" collapsed="false">
      <c r="A2" s="43" t="n">
        <v>1</v>
      </c>
      <c r="B2" s="41" t="s">
        <v>18007</v>
      </c>
      <c r="C2" s="41" t="s">
        <v>8755</v>
      </c>
      <c r="D2" s="41" t="s">
        <v>8757</v>
      </c>
      <c r="E2" s="41" t="s">
        <v>17342</v>
      </c>
      <c r="F2" s="41" t="s">
        <v>17124</v>
      </c>
      <c r="G2" s="41" t="s">
        <v>8765</v>
      </c>
      <c r="H2" s="43" t="s">
        <v>168</v>
      </c>
    </row>
    <row r="3" customFormat="false" ht="26.4" hidden="false" customHeight="true" outlineLevel="0" collapsed="false">
      <c r="A3" s="43" t="n">
        <v>2</v>
      </c>
      <c r="B3" s="41" t="s">
        <v>18007</v>
      </c>
      <c r="C3" s="41" t="s">
        <v>4557</v>
      </c>
      <c r="D3" s="41" t="s">
        <v>8775</v>
      </c>
      <c r="E3" s="41" t="s">
        <v>17342</v>
      </c>
      <c r="F3" s="41" t="s">
        <v>17124</v>
      </c>
      <c r="G3" s="41" t="s">
        <v>8783</v>
      </c>
      <c r="H3" s="43" t="s">
        <v>168</v>
      </c>
    </row>
    <row r="4" customFormat="false" ht="26.4" hidden="false" customHeight="true" outlineLevel="0" collapsed="false">
      <c r="A4" s="43" t="n">
        <v>3</v>
      </c>
      <c r="B4" s="41" t="s">
        <v>18007</v>
      </c>
      <c r="C4" s="41" t="s">
        <v>8792</v>
      </c>
      <c r="D4" s="41" t="s">
        <v>8794</v>
      </c>
      <c r="E4" s="41" t="s">
        <v>17342</v>
      </c>
      <c r="F4" s="41" t="s">
        <v>17124</v>
      </c>
      <c r="G4" s="41" t="s">
        <v>8802</v>
      </c>
      <c r="H4" s="43" t="s">
        <v>168</v>
      </c>
    </row>
    <row r="5" customFormat="false" ht="26.4" hidden="false" customHeight="true" outlineLevel="0" collapsed="false">
      <c r="A5" s="43" t="n">
        <v>4</v>
      </c>
      <c r="B5" s="41" t="s">
        <v>18007</v>
      </c>
      <c r="C5" s="41" t="s">
        <v>8809</v>
      </c>
      <c r="D5" s="41" t="s">
        <v>8810</v>
      </c>
      <c r="E5" s="41" t="s">
        <v>17342</v>
      </c>
      <c r="F5" s="41" t="s">
        <v>17124</v>
      </c>
      <c r="G5" s="41" t="s">
        <v>8818</v>
      </c>
      <c r="H5" s="43" t="s">
        <v>168</v>
      </c>
    </row>
    <row r="6" customFormat="false" ht="26.4" hidden="false" customHeight="true" outlineLevel="0" collapsed="false">
      <c r="A6" s="43" t="n">
        <v>5</v>
      </c>
      <c r="B6" s="41" t="s">
        <v>18007</v>
      </c>
      <c r="C6" s="41" t="s">
        <v>8825</v>
      </c>
      <c r="D6" s="41" t="s">
        <v>8826</v>
      </c>
      <c r="E6" s="41" t="s">
        <v>17342</v>
      </c>
      <c r="F6" s="41" t="s">
        <v>17124</v>
      </c>
      <c r="G6" s="41" t="s">
        <v>8834</v>
      </c>
      <c r="H6" s="43" t="s">
        <v>168</v>
      </c>
    </row>
    <row r="7" customFormat="false" ht="26.4" hidden="false" customHeight="true" outlineLevel="0" collapsed="false">
      <c r="A7" s="43" t="n">
        <v>6</v>
      </c>
      <c r="B7" s="41" t="s">
        <v>18007</v>
      </c>
      <c r="C7" s="41" t="s">
        <v>8841</v>
      </c>
      <c r="D7" s="41" t="s">
        <v>8843</v>
      </c>
      <c r="E7" s="41" t="s">
        <v>17342</v>
      </c>
      <c r="F7" s="41" t="s">
        <v>17124</v>
      </c>
      <c r="G7" s="41" t="s">
        <v>8851</v>
      </c>
      <c r="H7" s="43" t="s">
        <v>168</v>
      </c>
    </row>
    <row r="8" customFormat="false" ht="26.4" hidden="false" customHeight="true" outlineLevel="0" collapsed="false">
      <c r="A8" s="43" t="n">
        <v>7</v>
      </c>
      <c r="B8" s="41" t="s">
        <v>18007</v>
      </c>
      <c r="C8" s="41" t="s">
        <v>8859</v>
      </c>
      <c r="D8" s="41" t="s">
        <v>8860</v>
      </c>
      <c r="E8" s="41" t="s">
        <v>17342</v>
      </c>
      <c r="F8" s="41" t="s">
        <v>17124</v>
      </c>
      <c r="G8" s="41" t="s">
        <v>8867</v>
      </c>
      <c r="H8" s="43" t="s">
        <v>168</v>
      </c>
    </row>
    <row r="9" customFormat="false" ht="26.4" hidden="false" customHeight="true" outlineLevel="0" collapsed="false">
      <c r="A9" s="43" t="n">
        <v>8</v>
      </c>
      <c r="B9" s="41" t="s">
        <v>18007</v>
      </c>
      <c r="C9" s="41" t="s">
        <v>8875</v>
      </c>
      <c r="D9" s="41" t="s">
        <v>8876</v>
      </c>
      <c r="E9" s="41" t="s">
        <v>17342</v>
      </c>
      <c r="F9" s="41" t="s">
        <v>17124</v>
      </c>
      <c r="G9" s="41" t="s">
        <v>8884</v>
      </c>
      <c r="H9" s="43" t="s">
        <v>168</v>
      </c>
    </row>
    <row r="10" customFormat="false" ht="26.4" hidden="false" customHeight="true" outlineLevel="0" collapsed="false">
      <c r="A10" s="43" t="n">
        <v>9</v>
      </c>
      <c r="B10" s="41" t="s">
        <v>18007</v>
      </c>
      <c r="C10" s="41" t="s">
        <v>8891</v>
      </c>
      <c r="D10" s="41" t="s">
        <v>8893</v>
      </c>
      <c r="E10" s="41" t="s">
        <v>17342</v>
      </c>
      <c r="F10" s="41" t="s">
        <v>17124</v>
      </c>
      <c r="G10" s="41" t="s">
        <v>8901</v>
      </c>
      <c r="H10" s="43" t="s">
        <v>168</v>
      </c>
    </row>
    <row r="11" customFormat="false" ht="26.4" hidden="false" customHeight="true" outlineLevel="0" collapsed="false">
      <c r="A11" s="43" t="n">
        <v>10</v>
      </c>
      <c r="B11" s="41" t="s">
        <v>18007</v>
      </c>
      <c r="C11" s="41" t="s">
        <v>8908</v>
      </c>
      <c r="D11" s="41" t="s">
        <v>8909</v>
      </c>
      <c r="E11" s="41" t="s">
        <v>17342</v>
      </c>
      <c r="F11" s="41" t="s">
        <v>17124</v>
      </c>
      <c r="G11" s="41" t="s">
        <v>8916</v>
      </c>
      <c r="H11" s="43" t="s">
        <v>168</v>
      </c>
    </row>
    <row r="12" customFormat="false" ht="26.4" hidden="false" customHeight="true" outlineLevel="0" collapsed="false">
      <c r="A12" s="43" t="n">
        <v>11</v>
      </c>
      <c r="B12" s="41" t="s">
        <v>18007</v>
      </c>
      <c r="C12" s="41" t="s">
        <v>4291</v>
      </c>
      <c r="D12" s="41" t="s">
        <v>8923</v>
      </c>
      <c r="E12" s="41" t="s">
        <v>17342</v>
      </c>
      <c r="F12" s="41" t="s">
        <v>17124</v>
      </c>
      <c r="G12" s="41" t="s">
        <v>8931</v>
      </c>
      <c r="H12" s="43" t="s">
        <v>168</v>
      </c>
    </row>
    <row r="13" customFormat="false" ht="26.4" hidden="false" customHeight="true" outlineLevel="0" collapsed="false">
      <c r="A13" s="43" t="n">
        <v>12</v>
      </c>
      <c r="B13" s="41" t="s">
        <v>18007</v>
      </c>
      <c r="C13" s="41" t="s">
        <v>8939</v>
      </c>
      <c r="D13" s="41" t="s">
        <v>8940</v>
      </c>
      <c r="E13" s="41" t="s">
        <v>17342</v>
      </c>
      <c r="F13" s="41" t="s">
        <v>17124</v>
      </c>
      <c r="G13" s="41" t="s">
        <v>8948</v>
      </c>
      <c r="H13" s="43" t="s">
        <v>168</v>
      </c>
    </row>
    <row r="14" customFormat="false" ht="26.4" hidden="false" customHeight="true" outlineLevel="0" collapsed="false">
      <c r="A14" s="43" t="n">
        <v>13</v>
      </c>
      <c r="B14" s="41" t="s">
        <v>18007</v>
      </c>
      <c r="C14" s="41" t="s">
        <v>1551</v>
      </c>
      <c r="D14" s="41" t="s">
        <v>8957</v>
      </c>
      <c r="E14" s="41" t="s">
        <v>17342</v>
      </c>
      <c r="F14" s="41" t="s">
        <v>17124</v>
      </c>
      <c r="G14" s="41" t="s">
        <v>8964</v>
      </c>
      <c r="H14" s="43" t="s">
        <v>168</v>
      </c>
    </row>
    <row r="15" customFormat="false" ht="26.4" hidden="false" customHeight="true" outlineLevel="0" collapsed="false">
      <c r="A15" s="43" t="n">
        <v>14</v>
      </c>
      <c r="B15" s="41" t="s">
        <v>18007</v>
      </c>
      <c r="C15" s="41" t="s">
        <v>8971</v>
      </c>
      <c r="D15" s="41" t="s">
        <v>8972</v>
      </c>
      <c r="E15" s="41" t="s">
        <v>17342</v>
      </c>
      <c r="F15" s="41" t="s">
        <v>17124</v>
      </c>
      <c r="G15" s="41" t="s">
        <v>8980</v>
      </c>
      <c r="H15" s="43" t="s">
        <v>168</v>
      </c>
    </row>
    <row r="16" customFormat="false" ht="26.4" hidden="false" customHeight="true" outlineLevel="0" collapsed="false">
      <c r="A16" s="43" t="n">
        <v>15</v>
      </c>
      <c r="B16" s="41" t="s">
        <v>18007</v>
      </c>
      <c r="C16" s="41" t="s">
        <v>8987</v>
      </c>
      <c r="D16" s="41" t="s">
        <v>8989</v>
      </c>
      <c r="E16" s="41" t="s">
        <v>17342</v>
      </c>
      <c r="F16" s="41" t="s">
        <v>17124</v>
      </c>
      <c r="G16" s="41" t="s">
        <v>8997</v>
      </c>
      <c r="H16" s="43" t="s">
        <v>168</v>
      </c>
    </row>
    <row r="17" customFormat="false" ht="26.4" hidden="false" customHeight="true" outlineLevel="0" collapsed="false">
      <c r="A17" s="43" t="n">
        <v>16</v>
      </c>
      <c r="B17" s="41" t="s">
        <v>18007</v>
      </c>
      <c r="C17" s="41" t="s">
        <v>9005</v>
      </c>
      <c r="D17" s="41" t="s">
        <v>9007</v>
      </c>
      <c r="E17" s="41" t="s">
        <v>17342</v>
      </c>
      <c r="F17" s="41" t="s">
        <v>17124</v>
      </c>
      <c r="G17" s="41" t="s">
        <v>9015</v>
      </c>
      <c r="H17" s="43" t="s">
        <v>168</v>
      </c>
    </row>
    <row r="18" customFormat="false" ht="26.4" hidden="false" customHeight="true" outlineLevel="0" collapsed="false">
      <c r="A18" s="43" t="n">
        <v>17</v>
      </c>
      <c r="B18" s="41" t="s">
        <v>18007</v>
      </c>
      <c r="C18" s="41" t="s">
        <v>9023</v>
      </c>
      <c r="D18" s="41" t="s">
        <v>9024</v>
      </c>
      <c r="E18" s="41" t="s">
        <v>17342</v>
      </c>
      <c r="F18" s="41" t="s">
        <v>17124</v>
      </c>
      <c r="G18" s="41" t="s">
        <v>9032</v>
      </c>
      <c r="H18" s="43" t="s">
        <v>168</v>
      </c>
    </row>
    <row r="19" customFormat="false" ht="26.4" hidden="false" customHeight="true" outlineLevel="0" collapsed="false">
      <c r="A19" s="43" t="n">
        <v>18</v>
      </c>
      <c r="B19" s="41" t="s">
        <v>18007</v>
      </c>
      <c r="C19" s="41" t="s">
        <v>9039</v>
      </c>
      <c r="D19" s="41" t="s">
        <v>9041</v>
      </c>
      <c r="E19" s="41" t="s">
        <v>17342</v>
      </c>
      <c r="F19" s="41" t="s">
        <v>17124</v>
      </c>
      <c r="G19" s="41" t="s">
        <v>9049</v>
      </c>
      <c r="H19" s="43" t="s">
        <v>168</v>
      </c>
    </row>
    <row r="20" customFormat="false" ht="26.4" hidden="false" customHeight="true" outlineLevel="0" collapsed="false">
      <c r="A20" s="43" t="n">
        <v>19</v>
      </c>
      <c r="B20" s="41" t="s">
        <v>18007</v>
      </c>
      <c r="C20" s="41" t="s">
        <v>1049</v>
      </c>
      <c r="D20" s="41" t="s">
        <v>9060</v>
      </c>
      <c r="E20" s="41" t="s">
        <v>17342</v>
      </c>
      <c r="F20" s="41" t="s">
        <v>17124</v>
      </c>
      <c r="G20" s="41" t="s">
        <v>9068</v>
      </c>
      <c r="H20" s="43" t="s">
        <v>168</v>
      </c>
    </row>
    <row r="21" customFormat="false" ht="26.4" hidden="false" customHeight="true" outlineLevel="0" collapsed="false">
      <c r="A21" s="43" t="n">
        <v>20</v>
      </c>
      <c r="B21" s="41" t="s">
        <v>18007</v>
      </c>
      <c r="C21" s="41" t="s">
        <v>9075</v>
      </c>
      <c r="D21" s="41" t="s">
        <v>9076</v>
      </c>
      <c r="E21" s="41" t="s">
        <v>17342</v>
      </c>
      <c r="F21" s="41" t="s">
        <v>17124</v>
      </c>
      <c r="G21" s="41" t="s">
        <v>9084</v>
      </c>
      <c r="H21" s="43" t="s">
        <v>168</v>
      </c>
    </row>
    <row r="22" customFormat="false" ht="26.4" hidden="false" customHeight="true" outlineLevel="0" collapsed="false">
      <c r="A22" s="43" t="n">
        <v>21</v>
      </c>
      <c r="B22" s="41" t="s">
        <v>18007</v>
      </c>
      <c r="C22" s="41" t="s">
        <v>9091</v>
      </c>
      <c r="D22" s="41" t="s">
        <v>9093</v>
      </c>
      <c r="E22" s="41" t="s">
        <v>17342</v>
      </c>
      <c r="F22" s="41" t="s">
        <v>17124</v>
      </c>
      <c r="G22" s="41" t="s">
        <v>9101</v>
      </c>
      <c r="H22" s="43" t="s">
        <v>168</v>
      </c>
    </row>
    <row r="23" customFormat="false" ht="26.4" hidden="false" customHeight="true" outlineLevel="0" collapsed="false">
      <c r="A23" s="43" t="n">
        <v>22</v>
      </c>
      <c r="B23" s="41" t="s">
        <v>18007</v>
      </c>
      <c r="C23" s="41" t="s">
        <v>9107</v>
      </c>
      <c r="D23" s="41" t="s">
        <v>9109</v>
      </c>
      <c r="E23" s="41" t="s">
        <v>17342</v>
      </c>
      <c r="F23" s="41" t="s">
        <v>17124</v>
      </c>
      <c r="G23" s="41" t="s">
        <v>9117</v>
      </c>
      <c r="H23" s="43" t="s">
        <v>168</v>
      </c>
    </row>
    <row r="24" customFormat="false" ht="26.4" hidden="false" customHeight="true" outlineLevel="0" collapsed="false">
      <c r="A24" s="43" t="n">
        <v>23</v>
      </c>
      <c r="B24" s="41" t="s">
        <v>18007</v>
      </c>
      <c r="C24" s="41" t="s">
        <v>9124</v>
      </c>
      <c r="D24" s="41" t="s">
        <v>9126</v>
      </c>
      <c r="E24" s="41" t="s">
        <v>17342</v>
      </c>
      <c r="F24" s="41" t="s">
        <v>17124</v>
      </c>
      <c r="G24" s="41" t="s">
        <v>9133</v>
      </c>
      <c r="H24" s="43" t="s">
        <v>168</v>
      </c>
    </row>
    <row r="25" customFormat="false" ht="26.4" hidden="false" customHeight="true" outlineLevel="0" collapsed="false">
      <c r="A25" s="43" t="n">
        <v>24</v>
      </c>
      <c r="B25" s="41" t="s">
        <v>18007</v>
      </c>
      <c r="C25" s="41" t="s">
        <v>9140</v>
      </c>
      <c r="D25" s="41" t="s">
        <v>9142</v>
      </c>
      <c r="E25" s="41" t="s">
        <v>17342</v>
      </c>
      <c r="F25" s="41" t="s">
        <v>17124</v>
      </c>
      <c r="G25" s="41" t="s">
        <v>9150</v>
      </c>
      <c r="H25" s="43" t="s">
        <v>168</v>
      </c>
    </row>
    <row r="26" customFormat="false" ht="26.4" hidden="false" customHeight="true" outlineLevel="0" collapsed="false">
      <c r="A26" s="43" t="n">
        <v>25</v>
      </c>
      <c r="B26" s="41" t="s">
        <v>18007</v>
      </c>
      <c r="C26" s="41" t="s">
        <v>9156</v>
      </c>
      <c r="D26" s="41" t="s">
        <v>9158</v>
      </c>
      <c r="E26" s="41" t="s">
        <v>17342</v>
      </c>
      <c r="F26" s="41" t="s">
        <v>17124</v>
      </c>
      <c r="G26" s="41" t="s">
        <v>18053</v>
      </c>
      <c r="H26" s="43" t="s">
        <v>168</v>
      </c>
    </row>
    <row r="27" customFormat="false" ht="26.4" hidden="false" customHeight="true" outlineLevel="0" collapsed="false">
      <c r="A27" s="43" t="n">
        <v>26</v>
      </c>
      <c r="B27" s="41" t="s">
        <v>18020</v>
      </c>
      <c r="C27" s="41" t="s">
        <v>18054</v>
      </c>
      <c r="D27" s="41" t="s">
        <v>18055</v>
      </c>
      <c r="E27" s="41" t="s">
        <v>18056</v>
      </c>
      <c r="F27" s="41" t="s">
        <v>17124</v>
      </c>
      <c r="G27" s="41" t="s">
        <v>18057</v>
      </c>
      <c r="H27" s="43" t="s">
        <v>18025</v>
      </c>
    </row>
    <row r="28" customFormat="false" ht="52.8" hidden="false" customHeight="true" outlineLevel="0" collapsed="false">
      <c r="A28" s="43" t="n">
        <v>27</v>
      </c>
      <c r="B28" s="41" t="s">
        <v>18058</v>
      </c>
      <c r="C28" s="41" t="s">
        <v>18059</v>
      </c>
      <c r="D28" s="41" t="s">
        <v>18060</v>
      </c>
      <c r="E28" s="41" t="s">
        <v>18061</v>
      </c>
      <c r="F28" s="41" t="s">
        <v>18062</v>
      </c>
      <c r="G28" s="41" t="s">
        <v>18063</v>
      </c>
      <c r="H28" s="43" t="s">
        <v>115</v>
      </c>
    </row>
    <row r="29" customFormat="false" ht="26.4" hidden="false" customHeight="true" outlineLevel="0" collapsed="false">
      <c r="A29" s="43" t="n">
        <v>28</v>
      </c>
      <c r="B29" s="41" t="s">
        <v>18064</v>
      </c>
      <c r="C29" s="41" t="s">
        <v>18065</v>
      </c>
      <c r="D29" s="41" t="s">
        <v>18066</v>
      </c>
      <c r="E29" s="41" t="s">
        <v>18067</v>
      </c>
      <c r="F29" s="41" t="s">
        <v>18068</v>
      </c>
      <c r="G29" s="41" t="s">
        <v>18069</v>
      </c>
      <c r="H29" s="43" t="s">
        <v>115</v>
      </c>
    </row>
    <row r="30" customFormat="false" ht="15" hidden="false" customHeight="true" outlineLevel="0" collapsed="false">
      <c r="A30" s="43" t="n">
        <v>29</v>
      </c>
      <c r="B30" s="41" t="s">
        <v>9108</v>
      </c>
      <c r="C30" s="41" t="s">
        <v>9107</v>
      </c>
      <c r="D30" s="41" t="s">
        <v>18070</v>
      </c>
      <c r="E30" s="41" t="s">
        <v>18071</v>
      </c>
      <c r="F30" s="41" t="s">
        <v>18072</v>
      </c>
      <c r="G30" s="41" t="s">
        <v>18073</v>
      </c>
      <c r="H30" s="43" t="s">
        <v>168</v>
      </c>
    </row>
    <row r="31" customFormat="false" ht="26.4" hidden="false" customHeight="true" outlineLevel="0" collapsed="false">
      <c r="A31" s="43" t="n">
        <v>30</v>
      </c>
      <c r="B31" s="41" t="s">
        <v>18074</v>
      </c>
      <c r="C31" s="41" t="s">
        <v>18075</v>
      </c>
      <c r="D31" s="41" t="s">
        <v>18076</v>
      </c>
      <c r="E31" s="41" t="s">
        <v>18077</v>
      </c>
      <c r="F31" s="41" t="s">
        <v>18078</v>
      </c>
      <c r="G31" s="41" t="s">
        <v>18079</v>
      </c>
      <c r="H31" s="43" t="s">
        <v>168</v>
      </c>
    </row>
    <row r="32" customFormat="false" ht="26.4" hidden="false" customHeight="true" outlineLevel="0" collapsed="false">
      <c r="A32" s="43" t="n">
        <v>31</v>
      </c>
      <c r="B32" s="41" t="s">
        <v>18080</v>
      </c>
      <c r="C32" s="41" t="s">
        <v>18081</v>
      </c>
      <c r="D32" s="41" t="s">
        <v>18082</v>
      </c>
      <c r="E32" s="41" t="s">
        <v>18083</v>
      </c>
      <c r="F32" s="41" t="s">
        <v>18084</v>
      </c>
      <c r="G32" s="41" t="s">
        <v>18085</v>
      </c>
      <c r="H32" s="43" t="s">
        <v>168</v>
      </c>
    </row>
    <row r="33" customFormat="false" ht="39.6" hidden="false" customHeight="true" outlineLevel="0" collapsed="false">
      <c r="A33" s="43" t="n">
        <v>32</v>
      </c>
      <c r="B33" s="41" t="s">
        <v>18046</v>
      </c>
      <c r="C33" s="41" t="s">
        <v>18086</v>
      </c>
      <c r="D33" s="41" t="s">
        <v>18087</v>
      </c>
      <c r="E33" s="41" t="s">
        <v>18049</v>
      </c>
      <c r="F33" s="41" t="s">
        <v>18088</v>
      </c>
      <c r="G33" s="41" t="s">
        <v>18089</v>
      </c>
      <c r="H33" s="43" t="s">
        <v>115</v>
      </c>
    </row>
    <row r="34" customFormat="false" ht="26.4" hidden="false" customHeight="true" outlineLevel="0" collapsed="false">
      <c r="A34" s="43" t="n">
        <v>33</v>
      </c>
      <c r="B34" s="41" t="s">
        <v>18090</v>
      </c>
      <c r="C34" s="41" t="s">
        <v>9009</v>
      </c>
      <c r="D34" s="41" t="s">
        <v>18091</v>
      </c>
      <c r="E34" s="41" t="s">
        <v>18092</v>
      </c>
      <c r="F34" s="41" t="s">
        <v>18093</v>
      </c>
      <c r="G34" s="41" t="s">
        <v>18094</v>
      </c>
      <c r="H34" s="43" t="s">
        <v>18025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4"/>
    <col collapsed="false" customWidth="true" hidden="false" outlineLevel="0" max="4" min="4" style="1" width="34"/>
    <col collapsed="false" customWidth="true" hidden="false" outlineLevel="0" max="6" min="5" style="1" width="27"/>
    <col collapsed="false" customWidth="true" hidden="false" outlineLevel="0" max="7" min="7" style="1" width="64"/>
    <col collapsed="false" customWidth="true" hidden="false" outlineLevel="0" max="8" min="8" style="1" width="18"/>
  </cols>
  <sheetData>
    <row r="1" customFormat="false" ht="26.4" hidden="false" customHeight="true" outlineLevel="0" collapsed="false">
      <c r="A1" s="28" t="s">
        <v>60</v>
      </c>
      <c r="B1" s="28" t="s">
        <v>17319</v>
      </c>
      <c r="C1" s="28" t="s">
        <v>17320</v>
      </c>
      <c r="D1" s="28" t="s">
        <v>69</v>
      </c>
      <c r="E1" s="28" t="s">
        <v>17321</v>
      </c>
      <c r="F1" s="28" t="s">
        <v>17322</v>
      </c>
      <c r="G1" s="28" t="s">
        <v>17323</v>
      </c>
      <c r="H1" s="28" t="s">
        <v>18095</v>
      </c>
    </row>
    <row r="2" customFormat="false" ht="15" hidden="false" customHeight="true" outlineLevel="0" collapsed="false">
      <c r="A2" s="28" t="n">
        <v>1</v>
      </c>
      <c r="B2" s="28" t="s">
        <v>8503</v>
      </c>
      <c r="C2" s="28" t="s">
        <v>9175</v>
      </c>
      <c r="D2" s="28" t="s">
        <v>18096</v>
      </c>
      <c r="E2" s="28" t="s">
        <v>18097</v>
      </c>
      <c r="F2" s="28" t="s">
        <v>17241</v>
      </c>
      <c r="G2" s="28" t="s">
        <v>18098</v>
      </c>
      <c r="H2" s="28" t="s">
        <v>168</v>
      </c>
    </row>
    <row r="3" customFormat="false" ht="15" hidden="false" customHeight="true" outlineLevel="0" collapsed="false">
      <c r="A3" s="28" t="n">
        <v>2</v>
      </c>
      <c r="B3" s="28" t="s">
        <v>8503</v>
      </c>
      <c r="C3" s="28" t="s">
        <v>9198</v>
      </c>
      <c r="D3" s="28" t="s">
        <v>18099</v>
      </c>
      <c r="E3" s="28" t="s">
        <v>18097</v>
      </c>
      <c r="F3" s="28" t="s">
        <v>17245</v>
      </c>
      <c r="G3" s="28" t="s">
        <v>18100</v>
      </c>
      <c r="H3" s="28" t="s">
        <v>168</v>
      </c>
    </row>
    <row r="4" customFormat="false" ht="15" hidden="false" customHeight="true" outlineLevel="0" collapsed="false">
      <c r="A4" s="28" t="n">
        <v>3</v>
      </c>
      <c r="B4" s="28" t="s">
        <v>18101</v>
      </c>
      <c r="C4" s="28" t="s">
        <v>18102</v>
      </c>
      <c r="D4" s="28" t="s">
        <v>18103</v>
      </c>
      <c r="E4" s="28" t="s">
        <v>18097</v>
      </c>
      <c r="F4" s="28" t="s">
        <v>2246</v>
      </c>
      <c r="G4" s="28" t="s">
        <v>18104</v>
      </c>
      <c r="H4" s="28" t="s">
        <v>168</v>
      </c>
    </row>
    <row r="5" customFormat="false" ht="15" hidden="false" customHeight="true" outlineLevel="0" collapsed="false">
      <c r="A5" s="28" t="n">
        <v>4</v>
      </c>
      <c r="B5" s="28" t="s">
        <v>8503</v>
      </c>
      <c r="C5" s="28" t="s">
        <v>3173</v>
      </c>
      <c r="D5" s="28" t="s">
        <v>15711</v>
      </c>
      <c r="E5" s="28" t="s">
        <v>18097</v>
      </c>
      <c r="F5" s="28" t="s">
        <v>955</v>
      </c>
      <c r="G5" s="28" t="s">
        <v>18105</v>
      </c>
      <c r="H5" s="28" t="s">
        <v>168</v>
      </c>
    </row>
    <row r="6" customFormat="false" ht="15" hidden="false" customHeight="true" outlineLevel="0" collapsed="false">
      <c r="A6" s="28" t="n">
        <v>5</v>
      </c>
      <c r="B6" s="28" t="s">
        <v>18106</v>
      </c>
      <c r="C6" s="28" t="s">
        <v>3072</v>
      </c>
      <c r="D6" s="28" t="s">
        <v>18107</v>
      </c>
      <c r="E6" s="28" t="s">
        <v>18108</v>
      </c>
      <c r="F6" s="28" t="s">
        <v>3083</v>
      </c>
      <c r="G6" s="28" t="s">
        <v>18109</v>
      </c>
      <c r="H6" s="28" t="s">
        <v>18110</v>
      </c>
    </row>
    <row r="7" customFormat="false" ht="15" hidden="false" customHeight="true" outlineLevel="0" collapsed="false">
      <c r="A7" s="28" t="n">
        <v>6</v>
      </c>
      <c r="B7" s="28" t="s">
        <v>18111</v>
      </c>
      <c r="C7" s="28" t="s">
        <v>18112</v>
      </c>
      <c r="D7" s="28" t="s">
        <v>18113</v>
      </c>
      <c r="E7" s="28" t="s">
        <v>18108</v>
      </c>
      <c r="F7" s="28" t="s">
        <v>9263</v>
      </c>
      <c r="G7" s="28" t="s">
        <v>18114</v>
      </c>
      <c r="H7" s="28" t="s">
        <v>18115</v>
      </c>
    </row>
    <row r="8" customFormat="false" ht="15" hidden="false" customHeight="true" outlineLevel="0" collapsed="false">
      <c r="A8" s="28" t="n">
        <v>7</v>
      </c>
      <c r="B8" s="28" t="s">
        <v>18106</v>
      </c>
      <c r="C8" s="28" t="s">
        <v>8135</v>
      </c>
      <c r="D8" s="28" t="s">
        <v>18116</v>
      </c>
      <c r="E8" s="28" t="s">
        <v>18108</v>
      </c>
      <c r="F8" s="28" t="s">
        <v>17258</v>
      </c>
      <c r="G8" s="28" t="s">
        <v>18117</v>
      </c>
      <c r="H8" s="28" t="s">
        <v>18110</v>
      </c>
    </row>
    <row r="9" customFormat="false" ht="15" hidden="false" customHeight="true" outlineLevel="0" collapsed="false">
      <c r="A9" s="28" t="n">
        <v>8</v>
      </c>
      <c r="B9" s="28" t="s">
        <v>8503</v>
      </c>
      <c r="C9" s="28" t="s">
        <v>6279</v>
      </c>
      <c r="D9" s="28" t="s">
        <v>9265</v>
      </c>
      <c r="E9" s="28" t="s">
        <v>18097</v>
      </c>
      <c r="F9" s="28" t="s">
        <v>9276</v>
      </c>
      <c r="G9" s="28" t="s">
        <v>18118</v>
      </c>
      <c r="H9" s="28" t="s">
        <v>168</v>
      </c>
    </row>
    <row r="10" customFormat="false" ht="15" hidden="false" customHeight="true" outlineLevel="0" collapsed="false">
      <c r="A10" s="28" t="n">
        <v>9</v>
      </c>
      <c r="B10" s="28" t="s">
        <v>8503</v>
      </c>
      <c r="C10" s="28" t="s">
        <v>3477</v>
      </c>
      <c r="D10" s="28" t="s">
        <v>18119</v>
      </c>
      <c r="E10" s="28" t="s">
        <v>18097</v>
      </c>
      <c r="F10" s="28" t="s">
        <v>9288</v>
      </c>
      <c r="G10" s="28" t="s">
        <v>18120</v>
      </c>
      <c r="H10" s="28" t="s">
        <v>168</v>
      </c>
    </row>
    <row r="11" customFormat="false" ht="15" hidden="false" customHeight="true" outlineLevel="0" collapsed="false">
      <c r="A11" s="28" t="n">
        <v>10</v>
      </c>
      <c r="B11" s="28" t="s">
        <v>8503</v>
      </c>
      <c r="C11" s="28" t="s">
        <v>7179</v>
      </c>
      <c r="D11" s="28" t="s">
        <v>18121</v>
      </c>
      <c r="E11" s="28" t="s">
        <v>18097</v>
      </c>
      <c r="F11" s="28" t="s">
        <v>9300</v>
      </c>
      <c r="G11" s="28" t="s">
        <v>18122</v>
      </c>
      <c r="H11" s="28" t="s">
        <v>168</v>
      </c>
    </row>
    <row r="12" customFormat="false" ht="15" hidden="false" customHeight="true" outlineLevel="0" collapsed="false">
      <c r="A12" s="28" t="n">
        <v>11</v>
      </c>
      <c r="B12" s="28" t="s">
        <v>8503</v>
      </c>
      <c r="C12" s="28" t="s">
        <v>9302</v>
      </c>
      <c r="D12" s="28" t="s">
        <v>18123</v>
      </c>
      <c r="E12" s="28" t="s">
        <v>18097</v>
      </c>
      <c r="F12" s="28" t="s">
        <v>9314</v>
      </c>
      <c r="G12" s="28" t="s">
        <v>18124</v>
      </c>
      <c r="H12" s="28" t="s">
        <v>168</v>
      </c>
    </row>
    <row r="13" customFormat="false" ht="15" hidden="false" customHeight="true" outlineLevel="0" collapsed="false">
      <c r="A13" s="28" t="n">
        <v>12</v>
      </c>
      <c r="B13" s="28" t="s">
        <v>8503</v>
      </c>
      <c r="C13" s="28" t="s">
        <v>9316</v>
      </c>
      <c r="D13" s="28" t="s">
        <v>18125</v>
      </c>
      <c r="E13" s="28" t="s">
        <v>18097</v>
      </c>
      <c r="F13" s="28" t="s">
        <v>9327</v>
      </c>
      <c r="G13" s="28" t="s">
        <v>18126</v>
      </c>
      <c r="H13" s="28" t="s">
        <v>168</v>
      </c>
    </row>
    <row r="14" customFormat="false" ht="15" hidden="false" customHeight="true" outlineLevel="0" collapsed="false">
      <c r="A14" s="28" t="n">
        <v>13</v>
      </c>
      <c r="B14" s="28" t="s">
        <v>8503</v>
      </c>
      <c r="C14" s="28" t="s">
        <v>9329</v>
      </c>
      <c r="D14" s="28" t="s">
        <v>18127</v>
      </c>
      <c r="E14" s="28" t="s">
        <v>18097</v>
      </c>
      <c r="F14" s="28" t="s">
        <v>9340</v>
      </c>
      <c r="G14" s="28" t="s">
        <v>18128</v>
      </c>
      <c r="H14" s="28" t="s">
        <v>168</v>
      </c>
    </row>
    <row r="15" customFormat="false" ht="15" hidden="false" customHeight="true" outlineLevel="0" collapsed="false">
      <c r="A15" s="28" t="n">
        <v>14</v>
      </c>
      <c r="B15" s="28" t="s">
        <v>8503</v>
      </c>
      <c r="C15" s="28" t="s">
        <v>3006</v>
      </c>
      <c r="D15" s="28" t="s">
        <v>18129</v>
      </c>
      <c r="E15" s="28" t="s">
        <v>18097</v>
      </c>
      <c r="F15" s="28" t="s">
        <v>3005</v>
      </c>
      <c r="G15" s="28" t="s">
        <v>18130</v>
      </c>
      <c r="H15" s="28" t="s">
        <v>168</v>
      </c>
    </row>
    <row r="16" customFormat="false" ht="15" hidden="false" customHeight="true" outlineLevel="0" collapsed="false">
      <c r="A16" s="28" t="n">
        <v>15</v>
      </c>
      <c r="B16" s="28" t="s">
        <v>18131</v>
      </c>
      <c r="C16" s="28" t="s">
        <v>18132</v>
      </c>
      <c r="D16" s="28" t="s">
        <v>18133</v>
      </c>
      <c r="E16" s="28" t="s">
        <v>18134</v>
      </c>
      <c r="F16" s="28" t="s">
        <v>17272</v>
      </c>
      <c r="G16" s="28" t="s">
        <v>18135</v>
      </c>
      <c r="H16" s="28" t="s">
        <v>18136</v>
      </c>
    </row>
    <row r="17" customFormat="false" ht="15" hidden="false" customHeight="true" outlineLevel="0" collapsed="false">
      <c r="A17" s="28" t="n">
        <v>16</v>
      </c>
      <c r="B17" s="28" t="s">
        <v>18137</v>
      </c>
      <c r="C17" s="28" t="s">
        <v>18138</v>
      </c>
      <c r="D17" s="28" t="s">
        <v>18139</v>
      </c>
      <c r="E17" s="28" t="s">
        <v>18097</v>
      </c>
      <c r="F17" s="28" t="s">
        <v>17282</v>
      </c>
      <c r="G17" s="28" t="s">
        <v>18140</v>
      </c>
      <c r="H17" s="28" t="s">
        <v>18136</v>
      </c>
    </row>
    <row r="18" customFormat="false" ht="15" hidden="false" customHeight="true" outlineLevel="0" collapsed="false">
      <c r="A18" s="28" t="n">
        <v>17</v>
      </c>
      <c r="B18" s="28" t="s">
        <v>18141</v>
      </c>
      <c r="C18" s="28" t="s">
        <v>18142</v>
      </c>
      <c r="D18" s="28" t="s">
        <v>18143</v>
      </c>
      <c r="E18" s="28" t="s">
        <v>18144</v>
      </c>
      <c r="F18" s="28" t="s">
        <v>18145</v>
      </c>
      <c r="G18" s="28" t="s">
        <v>18146</v>
      </c>
      <c r="H18" s="28" t="s">
        <v>115</v>
      </c>
    </row>
    <row r="19" customFormat="false" ht="52.8" hidden="false" customHeight="true" outlineLevel="0" collapsed="false">
      <c r="A19" s="28" t="n">
        <v>18</v>
      </c>
      <c r="B19" s="28" t="s">
        <v>18147</v>
      </c>
      <c r="C19" s="28" t="s">
        <v>18148</v>
      </c>
      <c r="D19" s="28" t="s">
        <v>9355</v>
      </c>
      <c r="E19" s="28" t="s">
        <v>18149</v>
      </c>
      <c r="F19" s="28" t="s">
        <v>17293</v>
      </c>
      <c r="G19" s="28" t="s">
        <v>18150</v>
      </c>
      <c r="H19" s="28" t="s">
        <v>18151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4" min="3" style="1" width="28"/>
    <col collapsed="false" customWidth="true" hidden="false" outlineLevel="0" max="5" min="5" style="1" width="20"/>
    <col collapsed="false" customWidth="true" hidden="false" outlineLevel="0" max="6" min="6" style="1" width="28"/>
    <col collapsed="false" customWidth="true" hidden="false" outlineLevel="0" max="7" min="7" style="1" width="65"/>
    <col collapsed="false" customWidth="true" hidden="false" outlineLevel="0" max="8" min="8" style="1" width="20"/>
  </cols>
  <sheetData>
    <row r="1" customFormat="false" ht="23.85" hidden="false" customHeight="false" outlineLevel="0" collapsed="false">
      <c r="A1" s="28" t="s">
        <v>60</v>
      </c>
      <c r="B1" s="28" t="s">
        <v>17319</v>
      </c>
      <c r="C1" s="28" t="s">
        <v>17320</v>
      </c>
      <c r="D1" s="28" t="s">
        <v>69</v>
      </c>
      <c r="E1" s="28" t="s">
        <v>17321</v>
      </c>
      <c r="F1" s="28" t="s">
        <v>17322</v>
      </c>
      <c r="G1" s="28" t="s">
        <v>17323</v>
      </c>
      <c r="H1" s="28" t="s">
        <v>18095</v>
      </c>
    </row>
    <row r="2" customFormat="false" ht="23.85" hidden="false" customHeight="false" outlineLevel="0" collapsed="false">
      <c r="A2" s="28" t="n">
        <v>1</v>
      </c>
      <c r="B2" s="28" t="s">
        <v>18106</v>
      </c>
      <c r="C2" s="28" t="s">
        <v>8260</v>
      </c>
      <c r="D2" s="28" t="s">
        <v>18152</v>
      </c>
      <c r="E2" s="28" t="s">
        <v>18153</v>
      </c>
      <c r="F2" s="28" t="s">
        <v>17299</v>
      </c>
      <c r="G2" s="28" t="s">
        <v>18154</v>
      </c>
      <c r="H2" s="28" t="s">
        <v>18110</v>
      </c>
    </row>
    <row r="3" customFormat="false" ht="15" hidden="false" customHeight="false" outlineLevel="0" collapsed="false">
      <c r="A3" s="28" t="n">
        <v>2</v>
      </c>
      <c r="B3" s="28" t="s">
        <v>18155</v>
      </c>
      <c r="C3" s="28" t="s">
        <v>15915</v>
      </c>
      <c r="D3" s="28" t="s">
        <v>15916</v>
      </c>
      <c r="E3" s="28" t="s">
        <v>18097</v>
      </c>
      <c r="F3" s="28" t="s">
        <v>17299</v>
      </c>
      <c r="G3" s="28" t="s">
        <v>18156</v>
      </c>
      <c r="H3" s="28" t="s">
        <v>18136</v>
      </c>
    </row>
    <row r="4" customFormat="false" ht="15" hidden="false" customHeight="false" outlineLevel="0" collapsed="false">
      <c r="A4" s="28" t="n">
        <v>3</v>
      </c>
      <c r="B4" s="28" t="s">
        <v>18157</v>
      </c>
      <c r="C4" s="28" t="s">
        <v>18158</v>
      </c>
      <c r="D4" s="28" t="s">
        <v>18159</v>
      </c>
      <c r="E4" s="28" t="s">
        <v>18097</v>
      </c>
      <c r="F4" s="28" t="s">
        <v>17299</v>
      </c>
      <c r="G4" s="28" t="s">
        <v>18160</v>
      </c>
      <c r="H4" s="28" t="s">
        <v>18136</v>
      </c>
    </row>
    <row r="5" customFormat="false" ht="15" hidden="false" customHeight="false" outlineLevel="0" collapsed="false">
      <c r="A5" s="28" t="n">
        <v>4</v>
      </c>
      <c r="B5" s="28" t="s">
        <v>18161</v>
      </c>
      <c r="C5" s="28" t="s">
        <v>17299</v>
      </c>
      <c r="D5" s="28" t="s">
        <v>18162</v>
      </c>
      <c r="E5" s="28" t="s">
        <v>18163</v>
      </c>
      <c r="F5" s="28" t="s">
        <v>18164</v>
      </c>
      <c r="G5" s="28" t="s">
        <v>18165</v>
      </c>
      <c r="H5" s="28" t="s">
        <v>115</v>
      </c>
    </row>
    <row r="6" customFormat="false" ht="23.85" hidden="false" customHeight="false" outlineLevel="0" collapsed="false">
      <c r="A6" s="28" t="n">
        <v>5</v>
      </c>
      <c r="B6" s="28" t="s">
        <v>18141</v>
      </c>
      <c r="C6" s="28" t="s">
        <v>18166</v>
      </c>
      <c r="D6" s="28" t="s">
        <v>18167</v>
      </c>
      <c r="E6" s="28" t="s">
        <v>18168</v>
      </c>
      <c r="F6" s="28" t="s">
        <v>18169</v>
      </c>
      <c r="G6" s="28" t="s">
        <v>18170</v>
      </c>
      <c r="H6" s="28" t="s">
        <v>115</v>
      </c>
    </row>
    <row r="7" customFormat="false" ht="15" hidden="false" customHeight="false" outlineLevel="0" collapsed="false">
      <c r="A7" s="28" t="n">
        <v>6</v>
      </c>
      <c r="B7" s="28" t="s">
        <v>17383</v>
      </c>
      <c r="C7" s="28" t="s">
        <v>18171</v>
      </c>
      <c r="D7" s="28" t="s">
        <v>18172</v>
      </c>
      <c r="E7" s="28" t="s">
        <v>18097</v>
      </c>
      <c r="F7" s="28" t="s">
        <v>18173</v>
      </c>
      <c r="G7" s="28" t="s">
        <v>18174</v>
      </c>
      <c r="H7" s="28" t="s">
        <v>115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21"/>
    <col collapsed="false" customWidth="true" hidden="false" outlineLevel="0" max="3" min="3" style="1" width="28"/>
    <col collapsed="false" customWidth="true" hidden="false" outlineLevel="0" max="4" min="4" style="1" width="30"/>
    <col collapsed="false" customWidth="true" hidden="false" outlineLevel="0" max="5" min="5" style="1" width="19"/>
    <col collapsed="false" customWidth="true" hidden="false" outlineLevel="0" max="6" min="6" style="1" width="23"/>
    <col collapsed="false" customWidth="true" hidden="false" outlineLevel="0" max="7" min="7" style="1" width="45"/>
    <col collapsed="false" customWidth="true" hidden="false" outlineLevel="0" max="8" min="8" style="1" width="16"/>
  </cols>
  <sheetData>
    <row r="1" customFormat="false" ht="52.8" hidden="false" customHeight="true" outlineLevel="0" collapsed="false">
      <c r="A1" s="44" t="s">
        <v>60</v>
      </c>
      <c r="B1" s="44" t="s">
        <v>17319</v>
      </c>
      <c r="C1" s="44" t="s">
        <v>17320</v>
      </c>
      <c r="D1" s="44" t="s">
        <v>69</v>
      </c>
      <c r="E1" s="44" t="s">
        <v>17321</v>
      </c>
      <c r="F1" s="44" t="s">
        <v>17322</v>
      </c>
      <c r="G1" s="44" t="s">
        <v>17323</v>
      </c>
      <c r="H1" s="44" t="s">
        <v>18175</v>
      </c>
    </row>
    <row r="2" customFormat="false" ht="92.4" hidden="false" customHeight="true" outlineLevel="0" collapsed="false">
      <c r="A2" s="28" t="n">
        <v>1</v>
      </c>
      <c r="B2" s="28" t="s">
        <v>18101</v>
      </c>
      <c r="C2" s="28" t="s">
        <v>18176</v>
      </c>
      <c r="D2" s="28" t="s">
        <v>18177</v>
      </c>
      <c r="E2" s="28" t="s">
        <v>18097</v>
      </c>
      <c r="F2" s="28" t="s">
        <v>561</v>
      </c>
      <c r="G2" s="28" t="s">
        <v>18178</v>
      </c>
      <c r="H2" s="28" t="s">
        <v>168</v>
      </c>
    </row>
    <row r="3" customFormat="false" ht="66" hidden="false" customHeight="true" outlineLevel="0" collapsed="false">
      <c r="A3" s="28" t="n">
        <v>2</v>
      </c>
      <c r="B3" s="28" t="s">
        <v>18179</v>
      </c>
      <c r="C3" s="28" t="s">
        <v>1498</v>
      </c>
      <c r="D3" s="28" t="s">
        <v>18180</v>
      </c>
      <c r="E3" s="28" t="s">
        <v>18181</v>
      </c>
      <c r="F3" s="28" t="s">
        <v>561</v>
      </c>
      <c r="G3" s="28" t="s">
        <v>18182</v>
      </c>
      <c r="H3" s="28" t="s">
        <v>168</v>
      </c>
    </row>
    <row r="4" customFormat="false" ht="79.2" hidden="false" customHeight="true" outlineLevel="0" collapsed="false">
      <c r="A4" s="28" t="n">
        <v>3</v>
      </c>
      <c r="B4" s="28" t="s">
        <v>18183</v>
      </c>
      <c r="C4" s="28" t="s">
        <v>18184</v>
      </c>
      <c r="D4" s="28" t="s">
        <v>18185</v>
      </c>
      <c r="E4" s="28" t="s">
        <v>18168</v>
      </c>
      <c r="F4" s="28" t="s">
        <v>561</v>
      </c>
      <c r="G4" s="28" t="s">
        <v>18186</v>
      </c>
      <c r="H4" s="28" t="s">
        <v>168</v>
      </c>
    </row>
    <row r="5" customFormat="false" ht="79.2" hidden="false" customHeight="true" outlineLevel="0" collapsed="false">
      <c r="A5" s="28" t="n">
        <v>4</v>
      </c>
      <c r="B5" s="28" t="s">
        <v>18187</v>
      </c>
      <c r="C5" s="28" t="s">
        <v>18188</v>
      </c>
      <c r="D5" s="28" t="s">
        <v>18189</v>
      </c>
      <c r="E5" s="28" t="s">
        <v>18190</v>
      </c>
      <c r="F5" s="28" t="s">
        <v>561</v>
      </c>
      <c r="G5" s="28" t="s">
        <v>18191</v>
      </c>
      <c r="H5" s="28" t="s">
        <v>168</v>
      </c>
    </row>
    <row r="6" customFormat="false" ht="79.2" hidden="false" customHeight="true" outlineLevel="0" collapsed="false">
      <c r="A6" s="28" t="n">
        <v>5</v>
      </c>
      <c r="B6" s="28" t="s">
        <v>18192</v>
      </c>
      <c r="C6" s="28" t="s">
        <v>18193</v>
      </c>
      <c r="D6" s="28" t="s">
        <v>16066</v>
      </c>
      <c r="E6" s="28" t="s">
        <v>18097</v>
      </c>
      <c r="F6" s="28" t="s">
        <v>561</v>
      </c>
      <c r="G6" s="28" t="s">
        <v>18194</v>
      </c>
      <c r="H6" s="28" t="s">
        <v>168</v>
      </c>
    </row>
    <row r="7" customFormat="false" ht="66" hidden="false" customHeight="true" outlineLevel="0" collapsed="false">
      <c r="A7" s="28" t="n">
        <v>6</v>
      </c>
      <c r="B7" s="28" t="s">
        <v>18195</v>
      </c>
      <c r="C7" s="28" t="s">
        <v>18196</v>
      </c>
      <c r="D7" s="28" t="s">
        <v>18197</v>
      </c>
      <c r="E7" s="28" t="s">
        <v>18198</v>
      </c>
      <c r="F7" s="28" t="s">
        <v>561</v>
      </c>
      <c r="G7" s="28" t="s">
        <v>18199</v>
      </c>
      <c r="H7" s="28" t="s">
        <v>168</v>
      </c>
    </row>
    <row r="8" customFormat="false" ht="66" hidden="false" customHeight="true" outlineLevel="0" collapsed="false">
      <c r="A8" s="28" t="n">
        <v>7</v>
      </c>
      <c r="B8" s="28" t="s">
        <v>18200</v>
      </c>
      <c r="C8" s="28" t="s">
        <v>18201</v>
      </c>
      <c r="D8" s="28" t="s">
        <v>18202</v>
      </c>
      <c r="E8" s="28" t="s">
        <v>18198</v>
      </c>
      <c r="F8" s="28" t="s">
        <v>561</v>
      </c>
      <c r="G8" s="28" t="s">
        <v>18203</v>
      </c>
      <c r="H8" s="28" t="s">
        <v>168</v>
      </c>
    </row>
    <row r="9" customFormat="false" ht="105.6" hidden="false" customHeight="true" outlineLevel="0" collapsed="false">
      <c r="A9" s="28" t="n">
        <v>8</v>
      </c>
      <c r="B9" s="28" t="s">
        <v>18204</v>
      </c>
      <c r="C9" s="28" t="s">
        <v>18205</v>
      </c>
      <c r="D9" s="28" t="s">
        <v>18206</v>
      </c>
      <c r="E9" s="28" t="s">
        <v>18207</v>
      </c>
      <c r="F9" s="28" t="s">
        <v>561</v>
      </c>
      <c r="G9" s="28" t="s">
        <v>18208</v>
      </c>
      <c r="H9" s="28" t="s">
        <v>168</v>
      </c>
    </row>
    <row r="10" customFormat="false" ht="105.6" hidden="false" customHeight="true" outlineLevel="0" collapsed="false">
      <c r="A10" s="28" t="n">
        <v>9</v>
      </c>
      <c r="B10" s="28" t="s">
        <v>18209</v>
      </c>
      <c r="C10" s="28" t="s">
        <v>18210</v>
      </c>
      <c r="D10" s="28" t="s">
        <v>18211</v>
      </c>
      <c r="E10" s="28" t="s">
        <v>18212</v>
      </c>
      <c r="F10" s="28" t="s">
        <v>561</v>
      </c>
      <c r="G10" s="28" t="s">
        <v>18213</v>
      </c>
      <c r="H10" s="28" t="s">
        <v>115</v>
      </c>
    </row>
    <row r="11" customFormat="false" ht="79.2" hidden="false" customHeight="true" outlineLevel="0" collapsed="false">
      <c r="A11" s="28" t="n">
        <v>10</v>
      </c>
      <c r="B11" s="28" t="s">
        <v>18214</v>
      </c>
      <c r="C11" s="28" t="s">
        <v>18215</v>
      </c>
      <c r="D11" s="28" t="s">
        <v>18216</v>
      </c>
      <c r="E11" s="28" t="s">
        <v>18097</v>
      </c>
      <c r="F11" s="28" t="s">
        <v>561</v>
      </c>
      <c r="G11" s="28" t="s">
        <v>18217</v>
      </c>
      <c r="H11" s="28" t="s">
        <v>115</v>
      </c>
    </row>
    <row r="12" customFormat="false" ht="118.8" hidden="false" customHeight="true" outlineLevel="0" collapsed="false">
      <c r="A12" s="28" t="n">
        <v>11</v>
      </c>
      <c r="B12" s="28" t="s">
        <v>18218</v>
      </c>
      <c r="C12" s="28" t="s">
        <v>18219</v>
      </c>
      <c r="D12" s="28" t="s">
        <v>18220</v>
      </c>
      <c r="E12" s="28" t="s">
        <v>18097</v>
      </c>
      <c r="F12" s="28" t="s">
        <v>561</v>
      </c>
      <c r="G12" s="28" t="s">
        <v>18221</v>
      </c>
      <c r="H12" s="28" t="s">
        <v>115</v>
      </c>
    </row>
    <row r="13" customFormat="false" ht="66" hidden="false" customHeight="true" outlineLevel="0" collapsed="false">
      <c r="A13" s="28" t="n">
        <v>12</v>
      </c>
      <c r="B13" s="28" t="s">
        <v>18222</v>
      </c>
      <c r="C13" s="28" t="s">
        <v>18223</v>
      </c>
      <c r="D13" s="28" t="s">
        <v>18224</v>
      </c>
      <c r="E13" s="28" t="s">
        <v>18225</v>
      </c>
      <c r="F13" s="28" t="s">
        <v>561</v>
      </c>
      <c r="G13" s="28" t="s">
        <v>18226</v>
      </c>
      <c r="H13" s="28" t="s">
        <v>115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2"/>
    <col collapsed="false" customWidth="true" hidden="false" outlineLevel="0" max="5" min="5" style="0" width="34"/>
    <col collapsed="false" customWidth="true" hidden="false" outlineLevel="0" max="6" min="6" style="0" width="12"/>
  </cols>
  <sheetData>
    <row r="1" customFormat="false" ht="30" hidden="false" customHeight="true" outlineLevel="0" collapsed="false">
      <c r="A1" s="45" t="s">
        <v>18227</v>
      </c>
      <c r="B1" s="45"/>
      <c r="C1" s="45"/>
      <c r="D1" s="45"/>
      <c r="E1" s="45"/>
      <c r="F1" s="45"/>
    </row>
    <row r="2" customFormat="false" ht="30" hidden="false" customHeight="true" outlineLevel="0" collapsed="false">
      <c r="A2" s="46" t="s">
        <v>18228</v>
      </c>
      <c r="B2" s="46"/>
      <c r="C2" s="46"/>
      <c r="D2" s="46"/>
      <c r="E2" s="46"/>
      <c r="F2" s="46"/>
    </row>
    <row r="4" customFormat="false" ht="44" hidden="false" customHeight="true" outlineLevel="0" collapsed="false">
      <c r="A4" s="47" t="s">
        <v>18229</v>
      </c>
      <c r="B4" s="47" t="s">
        <v>18230</v>
      </c>
      <c r="C4" s="47" t="s">
        <v>18231</v>
      </c>
      <c r="D4" s="47" t="s">
        <v>18232</v>
      </c>
      <c r="E4" s="47" t="s">
        <v>18233</v>
      </c>
      <c r="F4" s="47" t="s">
        <v>62</v>
      </c>
    </row>
    <row r="5" customFormat="false" ht="44" hidden="false" customHeight="true" outlineLevel="0" collapsed="false">
      <c r="A5" s="48" t="s">
        <v>18234</v>
      </c>
      <c r="B5" s="48" t="s">
        <v>9447</v>
      </c>
      <c r="C5" s="48" t="s">
        <v>18235</v>
      </c>
      <c r="D5" s="48" t="s">
        <v>18236</v>
      </c>
      <c r="E5" s="48" t="s">
        <v>9466</v>
      </c>
      <c r="F5" s="49" t="s">
        <v>18237</v>
      </c>
    </row>
    <row r="6" customFormat="false" ht="44" hidden="false" customHeight="true" outlineLevel="0" collapsed="false">
      <c r="A6" s="48" t="s">
        <v>18238</v>
      </c>
      <c r="B6" s="48" t="s">
        <v>18239</v>
      </c>
      <c r="C6" s="48" t="s">
        <v>18240</v>
      </c>
      <c r="D6" s="48" t="s">
        <v>18241</v>
      </c>
      <c r="E6" s="48" t="s">
        <v>18242</v>
      </c>
      <c r="F6" s="49" t="s">
        <v>18237</v>
      </c>
    </row>
    <row r="7" customFormat="false" ht="44" hidden="false" customHeight="true" outlineLevel="0" collapsed="false">
      <c r="A7" s="48" t="s">
        <v>18243</v>
      </c>
      <c r="B7" s="48" t="s">
        <v>154</v>
      </c>
      <c r="C7" s="48" t="s">
        <v>18244</v>
      </c>
      <c r="D7" s="48" t="s">
        <v>18245</v>
      </c>
      <c r="E7" s="48" t="s">
        <v>9466</v>
      </c>
      <c r="F7" s="49" t="s">
        <v>18237</v>
      </c>
    </row>
    <row r="8" customFormat="false" ht="44" hidden="false" customHeight="true" outlineLevel="0" collapsed="false">
      <c r="A8" s="48" t="s">
        <v>18246</v>
      </c>
      <c r="B8" s="48" t="s">
        <v>8519</v>
      </c>
      <c r="C8" s="48" t="s">
        <v>18247</v>
      </c>
      <c r="D8" s="48" t="s">
        <v>18248</v>
      </c>
      <c r="E8" s="48" t="s">
        <v>18249</v>
      </c>
      <c r="F8" s="49" t="s">
        <v>18237</v>
      </c>
    </row>
    <row r="9" customFormat="false" ht="44" hidden="false" customHeight="true" outlineLevel="0" collapsed="false">
      <c r="A9" s="48" t="s">
        <v>18250</v>
      </c>
      <c r="B9" s="48" t="s">
        <v>9156</v>
      </c>
      <c r="C9" s="48" t="s">
        <v>18251</v>
      </c>
      <c r="D9" s="48" t="s">
        <v>18252</v>
      </c>
      <c r="E9" s="48" t="s">
        <v>17910</v>
      </c>
      <c r="F9" s="49" t="s">
        <v>18237</v>
      </c>
    </row>
    <row r="10" customFormat="false" ht="44" hidden="false" customHeight="true" outlineLevel="0" collapsed="false">
      <c r="A10" s="48" t="s">
        <v>18253</v>
      </c>
      <c r="B10" s="48" t="s">
        <v>18209</v>
      </c>
      <c r="C10" s="48" t="s">
        <v>18254</v>
      </c>
      <c r="D10" s="48" t="s">
        <v>18255</v>
      </c>
      <c r="E10" s="48" t="s">
        <v>18256</v>
      </c>
      <c r="F10" s="49" t="s">
        <v>18237</v>
      </c>
    </row>
    <row r="11" customFormat="false" ht="44" hidden="false" customHeight="true" outlineLevel="0" collapsed="false">
      <c r="A11" s="48" t="s">
        <v>18257</v>
      </c>
      <c r="B11" s="48" t="s">
        <v>18222</v>
      </c>
      <c r="C11" s="48" t="s">
        <v>18258</v>
      </c>
      <c r="D11" s="48" t="s">
        <v>18259</v>
      </c>
      <c r="E11" s="48" t="s">
        <v>18260</v>
      </c>
      <c r="F11" s="49" t="s">
        <v>18237</v>
      </c>
    </row>
    <row r="12" customFormat="false" ht="44" hidden="false" customHeight="true" outlineLevel="0" collapsed="false">
      <c r="A12" s="48" t="s">
        <v>18261</v>
      </c>
      <c r="B12" s="48" t="s">
        <v>18262</v>
      </c>
      <c r="C12" s="48" t="s">
        <v>18263</v>
      </c>
      <c r="D12" s="48" t="s">
        <v>18264</v>
      </c>
      <c r="E12" s="48" t="s">
        <v>18260</v>
      </c>
      <c r="F12" s="49" t="s">
        <v>18237</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